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Athena\Fysiologi$\GEMENSAM\ÖNH\Öronslemhinna A Granath\Results\Stability Ref genes\"/>
    </mc:Choice>
  </mc:AlternateContent>
  <bookViews>
    <workbookView xWindow="0" yWindow="0" windowWidth="10440" windowHeight="11505" tabRatio="702" activeTab="1"/>
  </bookViews>
  <sheets>
    <sheet name="Intro" sheetId="2" r:id="rId1"/>
    <sheet name="HKG vs. BK" sheetId="1" r:id="rId2"/>
    <sheet name="BK vs. TG" sheetId="3" r:id="rId3"/>
    <sheet name="Res. Samples" sheetId="5" r:id="rId4"/>
    <sheet name="Res. Genes" sheetId="4" r:id="rId5"/>
    <sheet name="Graph HKG" sheetId="9" r:id="rId6"/>
    <sheet name="Graph TG" sheetId="7" r:id="rId7"/>
  </sheets>
  <definedNames>
    <definedName name="_xlnm.Print_Area" localSheetId="2">'BK vs. TG'!$A$1:$IU$158</definedName>
    <definedName name="_xlnm.Print_Area" localSheetId="1">'HKG vs. BK'!$1:$158</definedName>
    <definedName name="_xlnm.Print_Area" localSheetId="0">Intro!$A$1:$G$39</definedName>
    <definedName name="_xlnm.Print_Area" localSheetId="4">'Res. Genes'!$A$1:$Y$59</definedName>
    <definedName name="_xlnm.Print_Area" localSheetId="3">'Res. Samples'!$A$1:$I$115</definedName>
  </definedNames>
  <calcPr calcId="162913"/>
</workbook>
</file>

<file path=xl/calcChain.xml><?xml version="1.0" encoding="utf-8"?>
<calcChain xmlns="http://schemas.openxmlformats.org/spreadsheetml/2006/main">
  <c r="B4" i="3" l="1"/>
  <c r="C4" i="3"/>
  <c r="D4" i="3"/>
  <c r="E4" i="3"/>
  <c r="F4" i="3"/>
  <c r="G4" i="3"/>
  <c r="H4" i="3"/>
  <c r="I4" i="3"/>
  <c r="J4" i="3"/>
  <c r="K4" i="3"/>
  <c r="L6" i="3"/>
  <c r="AY6" i="3"/>
  <c r="BA6" i="3" s="1"/>
  <c r="AZ6" i="3"/>
  <c r="BB6" i="3"/>
  <c r="BD6" i="3" s="1"/>
  <c r="BC6" i="3"/>
  <c r="BE6" i="3"/>
  <c r="BF6" i="3"/>
  <c r="BH6" i="3"/>
  <c r="BI6" i="3"/>
  <c r="BJ6" i="3"/>
  <c r="BK6" i="3"/>
  <c r="BL6" i="3"/>
  <c r="BN6" i="3"/>
  <c r="BO6" i="3"/>
  <c r="BQ6" i="3"/>
  <c r="BR6" i="3"/>
  <c r="BS6" i="3" s="1"/>
  <c r="BT6" i="3"/>
  <c r="BU6" i="3"/>
  <c r="BV6" i="3" s="1"/>
  <c r="BW6" i="3"/>
  <c r="BY6" i="3" s="1"/>
  <c r="BX6" i="3"/>
  <c r="CD6" i="3"/>
  <c r="CE6" i="3"/>
  <c r="CG6" i="3"/>
  <c r="CH6" i="3"/>
  <c r="CI6" i="3"/>
  <c r="CJ6" i="3"/>
  <c r="CK6" i="3"/>
  <c r="CM6" i="3"/>
  <c r="CN6" i="3"/>
  <c r="CP6" i="3"/>
  <c r="CQ6" i="3"/>
  <c r="CR6" i="3" s="1"/>
  <c r="CS6" i="3"/>
  <c r="CT6" i="3"/>
  <c r="CV6" i="3"/>
  <c r="CW6" i="3"/>
  <c r="CY6" i="3"/>
  <c r="DA6" i="3" s="1"/>
  <c r="CZ6" i="3"/>
  <c r="DF6" i="3"/>
  <c r="DG6" i="3"/>
  <c r="DH6" i="3"/>
  <c r="DI6" i="3"/>
  <c r="DJ6" i="3"/>
  <c r="DL6" i="3"/>
  <c r="DM6" i="3"/>
  <c r="DO6" i="3"/>
  <c r="DP6" i="3"/>
  <c r="DQ6" i="3" s="1"/>
  <c r="DR6" i="3"/>
  <c r="DS6" i="3"/>
  <c r="DU6" i="3"/>
  <c r="DW6" i="3" s="1"/>
  <c r="DV6" i="3"/>
  <c r="DX6" i="3"/>
  <c r="DZ6" i="3" s="1"/>
  <c r="DY6" i="3"/>
  <c r="EE6" i="3"/>
  <c r="EF6" i="3"/>
  <c r="EG6" i="3"/>
  <c r="EH6" i="3"/>
  <c r="EI6" i="3"/>
  <c r="EK6" i="3"/>
  <c r="EL6" i="3"/>
  <c r="EN6" i="3"/>
  <c r="EO6" i="3"/>
  <c r="EP6" i="3" s="1"/>
  <c r="EQ6" i="3"/>
  <c r="ES6" i="3" s="1"/>
  <c r="ER6" i="3"/>
  <c r="ET6" i="3"/>
  <c r="EV6" i="3" s="1"/>
  <c r="EU6" i="3"/>
  <c r="FA6" i="3"/>
  <c r="FB6" i="3"/>
  <c r="FD6" i="3"/>
  <c r="FE6" i="3"/>
  <c r="FF6" i="3"/>
  <c r="FG6" i="3"/>
  <c r="FH6" i="3"/>
  <c r="FJ6" i="3"/>
  <c r="FK6" i="3"/>
  <c r="FM6" i="3"/>
  <c r="FN6" i="3"/>
  <c r="FO6" i="3" s="1"/>
  <c r="FT6" i="3"/>
  <c r="FU6" i="3"/>
  <c r="FW6" i="3"/>
  <c r="FX6" i="3"/>
  <c r="FZ6" i="3"/>
  <c r="GA6" i="3"/>
  <c r="GB6" i="3" s="1"/>
  <c r="GC6" i="3"/>
  <c r="GD6" i="3"/>
  <c r="GE6" i="3" s="1"/>
  <c r="GJ6" i="3"/>
  <c r="GL6" i="3" s="1"/>
  <c r="GK6" i="3"/>
  <c r="GM6" i="3"/>
  <c r="GN6" i="3"/>
  <c r="GP6" i="3"/>
  <c r="GR6" i="3" s="1"/>
  <c r="GQ6" i="3"/>
  <c r="GW6" i="3"/>
  <c r="GX6" i="3"/>
  <c r="GZ6" i="3"/>
  <c r="HA6" i="3"/>
  <c r="HB6" i="3" s="1"/>
  <c r="HG6" i="3"/>
  <c r="HH6" i="3"/>
  <c r="L7" i="3"/>
  <c r="AY7" i="3"/>
  <c r="AZ7" i="3"/>
  <c r="BB7" i="3"/>
  <c r="BD7" i="3" s="1"/>
  <c r="BC7" i="3"/>
  <c r="BE7" i="3"/>
  <c r="BF7" i="3"/>
  <c r="BG7" i="3" s="1"/>
  <c r="BH7" i="3"/>
  <c r="BI7" i="3"/>
  <c r="BK7" i="3"/>
  <c r="BL7" i="3"/>
  <c r="BN7" i="3"/>
  <c r="BO7" i="3"/>
  <c r="BP7" i="3" s="1"/>
  <c r="BQ7" i="3"/>
  <c r="BR7" i="3"/>
  <c r="BT7" i="3"/>
  <c r="BV7" i="3" s="1"/>
  <c r="BU7" i="3"/>
  <c r="BW7" i="3"/>
  <c r="BY7" i="3" s="1"/>
  <c r="BX7" i="3"/>
  <c r="CD7" i="3"/>
  <c r="CF7" i="3" s="1"/>
  <c r="CE7" i="3"/>
  <c r="CG7" i="3"/>
  <c r="CI7" i="3" s="1"/>
  <c r="CH7" i="3"/>
  <c r="CJ7" i="3"/>
  <c r="CK7" i="3"/>
  <c r="CM7" i="3"/>
  <c r="CO7" i="3" s="1"/>
  <c r="CN7" i="3"/>
  <c r="CP7" i="3"/>
  <c r="CQ7" i="3"/>
  <c r="CS7" i="3"/>
  <c r="CT7" i="3"/>
  <c r="CV7" i="3"/>
  <c r="CW7" i="3"/>
  <c r="CX7" i="3" s="1"/>
  <c r="CY7" i="3"/>
  <c r="CZ7" i="3"/>
  <c r="DA7" i="3" s="1"/>
  <c r="DF7" i="3"/>
  <c r="DH7" i="3" s="1"/>
  <c r="DG7" i="3"/>
  <c r="DI7" i="3"/>
  <c r="DJ7" i="3"/>
  <c r="DL7" i="3"/>
  <c r="DN7" i="3" s="1"/>
  <c r="DM7" i="3"/>
  <c r="DO7" i="3"/>
  <c r="DP7" i="3"/>
  <c r="DQ7" i="3" s="1"/>
  <c r="DR7" i="3"/>
  <c r="DS7" i="3"/>
  <c r="DU7" i="3"/>
  <c r="DV7" i="3"/>
  <c r="DX7" i="3"/>
  <c r="DZ7" i="3" s="1"/>
  <c r="DY7" i="3"/>
  <c r="EE7" i="3"/>
  <c r="EG7" i="3" s="1"/>
  <c r="EF7" i="3"/>
  <c r="EH7" i="3"/>
  <c r="EI7" i="3"/>
  <c r="EK7" i="3"/>
  <c r="EM7" i="3" s="1"/>
  <c r="EL7" i="3"/>
  <c r="EN7" i="3"/>
  <c r="EO7" i="3"/>
  <c r="EP7" i="3" s="1"/>
  <c r="EQ7" i="3"/>
  <c r="ER7" i="3"/>
  <c r="ET7" i="3"/>
  <c r="EU7" i="3"/>
  <c r="FA7" i="3"/>
  <c r="FB7" i="3"/>
  <c r="FD7" i="3"/>
  <c r="FE7" i="3"/>
  <c r="FG7" i="3"/>
  <c r="FH7" i="3"/>
  <c r="FI7" i="3" s="1"/>
  <c r="FJ7" i="3"/>
  <c r="FK7" i="3"/>
  <c r="FL7" i="3" s="1"/>
  <c r="FM7" i="3"/>
  <c r="FN7" i="3"/>
  <c r="FT7" i="3"/>
  <c r="FU7" i="3"/>
  <c r="FW7" i="3"/>
  <c r="FX7" i="3"/>
  <c r="FY7" i="3"/>
  <c r="FZ7" i="3"/>
  <c r="GA7" i="3"/>
  <c r="GB7" i="3" s="1"/>
  <c r="GC7" i="3"/>
  <c r="GD7" i="3"/>
  <c r="GJ7" i="3"/>
  <c r="GL7" i="3" s="1"/>
  <c r="GK7" i="3"/>
  <c r="GM7" i="3"/>
  <c r="GN7" i="3"/>
  <c r="GP7" i="3"/>
  <c r="GR7" i="3" s="1"/>
  <c r="GQ7" i="3"/>
  <c r="GW7" i="3"/>
  <c r="GY7" i="3" s="1"/>
  <c r="GX7" i="3"/>
  <c r="GZ7" i="3"/>
  <c r="HA7" i="3"/>
  <c r="HB7" i="3" s="1"/>
  <c r="HG7" i="3"/>
  <c r="HH7" i="3"/>
  <c r="L8" i="3"/>
  <c r="AY8" i="3"/>
  <c r="BA8" i="3" s="1"/>
  <c r="AZ8" i="3"/>
  <c r="BB8" i="3"/>
  <c r="BD8" i="3" s="1"/>
  <c r="BC8" i="3"/>
  <c r="BE8" i="3"/>
  <c r="BF8" i="3"/>
  <c r="BH8" i="3"/>
  <c r="BI8" i="3"/>
  <c r="BJ8" i="3"/>
  <c r="BK8" i="3"/>
  <c r="BL8" i="3"/>
  <c r="BN8" i="3"/>
  <c r="BO8" i="3"/>
  <c r="BQ8" i="3"/>
  <c r="BR8" i="3"/>
  <c r="BS8" i="3" s="1"/>
  <c r="BT8" i="3"/>
  <c r="BU8" i="3"/>
  <c r="BV8" i="3" s="1"/>
  <c r="BW8" i="3"/>
  <c r="BY8" i="3" s="1"/>
  <c r="BX8" i="3"/>
  <c r="CD8" i="3"/>
  <c r="CF8" i="3" s="1"/>
  <c r="CE8" i="3"/>
  <c r="CG8" i="3"/>
  <c r="CH8" i="3"/>
  <c r="CI8" i="3"/>
  <c r="CJ8" i="3"/>
  <c r="CK8" i="3"/>
  <c r="CL8" i="3" s="1"/>
  <c r="CM8" i="3"/>
  <c r="CN8" i="3"/>
  <c r="CP8" i="3"/>
  <c r="CQ8" i="3"/>
  <c r="CS8" i="3"/>
  <c r="CT8" i="3"/>
  <c r="CV8" i="3"/>
  <c r="CW8" i="3"/>
  <c r="CX8" i="3" s="1"/>
  <c r="CY8" i="3"/>
  <c r="CZ8" i="3"/>
  <c r="DF8" i="3"/>
  <c r="DG8" i="3"/>
  <c r="DH8" i="3"/>
  <c r="DI8" i="3"/>
  <c r="DJ8" i="3"/>
  <c r="DL8" i="3"/>
  <c r="DM8" i="3"/>
  <c r="DO8" i="3"/>
  <c r="DP8" i="3"/>
  <c r="DQ8" i="3" s="1"/>
  <c r="DR8" i="3"/>
  <c r="DS8" i="3"/>
  <c r="DU8" i="3"/>
  <c r="DW8" i="3" s="1"/>
  <c r="DV8" i="3"/>
  <c r="DX8" i="3"/>
  <c r="DZ8" i="3" s="1"/>
  <c r="DY8" i="3"/>
  <c r="EE8" i="3"/>
  <c r="EF8" i="3"/>
  <c r="EG8" i="3"/>
  <c r="EH8" i="3"/>
  <c r="EI8" i="3"/>
  <c r="EK8" i="3"/>
  <c r="EL8" i="3"/>
  <c r="EN8" i="3"/>
  <c r="EO8" i="3"/>
  <c r="EP8" i="3" s="1"/>
  <c r="EQ8" i="3"/>
  <c r="ES8" i="3" s="1"/>
  <c r="ER8" i="3"/>
  <c r="ET8" i="3"/>
  <c r="EV8" i="3" s="1"/>
  <c r="EU8" i="3"/>
  <c r="FA8" i="3"/>
  <c r="FB8" i="3"/>
  <c r="FD8" i="3"/>
  <c r="FE8" i="3"/>
  <c r="FF8" i="3"/>
  <c r="FG8" i="3"/>
  <c r="FH8" i="3"/>
  <c r="FJ8" i="3"/>
  <c r="FK8" i="3"/>
  <c r="FM8" i="3"/>
  <c r="FN8" i="3"/>
  <c r="FO8" i="3" s="1"/>
  <c r="FT8" i="3"/>
  <c r="FU8" i="3"/>
  <c r="FW8" i="3"/>
  <c r="FX8" i="3"/>
  <c r="FZ8" i="3"/>
  <c r="GA8" i="3"/>
  <c r="GB8" i="3" s="1"/>
  <c r="GC8" i="3"/>
  <c r="GD8" i="3"/>
  <c r="GE8" i="3" s="1"/>
  <c r="GJ8" i="3"/>
  <c r="GL8" i="3" s="1"/>
  <c r="GK8" i="3"/>
  <c r="GM8" i="3"/>
  <c r="GN8" i="3"/>
  <c r="GP8" i="3"/>
  <c r="GR8" i="3" s="1"/>
  <c r="GQ8" i="3"/>
  <c r="GW8" i="3"/>
  <c r="GX8" i="3"/>
  <c r="GZ8" i="3"/>
  <c r="HA8" i="3"/>
  <c r="HB8" i="3" s="1"/>
  <c r="HG8" i="3"/>
  <c r="HH8" i="3"/>
  <c r="L9" i="3"/>
  <c r="AY9" i="3"/>
  <c r="AZ9" i="3"/>
  <c r="BB9" i="3"/>
  <c r="BD9" i="3" s="1"/>
  <c r="BC9" i="3"/>
  <c r="BE9" i="3"/>
  <c r="BF9" i="3"/>
  <c r="BH9" i="3"/>
  <c r="BI9" i="3"/>
  <c r="BK9" i="3"/>
  <c r="BL9" i="3"/>
  <c r="BM9" i="3" s="1"/>
  <c r="BN9" i="3"/>
  <c r="BO9" i="3"/>
  <c r="BP9" i="3" s="1"/>
  <c r="BQ9" i="3"/>
  <c r="BS9" i="3" s="1"/>
  <c r="BR9" i="3"/>
  <c r="BT9" i="3"/>
  <c r="BV9" i="3" s="1"/>
  <c r="BU9" i="3"/>
  <c r="BW9" i="3"/>
  <c r="BX9" i="3"/>
  <c r="CD9" i="3"/>
  <c r="CF9" i="3" s="1"/>
  <c r="CE9" i="3"/>
  <c r="CG9" i="3"/>
  <c r="CI9" i="3" s="1"/>
  <c r="CH9" i="3"/>
  <c r="CJ9" i="3"/>
  <c r="CK9" i="3"/>
  <c r="CM9" i="3"/>
  <c r="CO9" i="3" s="1"/>
  <c r="CN9" i="3"/>
  <c r="CP9" i="3"/>
  <c r="CQ9" i="3"/>
  <c r="CS9" i="3"/>
  <c r="CT9" i="3"/>
  <c r="CV9" i="3"/>
  <c r="CW9" i="3"/>
  <c r="CX9" i="3" s="1"/>
  <c r="CY9" i="3"/>
  <c r="CZ9" i="3"/>
  <c r="DA9" i="3" s="1"/>
  <c r="DF9" i="3"/>
  <c r="DH9" i="3" s="1"/>
  <c r="DG9" i="3"/>
  <c r="DI9" i="3"/>
  <c r="DJ9" i="3"/>
  <c r="DL9" i="3"/>
  <c r="DN9" i="3" s="1"/>
  <c r="DM9" i="3"/>
  <c r="DO9" i="3"/>
  <c r="DP9" i="3"/>
  <c r="DR9" i="3"/>
  <c r="DS9" i="3"/>
  <c r="DU9" i="3"/>
  <c r="DV9" i="3"/>
  <c r="DW9" i="3" s="1"/>
  <c r="DX9" i="3"/>
  <c r="DY9" i="3"/>
  <c r="DZ9" i="3" s="1"/>
  <c r="EE9" i="3"/>
  <c r="EG9" i="3" s="1"/>
  <c r="EF9" i="3"/>
  <c r="EH9" i="3"/>
  <c r="EI9" i="3"/>
  <c r="EK9" i="3"/>
  <c r="EM9" i="3" s="1"/>
  <c r="EL9" i="3"/>
  <c r="EN9" i="3"/>
  <c r="EO9" i="3"/>
  <c r="EQ9" i="3"/>
  <c r="ER9" i="3"/>
  <c r="ET9" i="3"/>
  <c r="EU9" i="3"/>
  <c r="EV9" i="3" s="1"/>
  <c r="FA9" i="3"/>
  <c r="FB9" i="3"/>
  <c r="FD9" i="3"/>
  <c r="FE9" i="3"/>
  <c r="FG9" i="3"/>
  <c r="FH9" i="3"/>
  <c r="FI9" i="3" s="1"/>
  <c r="FJ9" i="3"/>
  <c r="FK9" i="3"/>
  <c r="FM9" i="3"/>
  <c r="FO9" i="3" s="1"/>
  <c r="FN9" i="3"/>
  <c r="FT9" i="3"/>
  <c r="FU9" i="3"/>
  <c r="FW9" i="3"/>
  <c r="FX9" i="3"/>
  <c r="FY9" i="3"/>
  <c r="FZ9" i="3"/>
  <c r="GA9" i="3"/>
  <c r="GC9" i="3"/>
  <c r="GD9" i="3"/>
  <c r="GJ9" i="3"/>
  <c r="GK9" i="3"/>
  <c r="GL9" i="3" s="1"/>
  <c r="GM9" i="3"/>
  <c r="GO9" i="3" s="1"/>
  <c r="GN9" i="3"/>
  <c r="GP9" i="3"/>
  <c r="GR9" i="3" s="1"/>
  <c r="GQ9" i="3"/>
  <c r="GW9" i="3"/>
  <c r="GY9" i="3" s="1"/>
  <c r="GX9" i="3"/>
  <c r="GZ9" i="3"/>
  <c r="HA9" i="3"/>
  <c r="HG9" i="3"/>
  <c r="HH9" i="3"/>
  <c r="HI9" i="3" s="1"/>
  <c r="L10" i="3"/>
  <c r="AY10" i="3"/>
  <c r="BA10" i="3" s="1"/>
  <c r="AZ10" i="3"/>
  <c r="BB10" i="3"/>
  <c r="BD10" i="3" s="1"/>
  <c r="BC10" i="3"/>
  <c r="BE10" i="3"/>
  <c r="BG10" i="3" s="1"/>
  <c r="BF10" i="3"/>
  <c r="BH10" i="3"/>
  <c r="BI10" i="3"/>
  <c r="BK10" i="3"/>
  <c r="BM10" i="3" s="1"/>
  <c r="BL10" i="3"/>
  <c r="BN10" i="3"/>
  <c r="BP10" i="3" s="1"/>
  <c r="BO10" i="3"/>
  <c r="BQ10" i="3"/>
  <c r="BR10" i="3"/>
  <c r="BS10" i="3"/>
  <c r="BT10" i="3"/>
  <c r="BU10" i="3"/>
  <c r="BV10" i="3" s="1"/>
  <c r="BW10" i="3"/>
  <c r="BX10" i="3"/>
  <c r="CD10" i="3"/>
  <c r="CE10" i="3"/>
  <c r="CG10" i="3"/>
  <c r="CH10" i="3"/>
  <c r="CI10" i="3" s="1"/>
  <c r="CJ10" i="3"/>
  <c r="CK10" i="3"/>
  <c r="CL10" i="3" s="1"/>
  <c r="CM10" i="3"/>
  <c r="CO10" i="3" s="1"/>
  <c r="CN10" i="3"/>
  <c r="CP10" i="3"/>
  <c r="CQ10" i="3"/>
  <c r="CS10" i="3"/>
  <c r="CU10" i="3" s="1"/>
  <c r="CT10" i="3"/>
  <c r="CV10" i="3"/>
  <c r="CW10" i="3"/>
  <c r="CY10" i="3"/>
  <c r="CZ10" i="3"/>
  <c r="DF10" i="3"/>
  <c r="DG10" i="3"/>
  <c r="DH10" i="3" s="1"/>
  <c r="DI10" i="3"/>
  <c r="DJ10" i="3"/>
  <c r="DK10" i="3" s="1"/>
  <c r="DL10" i="3"/>
  <c r="DM10" i="3"/>
  <c r="DO10" i="3"/>
  <c r="DP10" i="3"/>
  <c r="DR10" i="3"/>
  <c r="DT10" i="3" s="1"/>
  <c r="DS10" i="3"/>
  <c r="DU10" i="3"/>
  <c r="DV10" i="3"/>
  <c r="DX10" i="3"/>
  <c r="DZ10" i="3" s="1"/>
  <c r="DY10" i="3"/>
  <c r="EE10" i="3"/>
  <c r="EF10" i="3"/>
  <c r="EH10" i="3"/>
  <c r="EJ10" i="3" s="1"/>
  <c r="EI10" i="3"/>
  <c r="EK10" i="3"/>
  <c r="EL10" i="3"/>
  <c r="EN10" i="3"/>
  <c r="EO10" i="3"/>
  <c r="EQ10" i="3"/>
  <c r="ES10" i="3" s="1"/>
  <c r="ER10" i="3"/>
  <c r="ET10" i="3"/>
  <c r="EU10" i="3"/>
  <c r="FA10" i="3"/>
  <c r="FB10" i="3"/>
  <c r="FD10" i="3"/>
  <c r="FE10" i="3"/>
  <c r="FF10" i="3" s="1"/>
  <c r="FG10" i="3"/>
  <c r="FH10" i="3"/>
  <c r="FI10" i="3" s="1"/>
  <c r="FJ10" i="3"/>
  <c r="FK10" i="3"/>
  <c r="FM10" i="3"/>
  <c r="FO10" i="3" s="1"/>
  <c r="FN10" i="3"/>
  <c r="FT10" i="3"/>
  <c r="FV10" i="3" s="1"/>
  <c r="FU10" i="3"/>
  <c r="FW10" i="3"/>
  <c r="FX10" i="3"/>
  <c r="FZ10" i="3"/>
  <c r="GA10" i="3"/>
  <c r="GC10" i="3"/>
  <c r="GD10" i="3"/>
  <c r="GE10" i="3"/>
  <c r="GJ10" i="3"/>
  <c r="GK10" i="3"/>
  <c r="GM10" i="3"/>
  <c r="GN10" i="3"/>
  <c r="GP10" i="3"/>
  <c r="GQ10" i="3"/>
  <c r="GR10" i="3" s="1"/>
  <c r="GW10" i="3"/>
  <c r="GX10" i="3"/>
  <c r="GZ10" i="3"/>
  <c r="HA10" i="3"/>
  <c r="HG10" i="3"/>
  <c r="HI10" i="3" s="1"/>
  <c r="HH10" i="3"/>
  <c r="L11" i="3"/>
  <c r="AY11" i="3"/>
  <c r="BA11" i="3" s="1"/>
  <c r="AZ11" i="3"/>
  <c r="BB11" i="3"/>
  <c r="BC11" i="3"/>
  <c r="BD11" i="3" s="1"/>
  <c r="BE11" i="3"/>
  <c r="BF11" i="3"/>
  <c r="BH11" i="3"/>
  <c r="BI11" i="3"/>
  <c r="BK11" i="3"/>
  <c r="BL11" i="3"/>
  <c r="BM11" i="3" s="1"/>
  <c r="BN11" i="3"/>
  <c r="BO11" i="3"/>
  <c r="BQ11" i="3"/>
  <c r="BS11" i="3" s="1"/>
  <c r="BR11" i="3"/>
  <c r="BT11" i="3"/>
  <c r="BV11" i="3" s="1"/>
  <c r="BU11" i="3"/>
  <c r="BW11" i="3"/>
  <c r="BY11" i="3" s="1"/>
  <c r="BX11" i="3"/>
  <c r="CD11" i="3"/>
  <c r="CF11" i="3" s="1"/>
  <c r="CE11" i="3"/>
  <c r="CG11" i="3"/>
  <c r="CH11" i="3"/>
  <c r="CJ11" i="3"/>
  <c r="CK11" i="3"/>
  <c r="CL11" i="3" s="1"/>
  <c r="CM11" i="3"/>
  <c r="CN11" i="3"/>
  <c r="CP11" i="3"/>
  <c r="CR11" i="3" s="1"/>
  <c r="CQ11" i="3"/>
  <c r="CS11" i="3"/>
  <c r="CT11" i="3"/>
  <c r="CV11" i="3"/>
  <c r="CW11" i="3"/>
  <c r="CY11" i="3"/>
  <c r="DA11" i="3" s="1"/>
  <c r="CZ11" i="3"/>
  <c r="DF11" i="3"/>
  <c r="DG11" i="3"/>
  <c r="DI11" i="3"/>
  <c r="DJ11" i="3"/>
  <c r="DL11" i="3"/>
  <c r="DM11" i="3"/>
  <c r="DO11" i="3"/>
  <c r="DP11" i="3"/>
  <c r="DQ11" i="3"/>
  <c r="DR11" i="3"/>
  <c r="DS11" i="3"/>
  <c r="DU11" i="3"/>
  <c r="DV11" i="3"/>
  <c r="DX11" i="3"/>
  <c r="DY11" i="3"/>
  <c r="EE11" i="3"/>
  <c r="EG11" i="3" s="1"/>
  <c r="EF11" i="3"/>
  <c r="EH11" i="3"/>
  <c r="EJ11" i="3" s="1"/>
  <c r="EI11" i="3"/>
  <c r="EK11" i="3"/>
  <c r="EL11" i="3"/>
  <c r="EN11" i="3"/>
  <c r="EO11" i="3"/>
  <c r="EP11" i="3"/>
  <c r="EQ11" i="3"/>
  <c r="ER11" i="3"/>
  <c r="ET11" i="3"/>
  <c r="EU11" i="3"/>
  <c r="FA11" i="3"/>
  <c r="FB11" i="3"/>
  <c r="FD11" i="3"/>
  <c r="FE11" i="3"/>
  <c r="FG11" i="3"/>
  <c r="FH11" i="3"/>
  <c r="FI11" i="3" s="1"/>
  <c r="FJ11" i="3"/>
  <c r="FK11" i="3"/>
  <c r="FM11" i="3"/>
  <c r="FO11" i="3" s="1"/>
  <c r="FN11" i="3"/>
  <c r="FT11" i="3"/>
  <c r="FV11" i="3" s="1"/>
  <c r="FU11" i="3"/>
  <c r="FW11" i="3"/>
  <c r="FX11" i="3"/>
  <c r="FZ11" i="3"/>
  <c r="GB11" i="3" s="1"/>
  <c r="GA11" i="3"/>
  <c r="GC11" i="3"/>
  <c r="GD11" i="3"/>
  <c r="GJ11" i="3"/>
  <c r="GK11" i="3"/>
  <c r="GL11" i="3" s="1"/>
  <c r="GM11" i="3"/>
  <c r="GO11" i="3" s="1"/>
  <c r="GN11" i="3"/>
  <c r="GP11" i="3"/>
  <c r="GQ11" i="3"/>
  <c r="GW11" i="3"/>
  <c r="GX11" i="3"/>
  <c r="GY11" i="3" s="1"/>
  <c r="GZ11" i="3"/>
  <c r="HA11" i="3"/>
  <c r="HG11" i="3"/>
  <c r="HH11" i="3"/>
  <c r="HI11" i="3" s="1"/>
  <c r="L12" i="3"/>
  <c r="AY12" i="3"/>
  <c r="BA12" i="3" s="1"/>
  <c r="AZ12" i="3"/>
  <c r="BB12" i="3"/>
  <c r="BC12" i="3"/>
  <c r="BE12" i="3"/>
  <c r="BF12" i="3"/>
  <c r="BH12" i="3"/>
  <c r="BJ12" i="3" s="1"/>
  <c r="BI12" i="3"/>
  <c r="BK12" i="3"/>
  <c r="BL12" i="3"/>
  <c r="BM12" i="3"/>
  <c r="BN12" i="3"/>
  <c r="BO12" i="3"/>
  <c r="BQ12" i="3"/>
  <c r="BR12" i="3"/>
  <c r="BT12" i="3"/>
  <c r="BU12" i="3"/>
  <c r="BW12" i="3"/>
  <c r="BY12" i="3" s="1"/>
  <c r="BX12" i="3"/>
  <c r="CD12" i="3"/>
  <c r="CE12" i="3"/>
  <c r="CG12" i="3"/>
  <c r="CI12" i="3" s="1"/>
  <c r="CH12" i="3"/>
  <c r="CJ12" i="3"/>
  <c r="CK12" i="3"/>
  <c r="CM12" i="3"/>
  <c r="CN12" i="3"/>
  <c r="CP12" i="3"/>
  <c r="CQ12" i="3"/>
  <c r="CS12" i="3"/>
  <c r="CT12" i="3"/>
  <c r="CV12" i="3"/>
  <c r="CX12" i="3" s="1"/>
  <c r="CW12" i="3"/>
  <c r="CY12" i="3"/>
  <c r="CZ12" i="3"/>
  <c r="DF12" i="3"/>
  <c r="DG12" i="3"/>
  <c r="DH12" i="3" s="1"/>
  <c r="DI12" i="3"/>
  <c r="DK12" i="3" s="1"/>
  <c r="DJ12" i="3"/>
  <c r="DL12" i="3"/>
  <c r="DM12" i="3"/>
  <c r="DO12" i="3"/>
  <c r="DP12" i="3"/>
  <c r="DR12" i="3"/>
  <c r="DS12" i="3"/>
  <c r="DU12" i="3"/>
  <c r="DV12" i="3"/>
  <c r="DW12" i="3"/>
  <c r="DX12" i="3"/>
  <c r="DY12" i="3"/>
  <c r="EE12" i="3"/>
  <c r="EG12" i="3" s="1"/>
  <c r="EF12" i="3"/>
  <c r="EH12" i="3"/>
  <c r="EJ12" i="3" s="1"/>
  <c r="EI12" i="3"/>
  <c r="EK12" i="3"/>
  <c r="EL12" i="3"/>
  <c r="EN12" i="3"/>
  <c r="EP12" i="3" s="1"/>
  <c r="EO12" i="3"/>
  <c r="EQ12" i="3"/>
  <c r="ER12" i="3"/>
  <c r="ET12" i="3"/>
  <c r="EU12" i="3"/>
  <c r="EV12" i="3"/>
  <c r="FA12" i="3"/>
  <c r="FB12" i="3"/>
  <c r="FD12" i="3"/>
  <c r="FE12" i="3"/>
  <c r="FG12" i="3"/>
  <c r="FH12" i="3"/>
  <c r="FI12" i="3"/>
  <c r="FJ12" i="3"/>
  <c r="FK12" i="3"/>
  <c r="FM12" i="3"/>
  <c r="FN12" i="3"/>
  <c r="FT12" i="3"/>
  <c r="FU12" i="3"/>
  <c r="FW12" i="3"/>
  <c r="FX12" i="3"/>
  <c r="FZ12" i="3"/>
  <c r="GA12" i="3"/>
  <c r="GC12" i="3"/>
  <c r="GD12" i="3"/>
  <c r="GE12" i="3" s="1"/>
  <c r="GJ12" i="3"/>
  <c r="GK12" i="3"/>
  <c r="GM12" i="3"/>
  <c r="GN12" i="3"/>
  <c r="GP12" i="3"/>
  <c r="GQ12" i="3"/>
  <c r="GR12" i="3" s="1"/>
  <c r="GW12" i="3"/>
  <c r="GY12" i="3" s="1"/>
  <c r="GX12" i="3"/>
  <c r="GZ12" i="3"/>
  <c r="HB12" i="3" s="1"/>
  <c r="HA12" i="3"/>
  <c r="HG12" i="3"/>
  <c r="HH12" i="3"/>
  <c r="HI12" i="3" s="1"/>
  <c r="L13" i="3"/>
  <c r="AY13" i="3"/>
  <c r="AZ13" i="3"/>
  <c r="BB13" i="3"/>
  <c r="BC13" i="3"/>
  <c r="BD13" i="3" s="1"/>
  <c r="BE13" i="3"/>
  <c r="BF13" i="3"/>
  <c r="BG13" i="3" s="1"/>
  <c r="BH13" i="3"/>
  <c r="BI13" i="3"/>
  <c r="BK13" i="3"/>
  <c r="BL13" i="3"/>
  <c r="BN13" i="3"/>
  <c r="BP13" i="3" s="1"/>
  <c r="BO13" i="3"/>
  <c r="BQ13" i="3"/>
  <c r="BR13" i="3"/>
  <c r="BT13" i="3"/>
  <c r="BU13" i="3"/>
  <c r="BW13" i="3"/>
  <c r="BX13" i="3"/>
  <c r="CD13" i="3"/>
  <c r="CE13" i="3"/>
  <c r="CF13" i="3"/>
  <c r="CG13" i="3"/>
  <c r="CH13" i="3"/>
  <c r="CJ13" i="3"/>
  <c r="CK13" i="3"/>
  <c r="CM13" i="3"/>
  <c r="CN13" i="3"/>
  <c r="CO13" i="3" s="1"/>
  <c r="CP13" i="3"/>
  <c r="CQ13" i="3"/>
  <c r="CS13" i="3"/>
  <c r="CT13" i="3"/>
  <c r="CV13" i="3"/>
  <c r="CW13" i="3"/>
  <c r="CY13" i="3"/>
  <c r="DA13" i="3" s="1"/>
  <c r="CZ13" i="3"/>
  <c r="DF13" i="3"/>
  <c r="DG13" i="3"/>
  <c r="DI13" i="3"/>
  <c r="DJ13" i="3"/>
  <c r="DL13" i="3"/>
  <c r="DM13" i="3"/>
  <c r="DN13" i="3" s="1"/>
  <c r="DO13" i="3"/>
  <c r="DP13" i="3"/>
  <c r="DQ13" i="3"/>
  <c r="DR13" i="3"/>
  <c r="DS13" i="3"/>
  <c r="DU13" i="3"/>
  <c r="DV13" i="3"/>
  <c r="DX13" i="3"/>
  <c r="DY13" i="3"/>
  <c r="DZ13" i="3" s="1"/>
  <c r="EE13" i="3"/>
  <c r="EF13" i="3"/>
  <c r="EH13" i="3"/>
  <c r="EI13" i="3"/>
  <c r="EK13" i="3"/>
  <c r="EL13" i="3"/>
  <c r="EM13" i="3" s="1"/>
  <c r="EN13" i="3"/>
  <c r="EP13" i="3" s="1"/>
  <c r="EO13" i="3"/>
  <c r="EQ13" i="3"/>
  <c r="ER13" i="3"/>
  <c r="ET13" i="3"/>
  <c r="EV13" i="3" s="1"/>
  <c r="EU13" i="3"/>
  <c r="FA13" i="3"/>
  <c r="FB13" i="3"/>
  <c r="FD13" i="3"/>
  <c r="FE13" i="3"/>
  <c r="FG13" i="3"/>
  <c r="FH13" i="3"/>
  <c r="FJ13" i="3"/>
  <c r="FK13" i="3"/>
  <c r="FL13" i="3"/>
  <c r="FM13" i="3"/>
  <c r="FO13" i="3" s="1"/>
  <c r="FN13" i="3"/>
  <c r="FT13" i="3"/>
  <c r="FU13" i="3"/>
  <c r="FW13" i="3"/>
  <c r="FX13" i="3"/>
  <c r="FY13" i="3" s="1"/>
  <c r="FZ13" i="3"/>
  <c r="GB13" i="3" s="1"/>
  <c r="GA13" i="3"/>
  <c r="GC13" i="3"/>
  <c r="GD13" i="3"/>
  <c r="GJ13" i="3"/>
  <c r="GL13" i="3" s="1"/>
  <c r="GK13" i="3"/>
  <c r="GM13" i="3"/>
  <c r="GO13" i="3" s="1"/>
  <c r="GN13" i="3"/>
  <c r="GP13" i="3"/>
  <c r="GQ13" i="3"/>
  <c r="GW13" i="3"/>
  <c r="GX13" i="3"/>
  <c r="GZ13" i="3"/>
  <c r="HA13" i="3"/>
  <c r="HB13" i="3"/>
  <c r="HG13" i="3"/>
  <c r="HH13" i="3"/>
  <c r="HI13" i="3" s="1"/>
  <c r="L14" i="3"/>
  <c r="AY14" i="3"/>
  <c r="BA14" i="3" s="1"/>
  <c r="AZ14" i="3"/>
  <c r="BB14" i="3"/>
  <c r="BC14" i="3"/>
  <c r="BE14" i="3"/>
  <c r="BG14" i="3" s="1"/>
  <c r="BF14" i="3"/>
  <c r="BH14" i="3"/>
  <c r="BI14" i="3"/>
  <c r="BJ14" i="3"/>
  <c r="BK14" i="3"/>
  <c r="BL14" i="3"/>
  <c r="BM14" i="3"/>
  <c r="BN14" i="3"/>
  <c r="BP14" i="3" s="1"/>
  <c r="BO14" i="3"/>
  <c r="BQ14" i="3"/>
  <c r="BR14" i="3"/>
  <c r="BT14" i="3"/>
  <c r="BU14" i="3"/>
  <c r="BW14" i="3"/>
  <c r="BX14" i="3"/>
  <c r="BY14" i="3"/>
  <c r="CD14" i="3"/>
  <c r="CE14" i="3"/>
  <c r="CF14" i="3" s="1"/>
  <c r="CG14" i="3"/>
  <c r="CH14" i="3"/>
  <c r="CJ14" i="3"/>
  <c r="CK14" i="3"/>
  <c r="CM14" i="3"/>
  <c r="CO14" i="3" s="1"/>
  <c r="CN14" i="3"/>
  <c r="CP14" i="3"/>
  <c r="CQ14" i="3"/>
  <c r="CR14" i="3"/>
  <c r="CS14" i="3"/>
  <c r="CT14" i="3"/>
  <c r="CU14" i="3" s="1"/>
  <c r="CV14" i="3"/>
  <c r="CW14" i="3"/>
  <c r="CY14" i="3"/>
  <c r="CZ14" i="3"/>
  <c r="DF14" i="3"/>
  <c r="DG14" i="3"/>
  <c r="DI14" i="3"/>
  <c r="DJ14" i="3"/>
  <c r="DK14" i="3"/>
  <c r="DL14" i="3"/>
  <c r="DM14" i="3"/>
  <c r="DO14" i="3"/>
  <c r="DP14" i="3"/>
  <c r="DR14" i="3"/>
  <c r="DS14" i="3"/>
  <c r="DT14" i="3" s="1"/>
  <c r="DU14" i="3"/>
  <c r="DW14" i="3" s="1"/>
  <c r="DV14" i="3"/>
  <c r="DX14" i="3"/>
  <c r="DY14" i="3"/>
  <c r="EE14" i="3"/>
  <c r="EF14" i="3"/>
  <c r="EG14" i="3"/>
  <c r="EH14" i="3"/>
  <c r="EJ14" i="3" s="1"/>
  <c r="EI14" i="3"/>
  <c r="EK14" i="3"/>
  <c r="EL14" i="3"/>
  <c r="EN14" i="3"/>
  <c r="EP14" i="3" s="1"/>
  <c r="EO14" i="3"/>
  <c r="EQ14" i="3"/>
  <c r="ER14" i="3"/>
  <c r="ES14" i="3" s="1"/>
  <c r="ET14" i="3"/>
  <c r="EV14" i="3" s="1"/>
  <c r="EU14" i="3"/>
  <c r="FA14" i="3"/>
  <c r="FB14" i="3"/>
  <c r="FD14" i="3"/>
  <c r="FE14" i="3"/>
  <c r="FG14" i="3"/>
  <c r="FH14" i="3"/>
  <c r="FI14" i="3"/>
  <c r="FJ14" i="3"/>
  <c r="FK14" i="3"/>
  <c r="FM14" i="3"/>
  <c r="FN14" i="3"/>
  <c r="FO14" i="3" s="1"/>
  <c r="FT14" i="3"/>
  <c r="FU14" i="3"/>
  <c r="FW14" i="3"/>
  <c r="FX14" i="3"/>
  <c r="FZ14" i="3"/>
  <c r="GA14" i="3"/>
  <c r="GB14" i="3"/>
  <c r="GC14" i="3"/>
  <c r="GD14" i="3"/>
  <c r="GJ14" i="3"/>
  <c r="GK14" i="3"/>
  <c r="GM14" i="3"/>
  <c r="GO14" i="3" s="1"/>
  <c r="GN14" i="3"/>
  <c r="GP14" i="3"/>
  <c r="GQ14" i="3"/>
  <c r="GR14" i="3" s="1"/>
  <c r="GW14" i="3"/>
  <c r="GX14" i="3"/>
  <c r="GZ14" i="3"/>
  <c r="HA14" i="3"/>
  <c r="HG14" i="3"/>
  <c r="HI14" i="3" s="1"/>
  <c r="HH14" i="3"/>
  <c r="L15" i="3"/>
  <c r="AY15" i="3"/>
  <c r="BA15" i="3" s="1"/>
  <c r="AZ15" i="3"/>
  <c r="BB15" i="3"/>
  <c r="BC15" i="3"/>
  <c r="BE15" i="3"/>
  <c r="BF15" i="3"/>
  <c r="BH15" i="3"/>
  <c r="BI15" i="3"/>
  <c r="BK15" i="3"/>
  <c r="BL15" i="3"/>
  <c r="BN15" i="3"/>
  <c r="BP15" i="3" s="1"/>
  <c r="BO15" i="3"/>
  <c r="BQ15" i="3"/>
  <c r="BR15" i="3"/>
  <c r="BS15" i="3" s="1"/>
  <c r="BT15" i="3"/>
  <c r="BV15" i="3" s="1"/>
  <c r="BU15" i="3"/>
  <c r="BW15" i="3"/>
  <c r="BX15" i="3"/>
  <c r="CD15" i="3"/>
  <c r="CE15" i="3"/>
  <c r="CF15" i="3" s="1"/>
  <c r="CG15" i="3"/>
  <c r="CH15" i="3"/>
  <c r="CJ15" i="3"/>
  <c r="CK15" i="3"/>
  <c r="CM15" i="3"/>
  <c r="CO15" i="3" s="1"/>
  <c r="CN15" i="3"/>
  <c r="CP15" i="3"/>
  <c r="CQ15" i="3"/>
  <c r="CR15" i="3" s="1"/>
  <c r="CS15" i="3"/>
  <c r="CU15" i="3" s="1"/>
  <c r="CT15" i="3"/>
  <c r="CV15" i="3"/>
  <c r="CW15" i="3"/>
  <c r="CY15" i="3"/>
  <c r="CZ15" i="3"/>
  <c r="DF15" i="3"/>
  <c r="DG15" i="3"/>
  <c r="DI15" i="3"/>
  <c r="DJ15" i="3"/>
  <c r="DL15" i="3"/>
  <c r="DN15" i="3" s="1"/>
  <c r="DM15" i="3"/>
  <c r="DO15" i="3"/>
  <c r="DP15" i="3"/>
  <c r="DQ15" i="3" s="1"/>
  <c r="DR15" i="3"/>
  <c r="DT15" i="3" s="1"/>
  <c r="DS15" i="3"/>
  <c r="DU15" i="3"/>
  <c r="DV15" i="3"/>
  <c r="DX15" i="3"/>
  <c r="DY15" i="3"/>
  <c r="EE15" i="3"/>
  <c r="EF15" i="3"/>
  <c r="EH15" i="3"/>
  <c r="EI15" i="3"/>
  <c r="EK15" i="3"/>
  <c r="EM15" i="3" s="1"/>
  <c r="EL15" i="3"/>
  <c r="EN15" i="3"/>
  <c r="EO15" i="3"/>
  <c r="EP15" i="3" s="1"/>
  <c r="EQ15" i="3"/>
  <c r="ES15" i="3" s="1"/>
  <c r="ER15" i="3"/>
  <c r="ET15" i="3"/>
  <c r="EU15" i="3"/>
  <c r="FA15" i="3"/>
  <c r="FB15" i="3"/>
  <c r="FC15" i="3" s="1"/>
  <c r="FD15" i="3"/>
  <c r="FE15" i="3"/>
  <c r="FG15" i="3"/>
  <c r="FH15" i="3"/>
  <c r="FJ15" i="3"/>
  <c r="FL15" i="3" s="1"/>
  <c r="FK15" i="3"/>
  <c r="FM15" i="3"/>
  <c r="FN15" i="3"/>
  <c r="FO15" i="3" s="1"/>
  <c r="FT15" i="3"/>
  <c r="FV15" i="3" s="1"/>
  <c r="FU15" i="3"/>
  <c r="FW15" i="3"/>
  <c r="FX15" i="3"/>
  <c r="FZ15" i="3"/>
  <c r="GA15" i="3"/>
  <c r="GC15" i="3"/>
  <c r="GD15" i="3"/>
  <c r="GE15" i="3"/>
  <c r="GJ15" i="3"/>
  <c r="GK15" i="3"/>
  <c r="GM15" i="3"/>
  <c r="GN15" i="3"/>
  <c r="GO15" i="3" s="1"/>
  <c r="GP15" i="3"/>
  <c r="GQ15" i="3"/>
  <c r="GR15" i="3"/>
  <c r="GW15" i="3"/>
  <c r="GY15" i="3" s="1"/>
  <c r="GX15" i="3"/>
  <c r="GZ15" i="3"/>
  <c r="HA15" i="3"/>
  <c r="HB15" i="3" s="1"/>
  <c r="HG15" i="3"/>
  <c r="HI15" i="3" s="1"/>
  <c r="HH15" i="3"/>
  <c r="L16" i="3"/>
  <c r="AY16" i="3"/>
  <c r="AZ16" i="3"/>
  <c r="BB16" i="3"/>
  <c r="BC16" i="3"/>
  <c r="BD16" i="3"/>
  <c r="BE16" i="3"/>
  <c r="BG16" i="3" s="1"/>
  <c r="BF16" i="3"/>
  <c r="BH16" i="3"/>
  <c r="BI16" i="3"/>
  <c r="BK16" i="3"/>
  <c r="BL16" i="3"/>
  <c r="BN16" i="3"/>
  <c r="BO16" i="3"/>
  <c r="BP16" i="3" s="1"/>
  <c r="BQ16" i="3"/>
  <c r="BR16" i="3"/>
  <c r="BT16" i="3"/>
  <c r="BV16" i="3" s="1"/>
  <c r="BU16" i="3"/>
  <c r="BW16" i="3"/>
  <c r="BX16" i="3"/>
  <c r="BY16" i="3" s="1"/>
  <c r="CD16" i="3"/>
  <c r="CF16" i="3" s="1"/>
  <c r="CE16" i="3"/>
  <c r="CG16" i="3"/>
  <c r="CH16" i="3"/>
  <c r="CJ16" i="3"/>
  <c r="CK16" i="3"/>
  <c r="CM16" i="3"/>
  <c r="CN16" i="3"/>
  <c r="CO16" i="3"/>
  <c r="CP16" i="3"/>
  <c r="CR16" i="3" s="1"/>
  <c r="CQ16" i="3"/>
  <c r="CS16" i="3"/>
  <c r="CT16" i="3"/>
  <c r="CV16" i="3"/>
  <c r="CW16" i="3"/>
  <c r="CY16" i="3"/>
  <c r="CZ16" i="3"/>
  <c r="DA16" i="3" s="1"/>
  <c r="DF16" i="3"/>
  <c r="DG16" i="3"/>
  <c r="DI16" i="3"/>
  <c r="DJ16" i="3"/>
  <c r="DL16" i="3"/>
  <c r="DM16" i="3"/>
  <c r="DN16" i="3"/>
  <c r="DO16" i="3"/>
  <c r="DQ16" i="3" s="1"/>
  <c r="DP16" i="3"/>
  <c r="DR16" i="3"/>
  <c r="DS16" i="3"/>
  <c r="DU16" i="3"/>
  <c r="DV16" i="3"/>
  <c r="DX16" i="3"/>
  <c r="DY16" i="3"/>
  <c r="DZ16" i="3" s="1"/>
  <c r="EE16" i="3"/>
  <c r="EF16" i="3"/>
  <c r="EH16" i="3"/>
  <c r="EI16" i="3"/>
  <c r="EK16" i="3"/>
  <c r="EL16" i="3"/>
  <c r="EM16" i="3"/>
  <c r="EN16" i="3"/>
  <c r="EP16" i="3" s="1"/>
  <c r="EO16" i="3"/>
  <c r="EQ16" i="3"/>
  <c r="ER16" i="3"/>
  <c r="ET16" i="3"/>
  <c r="EU16" i="3"/>
  <c r="FA16" i="3"/>
  <c r="FB16" i="3"/>
  <c r="FD16" i="3"/>
  <c r="FF16" i="3" s="1"/>
  <c r="FE16" i="3"/>
  <c r="FG16" i="3"/>
  <c r="FH16" i="3"/>
  <c r="FI16" i="3" s="1"/>
  <c r="FJ16" i="3"/>
  <c r="FL16" i="3" s="1"/>
  <c r="FK16" i="3"/>
  <c r="FM16" i="3"/>
  <c r="FN16" i="3"/>
  <c r="FT16" i="3"/>
  <c r="FU16" i="3"/>
  <c r="FV16" i="3" s="1"/>
  <c r="FW16" i="3"/>
  <c r="FX16" i="3"/>
  <c r="FZ16" i="3"/>
  <c r="GA16" i="3"/>
  <c r="GC16" i="3"/>
  <c r="GE16" i="3" s="1"/>
  <c r="GD16" i="3"/>
  <c r="GJ16" i="3"/>
  <c r="GK16" i="3"/>
  <c r="GL16" i="3"/>
  <c r="GM16" i="3"/>
  <c r="GN16" i="3"/>
  <c r="GP16" i="3"/>
  <c r="GQ16" i="3"/>
  <c r="GW16" i="3"/>
  <c r="GX16" i="3"/>
  <c r="GY16" i="3"/>
  <c r="GZ16" i="3"/>
  <c r="HB16" i="3" s="1"/>
  <c r="HA16" i="3"/>
  <c r="HG16" i="3"/>
  <c r="HH16" i="3"/>
  <c r="HI16" i="3" s="1"/>
  <c r="L17" i="3"/>
  <c r="AY17" i="3"/>
  <c r="AZ17" i="3"/>
  <c r="BB17" i="3"/>
  <c r="BC17" i="3"/>
  <c r="BE17" i="3"/>
  <c r="BF17" i="3"/>
  <c r="BG17" i="3" s="1"/>
  <c r="BH17" i="3"/>
  <c r="BI17" i="3"/>
  <c r="BK17" i="3"/>
  <c r="BL17" i="3"/>
  <c r="BN17" i="3"/>
  <c r="BP17" i="3" s="1"/>
  <c r="BO17" i="3"/>
  <c r="BQ17" i="3"/>
  <c r="BR17" i="3"/>
  <c r="BS17" i="3" s="1"/>
  <c r="BT17" i="3"/>
  <c r="BV17" i="3" s="1"/>
  <c r="BU17" i="3"/>
  <c r="BW17" i="3"/>
  <c r="BY17" i="3" s="1"/>
  <c r="BX17" i="3"/>
  <c r="CD17" i="3"/>
  <c r="CE17" i="3"/>
  <c r="CF17" i="3" s="1"/>
  <c r="CG17" i="3"/>
  <c r="CI17" i="3" s="1"/>
  <c r="CH17" i="3"/>
  <c r="CJ17" i="3"/>
  <c r="CK17" i="3"/>
  <c r="CM17" i="3"/>
  <c r="CO17" i="3" s="1"/>
  <c r="CN17" i="3"/>
  <c r="CP17" i="3"/>
  <c r="CQ17" i="3"/>
  <c r="CR17" i="3" s="1"/>
  <c r="CS17" i="3"/>
  <c r="CU17" i="3" s="1"/>
  <c r="CT17" i="3"/>
  <c r="CV17" i="3"/>
  <c r="CW17" i="3"/>
  <c r="CY17" i="3"/>
  <c r="CZ17" i="3"/>
  <c r="DF17" i="3"/>
  <c r="DG17" i="3"/>
  <c r="DI17" i="3"/>
  <c r="DJ17" i="3"/>
  <c r="DL17" i="3"/>
  <c r="DN17" i="3" s="1"/>
  <c r="DM17" i="3"/>
  <c r="DO17" i="3"/>
  <c r="DP17" i="3"/>
  <c r="DQ17" i="3" s="1"/>
  <c r="DR17" i="3"/>
  <c r="DT17" i="3" s="1"/>
  <c r="DS17" i="3"/>
  <c r="DU17" i="3"/>
  <c r="DW17" i="3" s="1"/>
  <c r="DV17" i="3"/>
  <c r="DX17" i="3"/>
  <c r="DY17" i="3"/>
  <c r="EE17" i="3"/>
  <c r="EG17" i="3" s="1"/>
  <c r="EF17" i="3"/>
  <c r="EH17" i="3"/>
  <c r="EI17" i="3"/>
  <c r="EK17" i="3"/>
  <c r="EM17" i="3" s="1"/>
  <c r="EL17" i="3"/>
  <c r="EN17" i="3"/>
  <c r="EO17" i="3"/>
  <c r="EP17" i="3" s="1"/>
  <c r="EQ17" i="3"/>
  <c r="ES17" i="3" s="1"/>
  <c r="ER17" i="3"/>
  <c r="ET17" i="3"/>
  <c r="EU17" i="3"/>
  <c r="FA17" i="3"/>
  <c r="FB17" i="3"/>
  <c r="FC17" i="3" s="1"/>
  <c r="FD17" i="3"/>
  <c r="FE17" i="3"/>
  <c r="FG17" i="3"/>
  <c r="FH17" i="3"/>
  <c r="FJ17" i="3"/>
  <c r="FL17" i="3" s="1"/>
  <c r="FK17" i="3"/>
  <c r="FM17" i="3"/>
  <c r="FN17" i="3"/>
  <c r="FO17" i="3" s="1"/>
  <c r="FT17" i="3"/>
  <c r="FV17" i="3" s="1"/>
  <c r="FU17" i="3"/>
  <c r="FW17" i="3"/>
  <c r="FX17" i="3"/>
  <c r="FZ17" i="3"/>
  <c r="GA17" i="3"/>
  <c r="GC17" i="3"/>
  <c r="GD17" i="3"/>
  <c r="GE17" i="3" s="1"/>
  <c r="GJ17" i="3"/>
  <c r="GK17" i="3"/>
  <c r="GM17" i="3"/>
  <c r="GN17" i="3"/>
  <c r="GP17" i="3"/>
  <c r="GQ17" i="3"/>
  <c r="GR17" i="3"/>
  <c r="GW17" i="3"/>
  <c r="GY17" i="3" s="1"/>
  <c r="GX17" i="3"/>
  <c r="GZ17" i="3"/>
  <c r="HA17" i="3"/>
  <c r="HB17" i="3" s="1"/>
  <c r="HG17" i="3"/>
  <c r="HI17" i="3" s="1"/>
  <c r="HH17" i="3"/>
  <c r="L18" i="3"/>
  <c r="AY18" i="3"/>
  <c r="AZ18" i="3"/>
  <c r="BB18" i="3"/>
  <c r="BC18" i="3"/>
  <c r="BD18" i="3"/>
  <c r="BE18" i="3"/>
  <c r="BG18" i="3" s="1"/>
  <c r="BF18" i="3"/>
  <c r="BH18" i="3"/>
  <c r="BI18" i="3"/>
  <c r="BK18" i="3"/>
  <c r="BL18" i="3"/>
  <c r="BN18" i="3"/>
  <c r="BO18" i="3"/>
  <c r="BP18" i="3" s="1"/>
  <c r="BQ18" i="3"/>
  <c r="BR18" i="3"/>
  <c r="BT18" i="3"/>
  <c r="BV18" i="3" s="1"/>
  <c r="BU18" i="3"/>
  <c r="BW18" i="3"/>
  <c r="BX18" i="3"/>
  <c r="BY18" i="3" s="1"/>
  <c r="CD18" i="3"/>
  <c r="CF18" i="3" s="1"/>
  <c r="CE18" i="3"/>
  <c r="CG18" i="3"/>
  <c r="CH18" i="3"/>
  <c r="CJ18" i="3"/>
  <c r="CK18" i="3"/>
  <c r="CM18" i="3"/>
  <c r="CN18" i="3"/>
  <c r="CO18" i="3"/>
  <c r="CP18" i="3"/>
  <c r="CR18" i="3" s="1"/>
  <c r="CQ18" i="3"/>
  <c r="CS18" i="3"/>
  <c r="CT18" i="3"/>
  <c r="CV18" i="3"/>
  <c r="CW18" i="3"/>
  <c r="CY18" i="3"/>
  <c r="CZ18" i="3"/>
  <c r="DA18" i="3" s="1"/>
  <c r="DF18" i="3"/>
  <c r="DG18" i="3"/>
  <c r="DI18" i="3"/>
  <c r="DJ18" i="3"/>
  <c r="DL18" i="3"/>
  <c r="DM18" i="3"/>
  <c r="DN18" i="3"/>
  <c r="DO18" i="3"/>
  <c r="DQ18" i="3" s="1"/>
  <c r="DP18" i="3"/>
  <c r="DR18" i="3"/>
  <c r="DS18" i="3"/>
  <c r="DU18" i="3"/>
  <c r="DV18" i="3"/>
  <c r="DX18" i="3"/>
  <c r="DY18" i="3"/>
  <c r="DZ18" i="3" s="1"/>
  <c r="EE18" i="3"/>
  <c r="EF18" i="3"/>
  <c r="EH18" i="3"/>
  <c r="EJ18" i="3" s="1"/>
  <c r="EI18" i="3"/>
  <c r="EK18" i="3"/>
  <c r="EL18" i="3"/>
  <c r="EM18" i="3" s="1"/>
  <c r="EN18" i="3"/>
  <c r="EO18" i="3"/>
  <c r="EQ18" i="3"/>
  <c r="ES18" i="3" s="1"/>
  <c r="ER18" i="3"/>
  <c r="ET18" i="3"/>
  <c r="EU18" i="3"/>
  <c r="EV18" i="3"/>
  <c r="FA18" i="3"/>
  <c r="FC18" i="3" s="1"/>
  <c r="FB18" i="3"/>
  <c r="FD18" i="3"/>
  <c r="FE18" i="3"/>
  <c r="FG18" i="3"/>
  <c r="FI18" i="3" s="1"/>
  <c r="FH18" i="3"/>
  <c r="FJ18" i="3"/>
  <c r="FK18" i="3"/>
  <c r="FM18" i="3"/>
  <c r="FN18" i="3"/>
  <c r="FT18" i="3"/>
  <c r="FV18" i="3" s="1"/>
  <c r="FU18" i="3"/>
  <c r="FW18" i="3"/>
  <c r="FY18" i="3" s="1"/>
  <c r="FX18" i="3"/>
  <c r="FZ18" i="3"/>
  <c r="GA18" i="3"/>
  <c r="GC18" i="3"/>
  <c r="GE18" i="3" s="1"/>
  <c r="GD18" i="3"/>
  <c r="GJ18" i="3"/>
  <c r="GK18" i="3"/>
  <c r="GL18" i="3" s="1"/>
  <c r="GM18" i="3"/>
  <c r="GN18" i="3"/>
  <c r="GP18" i="3"/>
  <c r="GQ18" i="3"/>
  <c r="GW18" i="3"/>
  <c r="GX18" i="3"/>
  <c r="GY18" i="3"/>
  <c r="GZ18" i="3"/>
  <c r="HB18" i="3" s="1"/>
  <c r="HA18" i="3"/>
  <c r="HG18" i="3"/>
  <c r="HH18" i="3"/>
  <c r="HI18" i="3" s="1"/>
  <c r="L19" i="3"/>
  <c r="AY19" i="3"/>
  <c r="AZ19" i="3"/>
  <c r="BB19" i="3"/>
  <c r="BC19" i="3"/>
  <c r="BE19" i="3"/>
  <c r="BF19" i="3"/>
  <c r="BG19" i="3" s="1"/>
  <c r="BH19" i="3"/>
  <c r="BJ19" i="3" s="1"/>
  <c r="BI19" i="3"/>
  <c r="BK19" i="3"/>
  <c r="BL19" i="3"/>
  <c r="BN19" i="3"/>
  <c r="BO19" i="3"/>
  <c r="BQ19" i="3"/>
  <c r="BR19" i="3"/>
  <c r="BS19" i="3" s="1"/>
  <c r="BT19" i="3"/>
  <c r="BU19" i="3"/>
  <c r="BV19" i="3"/>
  <c r="BW19" i="3"/>
  <c r="BY19" i="3" s="1"/>
  <c r="BX19" i="3"/>
  <c r="CD19" i="3"/>
  <c r="CE19" i="3"/>
  <c r="CF19" i="3" s="1"/>
  <c r="CG19" i="3"/>
  <c r="CI19" i="3" s="1"/>
  <c r="CH19" i="3"/>
  <c r="CJ19" i="3"/>
  <c r="CL19" i="3" s="1"/>
  <c r="CK19" i="3"/>
  <c r="CM19" i="3"/>
  <c r="CN19" i="3"/>
  <c r="CP19" i="3"/>
  <c r="CQ19" i="3"/>
  <c r="CS19" i="3"/>
  <c r="CT19" i="3"/>
  <c r="CU19" i="3"/>
  <c r="CV19" i="3"/>
  <c r="CX19" i="3" s="1"/>
  <c r="CW19" i="3"/>
  <c r="CY19" i="3"/>
  <c r="CZ19" i="3"/>
  <c r="DF19" i="3"/>
  <c r="DG19" i="3"/>
  <c r="DI19" i="3"/>
  <c r="DJ19" i="3"/>
  <c r="DK19" i="3" s="1"/>
  <c r="DL19" i="3"/>
  <c r="DM19" i="3"/>
  <c r="DO19" i="3"/>
  <c r="DP19" i="3"/>
  <c r="DR19" i="3"/>
  <c r="DS19" i="3"/>
  <c r="DT19" i="3"/>
  <c r="DU19" i="3"/>
  <c r="DW19" i="3" s="1"/>
  <c r="DV19" i="3"/>
  <c r="DX19" i="3"/>
  <c r="DZ19" i="3" s="1"/>
  <c r="DY19" i="3"/>
  <c r="EE19" i="3"/>
  <c r="EF19" i="3"/>
  <c r="EG19" i="3" s="1"/>
  <c r="EH19" i="3"/>
  <c r="EJ19" i="3" s="1"/>
  <c r="EI19" i="3"/>
  <c r="EK19" i="3"/>
  <c r="EL19" i="3"/>
  <c r="EN19" i="3"/>
  <c r="EP19" i="3" s="1"/>
  <c r="EO19" i="3"/>
  <c r="EQ19" i="3"/>
  <c r="ER19" i="3"/>
  <c r="ES19" i="3" s="1"/>
  <c r="ET19" i="3"/>
  <c r="EV19" i="3" s="1"/>
  <c r="EU19" i="3"/>
  <c r="FA19" i="3"/>
  <c r="FB19" i="3"/>
  <c r="FC19" i="3" s="1"/>
  <c r="FD19" i="3"/>
  <c r="FE19" i="3"/>
  <c r="FF19" i="3" s="1"/>
  <c r="FG19" i="3"/>
  <c r="FI19" i="3" s="1"/>
  <c r="FH19" i="3"/>
  <c r="FJ19" i="3"/>
  <c r="FK19" i="3"/>
  <c r="FM19" i="3"/>
  <c r="FO19" i="3" s="1"/>
  <c r="FN19" i="3"/>
  <c r="FT19" i="3"/>
  <c r="FU19" i="3"/>
  <c r="FW19" i="3"/>
  <c r="FX19" i="3"/>
  <c r="FZ19" i="3"/>
  <c r="GA19" i="3"/>
  <c r="GB19" i="3"/>
  <c r="GC19" i="3"/>
  <c r="GD19" i="3"/>
  <c r="GE19" i="3" s="1"/>
  <c r="GJ19" i="3"/>
  <c r="GK19" i="3"/>
  <c r="GM19" i="3"/>
  <c r="GN19" i="3"/>
  <c r="GO19" i="3"/>
  <c r="GP19" i="3"/>
  <c r="GQ19" i="3"/>
  <c r="GW19" i="3"/>
  <c r="GX19" i="3"/>
  <c r="GZ19" i="3"/>
  <c r="HB19" i="3" s="1"/>
  <c r="HA19" i="3"/>
  <c r="HG19" i="3"/>
  <c r="HI19" i="3" s="1"/>
  <c r="HH19" i="3"/>
  <c r="L20" i="3"/>
  <c r="AY20" i="3"/>
  <c r="AZ20" i="3"/>
  <c r="BA20" i="3" s="1"/>
  <c r="BB20" i="3"/>
  <c r="BC20" i="3"/>
  <c r="BD20" i="3" s="1"/>
  <c r="BE20" i="3"/>
  <c r="BG20" i="3" s="1"/>
  <c r="BF20" i="3"/>
  <c r="BH20" i="3"/>
  <c r="BI20" i="3"/>
  <c r="BK20" i="3"/>
  <c r="BM20" i="3" s="1"/>
  <c r="BL20" i="3"/>
  <c r="BN20" i="3"/>
  <c r="BO20" i="3"/>
  <c r="BP20" i="3" s="1"/>
  <c r="BQ20" i="3"/>
  <c r="BS20" i="3" s="1"/>
  <c r="BR20" i="3"/>
  <c r="BT20" i="3"/>
  <c r="BV20" i="3" s="1"/>
  <c r="BU20" i="3"/>
  <c r="BW20" i="3"/>
  <c r="BX20" i="3"/>
  <c r="BY20" i="3"/>
  <c r="CD20" i="3"/>
  <c r="CF20" i="3" s="1"/>
  <c r="CE20" i="3"/>
  <c r="CG20" i="3"/>
  <c r="CH20" i="3"/>
  <c r="CJ20" i="3"/>
  <c r="CL20" i="3" s="1"/>
  <c r="CK20" i="3"/>
  <c r="CM20" i="3"/>
  <c r="CN20" i="3"/>
  <c r="CO20" i="3" s="1"/>
  <c r="CP20" i="3"/>
  <c r="CR20" i="3" s="1"/>
  <c r="CQ20" i="3"/>
  <c r="CS20" i="3"/>
  <c r="CT20" i="3"/>
  <c r="CV20" i="3"/>
  <c r="CX20" i="3" s="1"/>
  <c r="CW20" i="3"/>
  <c r="CY20" i="3"/>
  <c r="CZ20" i="3"/>
  <c r="DF20" i="3"/>
  <c r="DG20" i="3"/>
  <c r="DI20" i="3"/>
  <c r="DK20" i="3" s="1"/>
  <c r="DJ20" i="3"/>
  <c r="DL20" i="3"/>
  <c r="DM20" i="3"/>
  <c r="DO20" i="3"/>
  <c r="DQ20" i="3" s="1"/>
  <c r="DP20" i="3"/>
  <c r="DR20" i="3"/>
  <c r="DS20" i="3"/>
  <c r="DU20" i="3"/>
  <c r="DW20" i="3" s="1"/>
  <c r="DV20" i="3"/>
  <c r="DX20" i="3"/>
  <c r="DY20" i="3"/>
  <c r="DZ20" i="3" s="1"/>
  <c r="EE20" i="3"/>
  <c r="EF20" i="3"/>
  <c r="EH20" i="3"/>
  <c r="EI20" i="3"/>
  <c r="EK20" i="3"/>
  <c r="EL20" i="3"/>
  <c r="EN20" i="3"/>
  <c r="EP20" i="3" s="1"/>
  <c r="EO20" i="3"/>
  <c r="EQ20" i="3"/>
  <c r="ER20" i="3"/>
  <c r="ET20" i="3"/>
  <c r="EU20" i="3"/>
  <c r="EV20" i="3"/>
  <c r="FA20" i="3"/>
  <c r="FC20" i="3" s="1"/>
  <c r="FB20" i="3"/>
  <c r="FD20" i="3"/>
  <c r="FE20" i="3"/>
  <c r="FG20" i="3"/>
  <c r="FI20" i="3" s="1"/>
  <c r="FH20" i="3"/>
  <c r="FJ20" i="3"/>
  <c r="FK20" i="3"/>
  <c r="FM20" i="3"/>
  <c r="FO20" i="3" s="1"/>
  <c r="FN20" i="3"/>
  <c r="FT20" i="3"/>
  <c r="FV20" i="3" s="1"/>
  <c r="FU20" i="3"/>
  <c r="FW20" i="3"/>
  <c r="FX20" i="3"/>
  <c r="FY20" i="3" s="1"/>
  <c r="FZ20" i="3"/>
  <c r="GB20" i="3" s="1"/>
  <c r="GA20" i="3"/>
  <c r="GC20" i="3"/>
  <c r="GD20" i="3"/>
  <c r="GJ20" i="3"/>
  <c r="GK20" i="3"/>
  <c r="GM20" i="3"/>
  <c r="GN20" i="3"/>
  <c r="GP20" i="3"/>
  <c r="GQ20" i="3"/>
  <c r="GW20" i="3"/>
  <c r="GX20" i="3"/>
  <c r="GY20" i="3" s="1"/>
  <c r="GZ20" i="3"/>
  <c r="HB20" i="3" s="1"/>
  <c r="HA20" i="3"/>
  <c r="HG20" i="3"/>
  <c r="HH20" i="3"/>
  <c r="HI20" i="3" s="1"/>
  <c r="L21" i="3"/>
  <c r="AY21" i="3"/>
  <c r="AZ21" i="3"/>
  <c r="BB21" i="3"/>
  <c r="BD21" i="3" s="1"/>
  <c r="BC21" i="3"/>
  <c r="BE21" i="3"/>
  <c r="BF21" i="3"/>
  <c r="BG21" i="3" s="1"/>
  <c r="BH21" i="3"/>
  <c r="BI21" i="3"/>
  <c r="BK21" i="3"/>
  <c r="BM21" i="3" s="1"/>
  <c r="BL21" i="3"/>
  <c r="BN21" i="3"/>
  <c r="BO21" i="3"/>
  <c r="BQ21" i="3"/>
  <c r="BS21" i="3" s="1"/>
  <c r="BR21" i="3"/>
  <c r="BT21" i="3"/>
  <c r="BU21" i="3"/>
  <c r="BV21" i="3" s="1"/>
  <c r="BW21" i="3"/>
  <c r="BY21" i="3" s="1"/>
  <c r="BX21" i="3"/>
  <c r="CD21" i="3"/>
  <c r="CE21" i="3"/>
  <c r="CF21" i="3" s="1"/>
  <c r="CG21" i="3"/>
  <c r="CH21" i="3"/>
  <c r="CJ21" i="3"/>
  <c r="CL21" i="3" s="1"/>
  <c r="CK21" i="3"/>
  <c r="CM21" i="3"/>
  <c r="CN21" i="3"/>
  <c r="CP21" i="3"/>
  <c r="CR21" i="3" s="1"/>
  <c r="CQ21" i="3"/>
  <c r="CS21" i="3"/>
  <c r="CT21" i="3"/>
  <c r="CU21" i="3" s="1"/>
  <c r="CV21" i="3"/>
  <c r="CX21" i="3" s="1"/>
  <c r="CW21" i="3"/>
  <c r="CY21" i="3"/>
  <c r="CZ21" i="3"/>
  <c r="DF21" i="3"/>
  <c r="DG21" i="3"/>
  <c r="DI21" i="3"/>
  <c r="DJ21" i="3"/>
  <c r="DL21" i="3"/>
  <c r="DM21" i="3"/>
  <c r="DO21" i="3"/>
  <c r="DP21" i="3"/>
  <c r="DQ21" i="3" s="1"/>
  <c r="DR21" i="3"/>
  <c r="DS21" i="3"/>
  <c r="DU21" i="3"/>
  <c r="DW21" i="3" s="1"/>
  <c r="DV21" i="3"/>
  <c r="DX21" i="3"/>
  <c r="DY21" i="3"/>
  <c r="EE21" i="3"/>
  <c r="EF21" i="3"/>
  <c r="EH21" i="3"/>
  <c r="EJ21" i="3" s="1"/>
  <c r="EI21" i="3"/>
  <c r="EK21" i="3"/>
  <c r="EL21" i="3"/>
  <c r="EN21" i="3"/>
  <c r="EO21" i="3"/>
  <c r="EP21" i="3"/>
  <c r="EQ21" i="3"/>
  <c r="ER21" i="3"/>
  <c r="ET21" i="3"/>
  <c r="EU21" i="3"/>
  <c r="FA21" i="3"/>
  <c r="FC21" i="3" s="1"/>
  <c r="FB21" i="3"/>
  <c r="FD21" i="3"/>
  <c r="FE21" i="3"/>
  <c r="FF21" i="3" s="1"/>
  <c r="FG21" i="3"/>
  <c r="FI21" i="3" s="1"/>
  <c r="FH21" i="3"/>
  <c r="FJ21" i="3"/>
  <c r="FK21" i="3"/>
  <c r="FM21" i="3"/>
  <c r="FO21" i="3" s="1"/>
  <c r="FN21" i="3"/>
  <c r="FT21" i="3"/>
  <c r="FV21" i="3" s="1"/>
  <c r="FU21" i="3"/>
  <c r="FW21" i="3"/>
  <c r="FX21" i="3"/>
  <c r="FZ21" i="3"/>
  <c r="GB21" i="3" s="1"/>
  <c r="GA21" i="3"/>
  <c r="GC21" i="3"/>
  <c r="GD21" i="3"/>
  <c r="GJ21" i="3"/>
  <c r="GK21" i="3"/>
  <c r="GM21" i="3"/>
  <c r="GN21" i="3"/>
  <c r="GO21" i="3"/>
  <c r="GP21" i="3"/>
  <c r="GQ21" i="3"/>
  <c r="GR21" i="3" s="1"/>
  <c r="GW21" i="3"/>
  <c r="GX21" i="3"/>
  <c r="GZ21" i="3"/>
  <c r="HA21" i="3"/>
  <c r="HB21" i="3" s="1"/>
  <c r="HG21" i="3"/>
  <c r="HI21" i="3" s="1"/>
  <c r="HH21" i="3"/>
  <c r="L22" i="3"/>
  <c r="AY22" i="3"/>
  <c r="BA22" i="3" s="1"/>
  <c r="AZ22" i="3"/>
  <c r="BB22" i="3"/>
  <c r="BC22" i="3"/>
  <c r="BD22" i="3" s="1"/>
  <c r="BE22" i="3"/>
  <c r="BF22" i="3"/>
  <c r="BG22" i="3" s="1"/>
  <c r="BH22" i="3"/>
  <c r="BI22" i="3"/>
  <c r="BK22" i="3"/>
  <c r="BM22" i="3" s="1"/>
  <c r="BL22" i="3"/>
  <c r="BN22" i="3"/>
  <c r="BO22" i="3"/>
  <c r="BQ22" i="3"/>
  <c r="BS22" i="3" s="1"/>
  <c r="BR22" i="3"/>
  <c r="BT22" i="3"/>
  <c r="BU22" i="3"/>
  <c r="BW22" i="3"/>
  <c r="BX22" i="3"/>
  <c r="BY22" i="3"/>
  <c r="CD22" i="3"/>
  <c r="CE22" i="3"/>
  <c r="CF22" i="3" s="1"/>
  <c r="CG22" i="3"/>
  <c r="CI22" i="3" s="1"/>
  <c r="CH22" i="3"/>
  <c r="CJ22" i="3"/>
  <c r="CK22" i="3"/>
  <c r="CL22" i="3"/>
  <c r="CM22" i="3"/>
  <c r="CN22" i="3"/>
  <c r="CO22" i="3" s="1"/>
  <c r="CP22" i="3"/>
  <c r="CQ22" i="3"/>
  <c r="CS22" i="3"/>
  <c r="CT22" i="3"/>
  <c r="CV22" i="3"/>
  <c r="CW22" i="3"/>
  <c r="CY22" i="3"/>
  <c r="CZ22" i="3"/>
  <c r="DA22" i="3" s="1"/>
  <c r="DF22" i="3"/>
  <c r="DG22" i="3"/>
  <c r="DI22" i="3"/>
  <c r="DJ22" i="3"/>
  <c r="DK22" i="3" s="1"/>
  <c r="DL22" i="3"/>
  <c r="DM22" i="3"/>
  <c r="DO22" i="3"/>
  <c r="DP22" i="3"/>
  <c r="DQ22" i="3"/>
  <c r="DR22" i="3"/>
  <c r="DS22" i="3"/>
  <c r="DU22" i="3"/>
  <c r="DV22" i="3"/>
  <c r="DX22" i="3"/>
  <c r="DY22" i="3"/>
  <c r="EE22" i="3"/>
  <c r="EF22" i="3"/>
  <c r="EH22" i="3"/>
  <c r="EJ22" i="3" s="1"/>
  <c r="EI22" i="3"/>
  <c r="EK22" i="3"/>
  <c r="EL22" i="3"/>
  <c r="EM22" i="3" s="1"/>
  <c r="EN22" i="3"/>
  <c r="EP22" i="3" s="1"/>
  <c r="EO22" i="3"/>
  <c r="EQ22" i="3"/>
  <c r="ES22" i="3" s="1"/>
  <c r="ER22" i="3"/>
  <c r="ET22" i="3"/>
  <c r="EU22" i="3"/>
  <c r="EV22" i="3"/>
  <c r="FA22" i="3"/>
  <c r="FC22" i="3" s="1"/>
  <c r="FB22" i="3"/>
  <c r="FD22" i="3"/>
  <c r="FE22" i="3"/>
  <c r="FG22" i="3"/>
  <c r="FI22" i="3" s="1"/>
  <c r="FH22" i="3"/>
  <c r="FJ22" i="3"/>
  <c r="FK22" i="3"/>
  <c r="FM22" i="3"/>
  <c r="FO22" i="3" s="1"/>
  <c r="FN22" i="3"/>
  <c r="FT22" i="3"/>
  <c r="FV22" i="3" s="1"/>
  <c r="FU22" i="3"/>
  <c r="FW22" i="3"/>
  <c r="FX22" i="3"/>
  <c r="FZ22" i="3"/>
  <c r="GB22" i="3" s="1"/>
  <c r="GA22" i="3"/>
  <c r="GC22" i="3"/>
  <c r="GD22" i="3"/>
  <c r="GJ22" i="3"/>
  <c r="GL22" i="3" s="1"/>
  <c r="GK22" i="3"/>
  <c r="GM22" i="3"/>
  <c r="GO22" i="3" s="1"/>
  <c r="GN22" i="3"/>
  <c r="GP22" i="3"/>
  <c r="GQ22" i="3"/>
  <c r="GW22" i="3"/>
  <c r="GY22" i="3" s="1"/>
  <c r="GX22" i="3"/>
  <c r="GZ22" i="3"/>
  <c r="HA22" i="3"/>
  <c r="HG22" i="3"/>
  <c r="HI22" i="3" s="1"/>
  <c r="HH22" i="3"/>
  <c r="L23" i="3"/>
  <c r="AY23" i="3"/>
  <c r="BA23" i="3" s="1"/>
  <c r="AZ23" i="3"/>
  <c r="BB23" i="3"/>
  <c r="BD23" i="3" s="1"/>
  <c r="BC23" i="3"/>
  <c r="BE23" i="3"/>
  <c r="BG23" i="3" s="1"/>
  <c r="BF23" i="3"/>
  <c r="BH23" i="3"/>
  <c r="BI23" i="3"/>
  <c r="BJ23" i="3" s="1"/>
  <c r="BK23" i="3"/>
  <c r="BM23" i="3" s="1"/>
  <c r="BL23" i="3"/>
  <c r="BN23" i="3"/>
  <c r="BO23" i="3"/>
  <c r="BQ23" i="3"/>
  <c r="BR23" i="3"/>
  <c r="BS23" i="3"/>
  <c r="BT23" i="3"/>
  <c r="BV23" i="3" s="1"/>
  <c r="BU23" i="3"/>
  <c r="BW23" i="3"/>
  <c r="BY23" i="3" s="1"/>
  <c r="BX23" i="3"/>
  <c r="CD23" i="3"/>
  <c r="CE23" i="3"/>
  <c r="CF23" i="3"/>
  <c r="CG23" i="3"/>
  <c r="CI23" i="3" s="1"/>
  <c r="CH23" i="3"/>
  <c r="CJ23" i="3"/>
  <c r="CL23" i="3" s="1"/>
  <c r="CK23" i="3"/>
  <c r="CM23" i="3"/>
  <c r="CN23" i="3"/>
  <c r="CP23" i="3"/>
  <c r="CR23" i="3" s="1"/>
  <c r="CQ23" i="3"/>
  <c r="CS23" i="3"/>
  <c r="CT23" i="3"/>
  <c r="CU23" i="3" s="1"/>
  <c r="CV23" i="3"/>
  <c r="CX23" i="3" s="1"/>
  <c r="CW23" i="3"/>
  <c r="CY23" i="3"/>
  <c r="DA23" i="3" s="1"/>
  <c r="CZ23" i="3"/>
  <c r="DF23" i="3"/>
  <c r="DG23" i="3"/>
  <c r="DH23" i="3"/>
  <c r="DI23" i="3"/>
  <c r="DK23" i="3" s="1"/>
  <c r="DJ23" i="3"/>
  <c r="DL23" i="3"/>
  <c r="DM23" i="3"/>
  <c r="DO23" i="3"/>
  <c r="DQ23" i="3" s="1"/>
  <c r="DP23" i="3"/>
  <c r="DR23" i="3"/>
  <c r="DT23" i="3" s="1"/>
  <c r="DS23" i="3"/>
  <c r="DU23" i="3"/>
  <c r="DV23" i="3"/>
  <c r="DX23" i="3"/>
  <c r="DY23" i="3"/>
  <c r="EE23" i="3"/>
  <c r="EF23" i="3"/>
  <c r="EG23" i="3" s="1"/>
  <c r="EH23" i="3"/>
  <c r="EJ23" i="3" s="1"/>
  <c r="EI23" i="3"/>
  <c r="EK23" i="3"/>
  <c r="EL23" i="3"/>
  <c r="EN23" i="3"/>
  <c r="EO23" i="3"/>
  <c r="EP23" i="3"/>
  <c r="EQ23" i="3"/>
  <c r="ES23" i="3" s="1"/>
  <c r="ER23" i="3"/>
  <c r="ET23" i="3"/>
  <c r="EV23" i="3" s="1"/>
  <c r="EU23" i="3"/>
  <c r="FA23" i="3"/>
  <c r="FB23" i="3"/>
  <c r="FC23" i="3"/>
  <c r="FD23" i="3"/>
  <c r="FF23" i="3" s="1"/>
  <c r="FE23" i="3"/>
  <c r="FG23" i="3"/>
  <c r="FI23" i="3" s="1"/>
  <c r="FH23" i="3"/>
  <c r="FJ23" i="3"/>
  <c r="FK23" i="3"/>
  <c r="FM23" i="3"/>
  <c r="FO23" i="3" s="1"/>
  <c r="FN23" i="3"/>
  <c r="FT23" i="3"/>
  <c r="FU23" i="3"/>
  <c r="FW23" i="3"/>
  <c r="FY23" i="3" s="1"/>
  <c r="FX23" i="3"/>
  <c r="FZ23" i="3"/>
  <c r="GA23" i="3"/>
  <c r="GB23" i="3" s="1"/>
  <c r="GC23" i="3"/>
  <c r="GD23" i="3"/>
  <c r="GE23" i="3"/>
  <c r="GJ23" i="3"/>
  <c r="GK23" i="3"/>
  <c r="GM23" i="3"/>
  <c r="GN23" i="3"/>
  <c r="GO23" i="3" s="1"/>
  <c r="GP23" i="3"/>
  <c r="GQ23" i="3"/>
  <c r="GR23" i="3"/>
  <c r="GW23" i="3"/>
  <c r="GY23" i="3" s="1"/>
  <c r="GX23" i="3"/>
  <c r="GZ23" i="3"/>
  <c r="HA23" i="3"/>
  <c r="HB23" i="3" s="1"/>
  <c r="HG23" i="3"/>
  <c r="HI23" i="3" s="1"/>
  <c r="HH23" i="3"/>
  <c r="L24" i="3"/>
  <c r="AY24" i="3"/>
  <c r="BA24" i="3" s="1"/>
  <c r="AZ24" i="3"/>
  <c r="BB24" i="3"/>
  <c r="BD24" i="3" s="1"/>
  <c r="BC24" i="3"/>
  <c r="BE24" i="3"/>
  <c r="BF24" i="3"/>
  <c r="BH24" i="3"/>
  <c r="BJ24" i="3" s="1"/>
  <c r="BI24" i="3"/>
  <c r="BK24" i="3"/>
  <c r="BL24" i="3"/>
  <c r="BM24" i="3" s="1"/>
  <c r="BN24" i="3"/>
  <c r="BO24" i="3"/>
  <c r="BP24" i="3"/>
  <c r="BQ24" i="3"/>
  <c r="BS24" i="3" s="1"/>
  <c r="BR24" i="3"/>
  <c r="BT24" i="3"/>
  <c r="BU24" i="3"/>
  <c r="BW24" i="3"/>
  <c r="BY24" i="3" s="1"/>
  <c r="BX24" i="3"/>
  <c r="CD24" i="3"/>
  <c r="CF24" i="3" s="1"/>
  <c r="CE24" i="3"/>
  <c r="CG24" i="3"/>
  <c r="CH24" i="3"/>
  <c r="CJ24" i="3"/>
  <c r="CL24" i="3" s="1"/>
  <c r="CK24" i="3"/>
  <c r="CM24" i="3"/>
  <c r="CN24" i="3"/>
  <c r="CO24" i="3" s="1"/>
  <c r="CP24" i="3"/>
  <c r="CR24" i="3" s="1"/>
  <c r="CQ24" i="3"/>
  <c r="CS24" i="3"/>
  <c r="CT24" i="3"/>
  <c r="CV24" i="3"/>
  <c r="CW24" i="3"/>
  <c r="CX24" i="3"/>
  <c r="CY24" i="3"/>
  <c r="DA24" i="3" s="1"/>
  <c r="CZ24" i="3"/>
  <c r="DF24" i="3"/>
  <c r="DH24" i="3" s="1"/>
  <c r="DG24" i="3"/>
  <c r="DI24" i="3"/>
  <c r="DJ24" i="3"/>
  <c r="DK24" i="3"/>
  <c r="DL24" i="3"/>
  <c r="DN24" i="3" s="1"/>
  <c r="DM24" i="3"/>
  <c r="DO24" i="3"/>
  <c r="DQ24" i="3" s="1"/>
  <c r="DP24" i="3"/>
  <c r="DR24" i="3"/>
  <c r="DT24" i="3" s="1"/>
  <c r="DS24" i="3"/>
  <c r="DU24" i="3"/>
  <c r="DW24" i="3" s="1"/>
  <c r="DV24" i="3"/>
  <c r="DX24" i="3"/>
  <c r="DY24" i="3"/>
  <c r="DZ24" i="3" s="1"/>
  <c r="EE24" i="3"/>
  <c r="EF24" i="3"/>
  <c r="EH24" i="3"/>
  <c r="EJ24" i="3" s="1"/>
  <c r="EI24" i="3"/>
  <c r="EK24" i="3"/>
  <c r="EL24" i="3"/>
  <c r="EM24" i="3" s="1"/>
  <c r="EN24" i="3"/>
  <c r="EP24" i="3" s="1"/>
  <c r="EO24" i="3"/>
  <c r="EQ24" i="3"/>
  <c r="ER24" i="3"/>
  <c r="ET24" i="3"/>
  <c r="EU24" i="3"/>
  <c r="EV24" i="3"/>
  <c r="FA24" i="3"/>
  <c r="FC24" i="3" s="1"/>
  <c r="FB24" i="3"/>
  <c r="FD24" i="3"/>
  <c r="FE24" i="3"/>
  <c r="FG24" i="3"/>
  <c r="FI24" i="3" s="1"/>
  <c r="FH24" i="3"/>
  <c r="FJ24" i="3"/>
  <c r="FL24" i="3" s="1"/>
  <c r="FK24" i="3"/>
  <c r="FM24" i="3"/>
  <c r="FN24" i="3"/>
  <c r="FT24" i="3"/>
  <c r="FV24" i="3" s="1"/>
  <c r="FU24" i="3"/>
  <c r="FW24" i="3"/>
  <c r="FY24" i="3" s="1"/>
  <c r="FX24" i="3"/>
  <c r="FZ24" i="3"/>
  <c r="GA24" i="3"/>
  <c r="GC24" i="3"/>
  <c r="GD24" i="3"/>
  <c r="GJ24" i="3"/>
  <c r="GK24" i="3"/>
  <c r="GL24" i="3" s="1"/>
  <c r="GM24" i="3"/>
  <c r="GO24" i="3" s="1"/>
  <c r="GN24" i="3"/>
  <c r="GP24" i="3"/>
  <c r="GQ24" i="3"/>
  <c r="GW24" i="3"/>
  <c r="GX24" i="3"/>
  <c r="GY24" i="3"/>
  <c r="GZ24" i="3"/>
  <c r="HB24" i="3" s="1"/>
  <c r="HA24" i="3"/>
  <c r="HG24" i="3"/>
  <c r="HH24" i="3"/>
  <c r="HI24" i="3" s="1"/>
  <c r="L25" i="3"/>
  <c r="AY25" i="3"/>
  <c r="AZ25" i="3"/>
  <c r="BB25" i="3"/>
  <c r="BC25" i="3"/>
  <c r="BE25" i="3"/>
  <c r="BF25" i="3"/>
  <c r="BG25" i="3" s="1"/>
  <c r="BH25" i="3"/>
  <c r="BI25" i="3"/>
  <c r="BJ25" i="3"/>
  <c r="BK25" i="3"/>
  <c r="BM25" i="3" s="1"/>
  <c r="BL25" i="3"/>
  <c r="BN25" i="3"/>
  <c r="BO25" i="3"/>
  <c r="BQ25" i="3"/>
  <c r="BS25" i="3" s="1"/>
  <c r="BR25" i="3"/>
  <c r="BT25" i="3"/>
  <c r="BV25" i="3" s="1"/>
  <c r="BU25" i="3"/>
  <c r="BW25" i="3"/>
  <c r="BX25" i="3"/>
  <c r="CD25" i="3"/>
  <c r="CF25" i="3" s="1"/>
  <c r="CE25" i="3"/>
  <c r="CG25" i="3"/>
  <c r="CI25" i="3" s="1"/>
  <c r="CH25" i="3"/>
  <c r="CJ25" i="3"/>
  <c r="CK25" i="3"/>
  <c r="CM25" i="3"/>
  <c r="CO25" i="3" s="1"/>
  <c r="CN25" i="3"/>
  <c r="CP25" i="3"/>
  <c r="CQ25" i="3"/>
  <c r="CR25" i="3" s="1"/>
  <c r="CS25" i="3"/>
  <c r="CT25" i="3"/>
  <c r="CU25" i="3"/>
  <c r="CV25" i="3"/>
  <c r="CX25" i="3" s="1"/>
  <c r="CW25" i="3"/>
  <c r="CY25" i="3"/>
  <c r="CZ25" i="3"/>
  <c r="DF25" i="3"/>
  <c r="DH25" i="3" s="1"/>
  <c r="DG25" i="3"/>
  <c r="DI25" i="3"/>
  <c r="DK25" i="3" s="1"/>
  <c r="DJ25" i="3"/>
  <c r="DL25" i="3"/>
  <c r="DN25" i="3" s="1"/>
  <c r="DM25" i="3"/>
  <c r="DO25" i="3"/>
  <c r="DQ25" i="3" s="1"/>
  <c r="DP25" i="3"/>
  <c r="DR25" i="3"/>
  <c r="DS25" i="3"/>
  <c r="DT25" i="3" s="1"/>
  <c r="DU25" i="3"/>
  <c r="DW25" i="3" s="1"/>
  <c r="DV25" i="3"/>
  <c r="DX25" i="3"/>
  <c r="DZ25" i="3" s="1"/>
  <c r="DY25" i="3"/>
  <c r="EE25" i="3"/>
  <c r="EF25" i="3"/>
  <c r="EG25" i="3"/>
  <c r="EH25" i="3"/>
  <c r="EJ25" i="3" s="1"/>
  <c r="EI25" i="3"/>
  <c r="EK25" i="3"/>
  <c r="EL25" i="3"/>
  <c r="EN25" i="3"/>
  <c r="EP25" i="3" s="1"/>
  <c r="EO25" i="3"/>
  <c r="EQ25" i="3"/>
  <c r="ES25" i="3" s="1"/>
  <c r="ER25" i="3"/>
  <c r="ET25" i="3"/>
  <c r="EU25" i="3"/>
  <c r="FA25" i="3"/>
  <c r="FC25" i="3" s="1"/>
  <c r="FB25" i="3"/>
  <c r="FD25" i="3"/>
  <c r="FF25" i="3" s="1"/>
  <c r="FE25" i="3"/>
  <c r="FG25" i="3"/>
  <c r="FH25" i="3"/>
  <c r="FJ25" i="3"/>
  <c r="FK25" i="3"/>
  <c r="FM25" i="3"/>
  <c r="FN25" i="3"/>
  <c r="FO25" i="3" s="1"/>
  <c r="FT25" i="3"/>
  <c r="FV25" i="3" s="1"/>
  <c r="FU25" i="3"/>
  <c r="FW25" i="3"/>
  <c r="FY25" i="3" s="1"/>
  <c r="FX25" i="3"/>
  <c r="FZ25" i="3"/>
  <c r="GA25" i="3"/>
  <c r="GB25" i="3"/>
  <c r="GC25" i="3"/>
  <c r="GE25" i="3" s="1"/>
  <c r="GD25" i="3"/>
  <c r="GJ25" i="3"/>
  <c r="GK25" i="3"/>
  <c r="GM25" i="3"/>
  <c r="GN25" i="3"/>
  <c r="GO25" i="3"/>
  <c r="GP25" i="3"/>
  <c r="GR25" i="3" s="1"/>
  <c r="GQ25" i="3"/>
  <c r="GW25" i="3"/>
  <c r="GY25" i="3" s="1"/>
  <c r="GX25" i="3"/>
  <c r="GZ25" i="3"/>
  <c r="HA25" i="3"/>
  <c r="HB25" i="3"/>
  <c r="HG25" i="3"/>
  <c r="HI25" i="3" s="1"/>
  <c r="HH25" i="3"/>
  <c r="L26" i="3"/>
  <c r="AY26" i="3"/>
  <c r="BA26" i="3" s="1"/>
  <c r="AZ26" i="3"/>
  <c r="BB26" i="3"/>
  <c r="BC26" i="3"/>
  <c r="BD26" i="3" s="1"/>
  <c r="BE26" i="3"/>
  <c r="BG26" i="3" s="1"/>
  <c r="BF26" i="3"/>
  <c r="BH26" i="3"/>
  <c r="BJ26" i="3" s="1"/>
  <c r="BI26" i="3"/>
  <c r="BK26" i="3"/>
  <c r="BL26" i="3"/>
  <c r="BM26" i="3"/>
  <c r="BN26" i="3"/>
  <c r="BP26" i="3" s="1"/>
  <c r="BO26" i="3"/>
  <c r="BQ26" i="3"/>
  <c r="BS26" i="3" s="1"/>
  <c r="BR26" i="3"/>
  <c r="BT26" i="3"/>
  <c r="BV26" i="3" s="1"/>
  <c r="BU26" i="3"/>
  <c r="BW26" i="3"/>
  <c r="BY26" i="3" s="1"/>
  <c r="BX26" i="3"/>
  <c r="CD26" i="3"/>
  <c r="CE26" i="3"/>
  <c r="CG26" i="3"/>
  <c r="CH26" i="3"/>
  <c r="CJ26" i="3"/>
  <c r="CK26" i="3"/>
  <c r="CL26" i="3" s="1"/>
  <c r="CM26" i="3"/>
  <c r="CN26" i="3"/>
  <c r="CO26" i="3"/>
  <c r="CP26" i="3"/>
  <c r="CR26" i="3" s="1"/>
  <c r="CQ26" i="3"/>
  <c r="CS26" i="3"/>
  <c r="CT26" i="3"/>
  <c r="CV26" i="3"/>
  <c r="CX26" i="3" s="1"/>
  <c r="CW26" i="3"/>
  <c r="CY26" i="3"/>
  <c r="DA26" i="3" s="1"/>
  <c r="CZ26" i="3"/>
  <c r="DF26" i="3"/>
  <c r="DG26" i="3"/>
  <c r="DI26" i="3"/>
  <c r="DK26" i="3" s="1"/>
  <c r="DJ26" i="3"/>
  <c r="DL26" i="3"/>
  <c r="DN26" i="3" s="1"/>
  <c r="DM26" i="3"/>
  <c r="DO26" i="3"/>
  <c r="DP26" i="3"/>
  <c r="DR26" i="3"/>
  <c r="DT26" i="3" s="1"/>
  <c r="DS26" i="3"/>
  <c r="DU26" i="3"/>
  <c r="DV26" i="3"/>
  <c r="DW26" i="3" s="1"/>
  <c r="DX26" i="3"/>
  <c r="DY26" i="3"/>
  <c r="DZ26" i="3"/>
  <c r="EE26" i="3"/>
  <c r="EF26" i="3"/>
  <c r="EH26" i="3"/>
  <c r="EI26" i="3"/>
  <c r="EJ26" i="3" s="1"/>
  <c r="EK26" i="3"/>
  <c r="EL26" i="3"/>
  <c r="EM26" i="3"/>
  <c r="EN26" i="3"/>
  <c r="EP26" i="3" s="1"/>
  <c r="EO26" i="3"/>
  <c r="EQ26" i="3"/>
  <c r="ER26" i="3"/>
  <c r="ET26" i="3"/>
  <c r="EV26" i="3" s="1"/>
  <c r="EU26" i="3"/>
  <c r="FA26" i="3"/>
  <c r="FC26" i="3" s="1"/>
  <c r="FB26" i="3"/>
  <c r="FD26" i="3"/>
  <c r="FF26" i="3" s="1"/>
  <c r="FE26" i="3"/>
  <c r="FG26" i="3"/>
  <c r="FI26" i="3" s="1"/>
  <c r="FH26" i="3"/>
  <c r="FJ26" i="3"/>
  <c r="FK26" i="3"/>
  <c r="FL26" i="3" s="1"/>
  <c r="FM26" i="3"/>
  <c r="FO26" i="3" s="1"/>
  <c r="FN26" i="3"/>
  <c r="FT26" i="3"/>
  <c r="FV26" i="3" s="1"/>
  <c r="FU26" i="3"/>
  <c r="FW26" i="3"/>
  <c r="FX26" i="3"/>
  <c r="FY26" i="3" s="1"/>
  <c r="FZ26" i="3"/>
  <c r="GB26" i="3" s="1"/>
  <c r="GA26" i="3"/>
  <c r="GC26" i="3"/>
  <c r="GD26" i="3"/>
  <c r="GJ26" i="3"/>
  <c r="GK26" i="3"/>
  <c r="GL26" i="3"/>
  <c r="GM26" i="3"/>
  <c r="GO26" i="3" s="1"/>
  <c r="GN26" i="3"/>
  <c r="GP26" i="3"/>
  <c r="GQ26" i="3"/>
  <c r="GW26" i="3"/>
  <c r="GY26" i="3" s="1"/>
  <c r="GX26" i="3"/>
  <c r="GZ26" i="3"/>
  <c r="HB26" i="3" s="1"/>
  <c r="HA26" i="3"/>
  <c r="HG26" i="3"/>
  <c r="HH26" i="3"/>
  <c r="HI26" i="3"/>
  <c r="L27" i="3"/>
  <c r="AY27" i="3"/>
  <c r="BA27" i="3" s="1"/>
  <c r="AZ27" i="3"/>
  <c r="BB27" i="3"/>
  <c r="BC27" i="3"/>
  <c r="BE27" i="3"/>
  <c r="BF27" i="3"/>
  <c r="BG27" i="3"/>
  <c r="BH27" i="3"/>
  <c r="BJ27" i="3" s="1"/>
  <c r="BI27" i="3"/>
  <c r="BK27" i="3"/>
  <c r="BM27" i="3" s="1"/>
  <c r="BL27" i="3"/>
  <c r="BN27" i="3"/>
  <c r="BO27" i="3"/>
  <c r="BQ27" i="3"/>
  <c r="BS27" i="3" s="1"/>
  <c r="BR27" i="3"/>
  <c r="BT27" i="3"/>
  <c r="BU27" i="3"/>
  <c r="BV27" i="3" s="1"/>
  <c r="BW27" i="3"/>
  <c r="BY27" i="3" s="1"/>
  <c r="BX27" i="3"/>
  <c r="CD27" i="3"/>
  <c r="CF27" i="3" s="1"/>
  <c r="CE27" i="3"/>
  <c r="CG27" i="3"/>
  <c r="CH27" i="3"/>
  <c r="CI27" i="3" s="1"/>
  <c r="CJ27" i="3"/>
  <c r="CL27" i="3" s="1"/>
  <c r="CK27" i="3"/>
  <c r="CM27" i="3"/>
  <c r="CO27" i="3" s="1"/>
  <c r="CN27" i="3"/>
  <c r="CP27" i="3"/>
  <c r="CQ27" i="3"/>
  <c r="CR27" i="3"/>
  <c r="CS27" i="3"/>
  <c r="CU27" i="3" s="1"/>
  <c r="CT27" i="3"/>
  <c r="CV27" i="3"/>
  <c r="CX27" i="3" s="1"/>
  <c r="CW27" i="3"/>
  <c r="CY27" i="3"/>
  <c r="DA27" i="3" s="1"/>
  <c r="CZ27" i="3"/>
  <c r="DF27" i="3"/>
  <c r="DH27" i="3" s="1"/>
  <c r="DG27" i="3"/>
  <c r="DI27" i="3"/>
  <c r="DJ27" i="3"/>
  <c r="DL27" i="3"/>
  <c r="DN27" i="3" s="1"/>
  <c r="DM27" i="3"/>
  <c r="DO27" i="3"/>
  <c r="DP27" i="3"/>
  <c r="DQ27" i="3" s="1"/>
  <c r="DR27" i="3"/>
  <c r="DS27" i="3"/>
  <c r="DT27" i="3"/>
  <c r="DU27" i="3"/>
  <c r="DW27" i="3" s="1"/>
  <c r="DV27" i="3"/>
  <c r="DX27" i="3"/>
  <c r="DY27" i="3"/>
  <c r="EE27" i="3"/>
  <c r="EG27" i="3" s="1"/>
  <c r="EF27" i="3"/>
  <c r="EH27" i="3"/>
  <c r="EJ27" i="3" s="1"/>
  <c r="EI27" i="3"/>
  <c r="EK27" i="3"/>
  <c r="EM27" i="3" s="1"/>
  <c r="EL27" i="3"/>
  <c r="EN27" i="3"/>
  <c r="EP27" i="3" s="1"/>
  <c r="EO27" i="3"/>
  <c r="EQ27" i="3"/>
  <c r="ER27" i="3"/>
  <c r="ES27" i="3" s="1"/>
  <c r="ET27" i="3"/>
  <c r="EV27" i="3" s="1"/>
  <c r="EU27" i="3"/>
  <c r="FA27" i="3"/>
  <c r="FC27" i="3" s="1"/>
  <c r="FB27" i="3"/>
  <c r="FD27" i="3"/>
  <c r="FE27" i="3"/>
  <c r="FF27" i="3" s="1"/>
  <c r="FG27" i="3"/>
  <c r="FI27" i="3" s="1"/>
  <c r="FH27" i="3"/>
  <c r="FJ27" i="3"/>
  <c r="FK27" i="3"/>
  <c r="FM27" i="3"/>
  <c r="FN27" i="3"/>
  <c r="FO27" i="3"/>
  <c r="FT27" i="3"/>
  <c r="FV27" i="3" s="1"/>
  <c r="FU27" i="3"/>
  <c r="FW27" i="3"/>
  <c r="FX27" i="3"/>
  <c r="FZ27" i="3"/>
  <c r="GB27" i="3" s="1"/>
  <c r="GA27" i="3"/>
  <c r="GC27" i="3"/>
  <c r="GE27" i="3" s="1"/>
  <c r="GD27" i="3"/>
  <c r="GJ27" i="3"/>
  <c r="GK27" i="3"/>
  <c r="GM27" i="3"/>
  <c r="GO27" i="3" s="1"/>
  <c r="GN27" i="3"/>
  <c r="GP27" i="3"/>
  <c r="GR27" i="3" s="1"/>
  <c r="GQ27" i="3"/>
  <c r="GW27" i="3"/>
  <c r="GX27" i="3"/>
  <c r="GZ27" i="3"/>
  <c r="HB27" i="3" s="1"/>
  <c r="HA27" i="3"/>
  <c r="HG27" i="3"/>
  <c r="HI27" i="3" s="1"/>
  <c r="HH27" i="3"/>
  <c r="L28" i="3"/>
  <c r="AY28" i="3"/>
  <c r="AZ28" i="3"/>
  <c r="BA28" i="3" s="1"/>
  <c r="BB28" i="3"/>
  <c r="BC28" i="3"/>
  <c r="BD28" i="3"/>
  <c r="BE28" i="3"/>
  <c r="BG28" i="3" s="1"/>
  <c r="BF28" i="3"/>
  <c r="BH28" i="3"/>
  <c r="BI28" i="3"/>
  <c r="BK28" i="3"/>
  <c r="BM28" i="3" s="1"/>
  <c r="BL28" i="3"/>
  <c r="BN28" i="3"/>
  <c r="BP28" i="3" s="1"/>
  <c r="BO28" i="3"/>
  <c r="BQ28" i="3"/>
  <c r="BR28" i="3"/>
  <c r="BT28" i="3"/>
  <c r="BV28" i="3" s="1"/>
  <c r="BU28" i="3"/>
  <c r="BW28" i="3"/>
  <c r="BX28" i="3"/>
  <c r="BY28" i="3" s="1"/>
  <c r="CD28" i="3"/>
  <c r="CF28" i="3" s="1"/>
  <c r="CE28" i="3"/>
  <c r="CG28" i="3"/>
  <c r="CH28" i="3"/>
  <c r="CJ28" i="3"/>
  <c r="CK28" i="3"/>
  <c r="CL28" i="3"/>
  <c r="CM28" i="3"/>
  <c r="CO28" i="3" s="1"/>
  <c r="CN28" i="3"/>
  <c r="CP28" i="3"/>
  <c r="CR28" i="3" s="1"/>
  <c r="CQ28" i="3"/>
  <c r="CS28" i="3"/>
  <c r="CT28" i="3"/>
  <c r="CV28" i="3"/>
  <c r="CX28" i="3" s="1"/>
  <c r="CW28" i="3"/>
  <c r="CY28" i="3"/>
  <c r="CZ28" i="3"/>
  <c r="DA28" i="3" s="1"/>
  <c r="DF28" i="3"/>
  <c r="DH28" i="3" s="1"/>
  <c r="DG28" i="3"/>
  <c r="DI28" i="3"/>
  <c r="DK28" i="3" s="1"/>
  <c r="DJ28" i="3"/>
  <c r="DL28" i="3"/>
  <c r="DM28" i="3"/>
  <c r="DN28" i="3" s="1"/>
  <c r="DO28" i="3"/>
  <c r="DQ28" i="3" s="1"/>
  <c r="DP28" i="3"/>
  <c r="DR28" i="3"/>
  <c r="DT28" i="3" s="1"/>
  <c r="DS28" i="3"/>
  <c r="DU28" i="3"/>
  <c r="DV28" i="3"/>
  <c r="DW28" i="3"/>
  <c r="DX28" i="3"/>
  <c r="DZ28" i="3" s="1"/>
  <c r="DY28" i="3"/>
  <c r="EE28" i="3"/>
  <c r="EF28" i="3"/>
  <c r="EH28" i="3"/>
  <c r="EI28" i="3"/>
  <c r="EJ28" i="3"/>
  <c r="EK28" i="3"/>
  <c r="EM28" i="3" s="1"/>
  <c r="EL28" i="3"/>
  <c r="EN28" i="3"/>
  <c r="EP28" i="3" s="1"/>
  <c r="EO28" i="3"/>
  <c r="EQ28" i="3"/>
  <c r="ER28" i="3"/>
  <c r="ET28" i="3"/>
  <c r="EV28" i="3" s="1"/>
  <c r="EU28" i="3"/>
  <c r="FA28" i="3"/>
  <c r="FB28" i="3"/>
  <c r="FD28" i="3"/>
  <c r="FF28" i="3" s="1"/>
  <c r="FE28" i="3"/>
  <c r="FG28" i="3"/>
  <c r="FH28" i="3"/>
  <c r="FI28" i="3" s="1"/>
  <c r="FJ28" i="3"/>
  <c r="FK28" i="3"/>
  <c r="FL28" i="3"/>
  <c r="FM28" i="3"/>
  <c r="FO28" i="3" s="1"/>
  <c r="FN28" i="3"/>
  <c r="FT28" i="3"/>
  <c r="FU28" i="3"/>
  <c r="FV28" i="3" s="1"/>
  <c r="FW28" i="3"/>
  <c r="FX28" i="3"/>
  <c r="FY28" i="3"/>
  <c r="FZ28" i="3"/>
  <c r="GB28" i="3" s="1"/>
  <c r="GA28" i="3"/>
  <c r="GC28" i="3"/>
  <c r="GD28" i="3"/>
  <c r="GJ28" i="3"/>
  <c r="GL28" i="3" s="1"/>
  <c r="GK28" i="3"/>
  <c r="GM28" i="3"/>
  <c r="GO28" i="3" s="1"/>
  <c r="GN28" i="3"/>
  <c r="GP28" i="3"/>
  <c r="GQ28" i="3"/>
  <c r="GW28" i="3"/>
  <c r="GY28" i="3" s="1"/>
  <c r="GX28" i="3"/>
  <c r="GZ28" i="3"/>
  <c r="HA28" i="3"/>
  <c r="HG28" i="3"/>
  <c r="HI28" i="3" s="1"/>
  <c r="HH28" i="3"/>
  <c r="L29" i="3"/>
  <c r="AY29" i="3"/>
  <c r="BA29" i="3" s="1"/>
  <c r="AZ29" i="3"/>
  <c r="BB29" i="3"/>
  <c r="BC29" i="3"/>
  <c r="BE29" i="3"/>
  <c r="BF29" i="3"/>
  <c r="BH29" i="3"/>
  <c r="BI29" i="3"/>
  <c r="BJ29" i="3" s="1"/>
  <c r="BK29" i="3"/>
  <c r="BM29" i="3" s="1"/>
  <c r="BL29" i="3"/>
  <c r="BN29" i="3"/>
  <c r="BO29" i="3"/>
  <c r="BQ29" i="3"/>
  <c r="BR29" i="3"/>
  <c r="BT29" i="3"/>
  <c r="BV29" i="3" s="1"/>
  <c r="BU29" i="3"/>
  <c r="BW29" i="3"/>
  <c r="BX29" i="3"/>
  <c r="CD29" i="3"/>
  <c r="CE29" i="3"/>
  <c r="CG29" i="3"/>
  <c r="CH29" i="3"/>
  <c r="CI29" i="3" s="1"/>
  <c r="CJ29" i="3"/>
  <c r="CL29" i="3" s="1"/>
  <c r="CK29" i="3"/>
  <c r="CM29" i="3"/>
  <c r="CN29" i="3"/>
  <c r="CP29" i="3"/>
  <c r="CQ29" i="3"/>
  <c r="CS29" i="3"/>
  <c r="CU29" i="3" s="1"/>
  <c r="CT29" i="3"/>
  <c r="CV29" i="3"/>
  <c r="CW29" i="3"/>
  <c r="CY29" i="3"/>
  <c r="CZ29" i="3"/>
  <c r="DF29" i="3"/>
  <c r="DG29" i="3"/>
  <c r="DH29" i="3" s="1"/>
  <c r="DI29" i="3"/>
  <c r="DK29" i="3" s="1"/>
  <c r="DJ29" i="3"/>
  <c r="DL29" i="3"/>
  <c r="DN29" i="3" s="1"/>
  <c r="DM29" i="3"/>
  <c r="DO29" i="3"/>
  <c r="DP29" i="3"/>
  <c r="DQ29" i="3"/>
  <c r="DR29" i="3"/>
  <c r="DT29" i="3" s="1"/>
  <c r="DS29" i="3"/>
  <c r="DU29" i="3"/>
  <c r="DW29" i="3" s="1"/>
  <c r="DV29" i="3"/>
  <c r="DX29" i="3"/>
  <c r="DZ29" i="3" s="1"/>
  <c r="DY29" i="3"/>
  <c r="EE29" i="3"/>
  <c r="EG29" i="3" s="1"/>
  <c r="EF29" i="3"/>
  <c r="EH29" i="3"/>
  <c r="EI29" i="3"/>
  <c r="EK29" i="3"/>
  <c r="EL29" i="3"/>
  <c r="EN29" i="3"/>
  <c r="EO29" i="3"/>
  <c r="EP29" i="3" s="1"/>
  <c r="EQ29" i="3"/>
  <c r="ES29" i="3" s="1"/>
  <c r="ER29" i="3"/>
  <c r="ET29" i="3"/>
  <c r="EV29" i="3" s="1"/>
  <c r="EU29" i="3"/>
  <c r="FA29" i="3"/>
  <c r="FB29" i="3"/>
  <c r="FD29" i="3"/>
  <c r="FF29" i="3" s="1"/>
  <c r="FE29" i="3"/>
  <c r="FG29" i="3"/>
  <c r="FH29" i="3"/>
  <c r="FJ29" i="3"/>
  <c r="FK29" i="3"/>
  <c r="FM29" i="3"/>
  <c r="FN29" i="3"/>
  <c r="FO29" i="3" s="1"/>
  <c r="FT29" i="3"/>
  <c r="FV29" i="3" s="1"/>
  <c r="FU29" i="3"/>
  <c r="FW29" i="3"/>
  <c r="FX29" i="3"/>
  <c r="FZ29" i="3"/>
  <c r="GA29" i="3"/>
  <c r="GC29" i="3"/>
  <c r="GD29" i="3"/>
  <c r="GE29" i="3" s="1"/>
  <c r="GJ29" i="3"/>
  <c r="GL29" i="3" s="1"/>
  <c r="GK29" i="3"/>
  <c r="GM29" i="3"/>
  <c r="GO29" i="3" s="1"/>
  <c r="GN29" i="3"/>
  <c r="GP29" i="3"/>
  <c r="GQ29" i="3"/>
  <c r="GR29" i="3" s="1"/>
  <c r="GW29" i="3"/>
  <c r="GX29" i="3"/>
  <c r="GZ29" i="3"/>
  <c r="HA29" i="3"/>
  <c r="HG29" i="3"/>
  <c r="HI29" i="3" s="1"/>
  <c r="HH29" i="3"/>
  <c r="L30" i="3"/>
  <c r="AY30" i="3"/>
  <c r="AZ30" i="3"/>
  <c r="BB30" i="3"/>
  <c r="BC30" i="3"/>
  <c r="BD30" i="3" s="1"/>
  <c r="BE30" i="3"/>
  <c r="BG30" i="3" s="1"/>
  <c r="BF30" i="3"/>
  <c r="BH30" i="3"/>
  <c r="BI30" i="3"/>
  <c r="BK30" i="3"/>
  <c r="BL30" i="3"/>
  <c r="BN30" i="3"/>
  <c r="BP30" i="3" s="1"/>
  <c r="BO30" i="3"/>
  <c r="BQ30" i="3"/>
  <c r="BR30" i="3"/>
  <c r="BT30" i="3"/>
  <c r="BU30" i="3"/>
  <c r="BW30" i="3"/>
  <c r="BX30" i="3"/>
  <c r="BY30" i="3" s="1"/>
  <c r="CD30" i="3"/>
  <c r="CF30" i="3" s="1"/>
  <c r="CE30" i="3"/>
  <c r="CG30" i="3"/>
  <c r="CH30" i="3"/>
  <c r="CJ30" i="3"/>
  <c r="CK30" i="3"/>
  <c r="CM30" i="3"/>
  <c r="CN30" i="3"/>
  <c r="CO30" i="3" s="1"/>
  <c r="CP30" i="3"/>
  <c r="CR30" i="3" s="1"/>
  <c r="CQ30" i="3"/>
  <c r="CS30" i="3"/>
  <c r="CT30" i="3"/>
  <c r="CV30" i="3"/>
  <c r="CW30" i="3"/>
  <c r="CY30" i="3"/>
  <c r="DA30" i="3" s="1"/>
  <c r="CZ30" i="3"/>
  <c r="DF30" i="3"/>
  <c r="DG30" i="3"/>
  <c r="DI30" i="3"/>
  <c r="DK30" i="3" s="1"/>
  <c r="DJ30" i="3"/>
  <c r="DL30" i="3"/>
  <c r="DN30" i="3" s="1"/>
  <c r="DM30" i="3"/>
  <c r="DO30" i="3"/>
  <c r="DP30" i="3"/>
  <c r="DR30" i="3"/>
  <c r="DT30" i="3" s="1"/>
  <c r="DS30" i="3"/>
  <c r="DU30" i="3"/>
  <c r="DV30" i="3"/>
  <c r="DW30" i="3" s="1"/>
  <c r="DX30" i="3"/>
  <c r="DY30" i="3"/>
  <c r="DZ30" i="3"/>
  <c r="EE30" i="3"/>
  <c r="EF30" i="3"/>
  <c r="EH30" i="3"/>
  <c r="EI30" i="3"/>
  <c r="EJ30" i="3" s="1"/>
  <c r="EK30" i="3"/>
  <c r="EM30" i="3" s="1"/>
  <c r="EL30" i="3"/>
  <c r="EN30" i="3"/>
  <c r="EP30" i="3" s="1"/>
  <c r="EO30" i="3"/>
  <c r="EQ30" i="3"/>
  <c r="ER30" i="3"/>
  <c r="ET30" i="3"/>
  <c r="EU30" i="3"/>
  <c r="FA30" i="3"/>
  <c r="FC30" i="3" s="1"/>
  <c r="FB30" i="3"/>
  <c r="FD30" i="3"/>
  <c r="FE30" i="3"/>
  <c r="FG30" i="3"/>
  <c r="FH30" i="3"/>
  <c r="FJ30" i="3"/>
  <c r="FL30" i="3" s="1"/>
  <c r="FK30" i="3"/>
  <c r="FM30" i="3"/>
  <c r="FN30" i="3"/>
  <c r="FT30" i="3"/>
  <c r="FU30" i="3"/>
  <c r="FW30" i="3"/>
  <c r="FX30" i="3"/>
  <c r="FY30" i="3" s="1"/>
  <c r="FZ30" i="3"/>
  <c r="GB30" i="3" s="1"/>
  <c r="GA30" i="3"/>
  <c r="GC30" i="3"/>
  <c r="GE30" i="3" s="1"/>
  <c r="GD30" i="3"/>
  <c r="GJ30" i="3"/>
  <c r="GK30" i="3"/>
  <c r="GM30" i="3"/>
  <c r="GO30" i="3" s="1"/>
  <c r="GN30" i="3"/>
  <c r="GP30" i="3"/>
  <c r="GQ30" i="3"/>
  <c r="GW30" i="3"/>
  <c r="GY30" i="3" s="1"/>
  <c r="GX30" i="3"/>
  <c r="GZ30" i="3"/>
  <c r="HB30" i="3" s="1"/>
  <c r="HA30" i="3"/>
  <c r="HG30" i="3"/>
  <c r="HH30" i="3"/>
  <c r="HI30" i="3" s="1"/>
  <c r="L31" i="3"/>
  <c r="AY31" i="3"/>
  <c r="AZ31" i="3"/>
  <c r="BB31" i="3"/>
  <c r="BD31" i="3" s="1"/>
  <c r="BC31" i="3"/>
  <c r="BE31" i="3"/>
  <c r="BF31" i="3"/>
  <c r="BH31" i="3"/>
  <c r="BI31" i="3"/>
  <c r="BK31" i="3"/>
  <c r="BL31" i="3"/>
  <c r="BM31" i="3" s="1"/>
  <c r="BN31" i="3"/>
  <c r="BO31" i="3"/>
  <c r="BQ31" i="3"/>
  <c r="BR31" i="3"/>
  <c r="BT31" i="3"/>
  <c r="BU31" i="3"/>
  <c r="BV31" i="3"/>
  <c r="BW31" i="3"/>
  <c r="BY31" i="3" s="1"/>
  <c r="BX31" i="3"/>
  <c r="CD31" i="3"/>
  <c r="CF31" i="3" s="1"/>
  <c r="CE31" i="3"/>
  <c r="CG31" i="3"/>
  <c r="CH31" i="3"/>
  <c r="CI31" i="3" s="1"/>
  <c r="CJ31" i="3"/>
  <c r="CL31" i="3" s="1"/>
  <c r="CK31" i="3"/>
  <c r="CM31" i="3"/>
  <c r="CN31" i="3"/>
  <c r="CP31" i="3"/>
  <c r="CR31" i="3" s="1"/>
  <c r="CQ31" i="3"/>
  <c r="CS31" i="3"/>
  <c r="CT31" i="3"/>
  <c r="CV31" i="3"/>
  <c r="CX31" i="3" s="1"/>
  <c r="CW31" i="3"/>
  <c r="CY31" i="3"/>
  <c r="CZ31" i="3"/>
  <c r="DF31" i="3"/>
  <c r="DG31" i="3"/>
  <c r="DI31" i="3"/>
  <c r="DJ31" i="3"/>
  <c r="DL31" i="3"/>
  <c r="DM31" i="3"/>
  <c r="DO31" i="3"/>
  <c r="DP31" i="3"/>
  <c r="DR31" i="3"/>
  <c r="DS31" i="3"/>
  <c r="DT31" i="3" s="1"/>
  <c r="DU31" i="3"/>
  <c r="DW31" i="3" s="1"/>
  <c r="DV31" i="3"/>
  <c r="DX31" i="3"/>
  <c r="DY31" i="3"/>
  <c r="EE31" i="3"/>
  <c r="EF31" i="3"/>
  <c r="EH31" i="3"/>
  <c r="EI31" i="3"/>
  <c r="EK31" i="3"/>
  <c r="EL31" i="3"/>
  <c r="EN31" i="3"/>
  <c r="EO31" i="3"/>
  <c r="EP31" i="3"/>
  <c r="EQ31" i="3"/>
  <c r="ER31" i="3"/>
  <c r="ET31" i="3"/>
  <c r="EU31" i="3"/>
  <c r="FA31" i="3"/>
  <c r="FB31" i="3"/>
  <c r="FC31" i="3"/>
  <c r="FD31" i="3"/>
  <c r="FE31" i="3"/>
  <c r="FG31" i="3"/>
  <c r="FH31" i="3"/>
  <c r="FJ31" i="3"/>
  <c r="FK31" i="3"/>
  <c r="FM31" i="3"/>
  <c r="FN31" i="3"/>
  <c r="FO31" i="3"/>
  <c r="FT31" i="3"/>
  <c r="FV31" i="3" s="1"/>
  <c r="FU31" i="3"/>
  <c r="FW31" i="3"/>
  <c r="FX31" i="3"/>
  <c r="FZ31" i="3"/>
  <c r="GB31" i="3" s="1"/>
  <c r="GA31" i="3"/>
  <c r="GC31" i="3"/>
  <c r="GD31" i="3"/>
  <c r="GE31" i="3" s="1"/>
  <c r="GJ31" i="3"/>
  <c r="GK31" i="3"/>
  <c r="GM31" i="3"/>
  <c r="GN31" i="3"/>
  <c r="GP31" i="3"/>
  <c r="GQ31" i="3"/>
  <c r="GW31" i="3"/>
  <c r="GX31" i="3"/>
  <c r="GZ31" i="3"/>
  <c r="HA31" i="3"/>
  <c r="HB31" i="3"/>
  <c r="HG31" i="3"/>
  <c r="HH31" i="3"/>
  <c r="L32" i="3"/>
  <c r="AY32" i="3"/>
  <c r="BA32" i="3" s="1"/>
  <c r="AZ32" i="3"/>
  <c r="BB32" i="3"/>
  <c r="BC32" i="3"/>
  <c r="BD32" i="3" s="1"/>
  <c r="BE32" i="3"/>
  <c r="BF32" i="3"/>
  <c r="BH32" i="3"/>
  <c r="BI32" i="3"/>
  <c r="BK32" i="3"/>
  <c r="BL32" i="3"/>
  <c r="BM32" i="3" s="1"/>
  <c r="BN32" i="3"/>
  <c r="BO32" i="3"/>
  <c r="BQ32" i="3"/>
  <c r="BS32" i="3" s="1"/>
  <c r="BR32" i="3"/>
  <c r="BT32" i="3"/>
  <c r="BV32" i="3" s="1"/>
  <c r="BU32" i="3"/>
  <c r="BW32" i="3"/>
  <c r="BX32" i="3"/>
  <c r="BY32" i="3"/>
  <c r="CD32" i="3"/>
  <c r="CE32" i="3"/>
  <c r="CG32" i="3"/>
  <c r="CH32" i="3"/>
  <c r="CJ32" i="3"/>
  <c r="CK32" i="3"/>
  <c r="CL32" i="3" s="1"/>
  <c r="CM32" i="3"/>
  <c r="CN32" i="3"/>
  <c r="CP32" i="3"/>
  <c r="CR32" i="3" s="1"/>
  <c r="CQ32" i="3"/>
  <c r="CS32" i="3"/>
  <c r="CU32" i="3" s="1"/>
  <c r="CT32" i="3"/>
  <c r="CV32" i="3"/>
  <c r="CW32" i="3"/>
  <c r="CX32" i="3"/>
  <c r="CY32" i="3"/>
  <c r="CZ32" i="3"/>
  <c r="DA32" i="3" s="1"/>
  <c r="DF32" i="3"/>
  <c r="DG32" i="3"/>
  <c r="DI32" i="3"/>
  <c r="DJ32" i="3"/>
  <c r="DK32" i="3" s="1"/>
  <c r="DL32" i="3"/>
  <c r="DM32" i="3"/>
  <c r="DO32" i="3"/>
  <c r="DQ32" i="3" s="1"/>
  <c r="DP32" i="3"/>
  <c r="DR32" i="3"/>
  <c r="DT32" i="3" s="1"/>
  <c r="DS32" i="3"/>
  <c r="DU32" i="3"/>
  <c r="DV32" i="3"/>
  <c r="DW32" i="3"/>
  <c r="DX32" i="3"/>
  <c r="DY32" i="3"/>
  <c r="DZ32" i="3" s="1"/>
  <c r="EE32" i="3"/>
  <c r="EF32" i="3"/>
  <c r="EH32" i="3"/>
  <c r="EI32" i="3"/>
  <c r="EJ32" i="3" s="1"/>
  <c r="EK32" i="3"/>
  <c r="EL32" i="3"/>
  <c r="EN32" i="3"/>
  <c r="EP32" i="3" s="1"/>
  <c r="EO32" i="3"/>
  <c r="EQ32" i="3"/>
  <c r="ER32" i="3"/>
  <c r="ET32" i="3"/>
  <c r="EU32" i="3"/>
  <c r="EV32" i="3"/>
  <c r="FA32" i="3"/>
  <c r="FB32" i="3"/>
  <c r="FD32" i="3"/>
  <c r="FE32" i="3"/>
  <c r="FG32" i="3"/>
  <c r="FH32" i="3"/>
  <c r="FI32" i="3" s="1"/>
  <c r="FJ32" i="3"/>
  <c r="FK32" i="3"/>
  <c r="FM32" i="3"/>
  <c r="FO32" i="3" s="1"/>
  <c r="FN32" i="3"/>
  <c r="FT32" i="3"/>
  <c r="FV32" i="3" s="1"/>
  <c r="FU32" i="3"/>
  <c r="FW32" i="3"/>
  <c r="FX32" i="3"/>
  <c r="FY32" i="3" s="1"/>
  <c r="FZ32" i="3"/>
  <c r="GA32" i="3"/>
  <c r="GC32" i="3"/>
  <c r="GD32" i="3"/>
  <c r="GJ32" i="3"/>
  <c r="GK32" i="3"/>
  <c r="GL32" i="3" s="1"/>
  <c r="GM32" i="3"/>
  <c r="GN32" i="3"/>
  <c r="GP32" i="3"/>
  <c r="GQ32" i="3"/>
  <c r="GW32" i="3"/>
  <c r="GX32" i="3"/>
  <c r="GY32" i="3" s="1"/>
  <c r="GZ32" i="3"/>
  <c r="HA32" i="3"/>
  <c r="HG32" i="3"/>
  <c r="HH32" i="3"/>
  <c r="L33" i="3"/>
  <c r="AY33" i="3"/>
  <c r="BA33" i="3" s="1"/>
  <c r="AZ33" i="3"/>
  <c r="BB33" i="3"/>
  <c r="BC33" i="3"/>
  <c r="BE33" i="3"/>
  <c r="BG33" i="3" s="1"/>
  <c r="BF33" i="3"/>
  <c r="BH33" i="3"/>
  <c r="BI33" i="3"/>
  <c r="BJ33" i="3" s="1"/>
  <c r="BK33" i="3"/>
  <c r="BM33" i="3" s="1"/>
  <c r="BL33" i="3"/>
  <c r="BN33" i="3"/>
  <c r="BO33" i="3"/>
  <c r="BQ33" i="3"/>
  <c r="BR33" i="3"/>
  <c r="BS33" i="3"/>
  <c r="BT33" i="3"/>
  <c r="BU33" i="3"/>
  <c r="BW33" i="3"/>
  <c r="BX33" i="3"/>
  <c r="CD33" i="3"/>
  <c r="CF33" i="3" s="1"/>
  <c r="CE33" i="3"/>
  <c r="CG33" i="3"/>
  <c r="CH33" i="3"/>
  <c r="CI33" i="3" s="1"/>
  <c r="CJ33" i="3"/>
  <c r="CL33" i="3" s="1"/>
  <c r="CK33" i="3"/>
  <c r="CM33" i="3"/>
  <c r="CN33" i="3"/>
  <c r="CP33" i="3"/>
  <c r="CR33" i="3" s="1"/>
  <c r="CQ33" i="3"/>
  <c r="CS33" i="3"/>
  <c r="CT33" i="3"/>
  <c r="CU33" i="3" s="1"/>
  <c r="CV33" i="3"/>
  <c r="CW33" i="3"/>
  <c r="CY33" i="3"/>
  <c r="CZ33" i="3"/>
  <c r="DF33" i="3"/>
  <c r="DG33" i="3"/>
  <c r="DH33" i="3" s="1"/>
  <c r="DI33" i="3"/>
  <c r="DJ33" i="3"/>
  <c r="DL33" i="3"/>
  <c r="DM33" i="3"/>
  <c r="DO33" i="3"/>
  <c r="DP33" i="3"/>
  <c r="DR33" i="3"/>
  <c r="DS33" i="3"/>
  <c r="DU33" i="3"/>
  <c r="DW33" i="3" s="1"/>
  <c r="DV33" i="3"/>
  <c r="DX33" i="3"/>
  <c r="DY33" i="3"/>
  <c r="EE33" i="3"/>
  <c r="EF33" i="3"/>
  <c r="EH33" i="3"/>
  <c r="EJ33" i="3" s="1"/>
  <c r="EI33" i="3"/>
  <c r="EK33" i="3"/>
  <c r="EL33" i="3"/>
  <c r="EN33" i="3"/>
  <c r="EO33" i="3"/>
  <c r="EP33" i="3"/>
  <c r="EQ33" i="3"/>
  <c r="ER33" i="3"/>
  <c r="ES33" i="3" s="1"/>
  <c r="ET33" i="3"/>
  <c r="EU33" i="3"/>
  <c r="FA33" i="3"/>
  <c r="FB33" i="3"/>
  <c r="FC33" i="3" s="1"/>
  <c r="FD33" i="3"/>
  <c r="FE33" i="3"/>
  <c r="FG33" i="3"/>
  <c r="FI33" i="3" s="1"/>
  <c r="FH33" i="3"/>
  <c r="FJ33" i="3"/>
  <c r="FK33" i="3"/>
  <c r="FM33" i="3"/>
  <c r="FN33" i="3"/>
  <c r="FO33" i="3"/>
  <c r="FT33" i="3"/>
  <c r="FU33" i="3"/>
  <c r="FW33" i="3"/>
  <c r="FX33" i="3"/>
  <c r="FZ33" i="3"/>
  <c r="GA33" i="3"/>
  <c r="GB33" i="3" s="1"/>
  <c r="GC33" i="3"/>
  <c r="GD33" i="3"/>
  <c r="GJ33" i="3"/>
  <c r="GK33" i="3"/>
  <c r="GM33" i="3"/>
  <c r="GO33" i="3" s="1"/>
  <c r="GN33" i="3"/>
  <c r="GP33" i="3"/>
  <c r="GQ33" i="3"/>
  <c r="GR33" i="3" s="1"/>
  <c r="GW33" i="3"/>
  <c r="GX33" i="3"/>
  <c r="GZ33" i="3"/>
  <c r="HA33" i="3"/>
  <c r="HG33" i="3"/>
  <c r="HI33" i="3" s="1"/>
  <c r="HH33" i="3"/>
  <c r="L34" i="3"/>
  <c r="AY34" i="3"/>
  <c r="AZ34" i="3"/>
  <c r="BA34" i="3" s="1"/>
  <c r="BB34" i="3"/>
  <c r="BC34" i="3"/>
  <c r="BE34" i="3"/>
  <c r="BG34" i="3" s="1"/>
  <c r="BF34" i="3"/>
  <c r="BH34" i="3"/>
  <c r="BI34" i="3"/>
  <c r="BK34" i="3"/>
  <c r="BM34" i="3" s="1"/>
  <c r="BL34" i="3"/>
  <c r="BN34" i="3"/>
  <c r="BO34" i="3"/>
  <c r="BP34" i="3" s="1"/>
  <c r="BQ34" i="3"/>
  <c r="BS34" i="3" s="1"/>
  <c r="BR34" i="3"/>
  <c r="BT34" i="3"/>
  <c r="BU34" i="3"/>
  <c r="BW34" i="3"/>
  <c r="BY34" i="3" s="1"/>
  <c r="BX34" i="3"/>
  <c r="CD34" i="3"/>
  <c r="CE34" i="3"/>
  <c r="CG34" i="3"/>
  <c r="CH34" i="3"/>
  <c r="CJ34" i="3"/>
  <c r="CK34" i="3"/>
  <c r="CM34" i="3"/>
  <c r="CN34" i="3"/>
  <c r="CO34" i="3"/>
  <c r="CP34" i="3"/>
  <c r="CR34" i="3" s="1"/>
  <c r="CQ34" i="3"/>
  <c r="CS34" i="3"/>
  <c r="CT34" i="3"/>
  <c r="CV34" i="3"/>
  <c r="CW34" i="3"/>
  <c r="CX34" i="3"/>
  <c r="CY34" i="3"/>
  <c r="DA34" i="3" s="1"/>
  <c r="CZ34" i="3"/>
  <c r="DF34" i="3"/>
  <c r="DG34" i="3"/>
  <c r="DI34" i="3"/>
  <c r="DJ34" i="3"/>
  <c r="DK34" i="3"/>
  <c r="DL34" i="3"/>
  <c r="DN34" i="3" s="1"/>
  <c r="DM34" i="3"/>
  <c r="DO34" i="3"/>
  <c r="DP34" i="3"/>
  <c r="DR34" i="3"/>
  <c r="DT34" i="3" s="1"/>
  <c r="DS34" i="3"/>
  <c r="DU34" i="3"/>
  <c r="DV34" i="3"/>
  <c r="DX34" i="3"/>
  <c r="DY34" i="3"/>
  <c r="DZ34" i="3"/>
  <c r="EE34" i="3"/>
  <c r="EG34" i="3" s="1"/>
  <c r="EF34" i="3"/>
  <c r="EH34" i="3"/>
  <c r="EI34" i="3"/>
  <c r="EK34" i="3"/>
  <c r="EL34" i="3"/>
  <c r="EM34" i="3"/>
  <c r="EN34" i="3"/>
  <c r="EP34" i="3" s="1"/>
  <c r="EO34" i="3"/>
  <c r="EQ34" i="3"/>
  <c r="ER34" i="3"/>
  <c r="ET34" i="3"/>
  <c r="EU34" i="3"/>
  <c r="EV34" i="3"/>
  <c r="FA34" i="3"/>
  <c r="FC34" i="3" s="1"/>
  <c r="FB34" i="3"/>
  <c r="FD34" i="3"/>
  <c r="FE34" i="3"/>
  <c r="FG34" i="3"/>
  <c r="FI34" i="3" s="1"/>
  <c r="FH34" i="3"/>
  <c r="FJ34" i="3"/>
  <c r="FK34" i="3"/>
  <c r="FM34" i="3"/>
  <c r="FN34" i="3"/>
  <c r="FT34" i="3"/>
  <c r="FV34" i="3" s="1"/>
  <c r="FU34" i="3"/>
  <c r="FW34" i="3"/>
  <c r="FY34" i="3" s="1"/>
  <c r="FX34" i="3"/>
  <c r="FZ34" i="3"/>
  <c r="GA34" i="3"/>
  <c r="GC34" i="3"/>
  <c r="GE34" i="3" s="1"/>
  <c r="GD34" i="3"/>
  <c r="GJ34" i="3"/>
  <c r="GK34" i="3"/>
  <c r="GL34" i="3"/>
  <c r="GM34" i="3"/>
  <c r="GO34" i="3" s="1"/>
  <c r="GN34" i="3"/>
  <c r="GP34" i="3"/>
  <c r="GQ34" i="3"/>
  <c r="GW34" i="3"/>
  <c r="GX34" i="3"/>
  <c r="GY34" i="3"/>
  <c r="GZ34" i="3"/>
  <c r="HB34" i="3" s="1"/>
  <c r="HA34" i="3"/>
  <c r="HG34" i="3"/>
  <c r="HH34" i="3"/>
  <c r="HI34" i="3"/>
  <c r="L35" i="3"/>
  <c r="AY35" i="3"/>
  <c r="AZ35" i="3"/>
  <c r="BB35" i="3"/>
  <c r="BD35" i="3" s="1"/>
  <c r="BC35" i="3"/>
  <c r="BE35" i="3"/>
  <c r="BF35" i="3"/>
  <c r="BG35" i="3"/>
  <c r="BH35" i="3"/>
  <c r="BI35" i="3"/>
  <c r="BJ35" i="3"/>
  <c r="BK35" i="3"/>
  <c r="BM35" i="3" s="1"/>
  <c r="BL35" i="3"/>
  <c r="BN35" i="3"/>
  <c r="BO35" i="3"/>
  <c r="BQ35" i="3"/>
  <c r="BS35" i="3" s="1"/>
  <c r="BR35" i="3"/>
  <c r="BT35" i="3"/>
  <c r="BU35" i="3"/>
  <c r="BW35" i="3"/>
  <c r="BX35" i="3"/>
  <c r="CD35" i="3"/>
  <c r="CF35" i="3" s="1"/>
  <c r="CE35" i="3"/>
  <c r="CG35" i="3"/>
  <c r="CI35" i="3" s="1"/>
  <c r="CH35" i="3"/>
  <c r="CJ35" i="3"/>
  <c r="CK35" i="3"/>
  <c r="CM35" i="3"/>
  <c r="CN35" i="3"/>
  <c r="CP35" i="3"/>
  <c r="CQ35" i="3"/>
  <c r="CR35" i="3"/>
  <c r="CS35" i="3"/>
  <c r="CT35" i="3"/>
  <c r="CU35" i="3"/>
  <c r="CV35" i="3"/>
  <c r="CX35" i="3" s="1"/>
  <c r="CW35" i="3"/>
  <c r="CY35" i="3"/>
  <c r="CZ35" i="3"/>
  <c r="DF35" i="3"/>
  <c r="DH35" i="3" s="1"/>
  <c r="DG35" i="3"/>
  <c r="DI35" i="3"/>
  <c r="DJ35" i="3"/>
  <c r="DL35" i="3"/>
  <c r="DN35" i="3" s="1"/>
  <c r="DM35" i="3"/>
  <c r="DO35" i="3"/>
  <c r="DP35" i="3"/>
  <c r="DR35" i="3"/>
  <c r="DS35" i="3"/>
  <c r="DT35" i="3"/>
  <c r="DU35" i="3"/>
  <c r="DW35" i="3" s="1"/>
  <c r="DV35" i="3"/>
  <c r="DX35" i="3"/>
  <c r="DY35" i="3"/>
  <c r="EE35" i="3"/>
  <c r="EF35" i="3"/>
  <c r="EG35" i="3"/>
  <c r="EH35" i="3"/>
  <c r="EJ35" i="3" s="1"/>
  <c r="EI35" i="3"/>
  <c r="EK35" i="3"/>
  <c r="EL35" i="3"/>
  <c r="EN35" i="3"/>
  <c r="EP35" i="3" s="1"/>
  <c r="EO35" i="3"/>
  <c r="EQ35" i="3"/>
  <c r="ES35" i="3" s="1"/>
  <c r="ER35" i="3"/>
  <c r="ET35" i="3"/>
  <c r="EU35" i="3"/>
  <c r="FA35" i="3"/>
  <c r="FC35" i="3" s="1"/>
  <c r="FB35" i="3"/>
  <c r="FD35" i="3"/>
  <c r="FE35" i="3"/>
  <c r="FG35" i="3"/>
  <c r="FH35" i="3"/>
  <c r="FJ35" i="3"/>
  <c r="FL35" i="3" s="1"/>
  <c r="FK35" i="3"/>
  <c r="FM35" i="3"/>
  <c r="FN35" i="3"/>
  <c r="FO35" i="3"/>
  <c r="FT35" i="3"/>
  <c r="FV35" i="3" s="1"/>
  <c r="FU35" i="3"/>
  <c r="FW35" i="3"/>
  <c r="FX35" i="3"/>
  <c r="FZ35" i="3"/>
  <c r="GA35" i="3"/>
  <c r="GB35" i="3"/>
  <c r="GC35" i="3"/>
  <c r="GE35" i="3" s="1"/>
  <c r="GD35" i="3"/>
  <c r="GJ35" i="3"/>
  <c r="GK35" i="3"/>
  <c r="GM35" i="3"/>
  <c r="GN35" i="3"/>
  <c r="GO35" i="3"/>
  <c r="GP35" i="3"/>
  <c r="GR35" i="3" s="1"/>
  <c r="GQ35" i="3"/>
  <c r="GW35" i="3"/>
  <c r="GX35" i="3"/>
  <c r="GZ35" i="3"/>
  <c r="HA35" i="3"/>
  <c r="HB35" i="3"/>
  <c r="HG35" i="3"/>
  <c r="HI35" i="3" s="1"/>
  <c r="HH35" i="3"/>
  <c r="L36" i="3"/>
  <c r="AY36" i="3"/>
  <c r="BA36" i="3" s="1"/>
  <c r="AZ36" i="3"/>
  <c r="BB36" i="3"/>
  <c r="BC36" i="3"/>
  <c r="BD36" i="3"/>
  <c r="BE36" i="3"/>
  <c r="BG36" i="3" s="1"/>
  <c r="BF36" i="3"/>
  <c r="BH36" i="3"/>
  <c r="BI36" i="3"/>
  <c r="BK36" i="3"/>
  <c r="BL36" i="3"/>
  <c r="BM36" i="3"/>
  <c r="BN36" i="3"/>
  <c r="BP36" i="3" s="1"/>
  <c r="BO36" i="3"/>
  <c r="BQ36" i="3"/>
  <c r="BR36" i="3"/>
  <c r="BT36" i="3"/>
  <c r="BU36" i="3"/>
  <c r="BW36" i="3"/>
  <c r="BX36" i="3"/>
  <c r="CD36" i="3"/>
  <c r="CE36" i="3"/>
  <c r="CG36" i="3"/>
  <c r="CI36" i="3" s="1"/>
  <c r="CH36" i="3"/>
  <c r="CJ36" i="3"/>
  <c r="CK36" i="3"/>
  <c r="CL36" i="3"/>
  <c r="CM36" i="3"/>
  <c r="CN36" i="3"/>
  <c r="CO36" i="3"/>
  <c r="CP36" i="3"/>
  <c r="CR36" i="3" s="1"/>
  <c r="CQ36" i="3"/>
  <c r="CS36" i="3"/>
  <c r="CT36" i="3"/>
  <c r="CV36" i="3"/>
  <c r="CX36" i="3" s="1"/>
  <c r="CW36" i="3"/>
  <c r="CY36" i="3"/>
  <c r="DA36" i="3" s="1"/>
  <c r="CZ36" i="3"/>
  <c r="DF36" i="3"/>
  <c r="DG36" i="3"/>
  <c r="DI36" i="3"/>
  <c r="DK36" i="3" s="1"/>
  <c r="DJ36" i="3"/>
  <c r="DL36" i="3"/>
  <c r="DM36" i="3"/>
  <c r="DO36" i="3"/>
  <c r="DP36" i="3"/>
  <c r="DR36" i="3"/>
  <c r="DS36" i="3"/>
  <c r="DU36" i="3"/>
  <c r="DV36" i="3"/>
  <c r="DW36" i="3"/>
  <c r="DX36" i="3"/>
  <c r="DY36" i="3"/>
  <c r="DZ36" i="3"/>
  <c r="EE36" i="3"/>
  <c r="EF36" i="3"/>
  <c r="EH36" i="3"/>
  <c r="EI36" i="3"/>
  <c r="EJ36" i="3"/>
  <c r="EK36" i="3"/>
  <c r="EL36" i="3"/>
  <c r="EM36" i="3"/>
  <c r="EN36" i="3"/>
  <c r="EP36" i="3" s="1"/>
  <c r="EO36" i="3"/>
  <c r="EQ36" i="3"/>
  <c r="ER36" i="3"/>
  <c r="ET36" i="3"/>
  <c r="EV36" i="3" s="1"/>
  <c r="EU36" i="3"/>
  <c r="FA36" i="3"/>
  <c r="FB36" i="3"/>
  <c r="FD36" i="3"/>
  <c r="FF36" i="3" s="1"/>
  <c r="FE36" i="3"/>
  <c r="FG36" i="3"/>
  <c r="FI36" i="3" s="1"/>
  <c r="FH36" i="3"/>
  <c r="FJ36" i="3"/>
  <c r="FK36" i="3"/>
  <c r="FL36" i="3"/>
  <c r="FM36" i="3"/>
  <c r="FO36" i="3" s="1"/>
  <c r="FN36" i="3"/>
  <c r="FT36" i="3"/>
  <c r="FU36" i="3"/>
  <c r="FW36" i="3"/>
  <c r="FX36" i="3"/>
  <c r="FY36" i="3"/>
  <c r="FZ36" i="3"/>
  <c r="GB36" i="3" s="1"/>
  <c r="GA36" i="3"/>
  <c r="GC36" i="3"/>
  <c r="GD36" i="3"/>
  <c r="GJ36" i="3"/>
  <c r="GK36" i="3"/>
  <c r="GL36" i="3"/>
  <c r="GM36" i="3"/>
  <c r="GO36" i="3" s="1"/>
  <c r="GN36" i="3"/>
  <c r="GP36" i="3"/>
  <c r="GQ36" i="3"/>
  <c r="GW36" i="3"/>
  <c r="GY36" i="3" s="1"/>
  <c r="GX36" i="3"/>
  <c r="GZ36" i="3"/>
  <c r="HA36" i="3"/>
  <c r="HG36" i="3"/>
  <c r="HH36" i="3"/>
  <c r="HI36" i="3"/>
  <c r="L37" i="3"/>
  <c r="AY37" i="3"/>
  <c r="BA37" i="3" s="1"/>
  <c r="AZ37" i="3"/>
  <c r="BB37" i="3"/>
  <c r="BC37" i="3"/>
  <c r="BE37" i="3"/>
  <c r="BF37" i="3"/>
  <c r="BG37" i="3"/>
  <c r="BH37" i="3"/>
  <c r="BJ37" i="3" s="1"/>
  <c r="BI37" i="3"/>
  <c r="BK37" i="3"/>
  <c r="BL37" i="3"/>
  <c r="BN37" i="3"/>
  <c r="BP37" i="3" s="1"/>
  <c r="BO37" i="3"/>
  <c r="BQ37" i="3"/>
  <c r="BS37" i="3" s="1"/>
  <c r="BR37" i="3"/>
  <c r="BT37" i="3"/>
  <c r="BU37" i="3"/>
  <c r="BV37" i="3"/>
  <c r="BW37" i="3"/>
  <c r="BY37" i="3" s="1"/>
  <c r="BX37" i="3"/>
  <c r="CD37" i="3"/>
  <c r="CE37" i="3"/>
  <c r="CG37" i="3"/>
  <c r="CH37" i="3"/>
  <c r="CI37" i="3"/>
  <c r="CJ37" i="3"/>
  <c r="CL37" i="3" s="1"/>
  <c r="CK37" i="3"/>
  <c r="CM37" i="3"/>
  <c r="CN37" i="3"/>
  <c r="CP37" i="3"/>
  <c r="CQ37" i="3"/>
  <c r="CR37" i="3"/>
  <c r="CS37" i="3"/>
  <c r="CU37" i="3" s="1"/>
  <c r="CT37" i="3"/>
  <c r="CV37" i="3"/>
  <c r="CW37" i="3"/>
  <c r="CY37" i="3"/>
  <c r="CZ37" i="3"/>
  <c r="DF37" i="3"/>
  <c r="DH37" i="3" s="1"/>
  <c r="DG37" i="3"/>
  <c r="DI37" i="3"/>
  <c r="DJ37" i="3"/>
  <c r="DL37" i="3"/>
  <c r="DM37" i="3"/>
  <c r="DO37" i="3"/>
  <c r="DP37" i="3"/>
  <c r="DQ37" i="3"/>
  <c r="DR37" i="3"/>
  <c r="DS37" i="3"/>
  <c r="DT37" i="3"/>
  <c r="DU37" i="3"/>
  <c r="DW37" i="3" s="1"/>
  <c r="DV37" i="3"/>
  <c r="DX37" i="3"/>
  <c r="DY37" i="3"/>
  <c r="EE37" i="3"/>
  <c r="EG37" i="3" s="1"/>
  <c r="EF37" i="3"/>
  <c r="EH37" i="3"/>
  <c r="EI37" i="3"/>
  <c r="EK37" i="3"/>
  <c r="EL37" i="3"/>
  <c r="EN37" i="3"/>
  <c r="EO37" i="3"/>
  <c r="EP37" i="3" s="1"/>
  <c r="EQ37" i="3"/>
  <c r="ER37" i="3"/>
  <c r="ES37" i="3"/>
  <c r="ET37" i="3"/>
  <c r="EV37" i="3" s="1"/>
  <c r="EU37" i="3"/>
  <c r="FA37" i="3"/>
  <c r="FB37" i="3"/>
  <c r="FC37" i="3"/>
  <c r="FD37" i="3"/>
  <c r="FE37" i="3"/>
  <c r="FF37" i="3"/>
  <c r="FG37" i="3"/>
  <c r="FI37" i="3" s="1"/>
  <c r="FH37" i="3"/>
  <c r="FJ37" i="3"/>
  <c r="FK37" i="3"/>
  <c r="FM37" i="3"/>
  <c r="FN37" i="3"/>
  <c r="FT37" i="3"/>
  <c r="FU37" i="3"/>
  <c r="FW37" i="3"/>
  <c r="FX37" i="3"/>
  <c r="FZ37" i="3"/>
  <c r="GA37" i="3"/>
  <c r="GB37" i="3" s="1"/>
  <c r="GC37" i="3"/>
  <c r="GE37" i="3" s="1"/>
  <c r="GD37" i="3"/>
  <c r="GJ37" i="3"/>
  <c r="GK37" i="3"/>
  <c r="GM37" i="3"/>
  <c r="GN37" i="3"/>
  <c r="GO37" i="3"/>
  <c r="GP37" i="3"/>
  <c r="GR37" i="3" s="1"/>
  <c r="GQ37" i="3"/>
  <c r="GW37" i="3"/>
  <c r="GX37" i="3"/>
  <c r="GZ37" i="3"/>
  <c r="HA37" i="3"/>
  <c r="HB37" i="3"/>
  <c r="HG37" i="3"/>
  <c r="HI37" i="3" s="1"/>
  <c r="HH37" i="3"/>
  <c r="L38" i="3"/>
  <c r="AY38" i="3"/>
  <c r="AZ38" i="3"/>
  <c r="BA38" i="3" s="1"/>
  <c r="BB38" i="3"/>
  <c r="BC38" i="3"/>
  <c r="BD38" i="3"/>
  <c r="BE38" i="3"/>
  <c r="BG38" i="3" s="1"/>
  <c r="BF38" i="3"/>
  <c r="BH38" i="3"/>
  <c r="BI38" i="3"/>
  <c r="BK38" i="3"/>
  <c r="BM38" i="3" s="1"/>
  <c r="BL38" i="3"/>
  <c r="BN38" i="3"/>
  <c r="BP38" i="3" s="1"/>
  <c r="BO38" i="3"/>
  <c r="BQ38" i="3"/>
  <c r="BR38" i="3"/>
  <c r="BT38" i="3"/>
  <c r="BU38" i="3"/>
  <c r="BW38" i="3"/>
  <c r="BX38" i="3"/>
  <c r="BY38" i="3" s="1"/>
  <c r="CD38" i="3"/>
  <c r="CF38" i="3" s="1"/>
  <c r="CE38" i="3"/>
  <c r="CG38" i="3"/>
  <c r="CH38" i="3"/>
  <c r="CJ38" i="3"/>
  <c r="CK38" i="3"/>
  <c r="CM38" i="3"/>
  <c r="CN38" i="3"/>
  <c r="CO38" i="3"/>
  <c r="CP38" i="3"/>
  <c r="CR38" i="3" s="1"/>
  <c r="CQ38" i="3"/>
  <c r="CS38" i="3"/>
  <c r="CT38" i="3"/>
  <c r="CV38" i="3"/>
  <c r="CW38" i="3"/>
  <c r="CX38" i="3"/>
  <c r="CY38" i="3"/>
  <c r="DA38" i="3" s="1"/>
  <c r="CZ38" i="3"/>
  <c r="DF38" i="3"/>
  <c r="DG38" i="3"/>
  <c r="DI38" i="3"/>
  <c r="DJ38" i="3"/>
  <c r="DL38" i="3"/>
  <c r="DM38" i="3"/>
  <c r="DO38" i="3"/>
  <c r="DP38" i="3"/>
  <c r="DR38" i="3"/>
  <c r="DS38" i="3"/>
  <c r="DU38" i="3"/>
  <c r="DV38" i="3"/>
  <c r="DW38" i="3"/>
  <c r="DX38" i="3"/>
  <c r="DY38" i="3"/>
  <c r="DZ38" i="3"/>
  <c r="EE38" i="3"/>
  <c r="EG38" i="3" s="1"/>
  <c r="EF38" i="3"/>
  <c r="EH38" i="3"/>
  <c r="EI38" i="3"/>
  <c r="EJ38" i="3"/>
  <c r="EK38" i="3"/>
  <c r="EL38" i="3"/>
  <c r="EM38" i="3"/>
  <c r="EN38" i="3"/>
  <c r="EP38" i="3" s="1"/>
  <c r="EO38" i="3"/>
  <c r="EQ38" i="3"/>
  <c r="ER38" i="3"/>
  <c r="ET38" i="3"/>
  <c r="EU38" i="3"/>
  <c r="FA38" i="3"/>
  <c r="FB38" i="3"/>
  <c r="FD38" i="3"/>
  <c r="FE38" i="3"/>
  <c r="FG38" i="3"/>
  <c r="FH38" i="3"/>
  <c r="FJ38" i="3"/>
  <c r="FK38" i="3"/>
  <c r="FM38" i="3"/>
  <c r="FN38" i="3"/>
  <c r="FO38" i="3"/>
  <c r="FT38" i="3"/>
  <c r="FU38" i="3"/>
  <c r="FW38" i="3"/>
  <c r="FX38" i="3"/>
  <c r="FZ38" i="3"/>
  <c r="GA38" i="3"/>
  <c r="GB38" i="3"/>
  <c r="GC38" i="3"/>
  <c r="GE38" i="3" s="1"/>
  <c r="GD38" i="3"/>
  <c r="GJ38" i="3"/>
  <c r="GL38" i="3" s="1"/>
  <c r="GK38" i="3"/>
  <c r="GM38" i="3"/>
  <c r="GN38" i="3"/>
  <c r="GP38" i="3"/>
  <c r="GQ38" i="3"/>
  <c r="GW38" i="3"/>
  <c r="GX38" i="3"/>
  <c r="GY38" i="3" s="1"/>
  <c r="GZ38" i="3"/>
  <c r="HB38" i="3" s="1"/>
  <c r="HA38" i="3"/>
  <c r="HG38" i="3"/>
  <c r="HH38" i="3"/>
  <c r="L39" i="3"/>
  <c r="AY39" i="3"/>
  <c r="BA39" i="3" s="1"/>
  <c r="AZ39" i="3"/>
  <c r="BB39" i="3"/>
  <c r="BC39" i="3"/>
  <c r="BE39" i="3"/>
  <c r="BF39" i="3"/>
  <c r="BG39" i="3"/>
  <c r="BH39" i="3"/>
  <c r="BJ39" i="3" s="1"/>
  <c r="BI39" i="3"/>
  <c r="BK39" i="3"/>
  <c r="BL39" i="3"/>
  <c r="BN39" i="3"/>
  <c r="BO39" i="3"/>
  <c r="BQ39" i="3"/>
  <c r="BS39" i="3" s="1"/>
  <c r="BR39" i="3"/>
  <c r="BT39" i="3"/>
  <c r="BU39" i="3"/>
  <c r="BV39" i="3"/>
  <c r="BW39" i="3"/>
  <c r="BY39" i="3" s="1"/>
  <c r="BX39" i="3"/>
  <c r="CD39" i="3"/>
  <c r="CE39" i="3"/>
  <c r="CG39" i="3"/>
  <c r="CH39" i="3"/>
  <c r="CI39" i="3"/>
  <c r="CJ39" i="3"/>
  <c r="CL39" i="3" s="1"/>
  <c r="CK39" i="3"/>
  <c r="CM39" i="3"/>
  <c r="CN39" i="3"/>
  <c r="CP39" i="3"/>
  <c r="CQ39" i="3"/>
  <c r="CR39" i="3"/>
  <c r="CS39" i="3"/>
  <c r="CU39" i="3" s="1"/>
  <c r="CT39" i="3"/>
  <c r="CV39" i="3"/>
  <c r="CW39" i="3"/>
  <c r="CY39" i="3"/>
  <c r="DA39" i="3" s="1"/>
  <c r="CZ39" i="3"/>
  <c r="DF39" i="3"/>
  <c r="DG39" i="3"/>
  <c r="DI39" i="3"/>
  <c r="DJ39" i="3"/>
  <c r="DL39" i="3"/>
  <c r="DN39" i="3" s="1"/>
  <c r="DM39" i="3"/>
  <c r="DO39" i="3"/>
  <c r="DP39" i="3"/>
  <c r="DQ39" i="3"/>
  <c r="DR39" i="3"/>
  <c r="DS39" i="3"/>
  <c r="DT39" i="3"/>
  <c r="DU39" i="3"/>
  <c r="DW39" i="3" s="1"/>
  <c r="DV39" i="3"/>
  <c r="DX39" i="3"/>
  <c r="DY39" i="3"/>
  <c r="EE39" i="3"/>
  <c r="EG39" i="3" s="1"/>
  <c r="EF39" i="3"/>
  <c r="EH39" i="3"/>
  <c r="EI39" i="3"/>
  <c r="EK39" i="3"/>
  <c r="EL39" i="3"/>
  <c r="EN39" i="3"/>
  <c r="EO39" i="3"/>
  <c r="EQ39" i="3"/>
  <c r="ER39" i="3"/>
  <c r="ES39" i="3"/>
  <c r="ET39" i="3"/>
  <c r="EV39" i="3" s="1"/>
  <c r="EU39" i="3"/>
  <c r="FA39" i="3"/>
  <c r="FC39" i="3" s="1"/>
  <c r="FB39" i="3"/>
  <c r="FD39" i="3"/>
  <c r="FE39" i="3"/>
  <c r="FF39" i="3"/>
  <c r="FG39" i="3"/>
  <c r="FI39" i="3" s="1"/>
  <c r="FH39" i="3"/>
  <c r="FJ39" i="3"/>
  <c r="FK39" i="3"/>
  <c r="FM39" i="3"/>
  <c r="FN39" i="3"/>
  <c r="FO39" i="3"/>
  <c r="FT39" i="3"/>
  <c r="FV39" i="3" s="1"/>
  <c r="FU39" i="3"/>
  <c r="FW39" i="3"/>
  <c r="FX39" i="3"/>
  <c r="FZ39" i="3"/>
  <c r="GB39" i="3" s="1"/>
  <c r="GA39" i="3"/>
  <c r="GC39" i="3"/>
  <c r="GE39" i="3" s="1"/>
  <c r="GD39" i="3"/>
  <c r="GJ39" i="3"/>
  <c r="GK39" i="3"/>
  <c r="GM39" i="3"/>
  <c r="GO39" i="3" s="1"/>
  <c r="GN39" i="3"/>
  <c r="GP39" i="3"/>
  <c r="GR39" i="3" s="1"/>
  <c r="GQ39" i="3"/>
  <c r="GW39" i="3"/>
  <c r="GX39" i="3"/>
  <c r="GZ39" i="3"/>
  <c r="HB39" i="3" s="1"/>
  <c r="HA39" i="3"/>
  <c r="HG39" i="3"/>
  <c r="HH39" i="3"/>
  <c r="L40" i="3"/>
  <c r="AY40" i="3"/>
  <c r="AZ40" i="3"/>
  <c r="BA40" i="3"/>
  <c r="BB40" i="3"/>
  <c r="BC40" i="3"/>
  <c r="BD40" i="3"/>
  <c r="BE40" i="3"/>
  <c r="BG40" i="3" s="1"/>
  <c r="BF40" i="3"/>
  <c r="BH40" i="3"/>
  <c r="BI40" i="3"/>
  <c r="BK40" i="3"/>
  <c r="BM40" i="3" s="1"/>
  <c r="BL40" i="3"/>
  <c r="BN40" i="3"/>
  <c r="BO40" i="3"/>
  <c r="BQ40" i="3"/>
  <c r="BR40" i="3"/>
  <c r="BT40" i="3"/>
  <c r="BU40" i="3"/>
  <c r="BW40" i="3"/>
  <c r="BX40" i="3"/>
  <c r="BY40" i="3"/>
  <c r="CD40" i="3"/>
  <c r="CF40" i="3" s="1"/>
  <c r="CE40" i="3"/>
  <c r="CG40" i="3"/>
  <c r="CH40" i="3"/>
  <c r="CJ40" i="3"/>
  <c r="CK40" i="3"/>
  <c r="CL40" i="3"/>
  <c r="CM40" i="3"/>
  <c r="CO40" i="3" s="1"/>
  <c r="CN40" i="3"/>
  <c r="CP40" i="3"/>
  <c r="CQ40" i="3"/>
  <c r="CS40" i="3"/>
  <c r="CT40" i="3"/>
  <c r="CV40" i="3"/>
  <c r="CW40" i="3"/>
  <c r="CY40" i="3"/>
  <c r="CZ40" i="3"/>
  <c r="DA40" i="3"/>
  <c r="DF40" i="3"/>
  <c r="DH40" i="3" s="1"/>
  <c r="DG40" i="3"/>
  <c r="DI40" i="3"/>
  <c r="DJ40" i="3"/>
  <c r="DL40" i="3"/>
  <c r="DM40" i="3"/>
  <c r="DN40" i="3"/>
  <c r="DO40" i="3"/>
  <c r="DQ40" i="3" s="1"/>
  <c r="DP40" i="3"/>
  <c r="DR40" i="3"/>
  <c r="DS40" i="3"/>
  <c r="DU40" i="3"/>
  <c r="DV40" i="3"/>
  <c r="DW40" i="3"/>
  <c r="DX40" i="3"/>
  <c r="DZ40" i="3" s="1"/>
  <c r="DY40" i="3"/>
  <c r="EE40" i="3"/>
  <c r="EF40" i="3"/>
  <c r="EH40" i="3"/>
  <c r="EI40" i="3"/>
  <c r="EJ40" i="3"/>
  <c r="EK40" i="3"/>
  <c r="EM40" i="3" s="1"/>
  <c r="EL40" i="3"/>
  <c r="EN40" i="3"/>
  <c r="EO40" i="3"/>
  <c r="EQ40" i="3"/>
  <c r="ER40" i="3"/>
  <c r="ET40" i="3"/>
  <c r="EU40" i="3"/>
  <c r="FA40" i="3"/>
  <c r="FB40" i="3"/>
  <c r="FD40" i="3"/>
  <c r="FF40" i="3" s="1"/>
  <c r="FE40" i="3"/>
  <c r="FG40" i="3"/>
  <c r="FH40" i="3"/>
  <c r="FI40" i="3"/>
  <c r="FJ40" i="3"/>
  <c r="FK40" i="3"/>
  <c r="FL40" i="3"/>
  <c r="FM40" i="3"/>
  <c r="FO40" i="3" s="1"/>
  <c r="FN40" i="3"/>
  <c r="FT40" i="3"/>
  <c r="FU40" i="3"/>
  <c r="FV40" i="3"/>
  <c r="FW40" i="3"/>
  <c r="FX40" i="3"/>
  <c r="FY40" i="3"/>
  <c r="FZ40" i="3"/>
  <c r="GB40" i="3" s="1"/>
  <c r="GA40" i="3"/>
  <c r="GC40" i="3"/>
  <c r="GD40" i="3"/>
  <c r="GJ40" i="3"/>
  <c r="GL40" i="3" s="1"/>
  <c r="GK40" i="3"/>
  <c r="GM40" i="3"/>
  <c r="GN40" i="3"/>
  <c r="GP40" i="3"/>
  <c r="GQ40" i="3"/>
  <c r="GW40" i="3"/>
  <c r="GX40" i="3"/>
  <c r="GZ40" i="3"/>
  <c r="HA40" i="3"/>
  <c r="HG40" i="3"/>
  <c r="HI40" i="3" s="1"/>
  <c r="HH40" i="3"/>
  <c r="L41" i="3"/>
  <c r="AY41" i="3"/>
  <c r="BA41" i="3" s="1"/>
  <c r="AZ41" i="3"/>
  <c r="BB41" i="3"/>
  <c r="BC41" i="3"/>
  <c r="BE41" i="3"/>
  <c r="BG41" i="3" s="1"/>
  <c r="BF41" i="3"/>
  <c r="BH41" i="3"/>
  <c r="BI41" i="3"/>
  <c r="BK41" i="3"/>
  <c r="BL41" i="3"/>
  <c r="BN41" i="3"/>
  <c r="BO41" i="3"/>
  <c r="BQ41" i="3"/>
  <c r="BR41" i="3"/>
  <c r="BS41" i="3"/>
  <c r="BT41" i="3"/>
  <c r="BU41" i="3"/>
  <c r="BV41" i="3"/>
  <c r="BW41" i="3"/>
  <c r="BY41" i="3" s="1"/>
  <c r="BX41" i="3"/>
  <c r="CD41" i="3"/>
  <c r="CE41" i="3"/>
  <c r="CF41" i="3"/>
  <c r="CG41" i="3"/>
  <c r="CH41" i="3"/>
  <c r="CI41" i="3"/>
  <c r="CJ41" i="3"/>
  <c r="CL41" i="3" s="1"/>
  <c r="CK41" i="3"/>
  <c r="CM41" i="3"/>
  <c r="CN41" i="3"/>
  <c r="CP41" i="3"/>
  <c r="CR41" i="3" s="1"/>
  <c r="CQ41" i="3"/>
  <c r="CS41" i="3"/>
  <c r="CU41" i="3" s="1"/>
  <c r="CT41" i="3"/>
  <c r="CV41" i="3"/>
  <c r="CW41" i="3"/>
  <c r="CY41" i="3"/>
  <c r="CZ41" i="3"/>
  <c r="DF41" i="3"/>
  <c r="DG41" i="3"/>
  <c r="DH41" i="3"/>
  <c r="DI41" i="3"/>
  <c r="DK41" i="3" s="1"/>
  <c r="DJ41" i="3"/>
  <c r="DL41" i="3"/>
  <c r="DM41" i="3"/>
  <c r="DO41" i="3"/>
  <c r="DP41" i="3"/>
  <c r="DQ41" i="3"/>
  <c r="DR41" i="3"/>
  <c r="DT41" i="3" s="1"/>
  <c r="DS41" i="3"/>
  <c r="DU41" i="3"/>
  <c r="DV41" i="3"/>
  <c r="DX41" i="3"/>
  <c r="DZ41" i="3" s="1"/>
  <c r="DY41" i="3"/>
  <c r="EE41" i="3"/>
  <c r="EG41" i="3" s="1"/>
  <c r="EF41" i="3"/>
  <c r="EH41" i="3"/>
  <c r="EI41" i="3"/>
  <c r="EK41" i="3"/>
  <c r="EM41" i="3" s="1"/>
  <c r="EL41" i="3"/>
  <c r="EN41" i="3"/>
  <c r="EO41" i="3"/>
  <c r="EP41" i="3"/>
  <c r="EQ41" i="3"/>
  <c r="ER41" i="3"/>
  <c r="ES41" i="3"/>
  <c r="ET41" i="3"/>
  <c r="EV41" i="3" s="1"/>
  <c r="EU41" i="3"/>
  <c r="FA41" i="3"/>
  <c r="FB41" i="3"/>
  <c r="FC41" i="3"/>
  <c r="FD41" i="3"/>
  <c r="FE41" i="3"/>
  <c r="FF41" i="3"/>
  <c r="FG41" i="3"/>
  <c r="FI41" i="3" s="1"/>
  <c r="FH41" i="3"/>
  <c r="FJ41" i="3"/>
  <c r="FK41" i="3"/>
  <c r="FM41" i="3"/>
  <c r="FO41" i="3" s="1"/>
  <c r="FN41" i="3"/>
  <c r="FT41" i="3"/>
  <c r="FU41" i="3"/>
  <c r="FW41" i="3"/>
  <c r="FY41" i="3" s="1"/>
  <c r="FX41" i="3"/>
  <c r="FZ41" i="3"/>
  <c r="GB41" i="3" s="1"/>
  <c r="GA41" i="3"/>
  <c r="GC41" i="3"/>
  <c r="GD41" i="3"/>
  <c r="GE41" i="3"/>
  <c r="GJ41" i="3"/>
  <c r="GK41" i="3"/>
  <c r="GM41" i="3"/>
  <c r="GN41" i="3"/>
  <c r="GP41" i="3"/>
  <c r="GQ41" i="3"/>
  <c r="GR41" i="3"/>
  <c r="GW41" i="3"/>
  <c r="GY41" i="3" s="1"/>
  <c r="GX41" i="3"/>
  <c r="GZ41" i="3"/>
  <c r="HB41" i="3" s="1"/>
  <c r="HA41" i="3"/>
  <c r="HG41" i="3"/>
  <c r="HH41" i="3"/>
  <c r="L42" i="3"/>
  <c r="AY42" i="3"/>
  <c r="AZ42" i="3"/>
  <c r="BA42" i="3"/>
  <c r="BB42" i="3"/>
  <c r="BD42" i="3" s="1"/>
  <c r="BC42" i="3"/>
  <c r="BE42" i="3"/>
  <c r="BF42" i="3"/>
  <c r="BH42" i="3"/>
  <c r="BJ42" i="3" s="1"/>
  <c r="BI42" i="3"/>
  <c r="BK42" i="3"/>
  <c r="BM42" i="3" s="1"/>
  <c r="BL42" i="3"/>
  <c r="BN42" i="3"/>
  <c r="BO42" i="3"/>
  <c r="BP42" i="3"/>
  <c r="BQ42" i="3"/>
  <c r="BS42" i="3" s="1"/>
  <c r="BR42" i="3"/>
  <c r="BT42" i="3"/>
  <c r="BU42" i="3"/>
  <c r="BW42" i="3"/>
  <c r="BX42" i="3"/>
  <c r="BY42" i="3"/>
  <c r="CD42" i="3"/>
  <c r="CF42" i="3" s="1"/>
  <c r="CE42" i="3"/>
  <c r="CG42" i="3"/>
  <c r="CH42" i="3"/>
  <c r="CJ42" i="3"/>
  <c r="CL42" i="3" s="1"/>
  <c r="CK42" i="3"/>
  <c r="CM42" i="3"/>
  <c r="CO42" i="3" s="1"/>
  <c r="CN42" i="3"/>
  <c r="CP42" i="3"/>
  <c r="CQ42" i="3"/>
  <c r="CS42" i="3"/>
  <c r="CT42" i="3"/>
  <c r="CV42" i="3"/>
  <c r="CW42" i="3"/>
  <c r="CX42" i="3"/>
  <c r="CY42" i="3"/>
  <c r="CZ42" i="3"/>
  <c r="DA42" i="3"/>
  <c r="DF42" i="3"/>
  <c r="DH42" i="3" s="1"/>
  <c r="DG42" i="3"/>
  <c r="DI42" i="3"/>
  <c r="DJ42" i="3"/>
  <c r="DK42" i="3"/>
  <c r="DL42" i="3"/>
  <c r="DM42" i="3"/>
  <c r="DN42" i="3"/>
  <c r="DO42" i="3"/>
  <c r="DQ42" i="3" s="1"/>
  <c r="DP42" i="3"/>
  <c r="DR42" i="3"/>
  <c r="DS42" i="3"/>
  <c r="DU42" i="3"/>
  <c r="DW42" i="3" s="1"/>
  <c r="DV42" i="3"/>
  <c r="DX42" i="3"/>
  <c r="DZ42" i="3" s="1"/>
  <c r="DY42" i="3"/>
  <c r="EE42" i="3"/>
  <c r="EF42" i="3"/>
  <c r="EH42" i="3"/>
  <c r="EJ42" i="3" s="1"/>
  <c r="EI42" i="3"/>
  <c r="EK42" i="3"/>
  <c r="EM42" i="3" s="1"/>
  <c r="EL42" i="3"/>
  <c r="EN42" i="3"/>
  <c r="EO42" i="3"/>
  <c r="EQ42" i="3"/>
  <c r="ER42" i="3"/>
  <c r="ET42" i="3"/>
  <c r="EU42" i="3"/>
  <c r="EV42" i="3"/>
  <c r="FA42" i="3"/>
  <c r="FC42" i="3" s="1"/>
  <c r="FB42" i="3"/>
  <c r="FD42" i="3"/>
  <c r="FE42" i="3"/>
  <c r="FG42" i="3"/>
  <c r="FH42" i="3"/>
  <c r="FI42" i="3"/>
  <c r="FJ42" i="3"/>
  <c r="FL42" i="3" s="1"/>
  <c r="FK42" i="3"/>
  <c r="FM42" i="3"/>
  <c r="FN42" i="3"/>
  <c r="FT42" i="3"/>
  <c r="FU42" i="3"/>
  <c r="FV42" i="3"/>
  <c r="FW42" i="3"/>
  <c r="FY42" i="3" s="1"/>
  <c r="FX42" i="3"/>
  <c r="FZ42" i="3"/>
  <c r="GA42" i="3"/>
  <c r="GC42" i="3"/>
  <c r="GD42" i="3"/>
  <c r="GJ42" i="3"/>
  <c r="GK42" i="3"/>
  <c r="GM42" i="3"/>
  <c r="GN42" i="3"/>
  <c r="GP42" i="3"/>
  <c r="GQ42" i="3"/>
  <c r="GW42" i="3"/>
  <c r="GX42" i="3"/>
  <c r="GY42" i="3"/>
  <c r="GZ42" i="3"/>
  <c r="HB42" i="3" s="1"/>
  <c r="HA42" i="3"/>
  <c r="HG42" i="3"/>
  <c r="HI42" i="3" s="1"/>
  <c r="HH42" i="3"/>
  <c r="L43" i="3"/>
  <c r="AY43" i="3"/>
  <c r="AZ43" i="3"/>
  <c r="BB43" i="3"/>
  <c r="BC43" i="3"/>
  <c r="BE43" i="3"/>
  <c r="BF43" i="3"/>
  <c r="BH43" i="3"/>
  <c r="BI43" i="3"/>
  <c r="BJ43" i="3"/>
  <c r="BK43" i="3"/>
  <c r="BM43" i="3" s="1"/>
  <c r="BL43" i="3"/>
  <c r="BN43" i="3"/>
  <c r="BO43" i="3"/>
  <c r="BQ43" i="3"/>
  <c r="BR43" i="3"/>
  <c r="BS43" i="3"/>
  <c r="BT43" i="3"/>
  <c r="BV43" i="3" s="1"/>
  <c r="BU43" i="3"/>
  <c r="BW43" i="3"/>
  <c r="BX43" i="3"/>
  <c r="CD43" i="3"/>
  <c r="CE43" i="3"/>
  <c r="CF43" i="3"/>
  <c r="CG43" i="3"/>
  <c r="CI43" i="3" s="1"/>
  <c r="CH43" i="3"/>
  <c r="CJ43" i="3"/>
  <c r="CK43" i="3"/>
  <c r="CM43" i="3"/>
  <c r="CN43" i="3"/>
  <c r="CP43" i="3"/>
  <c r="CR43" i="3" s="1"/>
  <c r="CQ43" i="3"/>
  <c r="CS43" i="3"/>
  <c r="CT43" i="3"/>
  <c r="CU43" i="3"/>
  <c r="CV43" i="3"/>
  <c r="CX43" i="3" s="1"/>
  <c r="CW43" i="3"/>
  <c r="CY43" i="3"/>
  <c r="CZ43" i="3"/>
  <c r="DF43" i="3"/>
  <c r="DG43" i="3"/>
  <c r="DH43" i="3"/>
  <c r="DI43" i="3"/>
  <c r="DK43" i="3" s="1"/>
  <c r="DJ43" i="3"/>
  <c r="DL43" i="3"/>
  <c r="DM43" i="3"/>
  <c r="DO43" i="3"/>
  <c r="DQ43" i="3" s="1"/>
  <c r="DP43" i="3"/>
  <c r="DR43" i="3"/>
  <c r="DT43" i="3" s="1"/>
  <c r="DS43" i="3"/>
  <c r="DU43" i="3"/>
  <c r="DV43" i="3"/>
  <c r="DX43" i="3"/>
  <c r="DZ43" i="3" s="1"/>
  <c r="DY43" i="3"/>
  <c r="EE43" i="3"/>
  <c r="EF43" i="3"/>
  <c r="EG43" i="3"/>
  <c r="EH43" i="3"/>
  <c r="EJ43" i="3" s="1"/>
  <c r="EI43" i="3"/>
  <c r="EK43" i="3"/>
  <c r="EL43" i="3"/>
  <c r="EN43" i="3"/>
  <c r="EO43" i="3"/>
  <c r="EP43" i="3"/>
  <c r="EQ43" i="3"/>
  <c r="ES43" i="3" s="1"/>
  <c r="ER43" i="3"/>
  <c r="ET43" i="3"/>
  <c r="EU43" i="3"/>
  <c r="FA43" i="3"/>
  <c r="FB43" i="3"/>
  <c r="FC43" i="3"/>
  <c r="FD43" i="3"/>
  <c r="FF43" i="3" s="1"/>
  <c r="FE43" i="3"/>
  <c r="FG43" i="3"/>
  <c r="FH43" i="3"/>
  <c r="FJ43" i="3"/>
  <c r="FK43" i="3"/>
  <c r="FM43" i="3"/>
  <c r="FN43" i="3"/>
  <c r="FT43" i="3"/>
  <c r="FU43" i="3"/>
  <c r="FW43" i="3"/>
  <c r="FY43" i="3" s="1"/>
  <c r="FX43" i="3"/>
  <c r="FZ43" i="3"/>
  <c r="GA43" i="3"/>
  <c r="GB43" i="3"/>
  <c r="GC43" i="3"/>
  <c r="GD43" i="3"/>
  <c r="GE43" i="3"/>
  <c r="GJ43" i="3"/>
  <c r="GK43" i="3"/>
  <c r="GM43" i="3"/>
  <c r="GN43" i="3"/>
  <c r="GO43" i="3"/>
  <c r="GP43" i="3"/>
  <c r="GQ43" i="3"/>
  <c r="GR43" i="3"/>
  <c r="GW43" i="3"/>
  <c r="GY43" i="3" s="1"/>
  <c r="GX43" i="3"/>
  <c r="GZ43" i="3"/>
  <c r="HA43" i="3"/>
  <c r="HB43" i="3"/>
  <c r="HG43" i="3"/>
  <c r="HI43" i="3" s="1"/>
  <c r="HH43" i="3"/>
  <c r="L44" i="3"/>
  <c r="AY44" i="3"/>
  <c r="BA44" i="3" s="1"/>
  <c r="AZ44" i="3"/>
  <c r="BB44" i="3"/>
  <c r="BC44" i="3"/>
  <c r="BE44" i="3"/>
  <c r="BF44" i="3"/>
  <c r="BH44" i="3"/>
  <c r="BJ44" i="3" s="1"/>
  <c r="BI44" i="3"/>
  <c r="BK44" i="3"/>
  <c r="BL44" i="3"/>
  <c r="BM44" i="3"/>
  <c r="BN44" i="3"/>
  <c r="BO44" i="3"/>
  <c r="BP44" i="3"/>
  <c r="BQ44" i="3"/>
  <c r="BS44" i="3" s="1"/>
  <c r="BR44" i="3"/>
  <c r="BT44" i="3"/>
  <c r="BU44" i="3"/>
  <c r="BW44" i="3"/>
  <c r="BY44" i="3" s="1"/>
  <c r="BX44" i="3"/>
  <c r="CD44" i="3"/>
  <c r="CE44" i="3"/>
  <c r="CG44" i="3"/>
  <c r="CH44" i="3"/>
  <c r="CJ44" i="3"/>
  <c r="CK44" i="3"/>
  <c r="CM44" i="3"/>
  <c r="CN44" i="3"/>
  <c r="CO44" i="3"/>
  <c r="CP44" i="3"/>
  <c r="CR44" i="3" s="1"/>
  <c r="CQ44" i="3"/>
  <c r="CS44" i="3"/>
  <c r="CT44" i="3"/>
  <c r="CV44" i="3"/>
  <c r="CW44" i="3"/>
  <c r="CX44" i="3"/>
  <c r="CY44" i="3"/>
  <c r="DA44" i="3" s="1"/>
  <c r="CZ44" i="3"/>
  <c r="DF44" i="3"/>
  <c r="DG44" i="3"/>
  <c r="DI44" i="3"/>
  <c r="DJ44" i="3"/>
  <c r="DK44" i="3"/>
  <c r="DL44" i="3"/>
  <c r="DN44" i="3" s="1"/>
  <c r="DM44" i="3"/>
  <c r="DO44" i="3"/>
  <c r="DP44" i="3"/>
  <c r="DR44" i="3"/>
  <c r="DT44" i="3" s="1"/>
  <c r="DS44" i="3"/>
  <c r="DU44" i="3"/>
  <c r="DW44" i="3" s="1"/>
  <c r="DV44" i="3"/>
  <c r="DX44" i="3"/>
  <c r="DY44" i="3"/>
  <c r="DZ44" i="3"/>
  <c r="EE44" i="3"/>
  <c r="EF44" i="3"/>
  <c r="EH44" i="3"/>
  <c r="EI44" i="3"/>
  <c r="EK44" i="3"/>
  <c r="EL44" i="3"/>
  <c r="EM44" i="3"/>
  <c r="EN44" i="3"/>
  <c r="EP44" i="3" s="1"/>
  <c r="EO44" i="3"/>
  <c r="EQ44" i="3"/>
  <c r="ER44" i="3"/>
  <c r="ET44" i="3"/>
  <c r="EU44" i="3"/>
  <c r="EV44" i="3"/>
  <c r="FA44" i="3"/>
  <c r="FC44" i="3" s="1"/>
  <c r="FB44" i="3"/>
  <c r="FD44" i="3"/>
  <c r="FE44" i="3"/>
  <c r="FG44" i="3"/>
  <c r="FI44" i="3" s="1"/>
  <c r="FH44" i="3"/>
  <c r="FJ44" i="3"/>
  <c r="FK44" i="3"/>
  <c r="FM44" i="3"/>
  <c r="FN44" i="3"/>
  <c r="FT44" i="3"/>
  <c r="FV44" i="3" s="1"/>
  <c r="FU44" i="3"/>
  <c r="FW44" i="3"/>
  <c r="FX44" i="3"/>
  <c r="FZ44" i="3"/>
  <c r="GA44" i="3"/>
  <c r="GC44" i="3"/>
  <c r="GD44" i="3"/>
  <c r="GJ44" i="3"/>
  <c r="GK44" i="3"/>
  <c r="GL44" i="3"/>
  <c r="GM44" i="3"/>
  <c r="GO44" i="3" s="1"/>
  <c r="GN44" i="3"/>
  <c r="GP44" i="3"/>
  <c r="GQ44" i="3"/>
  <c r="GW44" i="3"/>
  <c r="GX44" i="3"/>
  <c r="GY44" i="3"/>
  <c r="GZ44" i="3"/>
  <c r="HB44" i="3" s="1"/>
  <c r="HA44" i="3"/>
  <c r="HG44" i="3"/>
  <c r="HH44" i="3"/>
  <c r="HI44" i="3"/>
  <c r="L45" i="3"/>
  <c r="AY45" i="3"/>
  <c r="AZ45" i="3"/>
  <c r="BB45" i="3"/>
  <c r="BC45" i="3"/>
  <c r="BE45" i="3"/>
  <c r="BF45" i="3"/>
  <c r="BG45" i="3"/>
  <c r="BH45" i="3"/>
  <c r="BI45" i="3"/>
  <c r="BJ45" i="3"/>
  <c r="BK45" i="3"/>
  <c r="BM45" i="3" s="1"/>
  <c r="BL45" i="3"/>
  <c r="BN45" i="3"/>
  <c r="BO45" i="3"/>
  <c r="BQ45" i="3"/>
  <c r="BS45" i="3" s="1"/>
  <c r="BR45" i="3"/>
  <c r="BT45" i="3"/>
  <c r="BU45" i="3"/>
  <c r="BW45" i="3"/>
  <c r="BX45" i="3"/>
  <c r="CD45" i="3"/>
  <c r="CF45" i="3" s="1"/>
  <c r="CE45" i="3"/>
  <c r="CG45" i="3"/>
  <c r="CH45" i="3"/>
  <c r="CJ45" i="3"/>
  <c r="CK45" i="3"/>
  <c r="CM45" i="3"/>
  <c r="CO45" i="3" s="1"/>
  <c r="CN45" i="3"/>
  <c r="CP45" i="3"/>
  <c r="CQ45" i="3"/>
  <c r="CR45" i="3"/>
  <c r="CS45" i="3"/>
  <c r="CT45" i="3"/>
  <c r="CU45" i="3"/>
  <c r="CV45" i="3"/>
  <c r="CX45" i="3" s="1"/>
  <c r="CW45" i="3"/>
  <c r="CY45" i="3"/>
  <c r="CZ45" i="3"/>
  <c r="DF45" i="3"/>
  <c r="DH45" i="3" s="1"/>
  <c r="DG45" i="3"/>
  <c r="DI45" i="3"/>
  <c r="DJ45" i="3"/>
  <c r="DL45" i="3"/>
  <c r="DN45" i="3" s="1"/>
  <c r="DM45" i="3"/>
  <c r="DO45" i="3"/>
  <c r="DP45" i="3"/>
  <c r="DR45" i="3"/>
  <c r="DS45" i="3"/>
  <c r="DT45" i="3"/>
  <c r="DU45" i="3"/>
  <c r="DW45" i="3" s="1"/>
  <c r="DV45" i="3"/>
  <c r="DX45" i="3"/>
  <c r="DY45" i="3"/>
  <c r="EE45" i="3"/>
  <c r="EF45" i="3"/>
  <c r="EG45" i="3"/>
  <c r="EH45" i="3"/>
  <c r="EJ45" i="3" s="1"/>
  <c r="EI45" i="3"/>
  <c r="EK45" i="3"/>
  <c r="EL45" i="3"/>
  <c r="EN45" i="3"/>
  <c r="EP45" i="3" s="1"/>
  <c r="EO45" i="3"/>
  <c r="EQ45" i="3"/>
  <c r="ER45" i="3"/>
  <c r="ET45" i="3"/>
  <c r="EU45" i="3"/>
  <c r="FA45" i="3"/>
  <c r="FC45" i="3" s="1"/>
  <c r="FB45" i="3"/>
  <c r="FD45" i="3"/>
  <c r="FE45" i="3"/>
  <c r="FG45" i="3"/>
  <c r="FH45" i="3"/>
  <c r="FJ45" i="3"/>
  <c r="FK45" i="3"/>
  <c r="FM45" i="3"/>
  <c r="FN45" i="3"/>
  <c r="FO45" i="3"/>
  <c r="FT45" i="3"/>
  <c r="FV45" i="3" s="1"/>
  <c r="FU45" i="3"/>
  <c r="FW45" i="3"/>
  <c r="FX45" i="3"/>
  <c r="FZ45" i="3"/>
  <c r="GA45" i="3"/>
  <c r="GB45" i="3"/>
  <c r="GC45" i="3"/>
  <c r="GE45" i="3" s="1"/>
  <c r="GD45" i="3"/>
  <c r="GJ45" i="3"/>
  <c r="GK45" i="3"/>
  <c r="GM45" i="3"/>
  <c r="GN45" i="3"/>
  <c r="GO45" i="3"/>
  <c r="GP45" i="3"/>
  <c r="GR45" i="3" s="1"/>
  <c r="GQ45" i="3"/>
  <c r="GW45" i="3"/>
  <c r="GX45" i="3"/>
  <c r="GZ45" i="3"/>
  <c r="HA45" i="3"/>
  <c r="HB45" i="3"/>
  <c r="HG45" i="3"/>
  <c r="HI45" i="3" s="1"/>
  <c r="HH45" i="3"/>
  <c r="L46" i="3"/>
  <c r="AY46" i="3"/>
  <c r="BA46" i="3" s="1"/>
  <c r="AZ46" i="3"/>
  <c r="BB46" i="3"/>
  <c r="BC46" i="3"/>
  <c r="BD46" i="3"/>
  <c r="BE46" i="3"/>
  <c r="BG46" i="3" s="1"/>
  <c r="BF46" i="3"/>
  <c r="BH46" i="3"/>
  <c r="BI46" i="3"/>
  <c r="BK46" i="3"/>
  <c r="BL46" i="3"/>
  <c r="BM46" i="3"/>
  <c r="BN46" i="3"/>
  <c r="BP46" i="3" s="1"/>
  <c r="BO46" i="3"/>
  <c r="BQ46" i="3"/>
  <c r="BR46" i="3"/>
  <c r="BT46" i="3"/>
  <c r="BV46" i="3" s="1"/>
  <c r="BU46" i="3"/>
  <c r="BW46" i="3"/>
  <c r="BX46" i="3"/>
  <c r="CD46" i="3"/>
  <c r="CE46" i="3"/>
  <c r="CG46" i="3"/>
  <c r="CH46" i="3"/>
  <c r="CJ46" i="3"/>
  <c r="CK46" i="3"/>
  <c r="CL46" i="3"/>
  <c r="CM46" i="3"/>
  <c r="CN46" i="3"/>
  <c r="CO46" i="3"/>
  <c r="CP46" i="3"/>
  <c r="CR46" i="3" s="1"/>
  <c r="CQ46" i="3"/>
  <c r="CS46" i="3"/>
  <c r="CT46" i="3"/>
  <c r="CV46" i="3"/>
  <c r="CX46" i="3" s="1"/>
  <c r="CW46" i="3"/>
  <c r="CY46" i="3"/>
  <c r="DA46" i="3" s="1"/>
  <c r="CZ46" i="3"/>
  <c r="DF46" i="3"/>
  <c r="DG46" i="3"/>
  <c r="DI46" i="3"/>
  <c r="DK46" i="3" s="1"/>
  <c r="DJ46" i="3"/>
  <c r="DL46" i="3"/>
  <c r="DM46" i="3"/>
  <c r="DO46" i="3"/>
  <c r="DP46" i="3"/>
  <c r="DR46" i="3"/>
  <c r="DT46" i="3" s="1"/>
  <c r="DS46" i="3"/>
  <c r="DU46" i="3"/>
  <c r="DV46" i="3"/>
  <c r="DW46" i="3"/>
  <c r="DX46" i="3"/>
  <c r="DY46" i="3"/>
  <c r="DZ46" i="3"/>
  <c r="EE46" i="3"/>
  <c r="EF46" i="3"/>
  <c r="EH46" i="3"/>
  <c r="EI46" i="3"/>
  <c r="EJ46" i="3" s="1"/>
  <c r="EK46" i="3"/>
  <c r="EL46" i="3"/>
  <c r="EM46" i="3"/>
  <c r="EN46" i="3"/>
  <c r="EP46" i="3" s="1"/>
  <c r="EO46" i="3"/>
  <c r="EQ46" i="3"/>
  <c r="ER46" i="3"/>
  <c r="ET46" i="3"/>
  <c r="EV46" i="3" s="1"/>
  <c r="EU46" i="3"/>
  <c r="FA46" i="3"/>
  <c r="FC46" i="3" s="1"/>
  <c r="FB46" i="3"/>
  <c r="FD46" i="3"/>
  <c r="FF46" i="3" s="1"/>
  <c r="FE46" i="3"/>
  <c r="FG46" i="3"/>
  <c r="FI46" i="3" s="1"/>
  <c r="FH46" i="3"/>
  <c r="FJ46" i="3"/>
  <c r="FK46" i="3"/>
  <c r="FL46" i="3"/>
  <c r="FM46" i="3"/>
  <c r="FO46" i="3" s="1"/>
  <c r="FN46" i="3"/>
  <c r="FT46" i="3"/>
  <c r="FU46" i="3"/>
  <c r="FW46" i="3"/>
  <c r="FX46" i="3"/>
  <c r="FY46" i="3"/>
  <c r="FZ46" i="3"/>
  <c r="GB46" i="3" s="1"/>
  <c r="GA46" i="3"/>
  <c r="GC46" i="3"/>
  <c r="GD46" i="3"/>
  <c r="GJ46" i="3"/>
  <c r="GK46" i="3"/>
  <c r="GL46" i="3"/>
  <c r="GM46" i="3"/>
  <c r="GO46" i="3" s="1"/>
  <c r="GN46" i="3"/>
  <c r="GP46" i="3"/>
  <c r="GQ46" i="3"/>
  <c r="GW46" i="3"/>
  <c r="GY46" i="3" s="1"/>
  <c r="GX46" i="3"/>
  <c r="GZ46" i="3"/>
  <c r="HB46" i="3" s="1"/>
  <c r="HA46" i="3"/>
  <c r="HG46" i="3"/>
  <c r="HH46" i="3"/>
  <c r="HI46" i="3"/>
  <c r="L47" i="3"/>
  <c r="AY47" i="3"/>
  <c r="BA47" i="3" s="1"/>
  <c r="AZ47" i="3"/>
  <c r="BB47" i="3"/>
  <c r="BC47" i="3"/>
  <c r="BE47" i="3"/>
  <c r="BF47" i="3"/>
  <c r="BG47" i="3"/>
  <c r="BH47" i="3"/>
  <c r="BJ47" i="3" s="1"/>
  <c r="BI47" i="3"/>
  <c r="BK47" i="3"/>
  <c r="BM47" i="3" s="1"/>
  <c r="BL47" i="3"/>
  <c r="BN47" i="3"/>
  <c r="BO47" i="3"/>
  <c r="BQ47" i="3"/>
  <c r="BS47" i="3" s="1"/>
  <c r="BR47" i="3"/>
  <c r="BT47" i="3"/>
  <c r="BU47" i="3"/>
  <c r="BV47" i="3"/>
  <c r="BW47" i="3"/>
  <c r="BY47" i="3" s="1"/>
  <c r="BX47" i="3"/>
  <c r="CD47" i="3"/>
  <c r="CE47" i="3"/>
  <c r="CG47" i="3"/>
  <c r="CH47" i="3"/>
  <c r="CI47" i="3" s="1"/>
  <c r="CJ47" i="3"/>
  <c r="CL47" i="3" s="1"/>
  <c r="CK47" i="3"/>
  <c r="CM47" i="3"/>
  <c r="CO47" i="3" s="1"/>
  <c r="CN47" i="3"/>
  <c r="CP47" i="3"/>
  <c r="CQ47" i="3"/>
  <c r="CR47" i="3"/>
  <c r="CS47" i="3"/>
  <c r="CU47" i="3" s="1"/>
  <c r="CT47" i="3"/>
  <c r="CV47" i="3"/>
  <c r="CX47" i="3" s="1"/>
  <c r="CW47" i="3"/>
  <c r="CY47" i="3"/>
  <c r="DA47" i="3" s="1"/>
  <c r="CZ47" i="3"/>
  <c r="DF47" i="3"/>
  <c r="DH47" i="3" s="1"/>
  <c r="DG47" i="3"/>
  <c r="DI47" i="3"/>
  <c r="DJ47" i="3"/>
  <c r="DL47" i="3"/>
  <c r="DN47" i="3" s="1"/>
  <c r="DM47" i="3"/>
  <c r="DO47" i="3"/>
  <c r="DP47" i="3"/>
  <c r="DQ47" i="3" s="1"/>
  <c r="DR47" i="3"/>
  <c r="DS47" i="3"/>
  <c r="DT47" i="3"/>
  <c r="DU47" i="3"/>
  <c r="DW47" i="3" s="1"/>
  <c r="DV47" i="3"/>
  <c r="DX47" i="3"/>
  <c r="DY47" i="3"/>
  <c r="EE47" i="3"/>
  <c r="EG47" i="3" s="1"/>
  <c r="EF47" i="3"/>
  <c r="EH47" i="3"/>
  <c r="EI47" i="3"/>
  <c r="EK47" i="3"/>
  <c r="EM47" i="3" s="1"/>
  <c r="EL47" i="3"/>
  <c r="EN47" i="3"/>
  <c r="EO47" i="3"/>
  <c r="EQ47" i="3"/>
  <c r="ER47" i="3"/>
  <c r="ES47" i="3" s="1"/>
  <c r="ET47" i="3"/>
  <c r="EV47" i="3" s="1"/>
  <c r="EU47" i="3"/>
  <c r="FA47" i="3"/>
  <c r="FC47" i="3" s="1"/>
  <c r="FB47" i="3"/>
  <c r="FD47" i="3"/>
  <c r="FE47" i="3"/>
  <c r="FF47" i="3" s="1"/>
  <c r="FG47" i="3"/>
  <c r="FI47" i="3" s="1"/>
  <c r="FH47" i="3"/>
  <c r="FJ47" i="3"/>
  <c r="FK47" i="3"/>
  <c r="FM47" i="3"/>
  <c r="FN47" i="3"/>
  <c r="FO47" i="3"/>
  <c r="FT47" i="3"/>
  <c r="FV47" i="3" s="1"/>
  <c r="FU47" i="3"/>
  <c r="FW47" i="3"/>
  <c r="FX47" i="3"/>
  <c r="FZ47" i="3"/>
  <c r="GB47" i="3" s="1"/>
  <c r="GA47" i="3"/>
  <c r="GC47" i="3"/>
  <c r="GE47" i="3" s="1"/>
  <c r="GD47" i="3"/>
  <c r="GJ47" i="3"/>
  <c r="GK47" i="3"/>
  <c r="GM47" i="3"/>
  <c r="GO47" i="3" s="1"/>
  <c r="GN47" i="3"/>
  <c r="GP47" i="3"/>
  <c r="GR47" i="3" s="1"/>
  <c r="GQ47" i="3"/>
  <c r="GW47" i="3"/>
  <c r="GX47" i="3"/>
  <c r="GZ47" i="3"/>
  <c r="HB47" i="3" s="1"/>
  <c r="HA47" i="3"/>
  <c r="HG47" i="3"/>
  <c r="HI47" i="3" s="1"/>
  <c r="HH47" i="3"/>
  <c r="L48" i="3"/>
  <c r="AY48" i="3"/>
  <c r="AZ48" i="3"/>
  <c r="BA48" i="3" s="1"/>
  <c r="BB48" i="3"/>
  <c r="BC48" i="3"/>
  <c r="BD48" i="3"/>
  <c r="BE48" i="3"/>
  <c r="BG48" i="3" s="1"/>
  <c r="BF48" i="3"/>
  <c r="BH48" i="3"/>
  <c r="BI48" i="3"/>
  <c r="BK48" i="3"/>
  <c r="BM48" i="3" s="1"/>
  <c r="BL48" i="3"/>
  <c r="BN48" i="3"/>
  <c r="BO48" i="3"/>
  <c r="BQ48" i="3"/>
  <c r="BR48" i="3"/>
  <c r="BT48" i="3"/>
  <c r="BV48" i="3" s="1"/>
  <c r="BU48" i="3"/>
  <c r="BW48" i="3"/>
  <c r="BX48" i="3"/>
  <c r="BY48" i="3" s="1"/>
  <c r="CD48" i="3"/>
  <c r="CF48" i="3" s="1"/>
  <c r="CE48" i="3"/>
  <c r="CG48" i="3"/>
  <c r="CH48" i="3"/>
  <c r="CJ48" i="3"/>
  <c r="CK48" i="3"/>
  <c r="CL48" i="3"/>
  <c r="CM48" i="3"/>
  <c r="CO48" i="3" s="1"/>
  <c r="CN48" i="3"/>
  <c r="CP48" i="3"/>
  <c r="CR48" i="3" s="1"/>
  <c r="CQ48" i="3"/>
  <c r="CS48" i="3"/>
  <c r="CT48" i="3"/>
  <c r="CV48" i="3"/>
  <c r="CX48" i="3" s="1"/>
  <c r="CW48" i="3"/>
  <c r="CY48" i="3"/>
  <c r="CZ48" i="3"/>
  <c r="DA48" i="3" s="1"/>
  <c r="DF48" i="3"/>
  <c r="DH48" i="3" s="1"/>
  <c r="DG48" i="3"/>
  <c r="DI48" i="3"/>
  <c r="DK48" i="3" s="1"/>
  <c r="DJ48" i="3"/>
  <c r="DL48" i="3"/>
  <c r="DM48" i="3"/>
  <c r="DN48" i="3"/>
  <c r="DO48" i="3"/>
  <c r="DQ48" i="3" s="1"/>
  <c r="DP48" i="3"/>
  <c r="DR48" i="3"/>
  <c r="DS48" i="3"/>
  <c r="DU48" i="3"/>
  <c r="DV48" i="3"/>
  <c r="DW48" i="3"/>
  <c r="DX48" i="3"/>
  <c r="DZ48" i="3" s="1"/>
  <c r="DY48" i="3"/>
  <c r="EE48" i="3"/>
  <c r="EF48" i="3"/>
  <c r="EH48" i="3"/>
  <c r="EJ48" i="3" s="1"/>
  <c r="EI48" i="3"/>
  <c r="EK48" i="3"/>
  <c r="EL48" i="3"/>
  <c r="EN48" i="3"/>
  <c r="EP48" i="3" s="1"/>
  <c r="EO48" i="3"/>
  <c r="EQ48" i="3"/>
  <c r="ER48" i="3"/>
  <c r="ET48" i="3"/>
  <c r="EV48" i="3" s="1"/>
  <c r="EU48" i="3"/>
  <c r="FA48" i="3"/>
  <c r="FB48" i="3"/>
  <c r="FD48" i="3"/>
  <c r="FF48" i="3" s="1"/>
  <c r="FE48" i="3"/>
  <c r="FG48" i="3"/>
  <c r="FH48" i="3"/>
  <c r="FI48" i="3" s="1"/>
  <c r="FJ48" i="3"/>
  <c r="FK48" i="3"/>
  <c r="FL48" i="3"/>
  <c r="FM48" i="3"/>
  <c r="FO48" i="3" s="1"/>
  <c r="FN48" i="3"/>
  <c r="FT48" i="3"/>
  <c r="FU48" i="3"/>
  <c r="FV48" i="3" s="1"/>
  <c r="FW48" i="3"/>
  <c r="FX48" i="3"/>
  <c r="FY48" i="3"/>
  <c r="FZ48" i="3"/>
  <c r="GB48" i="3" s="1"/>
  <c r="GA48" i="3"/>
  <c r="GC48" i="3"/>
  <c r="GD48" i="3"/>
  <c r="GJ48" i="3"/>
  <c r="GL48" i="3" s="1"/>
  <c r="GK48" i="3"/>
  <c r="GM48" i="3"/>
  <c r="GO48" i="3" s="1"/>
  <c r="GN48" i="3"/>
  <c r="GP48" i="3"/>
  <c r="GQ48" i="3"/>
  <c r="GW48" i="3"/>
  <c r="GY48" i="3" s="1"/>
  <c r="GX48" i="3"/>
  <c r="GZ48" i="3"/>
  <c r="HA48" i="3"/>
  <c r="HG48" i="3"/>
  <c r="HI48" i="3" s="1"/>
  <c r="HH48" i="3"/>
  <c r="L49" i="3"/>
  <c r="AY49" i="3"/>
  <c r="BA49" i="3" s="1"/>
  <c r="AZ49" i="3"/>
  <c r="BB49" i="3"/>
  <c r="BC49" i="3"/>
  <c r="BE49" i="3"/>
  <c r="BG49" i="3" s="1"/>
  <c r="BF49" i="3"/>
  <c r="BH49" i="3"/>
  <c r="BI49" i="3"/>
  <c r="BJ49" i="3"/>
  <c r="BK49" i="3"/>
  <c r="BL49" i="3"/>
  <c r="BN49" i="3"/>
  <c r="BO49" i="3"/>
  <c r="BQ49" i="3"/>
  <c r="BR49" i="3"/>
  <c r="BS49" i="3" s="1"/>
  <c r="BT49" i="3"/>
  <c r="BV49" i="3" s="1"/>
  <c r="BU49" i="3"/>
  <c r="BW49" i="3"/>
  <c r="BX49" i="3"/>
  <c r="CD49" i="3"/>
  <c r="CE49" i="3"/>
  <c r="CF49" i="3" s="1"/>
  <c r="CG49" i="3"/>
  <c r="CI49" i="3" s="1"/>
  <c r="CH49" i="3"/>
  <c r="CJ49" i="3"/>
  <c r="CK49" i="3"/>
  <c r="CM49" i="3"/>
  <c r="CN49" i="3"/>
  <c r="CP49" i="3"/>
  <c r="CQ49" i="3"/>
  <c r="CS49" i="3"/>
  <c r="CU49" i="3" s="1"/>
  <c r="CT49" i="3"/>
  <c r="CV49" i="3"/>
  <c r="CW49" i="3"/>
  <c r="CY49" i="3"/>
  <c r="DA49" i="3" s="1"/>
  <c r="CZ49" i="3"/>
  <c r="DF49" i="3"/>
  <c r="DH49" i="3" s="1"/>
  <c r="DG49" i="3"/>
  <c r="DI49" i="3"/>
  <c r="DJ49" i="3"/>
  <c r="DL49" i="3"/>
  <c r="DM49" i="3"/>
  <c r="DO49" i="3"/>
  <c r="DP49" i="3"/>
  <c r="DQ49" i="3" s="1"/>
  <c r="DR49" i="3"/>
  <c r="DT49" i="3" s="1"/>
  <c r="DS49" i="3"/>
  <c r="DU49" i="3"/>
  <c r="DW49" i="3" s="1"/>
  <c r="DV49" i="3"/>
  <c r="DX49" i="3"/>
  <c r="DY49" i="3"/>
  <c r="EE49" i="3"/>
  <c r="EG49" i="3" s="1"/>
  <c r="EF49" i="3"/>
  <c r="EH49" i="3"/>
  <c r="EI49" i="3"/>
  <c r="EK49" i="3"/>
  <c r="EM49" i="3" s="1"/>
  <c r="EL49" i="3"/>
  <c r="EN49" i="3"/>
  <c r="EO49" i="3"/>
  <c r="EP49" i="3" s="1"/>
  <c r="EQ49" i="3"/>
  <c r="ER49" i="3"/>
  <c r="ES49" i="3"/>
  <c r="ET49" i="3"/>
  <c r="EV49" i="3" s="1"/>
  <c r="EU49" i="3"/>
  <c r="FA49" i="3"/>
  <c r="FB49" i="3"/>
  <c r="FC49" i="3" s="1"/>
  <c r="FD49" i="3"/>
  <c r="FE49" i="3"/>
  <c r="FF49" i="3"/>
  <c r="FG49" i="3"/>
  <c r="FI49" i="3" s="1"/>
  <c r="FH49" i="3"/>
  <c r="FJ49" i="3"/>
  <c r="FK49" i="3"/>
  <c r="FM49" i="3"/>
  <c r="FO49" i="3" s="1"/>
  <c r="FN49" i="3"/>
  <c r="FT49" i="3"/>
  <c r="FV49" i="3" s="1"/>
  <c r="FU49" i="3"/>
  <c r="FW49" i="3"/>
  <c r="FY49" i="3" s="1"/>
  <c r="FX49" i="3"/>
  <c r="FZ49" i="3"/>
  <c r="GB49" i="3" s="1"/>
  <c r="GA49" i="3"/>
  <c r="GC49" i="3"/>
  <c r="GD49" i="3"/>
  <c r="GE49" i="3" s="1"/>
  <c r="GJ49" i="3"/>
  <c r="GK49" i="3"/>
  <c r="GM49" i="3"/>
  <c r="GN49" i="3"/>
  <c r="GP49" i="3"/>
  <c r="GQ49" i="3"/>
  <c r="GR49" i="3"/>
  <c r="GW49" i="3"/>
  <c r="GY49" i="3" s="1"/>
  <c r="GX49" i="3"/>
  <c r="GZ49" i="3"/>
  <c r="HA49" i="3"/>
  <c r="HB49" i="3" s="1"/>
  <c r="HG49" i="3"/>
  <c r="HI49" i="3" s="1"/>
  <c r="HH49" i="3"/>
  <c r="L50" i="3"/>
  <c r="AY50" i="3"/>
  <c r="BA50" i="3" s="1"/>
  <c r="AZ50" i="3"/>
  <c r="BB50" i="3"/>
  <c r="BD50" i="3" s="1"/>
  <c r="BC50" i="3"/>
  <c r="BE50" i="3"/>
  <c r="BF50" i="3"/>
  <c r="BH50" i="3"/>
  <c r="BJ50" i="3" s="1"/>
  <c r="BI50" i="3"/>
  <c r="BK50" i="3"/>
  <c r="BL50" i="3"/>
  <c r="BM50" i="3" s="1"/>
  <c r="BN50" i="3"/>
  <c r="BO50" i="3"/>
  <c r="BP50" i="3"/>
  <c r="BQ50" i="3"/>
  <c r="BS50" i="3" s="1"/>
  <c r="BR50" i="3"/>
  <c r="BT50" i="3"/>
  <c r="BU50" i="3"/>
  <c r="BW50" i="3"/>
  <c r="BY50" i="3" s="1"/>
  <c r="BX50" i="3"/>
  <c r="CD50" i="3"/>
  <c r="CF50" i="3" s="1"/>
  <c r="CE50" i="3"/>
  <c r="CG50" i="3"/>
  <c r="CI50" i="3" s="1"/>
  <c r="CH50" i="3"/>
  <c r="CJ50" i="3"/>
  <c r="CL50" i="3" s="1"/>
  <c r="CK50" i="3"/>
  <c r="CM50" i="3"/>
  <c r="CN50" i="3"/>
  <c r="CO50" i="3" s="1"/>
  <c r="CP50" i="3"/>
  <c r="CR50" i="3" s="1"/>
  <c r="CQ50" i="3"/>
  <c r="CS50" i="3"/>
  <c r="CU50" i="3" s="1"/>
  <c r="CT50" i="3"/>
  <c r="CV50" i="3"/>
  <c r="CW50" i="3"/>
  <c r="CX50" i="3"/>
  <c r="CY50" i="3"/>
  <c r="DA50" i="3" s="1"/>
  <c r="CZ50" i="3"/>
  <c r="DF50" i="3"/>
  <c r="DG50" i="3"/>
  <c r="DI50" i="3"/>
  <c r="DJ50" i="3"/>
  <c r="DL50" i="3"/>
  <c r="DN50" i="3" s="1"/>
  <c r="DM50" i="3"/>
  <c r="DO50" i="3"/>
  <c r="DP50" i="3"/>
  <c r="DR50" i="3"/>
  <c r="DS50" i="3"/>
  <c r="DU50" i="3"/>
  <c r="DV50" i="3"/>
  <c r="DW50" i="3" s="1"/>
  <c r="DX50" i="3"/>
  <c r="DZ50" i="3" s="1"/>
  <c r="DY50" i="3"/>
  <c r="EE50" i="3"/>
  <c r="EG50" i="3" s="1"/>
  <c r="EF50" i="3"/>
  <c r="EH50" i="3"/>
  <c r="EI50" i="3"/>
  <c r="EJ50" i="3"/>
  <c r="EK50" i="3"/>
  <c r="EM50" i="3" s="1"/>
  <c r="EL50" i="3"/>
  <c r="EN50" i="3"/>
  <c r="EP50" i="3" s="1"/>
  <c r="EO50" i="3"/>
  <c r="EQ50" i="3"/>
  <c r="ES50" i="3" s="1"/>
  <c r="ER50" i="3"/>
  <c r="ET50" i="3"/>
  <c r="EV50" i="3" s="1"/>
  <c r="EU50" i="3"/>
  <c r="FA50" i="3"/>
  <c r="FB50" i="3"/>
  <c r="FD50" i="3"/>
  <c r="FF50" i="3" s="1"/>
  <c r="FE50" i="3"/>
  <c r="FG50" i="3"/>
  <c r="FH50" i="3"/>
  <c r="FI50" i="3" s="1"/>
  <c r="FJ50" i="3"/>
  <c r="FK50" i="3"/>
  <c r="FL50" i="3"/>
  <c r="FM50" i="3"/>
  <c r="FO50" i="3" s="1"/>
  <c r="FN50" i="3"/>
  <c r="FT50" i="3"/>
  <c r="FU50" i="3"/>
  <c r="FV50" i="3" s="1"/>
  <c r="FW50" i="3"/>
  <c r="FX50" i="3"/>
  <c r="FY50" i="3"/>
  <c r="FZ50" i="3"/>
  <c r="GB50" i="3" s="1"/>
  <c r="GA50" i="3"/>
  <c r="GC50" i="3"/>
  <c r="GD50" i="3"/>
  <c r="GJ50" i="3"/>
  <c r="GL50" i="3" s="1"/>
  <c r="GK50" i="3"/>
  <c r="GM50" i="3"/>
  <c r="GO50" i="3" s="1"/>
  <c r="GN50" i="3"/>
  <c r="GP50" i="3"/>
  <c r="GQ50" i="3"/>
  <c r="GW50" i="3"/>
  <c r="GY50" i="3" s="1"/>
  <c r="GX50" i="3"/>
  <c r="GZ50" i="3"/>
  <c r="HA50" i="3"/>
  <c r="HG50" i="3"/>
  <c r="HI50" i="3" s="1"/>
  <c r="HH50" i="3"/>
  <c r="L51" i="3"/>
  <c r="AY51" i="3"/>
  <c r="BA51" i="3" s="1"/>
  <c r="AZ51" i="3"/>
  <c r="BB51" i="3"/>
  <c r="BC51" i="3"/>
  <c r="BE51" i="3"/>
  <c r="BF51" i="3"/>
  <c r="BH51" i="3"/>
  <c r="BI51" i="3"/>
  <c r="BJ51" i="3" s="1"/>
  <c r="BK51" i="3"/>
  <c r="BM51" i="3" s="1"/>
  <c r="BL51" i="3"/>
  <c r="BN51" i="3"/>
  <c r="BO51" i="3"/>
  <c r="BQ51" i="3"/>
  <c r="BR51" i="3"/>
  <c r="BT51" i="3"/>
  <c r="BV51" i="3" s="1"/>
  <c r="BU51" i="3"/>
  <c r="BW51" i="3"/>
  <c r="BX51" i="3"/>
  <c r="CD51" i="3"/>
  <c r="CE51" i="3"/>
  <c r="CG51" i="3"/>
  <c r="CH51" i="3"/>
  <c r="CI51" i="3" s="1"/>
  <c r="CJ51" i="3"/>
  <c r="CL51" i="3" s="1"/>
  <c r="CK51" i="3"/>
  <c r="CM51" i="3"/>
  <c r="CN51" i="3"/>
  <c r="CP51" i="3"/>
  <c r="CQ51" i="3"/>
  <c r="CS51" i="3"/>
  <c r="CU51" i="3" s="1"/>
  <c r="CT51" i="3"/>
  <c r="CV51" i="3"/>
  <c r="CW51" i="3"/>
  <c r="CY51" i="3"/>
  <c r="CZ51" i="3"/>
  <c r="DF51" i="3"/>
  <c r="DG51" i="3"/>
  <c r="DH51" i="3" s="1"/>
  <c r="DI51" i="3"/>
  <c r="DK51" i="3" s="1"/>
  <c r="DJ51" i="3"/>
  <c r="DL51" i="3"/>
  <c r="DN51" i="3" s="1"/>
  <c r="DM51" i="3"/>
  <c r="DO51" i="3"/>
  <c r="DP51" i="3"/>
  <c r="DQ51" i="3"/>
  <c r="DR51" i="3"/>
  <c r="DT51" i="3" s="1"/>
  <c r="DS51" i="3"/>
  <c r="DU51" i="3"/>
  <c r="DW51" i="3" s="1"/>
  <c r="DV51" i="3"/>
  <c r="DX51" i="3"/>
  <c r="DZ51" i="3" s="1"/>
  <c r="DY51" i="3"/>
  <c r="EE51" i="3"/>
  <c r="EG51" i="3" s="1"/>
  <c r="EF51" i="3"/>
  <c r="EH51" i="3"/>
  <c r="EI51" i="3"/>
  <c r="EK51" i="3"/>
  <c r="EL51" i="3"/>
  <c r="EN51" i="3"/>
  <c r="EO51" i="3"/>
  <c r="EP51" i="3" s="1"/>
  <c r="EQ51" i="3"/>
  <c r="ES51" i="3" s="1"/>
  <c r="ER51" i="3"/>
  <c r="ET51" i="3"/>
  <c r="EV51" i="3" s="1"/>
  <c r="EU51" i="3"/>
  <c r="FA51" i="3"/>
  <c r="FB51" i="3"/>
  <c r="FD51" i="3"/>
  <c r="FF51" i="3" s="1"/>
  <c r="FE51" i="3"/>
  <c r="FG51" i="3"/>
  <c r="FH51" i="3"/>
  <c r="FJ51" i="3"/>
  <c r="FK51" i="3"/>
  <c r="FM51" i="3"/>
  <c r="FN51" i="3"/>
  <c r="FO51" i="3" s="1"/>
  <c r="FT51" i="3"/>
  <c r="FV51" i="3" s="1"/>
  <c r="FU51" i="3"/>
  <c r="FW51" i="3"/>
  <c r="FX51" i="3"/>
  <c r="FZ51" i="3"/>
  <c r="GA51" i="3"/>
  <c r="GC51" i="3"/>
  <c r="GD51" i="3"/>
  <c r="GE51" i="3" s="1"/>
  <c r="GJ51" i="3"/>
  <c r="GL51" i="3" s="1"/>
  <c r="GK51" i="3"/>
  <c r="GM51" i="3"/>
  <c r="GO51" i="3" s="1"/>
  <c r="GN51" i="3"/>
  <c r="GP51" i="3"/>
  <c r="GQ51" i="3"/>
  <c r="GR51" i="3" s="1"/>
  <c r="GW51" i="3"/>
  <c r="GX51" i="3"/>
  <c r="GZ51" i="3"/>
  <c r="HA51" i="3"/>
  <c r="HG51" i="3"/>
  <c r="HI51" i="3" s="1"/>
  <c r="HH51" i="3"/>
  <c r="L52" i="3"/>
  <c r="AY52" i="3"/>
  <c r="AZ52" i="3"/>
  <c r="BB52" i="3"/>
  <c r="BC52" i="3"/>
  <c r="BD52" i="3" s="1"/>
  <c r="BE52" i="3"/>
  <c r="BG52" i="3" s="1"/>
  <c r="BF52" i="3"/>
  <c r="BH52" i="3"/>
  <c r="BI52" i="3"/>
  <c r="BK52" i="3"/>
  <c r="BL52" i="3"/>
  <c r="BN52" i="3"/>
  <c r="BP52" i="3" s="1"/>
  <c r="BO52" i="3"/>
  <c r="BQ52" i="3"/>
  <c r="BR52" i="3"/>
  <c r="BT52" i="3"/>
  <c r="BU52" i="3"/>
  <c r="BW52" i="3"/>
  <c r="BX52" i="3"/>
  <c r="BY52" i="3" s="1"/>
  <c r="CD52" i="3"/>
  <c r="CF52" i="3" s="1"/>
  <c r="CE52" i="3"/>
  <c r="CG52" i="3"/>
  <c r="CH52" i="3"/>
  <c r="CJ52" i="3"/>
  <c r="CK52" i="3"/>
  <c r="CM52" i="3"/>
  <c r="CN52" i="3"/>
  <c r="CO52" i="3" s="1"/>
  <c r="CP52" i="3"/>
  <c r="CR52" i="3" s="1"/>
  <c r="CQ52" i="3"/>
  <c r="CS52" i="3"/>
  <c r="CT52" i="3"/>
  <c r="CV52" i="3"/>
  <c r="CW52" i="3"/>
  <c r="CY52" i="3"/>
  <c r="DA52" i="3" s="1"/>
  <c r="CZ52" i="3"/>
  <c r="DF52" i="3"/>
  <c r="DG52" i="3"/>
  <c r="DI52" i="3"/>
  <c r="DK52" i="3" s="1"/>
  <c r="DJ52" i="3"/>
  <c r="DL52" i="3"/>
  <c r="DN52" i="3" s="1"/>
  <c r="DM52" i="3"/>
  <c r="DO52" i="3"/>
  <c r="DP52" i="3"/>
  <c r="DR52" i="3"/>
  <c r="DT52" i="3" s="1"/>
  <c r="DS52" i="3"/>
  <c r="DU52" i="3"/>
  <c r="DV52" i="3"/>
  <c r="DW52" i="3" s="1"/>
  <c r="DX52" i="3"/>
  <c r="DY52" i="3"/>
  <c r="DZ52" i="3"/>
  <c r="EE52" i="3"/>
  <c r="EF52" i="3"/>
  <c r="EH52" i="3"/>
  <c r="EI52" i="3"/>
  <c r="EJ52" i="3" s="1"/>
  <c r="EK52" i="3"/>
  <c r="EM52" i="3" s="1"/>
  <c r="EL52" i="3"/>
  <c r="EN52" i="3"/>
  <c r="EP52" i="3" s="1"/>
  <c r="EO52" i="3"/>
  <c r="EQ52" i="3"/>
  <c r="ER52" i="3"/>
  <c r="ET52" i="3"/>
  <c r="EU52" i="3"/>
  <c r="FA52" i="3"/>
  <c r="FC52" i="3" s="1"/>
  <c r="FB52" i="3"/>
  <c r="FD52" i="3"/>
  <c r="FE52" i="3"/>
  <c r="FG52" i="3"/>
  <c r="FH52" i="3"/>
  <c r="FJ52" i="3"/>
  <c r="FL52" i="3" s="1"/>
  <c r="FK52" i="3"/>
  <c r="FM52" i="3"/>
  <c r="FN52" i="3"/>
  <c r="FT52" i="3"/>
  <c r="FU52" i="3"/>
  <c r="FW52" i="3"/>
  <c r="FX52" i="3"/>
  <c r="FY52" i="3" s="1"/>
  <c r="FZ52" i="3"/>
  <c r="GB52" i="3" s="1"/>
  <c r="GA52" i="3"/>
  <c r="GC52" i="3"/>
  <c r="GD52" i="3"/>
  <c r="GJ52" i="3"/>
  <c r="GK52" i="3"/>
  <c r="GL52" i="3"/>
  <c r="GM52" i="3"/>
  <c r="GO52" i="3" s="1"/>
  <c r="GN52" i="3"/>
  <c r="GP52" i="3"/>
  <c r="GQ52" i="3"/>
  <c r="GW52" i="3"/>
  <c r="GY52" i="3" s="1"/>
  <c r="GX52" i="3"/>
  <c r="GZ52" i="3"/>
  <c r="HB52" i="3" s="1"/>
  <c r="HA52" i="3"/>
  <c r="HG52" i="3"/>
  <c r="HH52" i="3"/>
  <c r="L53" i="3"/>
  <c r="AY53" i="3"/>
  <c r="BA53" i="3" s="1"/>
  <c r="AZ53" i="3"/>
  <c r="BB53" i="3"/>
  <c r="BC53" i="3"/>
  <c r="BE53" i="3"/>
  <c r="BG53" i="3" s="1"/>
  <c r="BF53" i="3"/>
  <c r="BH53" i="3"/>
  <c r="BJ53" i="3" s="1"/>
  <c r="BI53" i="3"/>
  <c r="BK53" i="3"/>
  <c r="BL53" i="3"/>
  <c r="BN53" i="3"/>
  <c r="BP53" i="3" s="1"/>
  <c r="BO53" i="3"/>
  <c r="BQ53" i="3"/>
  <c r="BR53" i="3"/>
  <c r="BS53" i="3" s="1"/>
  <c r="BT53" i="3"/>
  <c r="BV53" i="3" s="1"/>
  <c r="BU53" i="3"/>
  <c r="BW53" i="3"/>
  <c r="BY53" i="3" s="1"/>
  <c r="BX53" i="3"/>
  <c r="CD53" i="3"/>
  <c r="CE53" i="3"/>
  <c r="CF53" i="3"/>
  <c r="CG53" i="3"/>
  <c r="CI53" i="3" s="1"/>
  <c r="CH53" i="3"/>
  <c r="CJ53" i="3"/>
  <c r="CL53" i="3" s="1"/>
  <c r="CK53" i="3"/>
  <c r="CM53" i="3"/>
  <c r="CO53" i="3" s="1"/>
  <c r="CN53" i="3"/>
  <c r="CP53" i="3"/>
  <c r="CQ53" i="3"/>
  <c r="CS53" i="3"/>
  <c r="CT53" i="3"/>
  <c r="CU53" i="3"/>
  <c r="CV53" i="3"/>
  <c r="CX53" i="3" s="1"/>
  <c r="CW53" i="3"/>
  <c r="CY53" i="3"/>
  <c r="CZ53" i="3"/>
  <c r="DF53" i="3"/>
  <c r="DH53" i="3" s="1"/>
  <c r="DG53" i="3"/>
  <c r="DI53" i="3"/>
  <c r="DK53" i="3" s="1"/>
  <c r="DJ53" i="3"/>
  <c r="DL53" i="3"/>
  <c r="DN53" i="3" s="1"/>
  <c r="DM53" i="3"/>
  <c r="DO53" i="3"/>
  <c r="DQ53" i="3" s="1"/>
  <c r="DP53" i="3"/>
  <c r="DR53" i="3"/>
  <c r="DS53" i="3"/>
  <c r="DT53" i="3" s="1"/>
  <c r="DU53" i="3"/>
  <c r="DW53" i="3" s="1"/>
  <c r="DV53" i="3"/>
  <c r="DX53" i="3"/>
  <c r="DY53" i="3"/>
  <c r="EE53" i="3"/>
  <c r="EF53" i="3"/>
  <c r="EG53" i="3"/>
  <c r="EH53" i="3"/>
  <c r="EJ53" i="3" s="1"/>
  <c r="EI53" i="3"/>
  <c r="EK53" i="3"/>
  <c r="EL53" i="3"/>
  <c r="EM53" i="3" s="1"/>
  <c r="EN53" i="3"/>
  <c r="EP53" i="3" s="1"/>
  <c r="EO53" i="3"/>
  <c r="EQ53" i="3"/>
  <c r="ES53" i="3" s="1"/>
  <c r="ER53" i="3"/>
  <c r="ET53" i="3"/>
  <c r="EV53" i="3" s="1"/>
  <c r="EU53" i="3"/>
  <c r="FA53" i="3"/>
  <c r="FC53" i="3" s="1"/>
  <c r="FB53" i="3"/>
  <c r="FD53" i="3"/>
  <c r="FE53" i="3"/>
  <c r="FG53" i="3"/>
  <c r="FH53" i="3"/>
  <c r="FJ53" i="3"/>
  <c r="FK53" i="3"/>
  <c r="FM53" i="3"/>
  <c r="FN53" i="3"/>
  <c r="FT53" i="3"/>
  <c r="FU53" i="3"/>
  <c r="FW53" i="3"/>
  <c r="FX53" i="3"/>
  <c r="FZ53" i="3"/>
  <c r="GA53" i="3"/>
  <c r="GB53" i="3" s="1"/>
  <c r="GC53" i="3"/>
  <c r="GE53" i="3" s="1"/>
  <c r="GD53" i="3"/>
  <c r="GJ53" i="3"/>
  <c r="GL53" i="3" s="1"/>
  <c r="GK53" i="3"/>
  <c r="GM53" i="3"/>
  <c r="GN53" i="3"/>
  <c r="GO53" i="3" s="1"/>
  <c r="GP53" i="3"/>
  <c r="GR53" i="3" s="1"/>
  <c r="GQ53" i="3"/>
  <c r="GW53" i="3"/>
  <c r="GY53" i="3" s="1"/>
  <c r="GX53" i="3"/>
  <c r="GZ53" i="3"/>
  <c r="HA53" i="3"/>
  <c r="HG53" i="3"/>
  <c r="HI53" i="3" s="1"/>
  <c r="HH53" i="3"/>
  <c r="L54" i="3"/>
  <c r="AY54" i="3"/>
  <c r="AZ54" i="3"/>
  <c r="BA54" i="3" s="1"/>
  <c r="BB54" i="3"/>
  <c r="BD54" i="3" s="1"/>
  <c r="BC54" i="3"/>
  <c r="BE54" i="3"/>
  <c r="BF54" i="3"/>
  <c r="BH54" i="3"/>
  <c r="BI54" i="3"/>
  <c r="BJ54" i="3"/>
  <c r="BK54" i="3"/>
  <c r="BM54" i="3" s="1"/>
  <c r="BL54" i="3"/>
  <c r="BN54" i="3"/>
  <c r="BO54" i="3"/>
  <c r="BQ54" i="3"/>
  <c r="BR54" i="3"/>
  <c r="BT54" i="3"/>
  <c r="BU54" i="3"/>
  <c r="BV54" i="3" s="1"/>
  <c r="BW54" i="3"/>
  <c r="BY54" i="3" s="1"/>
  <c r="BX54" i="3"/>
  <c r="CD54" i="3"/>
  <c r="CE54" i="3"/>
  <c r="CG54" i="3"/>
  <c r="CH54" i="3"/>
  <c r="CI54" i="3"/>
  <c r="CJ54" i="3"/>
  <c r="CK54" i="3"/>
  <c r="CM54" i="3"/>
  <c r="CN54" i="3"/>
  <c r="CP54" i="3"/>
  <c r="CQ54" i="3"/>
  <c r="CR54" i="3" s="1"/>
  <c r="CS54" i="3"/>
  <c r="CT54" i="3"/>
  <c r="CU54" i="3" s="1"/>
  <c r="CV54" i="3"/>
  <c r="CX54" i="3" s="1"/>
  <c r="CW54" i="3"/>
  <c r="CY54" i="3"/>
  <c r="DA54" i="3" s="1"/>
  <c r="CZ54" i="3"/>
  <c r="DF54" i="3"/>
  <c r="DG54" i="3"/>
  <c r="DH54" i="3"/>
  <c r="DI54" i="3"/>
  <c r="DJ54" i="3"/>
  <c r="DL54" i="3"/>
  <c r="DM54" i="3"/>
  <c r="DO54" i="3"/>
  <c r="DP54" i="3"/>
  <c r="DQ54" i="3" s="1"/>
  <c r="DR54" i="3"/>
  <c r="DS54" i="3"/>
  <c r="DT54" i="3" s="1"/>
  <c r="DU54" i="3"/>
  <c r="DW54" i="3" s="1"/>
  <c r="DV54" i="3"/>
  <c r="DX54" i="3"/>
  <c r="DZ54" i="3" s="1"/>
  <c r="DY54" i="3"/>
  <c r="EE54" i="3"/>
  <c r="EF54" i="3"/>
  <c r="EG54" i="3"/>
  <c r="EH54" i="3"/>
  <c r="EI54" i="3"/>
  <c r="EK54" i="3"/>
  <c r="EL54" i="3"/>
  <c r="EN54" i="3"/>
  <c r="EO54" i="3"/>
  <c r="EP54" i="3" s="1"/>
  <c r="EQ54" i="3"/>
  <c r="ER54" i="3"/>
  <c r="ES54" i="3" s="1"/>
  <c r="ET54" i="3"/>
  <c r="EV54" i="3" s="1"/>
  <c r="EU54" i="3"/>
  <c r="FA54" i="3"/>
  <c r="FB54" i="3"/>
  <c r="FD54" i="3"/>
  <c r="FE54" i="3"/>
  <c r="FF54" i="3"/>
  <c r="FG54" i="3"/>
  <c r="FH54" i="3"/>
  <c r="FJ54" i="3"/>
  <c r="FK54" i="3"/>
  <c r="FM54" i="3"/>
  <c r="FN54" i="3"/>
  <c r="FO54" i="3" s="1"/>
  <c r="FT54" i="3"/>
  <c r="FU54" i="3"/>
  <c r="FW54" i="3"/>
  <c r="FX54" i="3"/>
  <c r="FZ54" i="3"/>
  <c r="GA54" i="3"/>
  <c r="GB54" i="3" s="1"/>
  <c r="GC54" i="3"/>
  <c r="GE54" i="3" s="1"/>
  <c r="GD54" i="3"/>
  <c r="GJ54" i="3"/>
  <c r="GL54" i="3" s="1"/>
  <c r="GK54" i="3"/>
  <c r="GM54" i="3"/>
  <c r="GN54" i="3"/>
  <c r="GP54" i="3"/>
  <c r="GR54" i="3" s="1"/>
  <c r="GQ54" i="3"/>
  <c r="GW54" i="3"/>
  <c r="GX54" i="3"/>
  <c r="GZ54" i="3"/>
  <c r="HA54" i="3"/>
  <c r="HB54" i="3" s="1"/>
  <c r="HG54" i="3"/>
  <c r="HH54" i="3"/>
  <c r="L55" i="3"/>
  <c r="AY55" i="3"/>
  <c r="AZ55" i="3"/>
  <c r="BB55" i="3"/>
  <c r="BD55" i="3" s="1"/>
  <c r="BC55" i="3"/>
  <c r="BE55" i="3"/>
  <c r="BF55" i="3"/>
  <c r="BH55" i="3"/>
  <c r="BI55" i="3"/>
  <c r="BK55" i="3"/>
  <c r="BL55" i="3"/>
  <c r="BM55" i="3" s="1"/>
  <c r="BN55" i="3"/>
  <c r="BP55" i="3" s="1"/>
  <c r="BO55" i="3"/>
  <c r="BQ55" i="3"/>
  <c r="BS55" i="3" s="1"/>
  <c r="BR55" i="3"/>
  <c r="BT55" i="3"/>
  <c r="BV55" i="3" s="1"/>
  <c r="BU55" i="3"/>
  <c r="BW55" i="3"/>
  <c r="BX55" i="3"/>
  <c r="CD55" i="3"/>
  <c r="CF55" i="3" s="1"/>
  <c r="CE55" i="3"/>
  <c r="CG55" i="3"/>
  <c r="CI55" i="3" s="1"/>
  <c r="CH55" i="3"/>
  <c r="CJ55" i="3"/>
  <c r="CK55" i="3"/>
  <c r="CM55" i="3"/>
  <c r="CO55" i="3" s="1"/>
  <c r="CN55" i="3"/>
  <c r="CP55" i="3"/>
  <c r="CQ55" i="3"/>
  <c r="CS55" i="3"/>
  <c r="CT55" i="3"/>
  <c r="CV55" i="3"/>
  <c r="CW55" i="3"/>
  <c r="CX55" i="3" s="1"/>
  <c r="CY55" i="3"/>
  <c r="DA55" i="3" s="1"/>
  <c r="CZ55" i="3"/>
  <c r="DF55" i="3"/>
  <c r="DH55" i="3" s="1"/>
  <c r="DG55" i="3"/>
  <c r="DI55" i="3"/>
  <c r="DJ55" i="3"/>
  <c r="DL55" i="3"/>
  <c r="DN55" i="3" s="1"/>
  <c r="DM55" i="3"/>
  <c r="DO55" i="3"/>
  <c r="DP55" i="3"/>
  <c r="DR55" i="3"/>
  <c r="DS55" i="3"/>
  <c r="DU55" i="3"/>
  <c r="DV55" i="3"/>
  <c r="DW55" i="3" s="1"/>
  <c r="DX55" i="3"/>
  <c r="DZ55" i="3" s="1"/>
  <c r="DY55" i="3"/>
  <c r="EE55" i="3"/>
  <c r="EG55" i="3" s="1"/>
  <c r="EF55" i="3"/>
  <c r="EH55" i="3"/>
  <c r="EI55" i="3"/>
  <c r="EK55" i="3"/>
  <c r="EM55" i="3" s="1"/>
  <c r="EL55" i="3"/>
  <c r="EN55" i="3"/>
  <c r="EO55" i="3"/>
  <c r="EQ55" i="3"/>
  <c r="ER55" i="3"/>
  <c r="ET55" i="3"/>
  <c r="EU55" i="3"/>
  <c r="EV55" i="3" s="1"/>
  <c r="FA55" i="3"/>
  <c r="FB55" i="3"/>
  <c r="FD55" i="3"/>
  <c r="FE55" i="3"/>
  <c r="FG55" i="3"/>
  <c r="FH55" i="3"/>
  <c r="FI55" i="3" s="1"/>
  <c r="FJ55" i="3"/>
  <c r="FK55" i="3"/>
  <c r="FL55" i="3" s="1"/>
  <c r="FM55" i="3"/>
  <c r="FO55" i="3" s="1"/>
  <c r="FN55" i="3"/>
  <c r="FT55" i="3"/>
  <c r="FU55" i="3"/>
  <c r="FW55" i="3"/>
  <c r="FX55" i="3"/>
  <c r="FY55" i="3"/>
  <c r="FZ55" i="3"/>
  <c r="GA55" i="3"/>
  <c r="GC55" i="3"/>
  <c r="GD55" i="3"/>
  <c r="GJ55" i="3"/>
  <c r="GL55" i="3" s="1"/>
  <c r="GK55" i="3"/>
  <c r="GM55" i="3"/>
  <c r="GO55" i="3" s="1"/>
  <c r="GN55" i="3"/>
  <c r="GP55" i="3"/>
  <c r="GR55" i="3" s="1"/>
  <c r="GQ55" i="3"/>
  <c r="GW55" i="3"/>
  <c r="GY55" i="3" s="1"/>
  <c r="GX55" i="3"/>
  <c r="GZ55" i="3"/>
  <c r="HA55" i="3"/>
  <c r="HG55" i="3"/>
  <c r="HH55" i="3"/>
  <c r="HI55" i="3" s="1"/>
  <c r="L56" i="3"/>
  <c r="AY56" i="3"/>
  <c r="BA56" i="3" s="1"/>
  <c r="AZ56" i="3"/>
  <c r="BB56" i="3"/>
  <c r="BD56" i="3" s="1"/>
  <c r="BC56" i="3"/>
  <c r="BE56" i="3"/>
  <c r="BF56" i="3"/>
  <c r="BH56" i="3"/>
  <c r="BI56" i="3"/>
  <c r="BJ56" i="3"/>
  <c r="BK56" i="3"/>
  <c r="BL56" i="3"/>
  <c r="BN56" i="3"/>
  <c r="BO56" i="3"/>
  <c r="BQ56" i="3"/>
  <c r="BR56" i="3"/>
  <c r="BS56" i="3" s="1"/>
  <c r="BT56" i="3"/>
  <c r="BU56" i="3"/>
  <c r="BV56" i="3" s="1"/>
  <c r="BW56" i="3"/>
  <c r="BY56" i="3" s="1"/>
  <c r="BX56" i="3"/>
  <c r="CD56" i="3"/>
  <c r="CE56" i="3"/>
  <c r="CG56" i="3"/>
  <c r="CH56" i="3"/>
  <c r="CI56" i="3"/>
  <c r="CJ56" i="3"/>
  <c r="CK56" i="3"/>
  <c r="CM56" i="3"/>
  <c r="CN56" i="3"/>
  <c r="CP56" i="3"/>
  <c r="CQ56" i="3"/>
  <c r="CR56" i="3" s="1"/>
  <c r="CS56" i="3"/>
  <c r="CT56" i="3"/>
  <c r="CU56" i="3" s="1"/>
  <c r="CV56" i="3"/>
  <c r="CX56" i="3" s="1"/>
  <c r="CW56" i="3"/>
  <c r="CY56" i="3"/>
  <c r="DA56" i="3" s="1"/>
  <c r="CZ56" i="3"/>
  <c r="DF56" i="3"/>
  <c r="DG56" i="3"/>
  <c r="DH56" i="3"/>
  <c r="DI56" i="3"/>
  <c r="DJ56" i="3"/>
  <c r="DL56" i="3"/>
  <c r="DM56" i="3"/>
  <c r="DO56" i="3"/>
  <c r="DP56" i="3"/>
  <c r="DQ56" i="3" s="1"/>
  <c r="DR56" i="3"/>
  <c r="DS56" i="3"/>
  <c r="DT56" i="3" s="1"/>
  <c r="DU56" i="3"/>
  <c r="DW56" i="3" s="1"/>
  <c r="DV56" i="3"/>
  <c r="DX56" i="3"/>
  <c r="DZ56" i="3" s="1"/>
  <c r="DY56" i="3"/>
  <c r="EE56" i="3"/>
  <c r="EF56" i="3"/>
  <c r="EG56" i="3"/>
  <c r="EH56" i="3"/>
  <c r="EI56" i="3"/>
  <c r="EK56" i="3"/>
  <c r="EL56" i="3"/>
  <c r="EN56" i="3"/>
  <c r="EO56" i="3"/>
  <c r="EP56" i="3" s="1"/>
  <c r="EQ56" i="3"/>
  <c r="ER56" i="3"/>
  <c r="ES56" i="3" s="1"/>
  <c r="ET56" i="3"/>
  <c r="EV56" i="3" s="1"/>
  <c r="EU56" i="3"/>
  <c r="FA56" i="3"/>
  <c r="FB56" i="3"/>
  <c r="FD56" i="3"/>
  <c r="FE56" i="3"/>
  <c r="FF56" i="3"/>
  <c r="FG56" i="3"/>
  <c r="FH56" i="3"/>
  <c r="FJ56" i="3"/>
  <c r="FK56" i="3"/>
  <c r="FM56" i="3"/>
  <c r="FN56" i="3"/>
  <c r="FO56" i="3" s="1"/>
  <c r="FT56" i="3"/>
  <c r="FU56" i="3"/>
  <c r="FW56" i="3"/>
  <c r="FX56" i="3"/>
  <c r="FZ56" i="3"/>
  <c r="GA56" i="3"/>
  <c r="GB56" i="3" s="1"/>
  <c r="GC56" i="3"/>
  <c r="GE56" i="3" s="1"/>
  <c r="GD56" i="3"/>
  <c r="GJ56" i="3"/>
  <c r="GL56" i="3" s="1"/>
  <c r="GK56" i="3"/>
  <c r="GM56" i="3"/>
  <c r="GN56" i="3"/>
  <c r="GP56" i="3"/>
  <c r="GR56" i="3" s="1"/>
  <c r="GQ56" i="3"/>
  <c r="GW56" i="3"/>
  <c r="GX56" i="3"/>
  <c r="GZ56" i="3"/>
  <c r="HA56" i="3"/>
  <c r="HB56" i="3" s="1"/>
  <c r="HG56" i="3"/>
  <c r="HH56" i="3"/>
  <c r="L57" i="3"/>
  <c r="AY57" i="3"/>
  <c r="AZ57" i="3"/>
  <c r="BB57" i="3"/>
  <c r="BD57" i="3" s="1"/>
  <c r="BC57" i="3"/>
  <c r="BE57" i="3"/>
  <c r="BF57" i="3"/>
  <c r="BH57" i="3"/>
  <c r="BI57" i="3"/>
  <c r="BK57" i="3"/>
  <c r="BL57" i="3"/>
  <c r="BM57" i="3" s="1"/>
  <c r="BN57" i="3"/>
  <c r="BP57" i="3" s="1"/>
  <c r="BO57" i="3"/>
  <c r="BQ57" i="3"/>
  <c r="BS57" i="3" s="1"/>
  <c r="BR57" i="3"/>
  <c r="BT57" i="3"/>
  <c r="BV57" i="3" s="1"/>
  <c r="BU57" i="3"/>
  <c r="BW57" i="3"/>
  <c r="BX57" i="3"/>
  <c r="CD57" i="3"/>
  <c r="CF57" i="3" s="1"/>
  <c r="CE57" i="3"/>
  <c r="CG57" i="3"/>
  <c r="CI57" i="3" s="1"/>
  <c r="CH57" i="3"/>
  <c r="CJ57" i="3"/>
  <c r="CK57" i="3"/>
  <c r="CM57" i="3"/>
  <c r="CO57" i="3" s="1"/>
  <c r="CN57" i="3"/>
  <c r="CP57" i="3"/>
  <c r="CQ57" i="3"/>
  <c r="CS57" i="3"/>
  <c r="CT57" i="3"/>
  <c r="CV57" i="3"/>
  <c r="CW57" i="3"/>
  <c r="CX57" i="3" s="1"/>
  <c r="CY57" i="3"/>
  <c r="DA57" i="3" s="1"/>
  <c r="CZ57" i="3"/>
  <c r="DF57" i="3"/>
  <c r="DH57" i="3" s="1"/>
  <c r="DG57" i="3"/>
  <c r="DI57" i="3"/>
  <c r="DJ57" i="3"/>
  <c r="DL57" i="3"/>
  <c r="DN57" i="3" s="1"/>
  <c r="DM57" i="3"/>
  <c r="DO57" i="3"/>
  <c r="DP57" i="3"/>
  <c r="DR57" i="3"/>
  <c r="DS57" i="3"/>
  <c r="DU57" i="3"/>
  <c r="DV57" i="3"/>
  <c r="DW57" i="3" s="1"/>
  <c r="DX57" i="3"/>
  <c r="DZ57" i="3" s="1"/>
  <c r="DY57" i="3"/>
  <c r="EE57" i="3"/>
  <c r="EG57" i="3" s="1"/>
  <c r="EF57" i="3"/>
  <c r="EH57" i="3"/>
  <c r="EI57" i="3"/>
  <c r="EK57" i="3"/>
  <c r="EM57" i="3" s="1"/>
  <c r="EL57" i="3"/>
  <c r="EN57" i="3"/>
  <c r="EO57" i="3"/>
  <c r="EQ57" i="3"/>
  <c r="ER57" i="3"/>
  <c r="ET57" i="3"/>
  <c r="EU57" i="3"/>
  <c r="EV57" i="3" s="1"/>
  <c r="FA57" i="3"/>
  <c r="FB57" i="3"/>
  <c r="FD57" i="3"/>
  <c r="FE57" i="3"/>
  <c r="FG57" i="3"/>
  <c r="FH57" i="3"/>
  <c r="FI57" i="3" s="1"/>
  <c r="FJ57" i="3"/>
  <c r="FK57" i="3"/>
  <c r="FL57" i="3" s="1"/>
  <c r="FM57" i="3"/>
  <c r="FO57" i="3" s="1"/>
  <c r="FN57" i="3"/>
  <c r="FT57" i="3"/>
  <c r="FU57" i="3"/>
  <c r="FW57" i="3"/>
  <c r="FX57" i="3"/>
  <c r="FY57" i="3"/>
  <c r="FZ57" i="3"/>
  <c r="GA57" i="3"/>
  <c r="GC57" i="3"/>
  <c r="GD57" i="3"/>
  <c r="GJ57" i="3"/>
  <c r="GL57" i="3" s="1"/>
  <c r="GK57" i="3"/>
  <c r="GM57" i="3"/>
  <c r="GO57" i="3" s="1"/>
  <c r="GN57" i="3"/>
  <c r="GP57" i="3"/>
  <c r="GR57" i="3" s="1"/>
  <c r="GQ57" i="3"/>
  <c r="GW57" i="3"/>
  <c r="GY57" i="3" s="1"/>
  <c r="GX57" i="3"/>
  <c r="GZ57" i="3"/>
  <c r="HA57" i="3"/>
  <c r="HG57" i="3"/>
  <c r="HH57" i="3"/>
  <c r="HI57" i="3" s="1"/>
  <c r="L58" i="3"/>
  <c r="AY58" i="3"/>
  <c r="BA58" i="3" s="1"/>
  <c r="AZ58" i="3"/>
  <c r="BB58" i="3"/>
  <c r="BD58" i="3" s="1"/>
  <c r="BC58" i="3"/>
  <c r="BE58" i="3"/>
  <c r="BF58" i="3"/>
  <c r="BH58" i="3"/>
  <c r="BI58" i="3"/>
  <c r="BJ58" i="3"/>
  <c r="BK58" i="3"/>
  <c r="BL58" i="3"/>
  <c r="BN58" i="3"/>
  <c r="BO58" i="3"/>
  <c r="BQ58" i="3"/>
  <c r="BR58" i="3"/>
  <c r="BS58" i="3" s="1"/>
  <c r="BT58" i="3"/>
  <c r="BU58" i="3"/>
  <c r="BV58" i="3" s="1"/>
  <c r="BW58" i="3"/>
  <c r="BY58" i="3" s="1"/>
  <c r="BX58" i="3"/>
  <c r="CD58" i="3"/>
  <c r="CE58" i="3"/>
  <c r="CG58" i="3"/>
  <c r="CH58" i="3"/>
  <c r="CI58" i="3"/>
  <c r="CJ58" i="3"/>
  <c r="CK58" i="3"/>
  <c r="CM58" i="3"/>
  <c r="CN58" i="3"/>
  <c r="CP58" i="3"/>
  <c r="CQ58" i="3"/>
  <c r="CR58" i="3" s="1"/>
  <c r="CS58" i="3"/>
  <c r="CT58" i="3"/>
  <c r="CU58" i="3" s="1"/>
  <c r="CV58" i="3"/>
  <c r="CX58" i="3" s="1"/>
  <c r="CW58" i="3"/>
  <c r="CY58" i="3"/>
  <c r="DA58" i="3" s="1"/>
  <c r="CZ58" i="3"/>
  <c r="DF58" i="3"/>
  <c r="DG58" i="3"/>
  <c r="DH58" i="3"/>
  <c r="DI58" i="3"/>
  <c r="DJ58" i="3"/>
  <c r="DL58" i="3"/>
  <c r="DM58" i="3"/>
  <c r="DO58" i="3"/>
  <c r="DP58" i="3"/>
  <c r="DQ58" i="3" s="1"/>
  <c r="DR58" i="3"/>
  <c r="DS58" i="3"/>
  <c r="DT58" i="3" s="1"/>
  <c r="DU58" i="3"/>
  <c r="DW58" i="3" s="1"/>
  <c r="DV58" i="3"/>
  <c r="DX58" i="3"/>
  <c r="DZ58" i="3" s="1"/>
  <c r="DY58" i="3"/>
  <c r="EE58" i="3"/>
  <c r="EF58" i="3"/>
  <c r="EG58" i="3"/>
  <c r="EH58" i="3"/>
  <c r="EI58" i="3"/>
  <c r="EK58" i="3"/>
  <c r="EL58" i="3"/>
  <c r="EN58" i="3"/>
  <c r="EO58" i="3"/>
  <c r="EP58" i="3" s="1"/>
  <c r="EQ58" i="3"/>
  <c r="ER58" i="3"/>
  <c r="ES58" i="3" s="1"/>
  <c r="ET58" i="3"/>
  <c r="EV58" i="3" s="1"/>
  <c r="EU58" i="3"/>
  <c r="FA58" i="3"/>
  <c r="FB58" i="3"/>
  <c r="FD58" i="3"/>
  <c r="FF58" i="3" s="1"/>
  <c r="FE58" i="3"/>
  <c r="FG58" i="3"/>
  <c r="FH58" i="3"/>
  <c r="FJ58" i="3"/>
  <c r="FK58" i="3"/>
  <c r="FM58" i="3"/>
  <c r="FN58" i="3"/>
  <c r="FO58" i="3" s="1"/>
  <c r="FT58" i="3"/>
  <c r="FU58" i="3"/>
  <c r="FW58" i="3"/>
  <c r="FX58" i="3"/>
  <c r="FZ58" i="3"/>
  <c r="GA58" i="3"/>
  <c r="GB58" i="3" s="1"/>
  <c r="GC58" i="3"/>
  <c r="GD58" i="3"/>
  <c r="GJ58" i="3"/>
  <c r="GL58" i="3" s="1"/>
  <c r="GK58" i="3"/>
  <c r="GM58" i="3"/>
  <c r="GN58" i="3"/>
  <c r="GP58" i="3"/>
  <c r="GR58" i="3" s="1"/>
  <c r="GQ58" i="3"/>
  <c r="GW58" i="3"/>
  <c r="GX58" i="3"/>
  <c r="GZ58" i="3"/>
  <c r="HA58" i="3"/>
  <c r="HB58" i="3" s="1"/>
  <c r="HG58" i="3"/>
  <c r="HH58" i="3"/>
  <c r="L59" i="3"/>
  <c r="AY59" i="3"/>
  <c r="AZ59" i="3"/>
  <c r="BB59" i="3"/>
  <c r="BD59" i="3" s="1"/>
  <c r="BC59" i="3"/>
  <c r="BE59" i="3"/>
  <c r="BF59" i="3"/>
  <c r="BH59" i="3"/>
  <c r="BI59" i="3"/>
  <c r="BK59" i="3"/>
  <c r="BL59" i="3"/>
  <c r="BM59" i="3" s="1"/>
  <c r="BN59" i="3"/>
  <c r="BO59" i="3"/>
  <c r="BQ59" i="3"/>
  <c r="BS59" i="3" s="1"/>
  <c r="BR59" i="3"/>
  <c r="BT59" i="3"/>
  <c r="BV59" i="3" s="1"/>
  <c r="BU59" i="3"/>
  <c r="BW59" i="3"/>
  <c r="BX59" i="3"/>
  <c r="CD59" i="3"/>
  <c r="CF59" i="3" s="1"/>
  <c r="CE59" i="3"/>
  <c r="CG59" i="3"/>
  <c r="CI59" i="3" s="1"/>
  <c r="CH59" i="3"/>
  <c r="CJ59" i="3"/>
  <c r="CK59" i="3"/>
  <c r="CM59" i="3"/>
  <c r="CO59" i="3" s="1"/>
  <c r="CN59" i="3"/>
  <c r="CP59" i="3"/>
  <c r="CQ59" i="3"/>
  <c r="CS59" i="3"/>
  <c r="CT59" i="3"/>
  <c r="CV59" i="3"/>
  <c r="CW59" i="3"/>
  <c r="CX59" i="3" s="1"/>
  <c r="CY59" i="3"/>
  <c r="DA59" i="3" s="1"/>
  <c r="CZ59" i="3"/>
  <c r="DF59" i="3"/>
  <c r="DH59" i="3" s="1"/>
  <c r="DG59" i="3"/>
  <c r="DI59" i="3"/>
  <c r="DJ59" i="3"/>
  <c r="DL59" i="3"/>
  <c r="DM59" i="3"/>
  <c r="DN59" i="3"/>
  <c r="DO59" i="3"/>
  <c r="DP59" i="3"/>
  <c r="DR59" i="3"/>
  <c r="DS59" i="3"/>
  <c r="DU59" i="3"/>
  <c r="DV59" i="3"/>
  <c r="DW59" i="3" s="1"/>
  <c r="DX59" i="3"/>
  <c r="DY59" i="3"/>
  <c r="EE59" i="3"/>
  <c r="EG59" i="3" s="1"/>
  <c r="EF59" i="3"/>
  <c r="EH59" i="3"/>
  <c r="EI59" i="3"/>
  <c r="EK59" i="3"/>
  <c r="EL59" i="3"/>
  <c r="EM59" i="3"/>
  <c r="EN59" i="3"/>
  <c r="EO59" i="3"/>
  <c r="EQ59" i="3"/>
  <c r="ER59" i="3"/>
  <c r="ET59" i="3"/>
  <c r="EU59" i="3"/>
  <c r="EV59" i="3" s="1"/>
  <c r="FA59" i="3"/>
  <c r="FB59" i="3"/>
  <c r="FD59" i="3"/>
  <c r="FE59" i="3"/>
  <c r="FG59" i="3"/>
  <c r="FH59" i="3"/>
  <c r="FI59" i="3" s="1"/>
  <c r="FJ59" i="3"/>
  <c r="FK59" i="3"/>
  <c r="FL59" i="3" s="1"/>
  <c r="FM59" i="3"/>
  <c r="FO59" i="3" s="1"/>
  <c r="FN59" i="3"/>
  <c r="FT59" i="3"/>
  <c r="FU59" i="3"/>
  <c r="FW59" i="3"/>
  <c r="FX59" i="3"/>
  <c r="FY59" i="3"/>
  <c r="FZ59" i="3"/>
  <c r="GA59" i="3"/>
  <c r="GC59" i="3"/>
  <c r="GD59" i="3"/>
  <c r="GJ59" i="3"/>
  <c r="GK59" i="3"/>
  <c r="GM59" i="3"/>
  <c r="GO59" i="3" s="1"/>
  <c r="GN59" i="3"/>
  <c r="GP59" i="3"/>
  <c r="GR59" i="3" s="1"/>
  <c r="GQ59" i="3"/>
  <c r="GW59" i="3"/>
  <c r="GY59" i="3" s="1"/>
  <c r="GX59" i="3"/>
  <c r="GZ59" i="3"/>
  <c r="HA59" i="3"/>
  <c r="HG59" i="3"/>
  <c r="HH59" i="3"/>
  <c r="HI59" i="3" s="1"/>
  <c r="L60" i="3"/>
  <c r="AY60" i="3"/>
  <c r="AZ60" i="3"/>
  <c r="BB60" i="3"/>
  <c r="BD60" i="3" s="1"/>
  <c r="BC60" i="3"/>
  <c r="BE60" i="3"/>
  <c r="BF60" i="3"/>
  <c r="BG60" i="3" s="1"/>
  <c r="BH60" i="3"/>
  <c r="BI60" i="3"/>
  <c r="BJ60" i="3"/>
  <c r="BK60" i="3"/>
  <c r="BM60" i="3" s="1"/>
  <c r="BL60" i="3"/>
  <c r="BN60" i="3"/>
  <c r="BO60" i="3"/>
  <c r="BQ60" i="3"/>
  <c r="BR60" i="3"/>
  <c r="BT60" i="3"/>
  <c r="BU60" i="3"/>
  <c r="BV60" i="3"/>
  <c r="BW60" i="3"/>
  <c r="BY60" i="3" s="1"/>
  <c r="BX60" i="3"/>
  <c r="CD60" i="3"/>
  <c r="CE60" i="3"/>
  <c r="CF60" i="3" s="1"/>
  <c r="CG60" i="3"/>
  <c r="CH60" i="3"/>
  <c r="CI60" i="3"/>
  <c r="CJ60" i="3"/>
  <c r="CL60" i="3" s="1"/>
  <c r="CK60" i="3"/>
  <c r="CM60" i="3"/>
  <c r="CN60" i="3"/>
  <c r="CP60" i="3"/>
  <c r="CQ60" i="3"/>
  <c r="CS60" i="3"/>
  <c r="CT60" i="3"/>
  <c r="CU60" i="3"/>
  <c r="CV60" i="3"/>
  <c r="CX60" i="3" s="1"/>
  <c r="CW60" i="3"/>
  <c r="CY60" i="3"/>
  <c r="CZ60" i="3"/>
  <c r="DF60" i="3"/>
  <c r="DG60" i="3"/>
  <c r="DH60" i="3"/>
  <c r="DI60" i="3"/>
  <c r="DK60" i="3" s="1"/>
  <c r="DJ60" i="3"/>
  <c r="DL60" i="3"/>
  <c r="DM60" i="3"/>
  <c r="DO60" i="3"/>
  <c r="DP60" i="3"/>
  <c r="DR60" i="3"/>
  <c r="DS60" i="3"/>
  <c r="DT60" i="3"/>
  <c r="DU60" i="3"/>
  <c r="DW60" i="3" s="1"/>
  <c r="DV60" i="3"/>
  <c r="DX60" i="3"/>
  <c r="DY60" i="3"/>
  <c r="EE60" i="3"/>
  <c r="EF60" i="3"/>
  <c r="EG60" i="3"/>
  <c r="EH60" i="3"/>
  <c r="EJ60" i="3" s="1"/>
  <c r="EI60" i="3"/>
  <c r="EK60" i="3"/>
  <c r="EL60" i="3"/>
  <c r="EN60" i="3"/>
  <c r="EO60" i="3"/>
  <c r="EQ60" i="3"/>
  <c r="ER60" i="3"/>
  <c r="ES60" i="3"/>
  <c r="ET60" i="3"/>
  <c r="EV60" i="3" s="1"/>
  <c r="EU60" i="3"/>
  <c r="FA60" i="3"/>
  <c r="FB60" i="3"/>
  <c r="FC60" i="3" s="1"/>
  <c r="FD60" i="3"/>
  <c r="FE60" i="3"/>
  <c r="FF60" i="3"/>
  <c r="FG60" i="3"/>
  <c r="FI60" i="3" s="1"/>
  <c r="FH60" i="3"/>
  <c r="FJ60" i="3"/>
  <c r="FK60" i="3"/>
  <c r="FM60" i="3"/>
  <c r="FN60" i="3"/>
  <c r="FT60" i="3"/>
  <c r="FU60" i="3"/>
  <c r="FW60" i="3"/>
  <c r="FY60" i="3" s="1"/>
  <c r="FX60" i="3"/>
  <c r="FZ60" i="3"/>
  <c r="GA60" i="3"/>
  <c r="GB60" i="3" s="1"/>
  <c r="GC60" i="3"/>
  <c r="GE60" i="3" s="1"/>
  <c r="GD60" i="3"/>
  <c r="GJ60" i="3"/>
  <c r="GK60" i="3"/>
  <c r="GM60" i="3"/>
  <c r="GN60" i="3"/>
  <c r="GP60" i="3"/>
  <c r="GQ60" i="3"/>
  <c r="GR60" i="3"/>
  <c r="GW60" i="3"/>
  <c r="GX60" i="3"/>
  <c r="GZ60" i="3"/>
  <c r="HA60" i="3"/>
  <c r="HB60" i="3" s="1"/>
  <c r="HG60" i="3"/>
  <c r="HH60" i="3"/>
  <c r="L61" i="3"/>
  <c r="AY61" i="3"/>
  <c r="AZ61" i="3"/>
  <c r="BB61" i="3"/>
  <c r="BC61" i="3"/>
  <c r="BD61" i="3"/>
  <c r="BE61" i="3"/>
  <c r="BF61" i="3"/>
  <c r="BH61" i="3"/>
  <c r="BI61" i="3"/>
  <c r="BK61" i="3"/>
  <c r="BL61" i="3"/>
  <c r="BM61" i="3" s="1"/>
  <c r="BN61" i="3"/>
  <c r="BO61" i="3"/>
  <c r="BQ61" i="3"/>
  <c r="BR61" i="3"/>
  <c r="BT61" i="3"/>
  <c r="BV61" i="3" s="1"/>
  <c r="BU61" i="3"/>
  <c r="BW61" i="3"/>
  <c r="BX61" i="3"/>
  <c r="BY61" i="3" s="1"/>
  <c r="CD61" i="3"/>
  <c r="CF61" i="3" s="1"/>
  <c r="CE61" i="3"/>
  <c r="CG61" i="3"/>
  <c r="CH61" i="3"/>
  <c r="CJ61" i="3"/>
  <c r="CK61" i="3"/>
  <c r="CM61" i="3"/>
  <c r="CN61" i="3"/>
  <c r="CO61" i="3"/>
  <c r="CP61" i="3"/>
  <c r="CQ61" i="3"/>
  <c r="CS61" i="3"/>
  <c r="CT61" i="3"/>
  <c r="CV61" i="3"/>
  <c r="CW61" i="3"/>
  <c r="CX61" i="3" s="1"/>
  <c r="CY61" i="3"/>
  <c r="CZ61" i="3"/>
  <c r="DF61" i="3"/>
  <c r="DG61" i="3"/>
  <c r="DI61" i="3"/>
  <c r="DJ61" i="3"/>
  <c r="DL61" i="3"/>
  <c r="DM61" i="3"/>
  <c r="DN61" i="3" s="1"/>
  <c r="DO61" i="3"/>
  <c r="DP61" i="3"/>
  <c r="DR61" i="3"/>
  <c r="DT61" i="3" s="1"/>
  <c r="DS61" i="3"/>
  <c r="DU61" i="3"/>
  <c r="DV61" i="3"/>
  <c r="DW61" i="3" s="1"/>
  <c r="DX61" i="3"/>
  <c r="DZ61" i="3" s="1"/>
  <c r="DY61" i="3"/>
  <c r="EE61" i="3"/>
  <c r="EF61" i="3"/>
  <c r="EH61" i="3"/>
  <c r="EI61" i="3"/>
  <c r="EK61" i="3"/>
  <c r="EL61" i="3"/>
  <c r="EM61" i="3"/>
  <c r="EN61" i="3"/>
  <c r="EO61" i="3"/>
  <c r="EQ61" i="3"/>
  <c r="ER61" i="3"/>
  <c r="ET61" i="3"/>
  <c r="EU61" i="3"/>
  <c r="EV61" i="3" s="1"/>
  <c r="FA61" i="3"/>
  <c r="FB61" i="3"/>
  <c r="FD61" i="3"/>
  <c r="FE61" i="3"/>
  <c r="FG61" i="3"/>
  <c r="FH61" i="3"/>
  <c r="FI61" i="3" s="1"/>
  <c r="FJ61" i="3"/>
  <c r="FK61" i="3"/>
  <c r="FL61" i="3"/>
  <c r="FM61" i="3"/>
  <c r="FO61" i="3" s="1"/>
  <c r="FN61" i="3"/>
  <c r="FT61" i="3"/>
  <c r="FU61" i="3"/>
  <c r="FV61" i="3" s="1"/>
  <c r="FW61" i="3"/>
  <c r="FY61" i="3" s="1"/>
  <c r="FX61" i="3"/>
  <c r="FZ61" i="3"/>
  <c r="GA61" i="3"/>
  <c r="GC61" i="3"/>
  <c r="GD61" i="3"/>
  <c r="GJ61" i="3"/>
  <c r="GK61" i="3"/>
  <c r="GM61" i="3"/>
  <c r="GN61" i="3"/>
  <c r="GP61" i="3"/>
  <c r="GR61" i="3" s="1"/>
  <c r="GQ61" i="3"/>
  <c r="GW61" i="3"/>
  <c r="GX61" i="3"/>
  <c r="GY61" i="3"/>
  <c r="GZ61" i="3"/>
  <c r="HA61" i="3"/>
  <c r="HG61" i="3"/>
  <c r="HH61" i="3"/>
  <c r="HI61" i="3" s="1"/>
  <c r="L62" i="3"/>
  <c r="AY62" i="3"/>
  <c r="AZ62" i="3"/>
  <c r="BB62" i="3"/>
  <c r="BD62" i="3" s="1"/>
  <c r="BC62" i="3"/>
  <c r="BE62" i="3"/>
  <c r="BF62" i="3"/>
  <c r="BG62" i="3" s="1"/>
  <c r="BH62" i="3"/>
  <c r="BJ62" i="3" s="1"/>
  <c r="BI62" i="3"/>
  <c r="BK62" i="3"/>
  <c r="BM62" i="3" s="1"/>
  <c r="BL62" i="3"/>
  <c r="BN62" i="3"/>
  <c r="BO62" i="3"/>
  <c r="BQ62" i="3"/>
  <c r="BR62" i="3"/>
  <c r="BT62" i="3"/>
  <c r="BU62" i="3"/>
  <c r="BV62" i="3"/>
  <c r="BW62" i="3"/>
  <c r="BY62" i="3" s="1"/>
  <c r="BX62" i="3"/>
  <c r="CD62" i="3"/>
  <c r="CE62" i="3"/>
  <c r="CF62" i="3" s="1"/>
  <c r="CG62" i="3"/>
  <c r="CI62" i="3" s="1"/>
  <c r="CH62" i="3"/>
  <c r="CJ62" i="3"/>
  <c r="CK62" i="3"/>
  <c r="CM62" i="3"/>
  <c r="CN62" i="3"/>
  <c r="CP62" i="3"/>
  <c r="CQ62" i="3"/>
  <c r="CR62" i="3" s="1"/>
  <c r="CS62" i="3"/>
  <c r="CT62" i="3"/>
  <c r="CU62" i="3"/>
  <c r="CV62" i="3"/>
  <c r="CX62" i="3" s="1"/>
  <c r="CW62" i="3"/>
  <c r="CY62" i="3"/>
  <c r="CZ62" i="3"/>
  <c r="DF62" i="3"/>
  <c r="DH62" i="3" s="1"/>
  <c r="DG62" i="3"/>
  <c r="DI62" i="3"/>
  <c r="DJ62" i="3"/>
  <c r="DL62" i="3"/>
  <c r="DM62" i="3"/>
  <c r="DO62" i="3"/>
  <c r="DP62" i="3"/>
  <c r="DR62" i="3"/>
  <c r="DS62" i="3"/>
  <c r="DT62" i="3"/>
  <c r="DU62" i="3"/>
  <c r="DV62" i="3"/>
  <c r="DX62" i="3"/>
  <c r="DY62" i="3"/>
  <c r="EE62" i="3"/>
  <c r="EF62" i="3"/>
  <c r="EG62" i="3"/>
  <c r="EH62" i="3"/>
  <c r="EJ62" i="3" s="1"/>
  <c r="EI62" i="3"/>
  <c r="EK62" i="3"/>
  <c r="EL62" i="3"/>
  <c r="EN62" i="3"/>
  <c r="EO62" i="3"/>
  <c r="EQ62" i="3"/>
  <c r="ER62" i="3"/>
  <c r="ES62" i="3"/>
  <c r="ET62" i="3"/>
  <c r="EU62" i="3"/>
  <c r="FA62" i="3"/>
  <c r="FB62" i="3"/>
  <c r="FC62" i="3" s="1"/>
  <c r="FD62" i="3"/>
  <c r="FE62" i="3"/>
  <c r="FF62" i="3"/>
  <c r="FG62" i="3"/>
  <c r="FI62" i="3" s="1"/>
  <c r="FH62" i="3"/>
  <c r="FJ62" i="3"/>
  <c r="FK62" i="3"/>
  <c r="FM62" i="3"/>
  <c r="FN62" i="3"/>
  <c r="FT62" i="3"/>
  <c r="FU62" i="3"/>
  <c r="FW62" i="3"/>
  <c r="FX62" i="3"/>
  <c r="FZ62" i="3"/>
  <c r="GA62" i="3"/>
  <c r="GB62" i="3" s="1"/>
  <c r="GC62" i="3"/>
  <c r="GE62" i="3" s="1"/>
  <c r="GD62" i="3"/>
  <c r="GJ62" i="3"/>
  <c r="GL62" i="3" s="1"/>
  <c r="GK62" i="3"/>
  <c r="GM62" i="3"/>
  <c r="GN62" i="3"/>
  <c r="GO62" i="3"/>
  <c r="GP62" i="3"/>
  <c r="GR62" i="3" s="1"/>
  <c r="GQ62" i="3"/>
  <c r="GW62" i="3"/>
  <c r="GX62" i="3"/>
  <c r="GZ62" i="3"/>
  <c r="HA62" i="3"/>
  <c r="HB62" i="3" s="1"/>
  <c r="HG62" i="3"/>
  <c r="HH62" i="3"/>
  <c r="L63" i="3"/>
  <c r="AY63" i="3"/>
  <c r="AZ63" i="3"/>
  <c r="BA63" i="3"/>
  <c r="BB63" i="3"/>
  <c r="BC63" i="3"/>
  <c r="BE63" i="3"/>
  <c r="BF63" i="3"/>
  <c r="BH63" i="3"/>
  <c r="BI63" i="3"/>
  <c r="BJ63" i="3" s="1"/>
  <c r="BK63" i="3"/>
  <c r="BL63" i="3"/>
  <c r="BN63" i="3"/>
  <c r="BO63" i="3"/>
  <c r="BQ63" i="3"/>
  <c r="BS63" i="3" s="1"/>
  <c r="BR63" i="3"/>
  <c r="BT63" i="3"/>
  <c r="BU63" i="3"/>
  <c r="BV63" i="3" s="1"/>
  <c r="BW63" i="3"/>
  <c r="BY63" i="3" s="1"/>
  <c r="BX63" i="3"/>
  <c r="CD63" i="3"/>
  <c r="CE63" i="3"/>
  <c r="CG63" i="3"/>
  <c r="CH63" i="3"/>
  <c r="CJ63" i="3"/>
  <c r="CK63" i="3"/>
  <c r="CM63" i="3"/>
  <c r="CN63" i="3"/>
  <c r="CO63" i="3" s="1"/>
  <c r="CP63" i="3"/>
  <c r="CR63" i="3" s="1"/>
  <c r="CQ63" i="3"/>
  <c r="CS63" i="3"/>
  <c r="CT63" i="3"/>
  <c r="CV63" i="3"/>
  <c r="CX63" i="3" s="1"/>
  <c r="CW63" i="3"/>
  <c r="CY63" i="3"/>
  <c r="CZ63" i="3"/>
  <c r="DA63" i="3" s="1"/>
  <c r="DF63" i="3"/>
  <c r="DG63" i="3"/>
  <c r="DI63" i="3"/>
  <c r="DJ63" i="3"/>
  <c r="DL63" i="3"/>
  <c r="DM63" i="3"/>
  <c r="DN63" i="3" s="1"/>
  <c r="DO63" i="3"/>
  <c r="DQ63" i="3" s="1"/>
  <c r="DP63" i="3"/>
  <c r="DR63" i="3"/>
  <c r="DS63" i="3"/>
  <c r="DU63" i="3"/>
  <c r="DW63" i="3" s="1"/>
  <c r="DV63" i="3"/>
  <c r="DX63" i="3"/>
  <c r="DY63" i="3"/>
  <c r="DZ63" i="3" s="1"/>
  <c r="EE63" i="3"/>
  <c r="EF63" i="3"/>
  <c r="EH63" i="3"/>
  <c r="EI63" i="3"/>
  <c r="EK63" i="3"/>
  <c r="EL63" i="3"/>
  <c r="EM63" i="3" s="1"/>
  <c r="EN63" i="3"/>
  <c r="EP63" i="3" s="1"/>
  <c r="EO63" i="3"/>
  <c r="EQ63" i="3"/>
  <c r="ER63" i="3"/>
  <c r="ET63" i="3"/>
  <c r="EV63" i="3" s="1"/>
  <c r="EU63" i="3"/>
  <c r="FA63" i="3"/>
  <c r="FB63" i="3"/>
  <c r="FD63" i="3"/>
  <c r="FE63" i="3"/>
  <c r="FG63" i="3"/>
  <c r="FH63" i="3"/>
  <c r="FJ63" i="3"/>
  <c r="FK63" i="3"/>
  <c r="FL63" i="3" s="1"/>
  <c r="FM63" i="3"/>
  <c r="FO63" i="3" s="1"/>
  <c r="FN63" i="3"/>
  <c r="FT63" i="3"/>
  <c r="FU63" i="3"/>
  <c r="FV63" i="3"/>
  <c r="FW63" i="3"/>
  <c r="FX63" i="3"/>
  <c r="FY63" i="3" s="1"/>
  <c r="FZ63" i="3"/>
  <c r="GA63" i="3"/>
  <c r="GC63" i="3"/>
  <c r="GD63" i="3"/>
  <c r="GJ63" i="3"/>
  <c r="GK63" i="3"/>
  <c r="GL63" i="3" s="1"/>
  <c r="GM63" i="3"/>
  <c r="GN63" i="3"/>
  <c r="GP63" i="3"/>
  <c r="GQ63" i="3"/>
  <c r="GW63" i="3"/>
  <c r="GX63" i="3"/>
  <c r="GY63" i="3" s="1"/>
  <c r="GZ63" i="3"/>
  <c r="HA63" i="3"/>
  <c r="HG63" i="3"/>
  <c r="HH63" i="3"/>
  <c r="HI63" i="3"/>
  <c r="L64" i="3"/>
  <c r="AY64" i="3"/>
  <c r="AZ64" i="3"/>
  <c r="BB64" i="3"/>
  <c r="BC64" i="3"/>
  <c r="BE64" i="3"/>
  <c r="BF64" i="3"/>
  <c r="BG64" i="3"/>
  <c r="BH64" i="3"/>
  <c r="BI64" i="3"/>
  <c r="BK64" i="3"/>
  <c r="BL64" i="3"/>
  <c r="BN64" i="3"/>
  <c r="BP64" i="3" s="1"/>
  <c r="BO64" i="3"/>
  <c r="BQ64" i="3"/>
  <c r="BR64" i="3"/>
  <c r="BS64" i="3"/>
  <c r="BT64" i="3"/>
  <c r="BU64" i="3"/>
  <c r="BV64" i="3" s="1"/>
  <c r="BW64" i="3"/>
  <c r="BX64" i="3"/>
  <c r="CD64" i="3"/>
  <c r="CE64" i="3"/>
  <c r="CF64" i="3"/>
  <c r="CG64" i="3"/>
  <c r="CI64" i="3" s="1"/>
  <c r="CH64" i="3"/>
  <c r="CJ64" i="3"/>
  <c r="CK64" i="3"/>
  <c r="CM64" i="3"/>
  <c r="CN64" i="3"/>
  <c r="CP64" i="3"/>
  <c r="CQ64" i="3"/>
  <c r="CR64" i="3"/>
  <c r="CS64" i="3"/>
  <c r="CT64" i="3"/>
  <c r="CV64" i="3"/>
  <c r="CW64" i="3"/>
  <c r="CY64" i="3"/>
  <c r="CZ64" i="3"/>
  <c r="DA64" i="3" s="1"/>
  <c r="DF64" i="3"/>
  <c r="DG64" i="3"/>
  <c r="DI64" i="3"/>
  <c r="DJ64" i="3"/>
  <c r="DL64" i="3"/>
  <c r="DM64" i="3"/>
  <c r="DN64" i="3" s="1"/>
  <c r="DO64" i="3"/>
  <c r="DP64" i="3"/>
  <c r="DQ64" i="3"/>
  <c r="DR64" i="3"/>
  <c r="DT64" i="3" s="1"/>
  <c r="DS64" i="3"/>
  <c r="DU64" i="3"/>
  <c r="DV64" i="3"/>
  <c r="DX64" i="3"/>
  <c r="DY64" i="3"/>
  <c r="EE64" i="3"/>
  <c r="EF64" i="3"/>
  <c r="EH64" i="3"/>
  <c r="EJ64" i="3" s="1"/>
  <c r="EI64" i="3"/>
  <c r="EK64" i="3"/>
  <c r="EL64" i="3"/>
  <c r="EM64" i="3" s="1"/>
  <c r="EN64" i="3"/>
  <c r="EP64" i="3" s="1"/>
  <c r="EO64" i="3"/>
  <c r="EQ64" i="3"/>
  <c r="ER64" i="3"/>
  <c r="ET64" i="3"/>
  <c r="EU64" i="3"/>
  <c r="FA64" i="3"/>
  <c r="FB64" i="3"/>
  <c r="FD64" i="3"/>
  <c r="FE64" i="3"/>
  <c r="FG64" i="3"/>
  <c r="FI64" i="3" s="1"/>
  <c r="FH64" i="3"/>
  <c r="FJ64" i="3"/>
  <c r="FK64" i="3"/>
  <c r="FL64" i="3" s="1"/>
  <c r="FM64" i="3"/>
  <c r="FN64" i="3"/>
  <c r="FO64" i="3"/>
  <c r="FT64" i="3"/>
  <c r="FV64" i="3" s="1"/>
  <c r="FU64" i="3"/>
  <c r="FW64" i="3"/>
  <c r="FX64" i="3"/>
  <c r="FY64" i="3" s="1"/>
  <c r="FZ64" i="3"/>
  <c r="GB64" i="3" s="1"/>
  <c r="GA64" i="3"/>
  <c r="GC64" i="3"/>
  <c r="GD64" i="3"/>
  <c r="GJ64" i="3"/>
  <c r="GK64" i="3"/>
  <c r="GM64" i="3"/>
  <c r="GN64" i="3"/>
  <c r="GO64" i="3"/>
  <c r="GP64" i="3"/>
  <c r="GQ64" i="3"/>
  <c r="GW64" i="3"/>
  <c r="GX64" i="3"/>
  <c r="GY64" i="3" s="1"/>
  <c r="GZ64" i="3"/>
  <c r="HA64" i="3"/>
  <c r="HB64" i="3"/>
  <c r="HG64" i="3"/>
  <c r="HI64" i="3" s="1"/>
  <c r="HH64" i="3"/>
  <c r="L65" i="3"/>
  <c r="AY65" i="3"/>
  <c r="AZ65" i="3"/>
  <c r="BB65" i="3"/>
  <c r="BC65" i="3"/>
  <c r="BD65" i="3" s="1"/>
  <c r="BE65" i="3"/>
  <c r="BG65" i="3" s="1"/>
  <c r="BF65" i="3"/>
  <c r="BH65" i="3"/>
  <c r="BI65" i="3"/>
  <c r="BK65" i="3"/>
  <c r="BM65" i="3" s="1"/>
  <c r="BL65" i="3"/>
  <c r="BN65" i="3"/>
  <c r="BO65" i="3"/>
  <c r="BP65" i="3" s="1"/>
  <c r="BQ65" i="3"/>
  <c r="BR65" i="3"/>
  <c r="BT65" i="3"/>
  <c r="BU65" i="3"/>
  <c r="BW65" i="3"/>
  <c r="BX65" i="3"/>
  <c r="BY65" i="3"/>
  <c r="CD65" i="3"/>
  <c r="CF65" i="3" s="1"/>
  <c r="CE65" i="3"/>
  <c r="CG65" i="3"/>
  <c r="CH65" i="3"/>
  <c r="CJ65" i="3"/>
  <c r="CL65" i="3" s="1"/>
  <c r="CK65" i="3"/>
  <c r="CM65" i="3"/>
  <c r="CN65" i="3"/>
  <c r="CO65" i="3" s="1"/>
  <c r="CP65" i="3"/>
  <c r="CQ65" i="3"/>
  <c r="CS65" i="3"/>
  <c r="CT65" i="3"/>
  <c r="CV65" i="3"/>
  <c r="CW65" i="3"/>
  <c r="CX65" i="3"/>
  <c r="CY65" i="3"/>
  <c r="CZ65" i="3"/>
  <c r="DF65" i="3"/>
  <c r="DG65" i="3"/>
  <c r="DI65" i="3"/>
  <c r="DK65" i="3" s="1"/>
  <c r="DJ65" i="3"/>
  <c r="DL65" i="3"/>
  <c r="DM65" i="3"/>
  <c r="DN65" i="3" s="1"/>
  <c r="DO65" i="3"/>
  <c r="DP65" i="3"/>
  <c r="DR65" i="3"/>
  <c r="DS65" i="3"/>
  <c r="DU65" i="3"/>
  <c r="DV65" i="3"/>
  <c r="DW65" i="3"/>
  <c r="DX65" i="3"/>
  <c r="DY65" i="3"/>
  <c r="EE65" i="3"/>
  <c r="EF65" i="3"/>
  <c r="EH65" i="3"/>
  <c r="EJ65" i="3" s="1"/>
  <c r="EI65" i="3"/>
  <c r="EK65" i="3"/>
  <c r="EL65" i="3"/>
  <c r="EM65" i="3" s="1"/>
  <c r="EN65" i="3"/>
  <c r="EO65" i="3"/>
  <c r="EQ65" i="3"/>
  <c r="ER65" i="3"/>
  <c r="ET65" i="3"/>
  <c r="EU65" i="3"/>
  <c r="EV65" i="3"/>
  <c r="FA65" i="3"/>
  <c r="FC65" i="3" s="1"/>
  <c r="FB65" i="3"/>
  <c r="FD65" i="3"/>
  <c r="FE65" i="3"/>
  <c r="FG65" i="3"/>
  <c r="FI65" i="3" s="1"/>
  <c r="FH65" i="3"/>
  <c r="FJ65" i="3"/>
  <c r="FK65" i="3"/>
  <c r="FL65" i="3" s="1"/>
  <c r="FM65" i="3"/>
  <c r="FN65" i="3"/>
  <c r="FT65" i="3"/>
  <c r="FU65" i="3"/>
  <c r="FW65" i="3"/>
  <c r="FX65" i="3"/>
  <c r="FZ65" i="3"/>
  <c r="GB65" i="3" s="1"/>
  <c r="GA65" i="3"/>
  <c r="GC65" i="3"/>
  <c r="GE65" i="3" s="1"/>
  <c r="GD65" i="3"/>
  <c r="GJ65" i="3"/>
  <c r="GK65" i="3"/>
  <c r="GM65" i="3"/>
  <c r="GO65" i="3" s="1"/>
  <c r="GN65" i="3"/>
  <c r="GP65" i="3"/>
  <c r="GR65" i="3" s="1"/>
  <c r="GQ65" i="3"/>
  <c r="GW65" i="3"/>
  <c r="GX65" i="3"/>
  <c r="GZ65" i="3"/>
  <c r="HB65" i="3" s="1"/>
  <c r="HA65" i="3"/>
  <c r="HG65" i="3"/>
  <c r="HI65" i="3" s="1"/>
  <c r="HH65" i="3"/>
  <c r="L66" i="3"/>
  <c r="AY66" i="3"/>
  <c r="BA66" i="3" s="1"/>
  <c r="AZ66" i="3"/>
  <c r="BB66" i="3"/>
  <c r="BD66" i="3" s="1"/>
  <c r="BC66" i="3"/>
  <c r="BE66" i="3"/>
  <c r="BG66" i="3" s="1"/>
  <c r="BF66" i="3"/>
  <c r="BH66" i="3"/>
  <c r="BI66" i="3"/>
  <c r="BJ66" i="3" s="1"/>
  <c r="BK66" i="3"/>
  <c r="BL66" i="3"/>
  <c r="BN66" i="3"/>
  <c r="BO66" i="3"/>
  <c r="BQ66" i="3"/>
  <c r="BR66" i="3"/>
  <c r="BT66" i="3"/>
  <c r="BV66" i="3" s="1"/>
  <c r="BU66" i="3"/>
  <c r="BW66" i="3"/>
  <c r="BX66" i="3"/>
  <c r="CD66" i="3"/>
  <c r="CF66" i="3" s="1"/>
  <c r="CE66" i="3"/>
  <c r="CG66" i="3"/>
  <c r="CH66" i="3"/>
  <c r="CI66" i="3"/>
  <c r="CJ66" i="3"/>
  <c r="CK66" i="3"/>
  <c r="CM66" i="3"/>
  <c r="CN66" i="3"/>
  <c r="CP66" i="3"/>
  <c r="CQ66" i="3"/>
  <c r="CR66" i="3"/>
  <c r="CS66" i="3"/>
  <c r="CU66" i="3" s="1"/>
  <c r="CT66" i="3"/>
  <c r="CV66" i="3"/>
  <c r="CW66" i="3"/>
  <c r="CY66" i="3"/>
  <c r="CZ66" i="3"/>
  <c r="DF66" i="3"/>
  <c r="DG66" i="3"/>
  <c r="DI66" i="3"/>
  <c r="DJ66" i="3"/>
  <c r="DL66" i="3"/>
  <c r="DN66" i="3" s="1"/>
  <c r="DM66" i="3"/>
  <c r="DO66" i="3"/>
  <c r="DP66" i="3"/>
  <c r="DQ66" i="3"/>
  <c r="DR66" i="3"/>
  <c r="DS66" i="3"/>
  <c r="DT66" i="3"/>
  <c r="DU66" i="3"/>
  <c r="DW66" i="3" s="1"/>
  <c r="DV66" i="3"/>
  <c r="DX66" i="3"/>
  <c r="DY66" i="3"/>
  <c r="EE66" i="3"/>
  <c r="EG66" i="3" s="1"/>
  <c r="EF66" i="3"/>
  <c r="EH66" i="3"/>
  <c r="EI66" i="3"/>
  <c r="EK66" i="3"/>
  <c r="EL66" i="3"/>
  <c r="EN66" i="3"/>
  <c r="EO66" i="3"/>
  <c r="EQ66" i="3"/>
  <c r="ES66" i="3" s="1"/>
  <c r="ER66" i="3"/>
  <c r="ET66" i="3"/>
  <c r="EU66" i="3"/>
  <c r="FA66" i="3"/>
  <c r="FB66" i="3"/>
  <c r="FD66" i="3"/>
  <c r="FF66" i="3" s="1"/>
  <c r="FE66" i="3"/>
  <c r="FG66" i="3"/>
  <c r="FH66" i="3"/>
  <c r="FJ66" i="3"/>
  <c r="FL66" i="3" s="1"/>
  <c r="FK66" i="3"/>
  <c r="FM66" i="3"/>
  <c r="FN66" i="3"/>
  <c r="FO66" i="3"/>
  <c r="FT66" i="3"/>
  <c r="FV66" i="3" s="1"/>
  <c r="FU66" i="3"/>
  <c r="FW66" i="3"/>
  <c r="FX66" i="3"/>
  <c r="FZ66" i="3"/>
  <c r="GA66" i="3"/>
  <c r="GB66" i="3"/>
  <c r="GC66" i="3"/>
  <c r="GE66" i="3" s="1"/>
  <c r="GD66" i="3"/>
  <c r="GJ66" i="3"/>
  <c r="GK66" i="3"/>
  <c r="GM66" i="3"/>
  <c r="GO66" i="3" s="1"/>
  <c r="GN66" i="3"/>
  <c r="GP66" i="3"/>
  <c r="GQ66" i="3"/>
  <c r="GW66" i="3"/>
  <c r="GX66" i="3"/>
  <c r="GZ66" i="3"/>
  <c r="HB66" i="3" s="1"/>
  <c r="HA66" i="3"/>
  <c r="HG66" i="3"/>
  <c r="HH66" i="3"/>
  <c r="L67" i="3"/>
  <c r="AY67" i="3"/>
  <c r="AZ67" i="3"/>
  <c r="BA67" i="3"/>
  <c r="BB67" i="3"/>
  <c r="BC67" i="3"/>
  <c r="BD67" i="3"/>
  <c r="BE67" i="3"/>
  <c r="BG67" i="3" s="1"/>
  <c r="BF67" i="3"/>
  <c r="BH67" i="3"/>
  <c r="BI67" i="3"/>
  <c r="BK67" i="3"/>
  <c r="BM67" i="3" s="1"/>
  <c r="BL67" i="3"/>
  <c r="BN67" i="3"/>
  <c r="BO67" i="3"/>
  <c r="BQ67" i="3"/>
  <c r="BS67" i="3" s="1"/>
  <c r="BR67" i="3"/>
  <c r="BT67" i="3"/>
  <c r="BV67" i="3" s="1"/>
  <c r="BU67" i="3"/>
  <c r="BW67" i="3"/>
  <c r="BY67" i="3" s="1"/>
  <c r="BX67" i="3"/>
  <c r="CD67" i="3"/>
  <c r="CE67" i="3"/>
  <c r="CG67" i="3"/>
  <c r="CH67" i="3"/>
  <c r="CJ67" i="3"/>
  <c r="CK67" i="3"/>
  <c r="CL67" i="3" s="1"/>
  <c r="CM67" i="3"/>
  <c r="CN67" i="3"/>
  <c r="CO67" i="3"/>
  <c r="CP67" i="3"/>
  <c r="CQ67" i="3"/>
  <c r="CS67" i="3"/>
  <c r="CT67" i="3"/>
  <c r="CV67" i="3"/>
  <c r="CW67" i="3"/>
  <c r="CY67" i="3"/>
  <c r="DA67" i="3" s="1"/>
  <c r="CZ67" i="3"/>
  <c r="DF67" i="3"/>
  <c r="DG67" i="3"/>
  <c r="DI67" i="3"/>
  <c r="DK67" i="3" s="1"/>
  <c r="DJ67" i="3"/>
  <c r="DL67" i="3"/>
  <c r="DM67" i="3"/>
  <c r="DN67" i="3"/>
  <c r="DO67" i="3"/>
  <c r="DP67" i="3"/>
  <c r="DR67" i="3"/>
  <c r="DS67" i="3"/>
  <c r="DU67" i="3"/>
  <c r="DV67" i="3"/>
  <c r="DW67" i="3"/>
  <c r="DX67" i="3"/>
  <c r="DZ67" i="3" s="1"/>
  <c r="DY67" i="3"/>
  <c r="EE67" i="3"/>
  <c r="EF67" i="3"/>
  <c r="EH67" i="3"/>
  <c r="EI67" i="3"/>
  <c r="EJ67" i="3"/>
  <c r="EK67" i="3"/>
  <c r="EM67" i="3" s="1"/>
  <c r="EL67" i="3"/>
  <c r="EN67" i="3"/>
  <c r="EO67" i="3"/>
  <c r="EQ67" i="3"/>
  <c r="ER67" i="3"/>
  <c r="ET67" i="3"/>
  <c r="EU67" i="3"/>
  <c r="FA67" i="3"/>
  <c r="FB67" i="3"/>
  <c r="FD67" i="3"/>
  <c r="FF67" i="3" s="1"/>
  <c r="FE67" i="3"/>
  <c r="FG67" i="3"/>
  <c r="FH67" i="3"/>
  <c r="FI67" i="3"/>
  <c r="FJ67" i="3"/>
  <c r="FK67" i="3"/>
  <c r="FL67" i="3"/>
  <c r="FM67" i="3"/>
  <c r="FO67" i="3" s="1"/>
  <c r="FN67" i="3"/>
  <c r="FT67" i="3"/>
  <c r="FU67" i="3"/>
  <c r="FV67" i="3"/>
  <c r="FW67" i="3"/>
  <c r="FX67" i="3"/>
  <c r="FY67" i="3"/>
  <c r="FZ67" i="3"/>
  <c r="GB67" i="3" s="1"/>
  <c r="GA67" i="3"/>
  <c r="GC67" i="3"/>
  <c r="GD67" i="3"/>
  <c r="GJ67" i="3"/>
  <c r="GL67" i="3" s="1"/>
  <c r="GK67" i="3"/>
  <c r="GM67" i="3"/>
  <c r="GN67" i="3"/>
  <c r="GP67" i="3"/>
  <c r="GQ67" i="3"/>
  <c r="GW67" i="3"/>
  <c r="GX67" i="3"/>
  <c r="GZ67" i="3"/>
  <c r="HB67" i="3" s="1"/>
  <c r="HA67" i="3"/>
  <c r="HG67" i="3"/>
  <c r="HH67" i="3"/>
  <c r="HI67" i="3"/>
  <c r="L68" i="3"/>
  <c r="AY68" i="3"/>
  <c r="BA68" i="3" s="1"/>
  <c r="AZ68" i="3"/>
  <c r="BB68" i="3"/>
  <c r="BD68" i="3" s="1"/>
  <c r="BC68" i="3"/>
  <c r="BE68" i="3"/>
  <c r="BF68" i="3"/>
  <c r="BG68" i="3"/>
  <c r="BH68" i="3"/>
  <c r="BI68" i="3"/>
  <c r="BK68" i="3"/>
  <c r="BL68" i="3"/>
  <c r="BN68" i="3"/>
  <c r="BP68" i="3" s="1"/>
  <c r="BO68" i="3"/>
  <c r="BQ68" i="3"/>
  <c r="BS68" i="3" s="1"/>
  <c r="BR68" i="3"/>
  <c r="BT68" i="3"/>
  <c r="BU68" i="3"/>
  <c r="BV68" i="3"/>
  <c r="BW68" i="3"/>
  <c r="BY68" i="3" s="1"/>
  <c r="BX68" i="3"/>
  <c r="CD68" i="3"/>
  <c r="CF68" i="3" s="1"/>
  <c r="CE68" i="3"/>
  <c r="CG68" i="3"/>
  <c r="CH68" i="3"/>
  <c r="CI68" i="3"/>
  <c r="CJ68" i="3"/>
  <c r="CL68" i="3" s="1"/>
  <c r="CK68" i="3"/>
  <c r="CM68" i="3"/>
  <c r="CN68" i="3"/>
  <c r="CP68" i="3"/>
  <c r="CQ68" i="3"/>
  <c r="CR68" i="3"/>
  <c r="CS68" i="3"/>
  <c r="CU68" i="3" s="1"/>
  <c r="CT68" i="3"/>
  <c r="CV68" i="3"/>
  <c r="CW68" i="3"/>
  <c r="CY68" i="3"/>
  <c r="DA68" i="3" s="1"/>
  <c r="CZ68" i="3"/>
  <c r="DF68" i="3"/>
  <c r="DG68" i="3"/>
  <c r="DH68" i="3"/>
  <c r="DI68" i="3"/>
  <c r="DJ68" i="3"/>
  <c r="DL68" i="3"/>
  <c r="DM68" i="3"/>
  <c r="DO68" i="3"/>
  <c r="DP68" i="3"/>
  <c r="DQ68" i="3"/>
  <c r="DR68" i="3"/>
  <c r="DT68" i="3" s="1"/>
  <c r="DS68" i="3"/>
  <c r="DU68" i="3"/>
  <c r="DV68" i="3"/>
  <c r="DX68" i="3"/>
  <c r="DY68" i="3"/>
  <c r="EE68" i="3"/>
  <c r="EF68" i="3"/>
  <c r="EH68" i="3"/>
  <c r="EI68" i="3"/>
  <c r="EK68" i="3"/>
  <c r="EM68" i="3" s="1"/>
  <c r="EL68" i="3"/>
  <c r="EN68" i="3"/>
  <c r="EO68" i="3"/>
  <c r="EP68" i="3"/>
  <c r="EQ68" i="3"/>
  <c r="ER68" i="3"/>
  <c r="ES68" i="3"/>
  <c r="ET68" i="3"/>
  <c r="EV68" i="3" s="1"/>
  <c r="EU68" i="3"/>
  <c r="FA68" i="3"/>
  <c r="FB68" i="3"/>
  <c r="FC68" i="3"/>
  <c r="FD68" i="3"/>
  <c r="FE68" i="3"/>
  <c r="FF68" i="3"/>
  <c r="FG68" i="3"/>
  <c r="FI68" i="3" s="1"/>
  <c r="FH68" i="3"/>
  <c r="FJ68" i="3"/>
  <c r="FK68" i="3"/>
  <c r="FM68" i="3"/>
  <c r="FO68" i="3" s="1"/>
  <c r="FN68" i="3"/>
  <c r="FT68" i="3"/>
  <c r="FU68" i="3"/>
  <c r="FW68" i="3"/>
  <c r="FX68" i="3"/>
  <c r="FZ68" i="3"/>
  <c r="GA68" i="3"/>
  <c r="GC68" i="3"/>
  <c r="GE68" i="3" s="1"/>
  <c r="GD68" i="3"/>
  <c r="GJ68" i="3"/>
  <c r="GK68" i="3"/>
  <c r="GM68" i="3"/>
  <c r="GN68" i="3"/>
  <c r="GP68" i="3"/>
  <c r="GR68" i="3" s="1"/>
  <c r="GQ68" i="3"/>
  <c r="GW68" i="3"/>
  <c r="GX68" i="3"/>
  <c r="GZ68" i="3"/>
  <c r="HB68" i="3" s="1"/>
  <c r="HA68" i="3"/>
  <c r="HG68" i="3"/>
  <c r="HH68" i="3"/>
  <c r="L69" i="3"/>
  <c r="AY69" i="3"/>
  <c r="AZ69" i="3"/>
  <c r="BA69" i="3"/>
  <c r="BB69" i="3"/>
  <c r="BD69" i="3" s="1"/>
  <c r="BC69" i="3"/>
  <c r="BE69" i="3"/>
  <c r="BF69" i="3"/>
  <c r="BH69" i="3"/>
  <c r="BI69" i="3"/>
  <c r="BK69" i="3"/>
  <c r="BL69" i="3"/>
  <c r="BN69" i="3"/>
  <c r="BO69" i="3"/>
  <c r="BP69" i="3"/>
  <c r="BQ69" i="3"/>
  <c r="BR69" i="3"/>
  <c r="BT69" i="3"/>
  <c r="BU69" i="3"/>
  <c r="BW69" i="3"/>
  <c r="BX69" i="3"/>
  <c r="BY69" i="3"/>
  <c r="CD69" i="3"/>
  <c r="CF69" i="3" s="1"/>
  <c r="CE69" i="3"/>
  <c r="CG69" i="3"/>
  <c r="CH69" i="3"/>
  <c r="CJ69" i="3"/>
  <c r="CL69" i="3" s="1"/>
  <c r="CK69" i="3"/>
  <c r="CM69" i="3"/>
  <c r="CN69" i="3"/>
  <c r="CP69" i="3"/>
  <c r="CR69" i="3" s="1"/>
  <c r="CQ69" i="3"/>
  <c r="CS69" i="3"/>
  <c r="CU69" i="3" s="1"/>
  <c r="CT69" i="3"/>
  <c r="CV69" i="3"/>
  <c r="CX69" i="3" s="1"/>
  <c r="CW69" i="3"/>
  <c r="CY69" i="3"/>
  <c r="CZ69" i="3"/>
  <c r="DA69" i="3" s="1"/>
  <c r="DF69" i="3"/>
  <c r="DH69" i="3" s="1"/>
  <c r="DG69" i="3"/>
  <c r="DI69" i="3"/>
  <c r="DK69" i="3" s="1"/>
  <c r="DJ69" i="3"/>
  <c r="DL69" i="3"/>
  <c r="DM69" i="3"/>
  <c r="DN69" i="3" s="1"/>
  <c r="DO69" i="3"/>
  <c r="DQ69" i="3" s="1"/>
  <c r="DP69" i="3"/>
  <c r="DR69" i="3"/>
  <c r="DT69" i="3" s="1"/>
  <c r="DS69" i="3"/>
  <c r="DU69" i="3"/>
  <c r="DV69" i="3"/>
  <c r="DW69" i="3"/>
  <c r="DX69" i="3"/>
  <c r="DY69" i="3"/>
  <c r="EE69" i="3"/>
  <c r="EF69" i="3"/>
  <c r="EH69" i="3"/>
  <c r="EI69" i="3"/>
  <c r="EJ69" i="3"/>
  <c r="EK69" i="3"/>
  <c r="EM69" i="3" s="1"/>
  <c r="EL69" i="3"/>
  <c r="EN69" i="3"/>
  <c r="EO69" i="3"/>
  <c r="EQ69" i="3"/>
  <c r="ES69" i="3" s="1"/>
  <c r="ER69" i="3"/>
  <c r="ET69" i="3"/>
  <c r="EU69" i="3"/>
  <c r="EV69" i="3"/>
  <c r="FA69" i="3"/>
  <c r="FB69" i="3"/>
  <c r="FD69" i="3"/>
  <c r="FE69" i="3"/>
  <c r="FG69" i="3"/>
  <c r="FH69" i="3"/>
  <c r="FI69" i="3"/>
  <c r="FJ69" i="3"/>
  <c r="FL69" i="3" s="1"/>
  <c r="FK69" i="3"/>
  <c r="FM69" i="3"/>
  <c r="FN69" i="3"/>
  <c r="FT69" i="3"/>
  <c r="FU69" i="3"/>
  <c r="FV69" i="3"/>
  <c r="FW69" i="3"/>
  <c r="FY69" i="3" s="1"/>
  <c r="FX69" i="3"/>
  <c r="FZ69" i="3"/>
  <c r="GA69" i="3"/>
  <c r="GC69" i="3"/>
  <c r="GD69" i="3"/>
  <c r="GJ69" i="3"/>
  <c r="GK69" i="3"/>
  <c r="GM69" i="3"/>
  <c r="GN69" i="3"/>
  <c r="GP69" i="3"/>
  <c r="GR69" i="3" s="1"/>
  <c r="GQ69" i="3"/>
  <c r="GW69" i="3"/>
  <c r="GX69" i="3"/>
  <c r="GY69" i="3"/>
  <c r="GZ69" i="3"/>
  <c r="HA69" i="3"/>
  <c r="HG69" i="3"/>
  <c r="HH69" i="3"/>
  <c r="L70" i="3"/>
  <c r="AY70" i="3"/>
  <c r="AZ70" i="3"/>
  <c r="BB70" i="3"/>
  <c r="BC70" i="3"/>
  <c r="BE70" i="3"/>
  <c r="BF70" i="3"/>
  <c r="BH70" i="3"/>
  <c r="BJ70" i="3" s="1"/>
  <c r="BI70" i="3"/>
  <c r="BK70" i="3"/>
  <c r="BL70" i="3"/>
  <c r="BN70" i="3"/>
  <c r="BP70" i="3" s="1"/>
  <c r="BO70" i="3"/>
  <c r="BQ70" i="3"/>
  <c r="BR70" i="3"/>
  <c r="BS70" i="3"/>
  <c r="BT70" i="3"/>
  <c r="BU70" i="3"/>
  <c r="BV70" i="3"/>
  <c r="BW70" i="3"/>
  <c r="BY70" i="3" s="1"/>
  <c r="BX70" i="3"/>
  <c r="CD70" i="3"/>
  <c r="CE70" i="3"/>
  <c r="CF70" i="3"/>
  <c r="CG70" i="3"/>
  <c r="CH70" i="3"/>
  <c r="CI70" i="3"/>
  <c r="CJ70" i="3"/>
  <c r="CL70" i="3" s="1"/>
  <c r="CK70" i="3"/>
  <c r="CM70" i="3"/>
  <c r="CN70" i="3"/>
  <c r="CP70" i="3"/>
  <c r="CR70" i="3" s="1"/>
  <c r="CQ70" i="3"/>
  <c r="CS70" i="3"/>
  <c r="CT70" i="3"/>
  <c r="CU70" i="3"/>
  <c r="CV70" i="3"/>
  <c r="CW70" i="3"/>
  <c r="CY70" i="3"/>
  <c r="CZ70" i="3"/>
  <c r="DF70" i="3"/>
  <c r="DG70" i="3"/>
  <c r="DH70" i="3"/>
  <c r="DI70" i="3"/>
  <c r="DK70" i="3" s="1"/>
  <c r="DJ70" i="3"/>
  <c r="DL70" i="3"/>
  <c r="DM70" i="3"/>
  <c r="DO70" i="3"/>
  <c r="DQ70" i="3" s="1"/>
  <c r="DP70" i="3"/>
  <c r="DR70" i="3"/>
  <c r="DS70" i="3"/>
  <c r="DU70" i="3"/>
  <c r="DV70" i="3"/>
  <c r="DX70" i="3"/>
  <c r="DZ70" i="3" s="1"/>
  <c r="DY70" i="3"/>
  <c r="EE70" i="3"/>
  <c r="EF70" i="3"/>
  <c r="EG70" i="3"/>
  <c r="EH70" i="3"/>
  <c r="EI70" i="3"/>
  <c r="EK70" i="3"/>
  <c r="EL70" i="3"/>
  <c r="EN70" i="3"/>
  <c r="EO70" i="3"/>
  <c r="EP70" i="3"/>
  <c r="EQ70" i="3"/>
  <c r="ES70" i="3" s="1"/>
  <c r="ER70" i="3"/>
  <c r="ET70" i="3"/>
  <c r="EU70" i="3"/>
  <c r="FA70" i="3"/>
  <c r="FB70" i="3"/>
  <c r="FC70" i="3"/>
  <c r="FD70" i="3"/>
  <c r="FF70" i="3" s="1"/>
  <c r="FE70" i="3"/>
  <c r="FG70" i="3"/>
  <c r="FH70" i="3"/>
  <c r="FJ70" i="3"/>
  <c r="FK70" i="3"/>
  <c r="FM70" i="3"/>
  <c r="FN70" i="3"/>
  <c r="FT70" i="3"/>
  <c r="FV70" i="3" s="1"/>
  <c r="FU70" i="3"/>
  <c r="FW70" i="3"/>
  <c r="FY70" i="3" s="1"/>
  <c r="FX70" i="3"/>
  <c r="FZ70" i="3"/>
  <c r="GB70" i="3" s="1"/>
  <c r="GA70" i="3"/>
  <c r="GC70" i="3"/>
  <c r="GD70" i="3"/>
  <c r="GE70" i="3" s="1"/>
  <c r="GJ70" i="3"/>
  <c r="GL70" i="3" s="1"/>
  <c r="GK70" i="3"/>
  <c r="GM70" i="3"/>
  <c r="GO70" i="3" s="1"/>
  <c r="GN70" i="3"/>
  <c r="GP70" i="3"/>
  <c r="GQ70" i="3"/>
  <c r="GR70" i="3" s="1"/>
  <c r="GW70" i="3"/>
  <c r="GY70" i="3" s="1"/>
  <c r="GX70" i="3"/>
  <c r="GZ70" i="3"/>
  <c r="HB70" i="3" s="1"/>
  <c r="HA70" i="3"/>
  <c r="HG70" i="3"/>
  <c r="HH70" i="3"/>
  <c r="L71" i="3"/>
  <c r="AY71" i="3"/>
  <c r="AZ71" i="3"/>
  <c r="BA71" i="3"/>
  <c r="BB71" i="3"/>
  <c r="BC71" i="3"/>
  <c r="BE71" i="3"/>
  <c r="BF71" i="3"/>
  <c r="BH71" i="3"/>
  <c r="BJ71" i="3" s="1"/>
  <c r="BI71" i="3"/>
  <c r="BK71" i="3"/>
  <c r="BM71" i="3" s="1"/>
  <c r="BL71" i="3"/>
  <c r="BN71" i="3"/>
  <c r="BO71" i="3"/>
  <c r="BP71" i="3"/>
  <c r="BQ71" i="3"/>
  <c r="BS71" i="3" s="1"/>
  <c r="BR71" i="3"/>
  <c r="BT71" i="3"/>
  <c r="BU71" i="3"/>
  <c r="BW71" i="3"/>
  <c r="BX71" i="3"/>
  <c r="BY71" i="3"/>
  <c r="CD71" i="3"/>
  <c r="CF71" i="3" s="1"/>
  <c r="CE71" i="3"/>
  <c r="CG71" i="3"/>
  <c r="CH71" i="3"/>
  <c r="CJ71" i="3"/>
  <c r="CL71" i="3" s="1"/>
  <c r="CK71" i="3"/>
  <c r="CM71" i="3"/>
  <c r="CN71" i="3"/>
  <c r="CO71" i="3"/>
  <c r="CP71" i="3"/>
  <c r="CQ71" i="3"/>
  <c r="CS71" i="3"/>
  <c r="CT71" i="3"/>
  <c r="CV71" i="3"/>
  <c r="CW71" i="3"/>
  <c r="CX71" i="3"/>
  <c r="CY71" i="3"/>
  <c r="DA71" i="3" s="1"/>
  <c r="CZ71" i="3"/>
  <c r="DF71" i="3"/>
  <c r="DG71" i="3"/>
  <c r="DI71" i="3"/>
  <c r="DJ71" i="3"/>
  <c r="DK71" i="3"/>
  <c r="DL71" i="3"/>
  <c r="DN71" i="3" s="1"/>
  <c r="DM71" i="3"/>
  <c r="DO71" i="3"/>
  <c r="DP71" i="3"/>
  <c r="DR71" i="3"/>
  <c r="DS71" i="3"/>
  <c r="DU71" i="3"/>
  <c r="DV71" i="3"/>
  <c r="DX71" i="3"/>
  <c r="DY71" i="3"/>
  <c r="DZ71" i="3"/>
  <c r="EE71" i="3"/>
  <c r="EF71" i="3"/>
  <c r="EH71" i="3"/>
  <c r="EI71" i="3"/>
  <c r="EK71" i="3"/>
  <c r="EM71" i="3" s="1"/>
  <c r="EL71" i="3"/>
  <c r="EN71" i="3"/>
  <c r="EO71" i="3"/>
  <c r="EQ71" i="3"/>
  <c r="ER71" i="3"/>
  <c r="ET71" i="3"/>
  <c r="EU71" i="3"/>
  <c r="EV71" i="3" s="1"/>
  <c r="FA71" i="3"/>
  <c r="FC71" i="3" s="1"/>
  <c r="FB71" i="3"/>
  <c r="FD71" i="3"/>
  <c r="FF71" i="3" s="1"/>
  <c r="FE71" i="3"/>
  <c r="FG71" i="3"/>
  <c r="FH71" i="3"/>
  <c r="FI71" i="3"/>
  <c r="FJ71" i="3"/>
  <c r="FK71" i="3"/>
  <c r="FM71" i="3"/>
  <c r="FN71" i="3"/>
  <c r="FT71" i="3"/>
  <c r="FU71" i="3"/>
  <c r="FV71" i="3"/>
  <c r="FW71" i="3"/>
  <c r="FY71" i="3" s="1"/>
  <c r="FX71" i="3"/>
  <c r="FZ71" i="3"/>
  <c r="GA71" i="3"/>
  <c r="GC71" i="3"/>
  <c r="GE71" i="3" s="1"/>
  <c r="GD71" i="3"/>
  <c r="GJ71" i="3"/>
  <c r="GK71" i="3"/>
  <c r="GL71" i="3"/>
  <c r="GM71" i="3"/>
  <c r="GN71" i="3"/>
  <c r="GP71" i="3"/>
  <c r="GQ71" i="3"/>
  <c r="GW71" i="3"/>
  <c r="GX71" i="3"/>
  <c r="GY71" i="3"/>
  <c r="GZ71" i="3"/>
  <c r="HB71" i="3" s="1"/>
  <c r="HA71" i="3"/>
  <c r="HG71" i="3"/>
  <c r="HH71" i="3"/>
  <c r="HI71" i="3"/>
  <c r="L72" i="3"/>
  <c r="AY72" i="3"/>
  <c r="AZ72" i="3"/>
  <c r="BB72" i="3"/>
  <c r="BD72" i="3" s="1"/>
  <c r="BC72" i="3"/>
  <c r="BE72" i="3"/>
  <c r="BF72" i="3"/>
  <c r="BG72" i="3"/>
  <c r="BH72" i="3"/>
  <c r="BI72" i="3"/>
  <c r="BJ72" i="3"/>
  <c r="BK72" i="3"/>
  <c r="BM72" i="3" s="1"/>
  <c r="BL72" i="3"/>
  <c r="BN72" i="3"/>
  <c r="BO72" i="3"/>
  <c r="BQ72" i="3"/>
  <c r="BS72" i="3" s="1"/>
  <c r="BR72" i="3"/>
  <c r="BT72" i="3"/>
  <c r="BU72" i="3"/>
  <c r="BW72" i="3"/>
  <c r="BX72" i="3"/>
  <c r="CD72" i="3"/>
  <c r="CF72" i="3" s="1"/>
  <c r="CE72" i="3"/>
  <c r="CG72" i="3"/>
  <c r="CH72" i="3"/>
  <c r="CJ72" i="3"/>
  <c r="CL72" i="3" s="1"/>
  <c r="CK72" i="3"/>
  <c r="CM72" i="3"/>
  <c r="CO72" i="3" s="1"/>
  <c r="CN72" i="3"/>
  <c r="CP72" i="3"/>
  <c r="CR72" i="3" s="1"/>
  <c r="CQ72" i="3"/>
  <c r="CS72" i="3"/>
  <c r="CT72" i="3"/>
  <c r="CU72" i="3" s="1"/>
  <c r="CV72" i="3"/>
  <c r="CX72" i="3" s="1"/>
  <c r="CW72" i="3"/>
  <c r="CY72" i="3"/>
  <c r="DA72" i="3" s="1"/>
  <c r="CZ72" i="3"/>
  <c r="DF72" i="3"/>
  <c r="DG72" i="3"/>
  <c r="DH72" i="3"/>
  <c r="DI72" i="3"/>
  <c r="DJ72" i="3"/>
  <c r="DL72" i="3"/>
  <c r="DM72" i="3"/>
  <c r="DO72" i="3"/>
  <c r="DP72" i="3"/>
  <c r="DR72" i="3"/>
  <c r="DS72" i="3"/>
  <c r="DU72" i="3"/>
  <c r="DV72" i="3"/>
  <c r="DX72" i="3"/>
  <c r="DZ72" i="3" s="1"/>
  <c r="DY72" i="3"/>
  <c r="EE72" i="3"/>
  <c r="EF72" i="3"/>
  <c r="EG72" i="3"/>
  <c r="EH72" i="3"/>
  <c r="EJ72" i="3" s="1"/>
  <c r="EI72" i="3"/>
  <c r="EK72" i="3"/>
  <c r="EL72" i="3"/>
  <c r="EN72" i="3"/>
  <c r="EO72" i="3"/>
  <c r="EP72" i="3"/>
  <c r="EQ72" i="3"/>
  <c r="ES72" i="3" s="1"/>
  <c r="ER72" i="3"/>
  <c r="ET72" i="3"/>
  <c r="EU72" i="3"/>
  <c r="FA72" i="3"/>
  <c r="FC72" i="3" s="1"/>
  <c r="FB72" i="3"/>
  <c r="FD72" i="3"/>
  <c r="FE72" i="3"/>
  <c r="FG72" i="3"/>
  <c r="FH72" i="3"/>
  <c r="FJ72" i="3"/>
  <c r="FL72" i="3" s="1"/>
  <c r="FK72" i="3"/>
  <c r="FM72" i="3"/>
  <c r="FN72" i="3"/>
  <c r="FO72" i="3"/>
  <c r="FT72" i="3"/>
  <c r="FU72" i="3"/>
  <c r="FW72" i="3"/>
  <c r="FX72" i="3"/>
  <c r="FZ72" i="3"/>
  <c r="GA72" i="3"/>
  <c r="GB72" i="3"/>
  <c r="GC72" i="3"/>
  <c r="GE72" i="3" s="1"/>
  <c r="GD72" i="3"/>
  <c r="GJ72" i="3"/>
  <c r="GK72" i="3"/>
  <c r="GM72" i="3"/>
  <c r="GN72" i="3"/>
  <c r="GO72" i="3"/>
  <c r="GP72" i="3"/>
  <c r="GR72" i="3" s="1"/>
  <c r="GQ72" i="3"/>
  <c r="GW72" i="3"/>
  <c r="GX72" i="3"/>
  <c r="GZ72" i="3"/>
  <c r="HA72" i="3"/>
  <c r="HB72" i="3"/>
  <c r="HG72" i="3"/>
  <c r="HI72" i="3" s="1"/>
  <c r="HH72" i="3"/>
  <c r="L73" i="3"/>
  <c r="AY73" i="3"/>
  <c r="AZ73" i="3"/>
  <c r="BB73" i="3"/>
  <c r="BD73" i="3" s="1"/>
  <c r="BC73" i="3"/>
  <c r="BE73" i="3"/>
  <c r="BF73" i="3"/>
  <c r="BH73" i="3"/>
  <c r="BI73" i="3"/>
  <c r="BK73" i="3"/>
  <c r="BL73" i="3"/>
  <c r="BM73" i="3" s="1"/>
  <c r="BN73" i="3"/>
  <c r="BO73" i="3"/>
  <c r="BP73" i="3"/>
  <c r="BQ73" i="3"/>
  <c r="BR73" i="3"/>
  <c r="BT73" i="3"/>
  <c r="BU73" i="3"/>
  <c r="BW73" i="3"/>
  <c r="BX73" i="3"/>
  <c r="CD73" i="3"/>
  <c r="CE73" i="3"/>
  <c r="CG73" i="3"/>
  <c r="CI73" i="3" s="1"/>
  <c r="CH73" i="3"/>
  <c r="CJ73" i="3"/>
  <c r="CK73" i="3"/>
  <c r="CM73" i="3"/>
  <c r="CN73" i="3"/>
  <c r="CO73" i="3"/>
  <c r="CP73" i="3"/>
  <c r="CR73" i="3" s="1"/>
  <c r="CQ73" i="3"/>
  <c r="CS73" i="3"/>
  <c r="CT73" i="3"/>
  <c r="CV73" i="3"/>
  <c r="CW73" i="3"/>
  <c r="CX73" i="3"/>
  <c r="CY73" i="3"/>
  <c r="DA73" i="3" s="1"/>
  <c r="CZ73" i="3"/>
  <c r="DF73" i="3"/>
  <c r="DG73" i="3"/>
  <c r="DI73" i="3"/>
  <c r="DK73" i="3" s="1"/>
  <c r="DJ73" i="3"/>
  <c r="DL73" i="3"/>
  <c r="DM73" i="3"/>
  <c r="DO73" i="3"/>
  <c r="DP73" i="3"/>
  <c r="DR73" i="3"/>
  <c r="DT73" i="3" s="1"/>
  <c r="DS73" i="3"/>
  <c r="DU73" i="3"/>
  <c r="DV73" i="3"/>
  <c r="DW73" i="3"/>
  <c r="DX73" i="3"/>
  <c r="DY73" i="3"/>
  <c r="DZ73" i="3"/>
  <c r="EE73" i="3"/>
  <c r="EG73" i="3" s="1"/>
  <c r="EF73" i="3"/>
  <c r="EH73" i="3"/>
  <c r="EI73" i="3"/>
  <c r="EJ73" i="3"/>
  <c r="EK73" i="3"/>
  <c r="EL73" i="3"/>
  <c r="EM73" i="3"/>
  <c r="EN73" i="3"/>
  <c r="EP73" i="3" s="1"/>
  <c r="EO73" i="3"/>
  <c r="EQ73" i="3"/>
  <c r="ER73" i="3"/>
  <c r="ET73" i="3"/>
  <c r="EV73" i="3" s="1"/>
  <c r="EU73" i="3"/>
  <c r="FA73" i="3"/>
  <c r="FB73" i="3"/>
  <c r="FD73" i="3"/>
  <c r="FE73" i="3"/>
  <c r="FG73" i="3"/>
  <c r="FH73" i="3"/>
  <c r="FJ73" i="3"/>
  <c r="FL73" i="3" s="1"/>
  <c r="FK73" i="3"/>
  <c r="FM73" i="3"/>
  <c r="FN73" i="3"/>
  <c r="FT73" i="3"/>
  <c r="FU73" i="3"/>
  <c r="FW73" i="3"/>
  <c r="FX73" i="3"/>
  <c r="FZ73" i="3"/>
  <c r="GA73" i="3"/>
  <c r="GC73" i="3"/>
  <c r="GE73" i="3" s="1"/>
  <c r="GD73" i="3"/>
  <c r="GJ73" i="3"/>
  <c r="GK73" i="3"/>
  <c r="GL73" i="3"/>
  <c r="GM73" i="3"/>
  <c r="GO73" i="3" s="1"/>
  <c r="GN73" i="3"/>
  <c r="GP73" i="3"/>
  <c r="GQ73" i="3"/>
  <c r="GW73" i="3"/>
  <c r="GX73" i="3"/>
  <c r="GY73" i="3"/>
  <c r="GZ73" i="3"/>
  <c r="HB73" i="3" s="1"/>
  <c r="HA73" i="3"/>
  <c r="HG73" i="3"/>
  <c r="HH73" i="3"/>
  <c r="HI73" i="3"/>
  <c r="L74" i="3"/>
  <c r="AY74" i="3"/>
  <c r="AZ74" i="3"/>
  <c r="BB74" i="3"/>
  <c r="BD74" i="3" s="1"/>
  <c r="BC74" i="3"/>
  <c r="BE74" i="3"/>
  <c r="BF74" i="3"/>
  <c r="BG74" i="3"/>
  <c r="BH74" i="3"/>
  <c r="BI74" i="3"/>
  <c r="BJ74" i="3"/>
  <c r="BK74" i="3"/>
  <c r="BM74" i="3" s="1"/>
  <c r="BL74" i="3"/>
  <c r="BN74" i="3"/>
  <c r="BO74" i="3"/>
  <c r="BQ74" i="3"/>
  <c r="BS74" i="3" s="1"/>
  <c r="BR74" i="3"/>
  <c r="BT74" i="3"/>
  <c r="BU74" i="3"/>
  <c r="BV74" i="3"/>
  <c r="BW74" i="3"/>
  <c r="BX74" i="3"/>
  <c r="CD74" i="3"/>
  <c r="CE74" i="3"/>
  <c r="CG74" i="3"/>
  <c r="CH74" i="3"/>
  <c r="CI74" i="3"/>
  <c r="CJ74" i="3"/>
  <c r="CK74" i="3"/>
  <c r="CM74" i="3"/>
  <c r="CN74" i="3"/>
  <c r="CP74" i="3"/>
  <c r="CQ74" i="3"/>
  <c r="CR74" i="3"/>
  <c r="CS74" i="3"/>
  <c r="CU74" i="3" s="1"/>
  <c r="CT74" i="3"/>
  <c r="CV74" i="3"/>
  <c r="CW74" i="3"/>
  <c r="CY74" i="3"/>
  <c r="CZ74" i="3"/>
  <c r="DF74" i="3"/>
  <c r="DG74" i="3"/>
  <c r="DI74" i="3"/>
  <c r="DK74" i="3" s="1"/>
  <c r="DJ74" i="3"/>
  <c r="DL74" i="3"/>
  <c r="DN74" i="3" s="1"/>
  <c r="DM74" i="3"/>
  <c r="DO74" i="3"/>
  <c r="DQ74" i="3" s="1"/>
  <c r="DP74" i="3"/>
  <c r="DR74" i="3"/>
  <c r="DS74" i="3"/>
  <c r="DT74" i="3" s="1"/>
  <c r="DU74" i="3"/>
  <c r="DW74" i="3" s="1"/>
  <c r="DV74" i="3"/>
  <c r="DX74" i="3"/>
  <c r="DZ74" i="3" s="1"/>
  <c r="DY74" i="3"/>
  <c r="EE74" i="3"/>
  <c r="EF74" i="3"/>
  <c r="EG74" i="3"/>
  <c r="EH74" i="3"/>
  <c r="EI74" i="3"/>
  <c r="EK74" i="3"/>
  <c r="EL74" i="3"/>
  <c r="EN74" i="3"/>
  <c r="EO74" i="3"/>
  <c r="EQ74" i="3"/>
  <c r="ER74" i="3"/>
  <c r="ET74" i="3"/>
  <c r="EU74" i="3"/>
  <c r="FA74" i="3"/>
  <c r="FC74" i="3" s="1"/>
  <c r="FB74" i="3"/>
  <c r="FD74" i="3"/>
  <c r="FE74" i="3"/>
  <c r="FF74" i="3"/>
  <c r="FG74" i="3"/>
  <c r="FH74" i="3"/>
  <c r="FJ74" i="3"/>
  <c r="FK74" i="3"/>
  <c r="FM74" i="3"/>
  <c r="FN74" i="3"/>
  <c r="FO74" i="3"/>
  <c r="FT74" i="3"/>
  <c r="FV74" i="3" s="1"/>
  <c r="FU74" i="3"/>
  <c r="FW74" i="3"/>
  <c r="FX74" i="3"/>
  <c r="FZ74" i="3"/>
  <c r="GB74" i="3" s="1"/>
  <c r="GA74" i="3"/>
  <c r="GC74" i="3"/>
  <c r="GD74" i="3"/>
  <c r="GJ74" i="3"/>
  <c r="GK74" i="3"/>
  <c r="GM74" i="3"/>
  <c r="GO74" i="3" s="1"/>
  <c r="GN74" i="3"/>
  <c r="GP74" i="3"/>
  <c r="GQ74" i="3"/>
  <c r="GW74" i="3"/>
  <c r="GY74" i="3" s="1"/>
  <c r="GX74" i="3"/>
  <c r="GZ74" i="3"/>
  <c r="HA74" i="3"/>
  <c r="HB74" i="3"/>
  <c r="HG74" i="3"/>
  <c r="HH74" i="3"/>
  <c r="L75" i="3"/>
  <c r="AY75" i="3"/>
  <c r="BA75" i="3" s="1"/>
  <c r="AZ75" i="3"/>
  <c r="BB75" i="3"/>
  <c r="BC75" i="3"/>
  <c r="BD75" i="3" s="1"/>
  <c r="BE75" i="3"/>
  <c r="BG75" i="3" s="1"/>
  <c r="BF75" i="3"/>
  <c r="BH75" i="3"/>
  <c r="BJ75" i="3" s="1"/>
  <c r="BI75" i="3"/>
  <c r="BK75" i="3"/>
  <c r="BL75" i="3"/>
  <c r="BM75" i="3"/>
  <c r="BN75" i="3"/>
  <c r="BO75" i="3"/>
  <c r="BQ75" i="3"/>
  <c r="BR75" i="3"/>
  <c r="BT75" i="3"/>
  <c r="BU75" i="3"/>
  <c r="BW75" i="3"/>
  <c r="BX75" i="3"/>
  <c r="CD75" i="3"/>
  <c r="CE75" i="3"/>
  <c r="CG75" i="3"/>
  <c r="CI75" i="3" s="1"/>
  <c r="CH75" i="3"/>
  <c r="CJ75" i="3"/>
  <c r="CK75" i="3"/>
  <c r="CL75" i="3"/>
  <c r="CM75" i="3"/>
  <c r="CN75" i="3"/>
  <c r="CO75" i="3"/>
  <c r="CP75" i="3"/>
  <c r="CR75" i="3" s="1"/>
  <c r="CQ75" i="3"/>
  <c r="CS75" i="3"/>
  <c r="CT75" i="3"/>
  <c r="CV75" i="3"/>
  <c r="CX75" i="3" s="1"/>
  <c r="CW75" i="3"/>
  <c r="CY75" i="3"/>
  <c r="DA75" i="3" s="1"/>
  <c r="CZ75" i="3"/>
  <c r="DF75" i="3"/>
  <c r="DG75" i="3"/>
  <c r="DI75" i="3"/>
  <c r="DK75" i="3" s="1"/>
  <c r="DJ75" i="3"/>
  <c r="DL75" i="3"/>
  <c r="DN75" i="3" s="1"/>
  <c r="DM75" i="3"/>
  <c r="DO75" i="3"/>
  <c r="DP75" i="3"/>
  <c r="DR75" i="3"/>
  <c r="DT75" i="3" s="1"/>
  <c r="DS75" i="3"/>
  <c r="DU75" i="3"/>
  <c r="DV75" i="3"/>
  <c r="DW75" i="3"/>
  <c r="DX75" i="3"/>
  <c r="DY75" i="3"/>
  <c r="DZ75" i="3"/>
  <c r="EE75" i="3"/>
  <c r="EG75" i="3" s="1"/>
  <c r="EF75" i="3"/>
  <c r="EH75" i="3"/>
  <c r="EI75" i="3"/>
  <c r="EJ75" i="3"/>
  <c r="EK75" i="3"/>
  <c r="EL75" i="3"/>
  <c r="EM75" i="3"/>
  <c r="EN75" i="3"/>
  <c r="EP75" i="3" s="1"/>
  <c r="EO75" i="3"/>
  <c r="EQ75" i="3"/>
  <c r="ER75" i="3"/>
  <c r="ET75" i="3"/>
  <c r="EV75" i="3" s="1"/>
  <c r="EU75" i="3"/>
  <c r="FA75" i="3"/>
  <c r="FB75" i="3"/>
  <c r="FD75" i="3"/>
  <c r="FE75" i="3"/>
  <c r="FG75" i="3"/>
  <c r="FI75" i="3" s="1"/>
  <c r="FH75" i="3"/>
  <c r="FJ75" i="3"/>
  <c r="FK75" i="3"/>
  <c r="FL75" i="3"/>
  <c r="FM75" i="3"/>
  <c r="FN75" i="3"/>
  <c r="FT75" i="3"/>
  <c r="FU75" i="3"/>
  <c r="FW75" i="3"/>
  <c r="FX75" i="3"/>
  <c r="FY75" i="3"/>
  <c r="FZ75" i="3"/>
  <c r="GA75" i="3"/>
  <c r="GC75" i="3"/>
  <c r="GD75" i="3"/>
  <c r="GJ75" i="3"/>
  <c r="GK75" i="3"/>
  <c r="GL75" i="3"/>
  <c r="GM75" i="3"/>
  <c r="GO75" i="3" s="1"/>
  <c r="GN75" i="3"/>
  <c r="GP75" i="3"/>
  <c r="GQ75" i="3"/>
  <c r="GW75" i="3"/>
  <c r="GY75" i="3" s="1"/>
  <c r="GX75" i="3"/>
  <c r="GZ75" i="3"/>
  <c r="HA75" i="3"/>
  <c r="HG75" i="3"/>
  <c r="HH75" i="3"/>
  <c r="HI75" i="3"/>
  <c r="L76" i="3"/>
  <c r="AY76" i="3"/>
  <c r="AZ76" i="3"/>
  <c r="BB76" i="3"/>
  <c r="BC76" i="3"/>
  <c r="BE76" i="3"/>
  <c r="BF76" i="3"/>
  <c r="BG76" i="3"/>
  <c r="BH76" i="3"/>
  <c r="BJ76" i="3" s="1"/>
  <c r="BI76" i="3"/>
  <c r="BK76" i="3"/>
  <c r="BL76" i="3"/>
  <c r="BN76" i="3"/>
  <c r="BO76" i="3"/>
  <c r="BQ76" i="3"/>
  <c r="BS76" i="3" s="1"/>
  <c r="BR76" i="3"/>
  <c r="BT76" i="3"/>
  <c r="BU76" i="3"/>
  <c r="BV76" i="3"/>
  <c r="BW76" i="3"/>
  <c r="BX76" i="3"/>
  <c r="CD76" i="3"/>
  <c r="CE76" i="3"/>
  <c r="CG76" i="3"/>
  <c r="CH76" i="3"/>
  <c r="CI76" i="3"/>
  <c r="CJ76" i="3"/>
  <c r="CK76" i="3"/>
  <c r="CM76" i="3"/>
  <c r="CN76" i="3"/>
  <c r="CP76" i="3"/>
  <c r="CQ76" i="3"/>
  <c r="CR76" i="3"/>
  <c r="CS76" i="3"/>
  <c r="CU76" i="3" s="1"/>
  <c r="CT76" i="3"/>
  <c r="CV76" i="3"/>
  <c r="CW76" i="3"/>
  <c r="CY76" i="3"/>
  <c r="CZ76" i="3"/>
  <c r="DF76" i="3"/>
  <c r="DG76" i="3"/>
  <c r="DI76" i="3"/>
  <c r="DJ76" i="3"/>
  <c r="DL76" i="3"/>
  <c r="DN76" i="3" s="1"/>
  <c r="DM76" i="3"/>
  <c r="DO76" i="3"/>
  <c r="DP76" i="3"/>
  <c r="DQ76" i="3"/>
  <c r="DR76" i="3"/>
  <c r="DS76" i="3"/>
  <c r="DT76" i="3"/>
  <c r="DU76" i="3"/>
  <c r="DW76" i="3" s="1"/>
  <c r="DV76" i="3"/>
  <c r="DX76" i="3"/>
  <c r="DY76" i="3"/>
  <c r="EE76" i="3"/>
  <c r="EG76" i="3" s="1"/>
  <c r="EF76" i="3"/>
  <c r="EH76" i="3"/>
  <c r="EI76" i="3"/>
  <c r="EK76" i="3"/>
  <c r="EL76" i="3"/>
  <c r="EN76" i="3"/>
  <c r="EO76" i="3"/>
  <c r="EQ76" i="3"/>
  <c r="ER76" i="3"/>
  <c r="ES76" i="3"/>
  <c r="ET76" i="3"/>
  <c r="EU76" i="3"/>
  <c r="FA76" i="3"/>
  <c r="FC76" i="3" s="1"/>
  <c r="FB76" i="3"/>
  <c r="FD76" i="3"/>
  <c r="FE76" i="3"/>
  <c r="FF76" i="3"/>
  <c r="FG76" i="3"/>
  <c r="FH76" i="3"/>
  <c r="FJ76" i="3"/>
  <c r="FK76" i="3"/>
  <c r="FM76" i="3"/>
  <c r="FN76" i="3"/>
  <c r="FO76" i="3"/>
  <c r="FT76" i="3"/>
  <c r="FV76" i="3" s="1"/>
  <c r="FU76" i="3"/>
  <c r="FW76" i="3"/>
  <c r="FX76" i="3"/>
  <c r="FZ76" i="3"/>
  <c r="GB76" i="3" s="1"/>
  <c r="GA76" i="3"/>
  <c r="GC76" i="3"/>
  <c r="GE76" i="3" s="1"/>
  <c r="GD76" i="3"/>
  <c r="GJ76" i="3"/>
  <c r="GK76" i="3"/>
  <c r="GM76" i="3"/>
  <c r="GO76" i="3" s="1"/>
  <c r="GN76" i="3"/>
  <c r="GP76" i="3"/>
  <c r="GR76" i="3" s="1"/>
  <c r="GQ76" i="3"/>
  <c r="GW76" i="3"/>
  <c r="GX76" i="3"/>
  <c r="GZ76" i="3"/>
  <c r="HB76" i="3" s="1"/>
  <c r="HA76" i="3"/>
  <c r="HG76" i="3"/>
  <c r="HH76" i="3"/>
  <c r="L77" i="3"/>
  <c r="AY77" i="3"/>
  <c r="AZ77" i="3"/>
  <c r="BA77" i="3"/>
  <c r="BB77" i="3"/>
  <c r="BC77" i="3"/>
  <c r="BD77" i="3"/>
  <c r="BE77" i="3"/>
  <c r="BG77" i="3" s="1"/>
  <c r="BF77" i="3"/>
  <c r="BH77" i="3"/>
  <c r="BI77" i="3"/>
  <c r="BK77" i="3"/>
  <c r="BM77" i="3" s="1"/>
  <c r="BL77" i="3"/>
  <c r="BN77" i="3"/>
  <c r="BO77" i="3"/>
  <c r="BQ77" i="3"/>
  <c r="BR77" i="3"/>
  <c r="BT77" i="3"/>
  <c r="BU77" i="3"/>
  <c r="BW77" i="3"/>
  <c r="BX77" i="3"/>
  <c r="BY77" i="3"/>
  <c r="CD77" i="3"/>
  <c r="CE77" i="3"/>
  <c r="CG77" i="3"/>
  <c r="CH77" i="3"/>
  <c r="CJ77" i="3"/>
  <c r="CK77" i="3"/>
  <c r="CL77" i="3"/>
  <c r="CM77" i="3"/>
  <c r="CO77" i="3" s="1"/>
  <c r="CN77" i="3"/>
  <c r="CP77" i="3"/>
  <c r="CQ77" i="3"/>
  <c r="CS77" i="3"/>
  <c r="CT77" i="3"/>
  <c r="CV77" i="3"/>
  <c r="CW77" i="3"/>
  <c r="CY77" i="3"/>
  <c r="CZ77" i="3"/>
  <c r="DA77" i="3"/>
  <c r="DF77" i="3"/>
  <c r="DG77" i="3"/>
  <c r="DI77" i="3"/>
  <c r="DK77" i="3" s="1"/>
  <c r="DJ77" i="3"/>
  <c r="DL77" i="3"/>
  <c r="DM77" i="3"/>
  <c r="DN77" i="3"/>
  <c r="DO77" i="3"/>
  <c r="DP77" i="3"/>
  <c r="DR77" i="3"/>
  <c r="DS77" i="3"/>
  <c r="DU77" i="3"/>
  <c r="DV77" i="3"/>
  <c r="DW77" i="3"/>
  <c r="DX77" i="3"/>
  <c r="DZ77" i="3" s="1"/>
  <c r="DY77" i="3"/>
  <c r="EE77" i="3"/>
  <c r="EF77" i="3"/>
  <c r="EH77" i="3"/>
  <c r="EI77" i="3"/>
  <c r="EJ77" i="3"/>
  <c r="EK77" i="3"/>
  <c r="EM77" i="3" s="1"/>
  <c r="EL77" i="3"/>
  <c r="EN77" i="3"/>
  <c r="EO77" i="3"/>
  <c r="EQ77" i="3"/>
  <c r="ER77" i="3"/>
  <c r="ET77" i="3"/>
  <c r="EU77" i="3"/>
  <c r="FA77" i="3"/>
  <c r="FB77" i="3"/>
  <c r="FD77" i="3"/>
  <c r="FE77" i="3"/>
  <c r="FG77" i="3"/>
  <c r="FH77" i="3"/>
  <c r="FI77" i="3"/>
  <c r="FJ77" i="3"/>
  <c r="FK77" i="3"/>
  <c r="FL77" i="3"/>
  <c r="FM77" i="3"/>
  <c r="FO77" i="3" s="1"/>
  <c r="FN77" i="3"/>
  <c r="FT77" i="3"/>
  <c r="FU77" i="3"/>
  <c r="FV77" i="3"/>
  <c r="FW77" i="3"/>
  <c r="FX77" i="3"/>
  <c r="FY77" i="3"/>
  <c r="FZ77" i="3"/>
  <c r="GB77" i="3" s="1"/>
  <c r="GA77" i="3"/>
  <c r="GC77" i="3"/>
  <c r="GD77" i="3"/>
  <c r="GJ77" i="3"/>
  <c r="GL77" i="3" s="1"/>
  <c r="GK77" i="3"/>
  <c r="GM77" i="3"/>
  <c r="GN77" i="3"/>
  <c r="GP77" i="3"/>
  <c r="GQ77" i="3"/>
  <c r="GW77" i="3"/>
  <c r="GX77" i="3"/>
  <c r="GZ77" i="3"/>
  <c r="HA77" i="3"/>
  <c r="HG77" i="3"/>
  <c r="HI77" i="3" s="1"/>
  <c r="HH77" i="3"/>
  <c r="L78" i="3"/>
  <c r="AY78" i="3"/>
  <c r="BA78" i="3" s="1"/>
  <c r="AZ78" i="3"/>
  <c r="BB78" i="3"/>
  <c r="BC78" i="3"/>
  <c r="BE78" i="3"/>
  <c r="BG78" i="3" s="1"/>
  <c r="BF78" i="3"/>
  <c r="BH78" i="3"/>
  <c r="BJ78" i="3" s="1"/>
  <c r="BI78" i="3"/>
  <c r="BK78" i="3"/>
  <c r="BL78" i="3"/>
  <c r="BN78" i="3"/>
  <c r="BP78" i="3" s="1"/>
  <c r="BO78" i="3"/>
  <c r="BQ78" i="3"/>
  <c r="BR78" i="3"/>
  <c r="BS78" i="3"/>
  <c r="BT78" i="3"/>
  <c r="BU78" i="3"/>
  <c r="BV78" i="3"/>
  <c r="BW78" i="3"/>
  <c r="BY78" i="3" s="1"/>
  <c r="BX78" i="3"/>
  <c r="CD78" i="3"/>
  <c r="CE78" i="3"/>
  <c r="CF78" i="3"/>
  <c r="CG78" i="3"/>
  <c r="CH78" i="3"/>
  <c r="CI78" i="3"/>
  <c r="CJ78" i="3"/>
  <c r="CL78" i="3" s="1"/>
  <c r="CK78" i="3"/>
  <c r="CM78" i="3"/>
  <c r="CN78" i="3"/>
  <c r="CP78" i="3"/>
  <c r="CR78" i="3" s="1"/>
  <c r="CQ78" i="3"/>
  <c r="CS78" i="3"/>
  <c r="CU78" i="3" s="1"/>
  <c r="CT78" i="3"/>
  <c r="CV78" i="3"/>
  <c r="CW78" i="3"/>
  <c r="CY78" i="3"/>
  <c r="DA78" i="3" s="1"/>
  <c r="CZ78" i="3"/>
  <c r="DF78" i="3"/>
  <c r="DG78" i="3"/>
  <c r="DH78" i="3"/>
  <c r="DI78" i="3"/>
  <c r="DJ78" i="3"/>
  <c r="DL78" i="3"/>
  <c r="DM78" i="3"/>
  <c r="DO78" i="3"/>
  <c r="DP78" i="3"/>
  <c r="DQ78" i="3" s="1"/>
  <c r="DR78" i="3"/>
  <c r="DS78" i="3"/>
  <c r="DU78" i="3"/>
  <c r="DV78" i="3"/>
  <c r="DX78" i="3"/>
  <c r="DY78" i="3"/>
  <c r="EE78" i="3"/>
  <c r="EF78" i="3"/>
  <c r="EG78" i="3"/>
  <c r="EH78" i="3"/>
  <c r="EI78" i="3"/>
  <c r="EK78" i="3"/>
  <c r="EL78" i="3"/>
  <c r="EN78" i="3"/>
  <c r="EO78" i="3"/>
  <c r="EP78" i="3"/>
  <c r="EQ78" i="3"/>
  <c r="ES78" i="3" s="1"/>
  <c r="ER78" i="3"/>
  <c r="ET78" i="3"/>
  <c r="EU78" i="3"/>
  <c r="FA78" i="3"/>
  <c r="FB78" i="3"/>
  <c r="FC78" i="3"/>
  <c r="FD78" i="3"/>
  <c r="FF78" i="3" s="1"/>
  <c r="FE78" i="3"/>
  <c r="FG78" i="3"/>
  <c r="FH78" i="3"/>
  <c r="FJ78" i="3"/>
  <c r="FK78" i="3"/>
  <c r="FM78" i="3"/>
  <c r="FO78" i="3" s="1"/>
  <c r="FN78" i="3"/>
  <c r="FT78" i="3"/>
  <c r="FU78" i="3"/>
  <c r="FW78" i="3"/>
  <c r="FY78" i="3" s="1"/>
  <c r="FX78" i="3"/>
  <c r="FZ78" i="3"/>
  <c r="GA78" i="3"/>
  <c r="GB78" i="3"/>
  <c r="GC78" i="3"/>
  <c r="GD78" i="3"/>
  <c r="GE78" i="3"/>
  <c r="GJ78" i="3"/>
  <c r="GK78" i="3"/>
  <c r="GM78" i="3"/>
  <c r="GN78" i="3"/>
  <c r="GO78" i="3" s="1"/>
  <c r="GP78" i="3"/>
  <c r="GR78" i="3" s="1"/>
  <c r="GQ78" i="3"/>
  <c r="GW78" i="3"/>
  <c r="GX78" i="3"/>
  <c r="GZ78" i="3"/>
  <c r="HA78" i="3"/>
  <c r="HB78" i="3"/>
  <c r="HG78" i="3"/>
  <c r="HI78" i="3" s="1"/>
  <c r="HH78" i="3"/>
  <c r="L79" i="3"/>
  <c r="AY79" i="3"/>
  <c r="BA79" i="3" s="1"/>
  <c r="AZ79" i="3"/>
  <c r="BB79" i="3"/>
  <c r="BC79" i="3"/>
  <c r="BD79" i="3"/>
  <c r="BE79" i="3"/>
  <c r="BF79" i="3"/>
  <c r="BH79" i="3"/>
  <c r="BI79" i="3"/>
  <c r="BK79" i="3"/>
  <c r="BL79" i="3"/>
  <c r="BM79" i="3"/>
  <c r="BN79" i="3"/>
  <c r="BP79" i="3" s="1"/>
  <c r="BO79" i="3"/>
  <c r="BQ79" i="3"/>
  <c r="BR79" i="3"/>
  <c r="BT79" i="3"/>
  <c r="BU79" i="3"/>
  <c r="BW79" i="3"/>
  <c r="BY79" i="3" s="1"/>
  <c r="BX79" i="3"/>
  <c r="CD79" i="3"/>
  <c r="CE79" i="3"/>
  <c r="CG79" i="3"/>
  <c r="CI79" i="3" s="1"/>
  <c r="CH79" i="3"/>
  <c r="CJ79" i="3"/>
  <c r="CK79" i="3"/>
  <c r="CL79" i="3"/>
  <c r="CM79" i="3"/>
  <c r="CN79" i="3"/>
  <c r="CO79" i="3"/>
  <c r="CP79" i="3"/>
  <c r="CR79" i="3" s="1"/>
  <c r="CQ79" i="3"/>
  <c r="CS79" i="3"/>
  <c r="CT79" i="3"/>
  <c r="CV79" i="3"/>
  <c r="CX79" i="3" s="1"/>
  <c r="CW79" i="3"/>
  <c r="CY79" i="3"/>
  <c r="DA79" i="3" s="1"/>
  <c r="CZ79" i="3"/>
  <c r="DF79" i="3"/>
  <c r="DG79" i="3"/>
  <c r="DI79" i="3"/>
  <c r="DJ79" i="3"/>
  <c r="DL79" i="3"/>
  <c r="DM79" i="3"/>
  <c r="DN79" i="3"/>
  <c r="DO79" i="3"/>
  <c r="DP79" i="3"/>
  <c r="DR79" i="3"/>
  <c r="DS79" i="3"/>
  <c r="DU79" i="3"/>
  <c r="DV79" i="3"/>
  <c r="DW79" i="3" s="1"/>
  <c r="DX79" i="3"/>
  <c r="DY79" i="3"/>
  <c r="EE79" i="3"/>
  <c r="EF79" i="3"/>
  <c r="EH79" i="3"/>
  <c r="EJ79" i="3" s="1"/>
  <c r="EI79" i="3"/>
  <c r="EK79" i="3"/>
  <c r="EL79" i="3"/>
  <c r="EN79" i="3"/>
  <c r="EO79" i="3"/>
  <c r="EQ79" i="3"/>
  <c r="ES79" i="3" s="1"/>
  <c r="ER79" i="3"/>
  <c r="ET79" i="3"/>
  <c r="EU79" i="3"/>
  <c r="EV79" i="3"/>
  <c r="FA79" i="3"/>
  <c r="FB79" i="3"/>
  <c r="FD79" i="3"/>
  <c r="FE79" i="3"/>
  <c r="FG79" i="3"/>
  <c r="FH79" i="3"/>
  <c r="FI79" i="3"/>
  <c r="FJ79" i="3"/>
  <c r="FL79" i="3" s="1"/>
  <c r="FK79" i="3"/>
  <c r="FM79" i="3"/>
  <c r="FN79" i="3"/>
  <c r="FT79" i="3"/>
  <c r="FU79" i="3"/>
  <c r="FV79" i="3"/>
  <c r="FW79" i="3"/>
  <c r="FY79" i="3" s="1"/>
  <c r="FX79" i="3"/>
  <c r="FZ79" i="3"/>
  <c r="GA79" i="3"/>
  <c r="GC79" i="3"/>
  <c r="GD79" i="3"/>
  <c r="GJ79" i="3"/>
  <c r="GL79" i="3" s="1"/>
  <c r="GK79" i="3"/>
  <c r="GM79" i="3"/>
  <c r="GN79" i="3"/>
  <c r="GP79" i="3"/>
  <c r="GQ79" i="3"/>
  <c r="GW79" i="3"/>
  <c r="GX79" i="3"/>
  <c r="GY79" i="3"/>
  <c r="GZ79" i="3"/>
  <c r="HA79" i="3"/>
  <c r="HG79" i="3"/>
  <c r="HH79" i="3"/>
  <c r="L80" i="3"/>
  <c r="AY80" i="3"/>
  <c r="AZ80" i="3"/>
  <c r="BB80" i="3"/>
  <c r="BC80" i="3"/>
  <c r="BE80" i="3"/>
  <c r="BF80" i="3"/>
  <c r="BG80" i="3" s="1"/>
  <c r="BH80" i="3"/>
  <c r="BI80" i="3"/>
  <c r="BJ80" i="3"/>
  <c r="BK80" i="3"/>
  <c r="BM80" i="3" s="1"/>
  <c r="BL80" i="3"/>
  <c r="BN80" i="3"/>
  <c r="BO80" i="3"/>
  <c r="BQ80" i="3"/>
  <c r="BR80" i="3"/>
  <c r="BT80" i="3"/>
  <c r="BU80" i="3"/>
  <c r="BV80" i="3"/>
  <c r="BW80" i="3"/>
  <c r="BX80" i="3"/>
  <c r="CD80" i="3"/>
  <c r="CE80" i="3"/>
  <c r="CF80" i="3" s="1"/>
  <c r="CG80" i="3"/>
  <c r="CH80" i="3"/>
  <c r="CI80" i="3"/>
  <c r="CJ80" i="3"/>
  <c r="CL80" i="3" s="1"/>
  <c r="CK80" i="3"/>
  <c r="CM80" i="3"/>
  <c r="CN80" i="3"/>
  <c r="CP80" i="3"/>
  <c r="CQ80" i="3"/>
  <c r="CS80" i="3"/>
  <c r="CT80" i="3"/>
  <c r="CU80" i="3"/>
  <c r="CV80" i="3"/>
  <c r="CW80" i="3"/>
  <c r="CY80" i="3"/>
  <c r="CZ80" i="3"/>
  <c r="DF80" i="3"/>
  <c r="DG80" i="3"/>
  <c r="DH80" i="3"/>
  <c r="DI80" i="3"/>
  <c r="DK80" i="3" s="1"/>
  <c r="DJ80" i="3"/>
  <c r="DL80" i="3"/>
  <c r="DM80" i="3"/>
  <c r="DO80" i="3"/>
  <c r="DQ80" i="3" s="1"/>
  <c r="DP80" i="3"/>
  <c r="DR80" i="3"/>
  <c r="DS80" i="3"/>
  <c r="DU80" i="3"/>
  <c r="DV80" i="3"/>
  <c r="DX80" i="3"/>
  <c r="DZ80" i="3" s="1"/>
  <c r="DY80" i="3"/>
  <c r="EE80" i="3"/>
  <c r="EF80" i="3"/>
  <c r="EG80" i="3"/>
  <c r="EH80" i="3"/>
  <c r="EI80" i="3"/>
  <c r="EK80" i="3"/>
  <c r="EL80" i="3"/>
  <c r="EN80" i="3"/>
  <c r="EO80" i="3"/>
  <c r="EP80" i="3" s="1"/>
  <c r="EQ80" i="3"/>
  <c r="ES80" i="3" s="1"/>
  <c r="ER80" i="3"/>
  <c r="ET80" i="3"/>
  <c r="EU80" i="3"/>
  <c r="FA80" i="3"/>
  <c r="FB80" i="3"/>
  <c r="FD80" i="3"/>
  <c r="FE80" i="3"/>
  <c r="FF80" i="3"/>
  <c r="FG80" i="3"/>
  <c r="FH80" i="3"/>
  <c r="FJ80" i="3"/>
  <c r="FK80" i="3"/>
  <c r="FM80" i="3"/>
  <c r="FN80" i="3"/>
  <c r="FO80" i="3" s="1"/>
  <c r="FT80" i="3"/>
  <c r="FU80" i="3"/>
  <c r="FW80" i="3"/>
  <c r="FX80" i="3"/>
  <c r="FZ80" i="3"/>
  <c r="GA80" i="3"/>
  <c r="GB80" i="3" s="1"/>
  <c r="GC80" i="3"/>
  <c r="GD80" i="3"/>
  <c r="GE80" i="3"/>
  <c r="GJ80" i="3"/>
  <c r="GL80" i="3" s="1"/>
  <c r="GK80" i="3"/>
  <c r="GM80" i="3"/>
  <c r="GN80" i="3"/>
  <c r="GO80" i="3"/>
  <c r="GP80" i="3"/>
  <c r="GQ80" i="3"/>
  <c r="GR80" i="3"/>
  <c r="GW80" i="3"/>
  <c r="GX80" i="3"/>
  <c r="GZ80" i="3"/>
  <c r="HA80" i="3"/>
  <c r="HB80" i="3" s="1"/>
  <c r="HG80" i="3"/>
  <c r="HI80" i="3" s="1"/>
  <c r="HH80" i="3"/>
  <c r="L81" i="3"/>
  <c r="AY81" i="3"/>
  <c r="AZ81" i="3"/>
  <c r="BA81" i="3" s="1"/>
  <c r="BB81" i="3"/>
  <c r="BC81" i="3"/>
  <c r="BD81" i="3"/>
  <c r="BE81" i="3"/>
  <c r="BG81" i="3" s="1"/>
  <c r="BF81" i="3"/>
  <c r="BH81" i="3"/>
  <c r="BI81" i="3"/>
  <c r="BK81" i="3"/>
  <c r="BL81" i="3"/>
  <c r="BN81" i="3"/>
  <c r="BO81" i="3"/>
  <c r="BP81" i="3"/>
  <c r="BQ81" i="3"/>
  <c r="BR81" i="3"/>
  <c r="BT81" i="3"/>
  <c r="BU81" i="3"/>
  <c r="BW81" i="3"/>
  <c r="BX81" i="3"/>
  <c r="BY81" i="3" s="1"/>
  <c r="CD81" i="3"/>
  <c r="CE81" i="3"/>
  <c r="CG81" i="3"/>
  <c r="CH81" i="3"/>
  <c r="CJ81" i="3"/>
  <c r="CK81" i="3"/>
  <c r="CL81" i="3" s="1"/>
  <c r="CM81" i="3"/>
  <c r="CN81" i="3"/>
  <c r="CO81" i="3"/>
  <c r="CP81" i="3"/>
  <c r="CR81" i="3" s="1"/>
  <c r="CQ81" i="3"/>
  <c r="CS81" i="3"/>
  <c r="CT81" i="3"/>
  <c r="CV81" i="3"/>
  <c r="CW81" i="3"/>
  <c r="CY81" i="3"/>
  <c r="CZ81" i="3"/>
  <c r="DA81" i="3"/>
  <c r="DF81" i="3"/>
  <c r="DG81" i="3"/>
  <c r="DI81" i="3"/>
  <c r="DJ81" i="3"/>
  <c r="DL81" i="3"/>
  <c r="DM81" i="3"/>
  <c r="DN81" i="3"/>
  <c r="DO81" i="3"/>
  <c r="DP81" i="3"/>
  <c r="DR81" i="3"/>
  <c r="DS81" i="3"/>
  <c r="DU81" i="3"/>
  <c r="DV81" i="3"/>
  <c r="DW81" i="3"/>
  <c r="DX81" i="3"/>
  <c r="DZ81" i="3" s="1"/>
  <c r="DY81" i="3"/>
  <c r="EE81" i="3"/>
  <c r="EF81" i="3"/>
  <c r="EH81" i="3"/>
  <c r="EI81" i="3"/>
  <c r="EJ81" i="3" s="1"/>
  <c r="EK81" i="3"/>
  <c r="EL81" i="3"/>
  <c r="EN81" i="3"/>
  <c r="EO81" i="3"/>
  <c r="EQ81" i="3"/>
  <c r="ER81" i="3"/>
  <c r="ET81" i="3"/>
  <c r="EU81" i="3"/>
  <c r="EV81" i="3" s="1"/>
  <c r="FA81" i="3"/>
  <c r="FC81" i="3" s="1"/>
  <c r="FB81" i="3"/>
  <c r="FD81" i="3"/>
  <c r="FE81" i="3"/>
  <c r="FG81" i="3"/>
  <c r="FH81" i="3"/>
  <c r="FJ81" i="3"/>
  <c r="FK81" i="3"/>
  <c r="FL81" i="3"/>
  <c r="FM81" i="3"/>
  <c r="FN81" i="3"/>
  <c r="FT81" i="3"/>
  <c r="FU81" i="3"/>
  <c r="FV81" i="3" s="1"/>
  <c r="FW81" i="3"/>
  <c r="FX81" i="3"/>
  <c r="FY81" i="3"/>
  <c r="FZ81" i="3"/>
  <c r="GB81" i="3" s="1"/>
  <c r="GA81" i="3"/>
  <c r="GC81" i="3"/>
  <c r="GD81" i="3"/>
  <c r="GJ81" i="3"/>
  <c r="GL81" i="3" s="1"/>
  <c r="GK81" i="3"/>
  <c r="GM81" i="3"/>
  <c r="GN81" i="3"/>
  <c r="GP81" i="3"/>
  <c r="GQ81" i="3"/>
  <c r="GW81" i="3"/>
  <c r="GX81" i="3"/>
  <c r="GZ81" i="3"/>
  <c r="HA81" i="3"/>
  <c r="HG81" i="3"/>
  <c r="HH81" i="3"/>
  <c r="L82" i="3"/>
  <c r="AY82" i="3"/>
  <c r="AZ82" i="3"/>
  <c r="BA82" i="3" s="1"/>
  <c r="BB82" i="3"/>
  <c r="BC82" i="3"/>
  <c r="BD82" i="3"/>
  <c r="BE82" i="3"/>
  <c r="BG82" i="3" s="1"/>
  <c r="BF82" i="3"/>
  <c r="BH82" i="3"/>
  <c r="BI82" i="3"/>
  <c r="BK82" i="3"/>
  <c r="BL82" i="3"/>
  <c r="BN82" i="3"/>
  <c r="BO82" i="3"/>
  <c r="BP82" i="3"/>
  <c r="BQ82" i="3"/>
  <c r="BR82" i="3"/>
  <c r="BT82" i="3"/>
  <c r="BU82" i="3"/>
  <c r="BW82" i="3"/>
  <c r="BX82" i="3"/>
  <c r="BY82" i="3" s="1"/>
  <c r="CD82" i="3"/>
  <c r="CE82" i="3"/>
  <c r="CG82" i="3"/>
  <c r="CH82" i="3"/>
  <c r="CJ82" i="3"/>
  <c r="CK82" i="3"/>
  <c r="CL82" i="3" s="1"/>
  <c r="CM82" i="3"/>
  <c r="CN82" i="3"/>
  <c r="CO82" i="3"/>
  <c r="CP82" i="3"/>
  <c r="CR82" i="3" s="1"/>
  <c r="CQ82" i="3"/>
  <c r="CS82" i="3"/>
  <c r="CT82" i="3"/>
  <c r="CV82" i="3"/>
  <c r="CW82" i="3"/>
  <c r="CY82" i="3"/>
  <c r="CZ82" i="3"/>
  <c r="DA82" i="3"/>
  <c r="DF82" i="3"/>
  <c r="DG82" i="3"/>
  <c r="DI82" i="3"/>
  <c r="DJ82" i="3"/>
  <c r="DK82" i="3" s="1"/>
  <c r="DL82" i="3"/>
  <c r="DM82" i="3"/>
  <c r="DN82" i="3"/>
  <c r="DO82" i="3"/>
  <c r="DQ82" i="3" s="1"/>
  <c r="DP82" i="3"/>
  <c r="DR82" i="3"/>
  <c r="DS82" i="3"/>
  <c r="DU82" i="3"/>
  <c r="DV82" i="3"/>
  <c r="DX82" i="3"/>
  <c r="DY82" i="3"/>
  <c r="DZ82" i="3"/>
  <c r="EE82" i="3"/>
  <c r="EF82" i="3"/>
  <c r="EH82" i="3"/>
  <c r="EI82" i="3"/>
  <c r="EJ82" i="3" s="1"/>
  <c r="EK82" i="3"/>
  <c r="EL82" i="3"/>
  <c r="EM82" i="3"/>
  <c r="EN82" i="3"/>
  <c r="EP82" i="3" s="1"/>
  <c r="EO82" i="3"/>
  <c r="EQ82" i="3"/>
  <c r="ER82" i="3"/>
  <c r="ET82" i="3"/>
  <c r="EU82" i="3"/>
  <c r="FA82" i="3"/>
  <c r="FB82" i="3"/>
  <c r="FD82" i="3"/>
  <c r="FF82" i="3" s="1"/>
  <c r="FE82" i="3"/>
  <c r="FG82" i="3"/>
  <c r="FH82" i="3"/>
  <c r="FI82" i="3" s="1"/>
  <c r="FJ82" i="3"/>
  <c r="FL82" i="3" s="1"/>
  <c r="FK82" i="3"/>
  <c r="FM82" i="3"/>
  <c r="FN82" i="3"/>
  <c r="FT82" i="3"/>
  <c r="FU82" i="3"/>
  <c r="FV82" i="3" s="1"/>
  <c r="FW82" i="3"/>
  <c r="FX82" i="3"/>
  <c r="FZ82" i="3"/>
  <c r="GA82" i="3"/>
  <c r="GC82" i="3"/>
  <c r="GE82" i="3" s="1"/>
  <c r="GD82" i="3"/>
  <c r="GJ82" i="3"/>
  <c r="GK82" i="3"/>
  <c r="GL82" i="3"/>
  <c r="GM82" i="3"/>
  <c r="GN82" i="3"/>
  <c r="GP82" i="3"/>
  <c r="GQ82" i="3"/>
  <c r="GW82" i="3"/>
  <c r="GX82" i="3"/>
  <c r="GY82" i="3"/>
  <c r="GZ82" i="3"/>
  <c r="HB82" i="3" s="1"/>
  <c r="HA82" i="3"/>
  <c r="HG82" i="3"/>
  <c r="HH82" i="3"/>
  <c r="HI82" i="3" s="1"/>
  <c r="L83" i="3"/>
  <c r="AY83" i="3"/>
  <c r="AZ83" i="3"/>
  <c r="BB83" i="3"/>
  <c r="BC83" i="3"/>
  <c r="BE83" i="3"/>
  <c r="BF83" i="3"/>
  <c r="BG83" i="3" s="1"/>
  <c r="BH83" i="3"/>
  <c r="BJ83" i="3" s="1"/>
  <c r="BI83" i="3"/>
  <c r="BK83" i="3"/>
  <c r="BL83" i="3"/>
  <c r="BN83" i="3"/>
  <c r="BP83" i="3" s="1"/>
  <c r="BO83" i="3"/>
  <c r="BQ83" i="3"/>
  <c r="BR83" i="3"/>
  <c r="BS83" i="3" s="1"/>
  <c r="BT83" i="3"/>
  <c r="BV83" i="3" s="1"/>
  <c r="BU83" i="3"/>
  <c r="BW83" i="3"/>
  <c r="BX83" i="3"/>
  <c r="CD83" i="3"/>
  <c r="CE83" i="3"/>
  <c r="CF83" i="3" s="1"/>
  <c r="CG83" i="3"/>
  <c r="CH83" i="3"/>
  <c r="CJ83" i="3"/>
  <c r="CK83" i="3"/>
  <c r="CM83" i="3"/>
  <c r="CO83" i="3" s="1"/>
  <c r="CN83" i="3"/>
  <c r="CP83" i="3"/>
  <c r="CQ83" i="3"/>
  <c r="CR83" i="3" s="1"/>
  <c r="CS83" i="3"/>
  <c r="CU83" i="3" s="1"/>
  <c r="CT83" i="3"/>
  <c r="CV83" i="3"/>
  <c r="CW83" i="3"/>
  <c r="CY83" i="3"/>
  <c r="CZ83" i="3"/>
  <c r="DF83" i="3"/>
  <c r="DH83" i="3" s="1"/>
  <c r="DG83" i="3"/>
  <c r="DI83" i="3"/>
  <c r="DJ83" i="3"/>
  <c r="DL83" i="3"/>
  <c r="DN83" i="3" s="1"/>
  <c r="DM83" i="3"/>
  <c r="DO83" i="3"/>
  <c r="DP83" i="3"/>
  <c r="DQ83" i="3" s="1"/>
  <c r="DR83" i="3"/>
  <c r="DT83" i="3" s="1"/>
  <c r="DS83" i="3"/>
  <c r="DU83" i="3"/>
  <c r="DV83" i="3"/>
  <c r="DX83" i="3"/>
  <c r="DY83" i="3"/>
  <c r="EE83" i="3"/>
  <c r="EF83" i="3"/>
  <c r="EH83" i="3"/>
  <c r="EI83" i="3"/>
  <c r="EK83" i="3"/>
  <c r="EM83" i="3" s="1"/>
  <c r="EL83" i="3"/>
  <c r="EN83" i="3"/>
  <c r="EO83" i="3"/>
  <c r="EP83" i="3" s="1"/>
  <c r="EQ83" i="3"/>
  <c r="ES83" i="3" s="1"/>
  <c r="ER83" i="3"/>
  <c r="ET83" i="3"/>
  <c r="EU83" i="3"/>
  <c r="FA83" i="3"/>
  <c r="FB83" i="3"/>
  <c r="FC83" i="3" s="1"/>
  <c r="FD83" i="3"/>
  <c r="FF83" i="3" s="1"/>
  <c r="FE83" i="3"/>
  <c r="FG83" i="3"/>
  <c r="FH83" i="3"/>
  <c r="FJ83" i="3"/>
  <c r="FL83" i="3" s="1"/>
  <c r="FK83" i="3"/>
  <c r="FM83" i="3"/>
  <c r="FN83" i="3"/>
  <c r="FO83" i="3" s="1"/>
  <c r="FT83" i="3"/>
  <c r="FV83" i="3" s="1"/>
  <c r="FU83" i="3"/>
  <c r="FW83" i="3"/>
  <c r="FX83" i="3"/>
  <c r="FZ83" i="3"/>
  <c r="GA83" i="3"/>
  <c r="GC83" i="3"/>
  <c r="GD83" i="3"/>
  <c r="GE83" i="3"/>
  <c r="GJ83" i="3"/>
  <c r="GK83" i="3"/>
  <c r="GM83" i="3"/>
  <c r="GN83" i="3"/>
  <c r="GO83" i="3" s="1"/>
  <c r="GP83" i="3"/>
  <c r="GQ83" i="3"/>
  <c r="GR83" i="3"/>
  <c r="GW83" i="3"/>
  <c r="GY83" i="3" s="1"/>
  <c r="GX83" i="3"/>
  <c r="GZ83" i="3"/>
  <c r="HA83" i="3"/>
  <c r="HB83" i="3" s="1"/>
  <c r="HG83" i="3"/>
  <c r="HI83" i="3" s="1"/>
  <c r="HH83" i="3"/>
  <c r="L84" i="3"/>
  <c r="AY84" i="3"/>
  <c r="AZ84" i="3"/>
  <c r="BA84" i="3" s="1"/>
  <c r="BB84" i="3"/>
  <c r="BC84" i="3"/>
  <c r="BD84" i="3"/>
  <c r="BE84" i="3"/>
  <c r="BG84" i="3" s="1"/>
  <c r="BF84" i="3"/>
  <c r="BH84" i="3"/>
  <c r="BI84" i="3"/>
  <c r="BK84" i="3"/>
  <c r="BL84" i="3"/>
  <c r="BN84" i="3"/>
  <c r="BO84" i="3"/>
  <c r="BP84" i="3"/>
  <c r="BQ84" i="3"/>
  <c r="BR84" i="3"/>
  <c r="BT84" i="3"/>
  <c r="BU84" i="3"/>
  <c r="BW84" i="3"/>
  <c r="BX84" i="3"/>
  <c r="BY84" i="3" s="1"/>
  <c r="CD84" i="3"/>
  <c r="CE84" i="3"/>
  <c r="CG84" i="3"/>
  <c r="CH84" i="3"/>
  <c r="CJ84" i="3"/>
  <c r="CK84" i="3"/>
  <c r="CL84" i="3" s="1"/>
  <c r="CM84" i="3"/>
  <c r="CN84" i="3"/>
  <c r="CO84" i="3"/>
  <c r="CP84" i="3"/>
  <c r="CR84" i="3" s="1"/>
  <c r="CQ84" i="3"/>
  <c r="CS84" i="3"/>
  <c r="CT84" i="3"/>
  <c r="CV84" i="3"/>
  <c r="CW84" i="3"/>
  <c r="CY84" i="3"/>
  <c r="CZ84" i="3"/>
  <c r="DA84" i="3"/>
  <c r="DF84" i="3"/>
  <c r="DG84" i="3"/>
  <c r="DI84" i="3"/>
  <c r="DJ84" i="3"/>
  <c r="DK84" i="3" s="1"/>
  <c r="DL84" i="3"/>
  <c r="DM84" i="3"/>
  <c r="DN84" i="3"/>
  <c r="DO84" i="3"/>
  <c r="DQ84" i="3" s="1"/>
  <c r="DP84" i="3"/>
  <c r="DR84" i="3"/>
  <c r="DS84" i="3"/>
  <c r="DU84" i="3"/>
  <c r="DV84" i="3"/>
  <c r="DX84" i="3"/>
  <c r="DY84" i="3"/>
  <c r="DZ84" i="3"/>
  <c r="EE84" i="3"/>
  <c r="EF84" i="3"/>
  <c r="EH84" i="3"/>
  <c r="EI84" i="3"/>
  <c r="EJ84" i="3" s="1"/>
  <c r="EK84" i="3"/>
  <c r="EL84" i="3"/>
  <c r="EM84" i="3"/>
  <c r="EN84" i="3"/>
  <c r="EP84" i="3" s="1"/>
  <c r="EO84" i="3"/>
  <c r="EQ84" i="3"/>
  <c r="ER84" i="3"/>
  <c r="ET84" i="3"/>
  <c r="EU84" i="3"/>
  <c r="FA84" i="3"/>
  <c r="FB84" i="3"/>
  <c r="FD84" i="3"/>
  <c r="FF84" i="3" s="1"/>
  <c r="FE84" i="3"/>
  <c r="FG84" i="3"/>
  <c r="FH84" i="3"/>
  <c r="FI84" i="3" s="1"/>
  <c r="FJ84" i="3"/>
  <c r="FL84" i="3" s="1"/>
  <c r="FK84" i="3"/>
  <c r="FM84" i="3"/>
  <c r="FN84" i="3"/>
  <c r="FT84" i="3"/>
  <c r="FU84" i="3"/>
  <c r="FV84" i="3" s="1"/>
  <c r="FW84" i="3"/>
  <c r="FX84" i="3"/>
  <c r="FZ84" i="3"/>
  <c r="GA84" i="3"/>
  <c r="GC84" i="3"/>
  <c r="GE84" i="3" s="1"/>
  <c r="GD84" i="3"/>
  <c r="GJ84" i="3"/>
  <c r="GK84" i="3"/>
  <c r="GL84" i="3"/>
  <c r="GM84" i="3"/>
  <c r="GN84" i="3"/>
  <c r="GP84" i="3"/>
  <c r="GQ84" i="3"/>
  <c r="GW84" i="3"/>
  <c r="GX84" i="3"/>
  <c r="GY84" i="3"/>
  <c r="GZ84" i="3"/>
  <c r="HB84" i="3" s="1"/>
  <c r="HA84" i="3"/>
  <c r="HG84" i="3"/>
  <c r="HH84" i="3"/>
  <c r="HI84" i="3" s="1"/>
  <c r="L85" i="3"/>
  <c r="AY85" i="3"/>
  <c r="AZ85" i="3"/>
  <c r="BB85" i="3"/>
  <c r="BC85" i="3"/>
  <c r="BE85" i="3"/>
  <c r="BF85" i="3"/>
  <c r="BG85" i="3" s="1"/>
  <c r="BH85" i="3"/>
  <c r="BI85" i="3"/>
  <c r="BK85" i="3"/>
  <c r="BL85" i="3"/>
  <c r="BN85" i="3"/>
  <c r="BP85" i="3" s="1"/>
  <c r="BO85" i="3"/>
  <c r="BQ85" i="3"/>
  <c r="BR85" i="3"/>
  <c r="BS85" i="3" s="1"/>
  <c r="BT85" i="3"/>
  <c r="BV85" i="3" s="1"/>
  <c r="BU85" i="3"/>
  <c r="BW85" i="3"/>
  <c r="BX85" i="3"/>
  <c r="CD85" i="3"/>
  <c r="CE85" i="3"/>
  <c r="CF85" i="3" s="1"/>
  <c r="CG85" i="3"/>
  <c r="CH85" i="3"/>
  <c r="CJ85" i="3"/>
  <c r="CK85" i="3"/>
  <c r="CM85" i="3"/>
  <c r="CO85" i="3" s="1"/>
  <c r="CN85" i="3"/>
  <c r="CP85" i="3"/>
  <c r="CQ85" i="3"/>
  <c r="CR85" i="3" s="1"/>
  <c r="CS85" i="3"/>
  <c r="CU85" i="3" s="1"/>
  <c r="CT85" i="3"/>
  <c r="CV85" i="3"/>
  <c r="CW85" i="3"/>
  <c r="CY85" i="3"/>
  <c r="CZ85" i="3"/>
  <c r="DF85" i="3"/>
  <c r="DG85" i="3"/>
  <c r="DI85" i="3"/>
  <c r="DJ85" i="3"/>
  <c r="DL85" i="3"/>
  <c r="DN85" i="3" s="1"/>
  <c r="DM85" i="3"/>
  <c r="DO85" i="3"/>
  <c r="DP85" i="3"/>
  <c r="DQ85" i="3" s="1"/>
  <c r="DR85" i="3"/>
  <c r="DT85" i="3" s="1"/>
  <c r="DS85" i="3"/>
  <c r="DU85" i="3"/>
  <c r="DV85" i="3"/>
  <c r="DX85" i="3"/>
  <c r="DY85" i="3"/>
  <c r="EE85" i="3"/>
  <c r="EF85" i="3"/>
  <c r="EH85" i="3"/>
  <c r="EI85" i="3"/>
  <c r="EK85" i="3"/>
  <c r="EM85" i="3" s="1"/>
  <c r="EL85" i="3"/>
  <c r="EN85" i="3"/>
  <c r="EO85" i="3"/>
  <c r="EP85" i="3" s="1"/>
  <c r="EQ85" i="3"/>
  <c r="ES85" i="3" s="1"/>
  <c r="ER85" i="3"/>
  <c r="ET85" i="3"/>
  <c r="EU85" i="3"/>
  <c r="FA85" i="3"/>
  <c r="FB85" i="3"/>
  <c r="FC85" i="3" s="1"/>
  <c r="FD85" i="3"/>
  <c r="FE85" i="3"/>
  <c r="FG85" i="3"/>
  <c r="FH85" i="3"/>
  <c r="FJ85" i="3"/>
  <c r="FL85" i="3" s="1"/>
  <c r="FK85" i="3"/>
  <c r="FM85" i="3"/>
  <c r="FN85" i="3"/>
  <c r="FO85" i="3" s="1"/>
  <c r="FT85" i="3"/>
  <c r="FV85" i="3" s="1"/>
  <c r="FU85" i="3"/>
  <c r="FW85" i="3"/>
  <c r="FX85" i="3"/>
  <c r="FZ85" i="3"/>
  <c r="GA85" i="3"/>
  <c r="GC85" i="3"/>
  <c r="GD85" i="3"/>
  <c r="GE85" i="3"/>
  <c r="GJ85" i="3"/>
  <c r="GK85" i="3"/>
  <c r="GM85" i="3"/>
  <c r="GN85" i="3"/>
  <c r="GO85" i="3" s="1"/>
  <c r="GP85" i="3"/>
  <c r="GQ85" i="3"/>
  <c r="GR85" i="3"/>
  <c r="GW85" i="3"/>
  <c r="GY85" i="3" s="1"/>
  <c r="GX85" i="3"/>
  <c r="GZ85" i="3"/>
  <c r="HA85" i="3"/>
  <c r="HB85" i="3" s="1"/>
  <c r="HG85" i="3"/>
  <c r="HI85" i="3" s="1"/>
  <c r="HH85" i="3"/>
  <c r="L86" i="3"/>
  <c r="AY86" i="3"/>
  <c r="AZ86" i="3"/>
  <c r="BA86" i="3" s="1"/>
  <c r="BB86" i="3"/>
  <c r="BC86" i="3"/>
  <c r="BD86" i="3"/>
  <c r="BE86" i="3"/>
  <c r="BG86" i="3" s="1"/>
  <c r="BF86" i="3"/>
  <c r="BH86" i="3"/>
  <c r="BI86" i="3"/>
  <c r="BK86" i="3"/>
  <c r="BL86" i="3"/>
  <c r="BN86" i="3"/>
  <c r="BO86" i="3"/>
  <c r="BP86" i="3"/>
  <c r="BQ86" i="3"/>
  <c r="BR86" i="3"/>
  <c r="BT86" i="3"/>
  <c r="BU86" i="3"/>
  <c r="BW86" i="3"/>
  <c r="BX86" i="3"/>
  <c r="BY86" i="3" s="1"/>
  <c r="CD86" i="3"/>
  <c r="CE86" i="3"/>
  <c r="CG86" i="3"/>
  <c r="CH86" i="3"/>
  <c r="CJ86" i="3"/>
  <c r="CK86" i="3"/>
  <c r="CL86" i="3" s="1"/>
  <c r="CM86" i="3"/>
  <c r="CN86" i="3"/>
  <c r="CO86" i="3"/>
  <c r="CP86" i="3"/>
  <c r="CR86" i="3" s="1"/>
  <c r="CQ86" i="3"/>
  <c r="CS86" i="3"/>
  <c r="CT86" i="3"/>
  <c r="CV86" i="3"/>
  <c r="CW86" i="3"/>
  <c r="CY86" i="3"/>
  <c r="CZ86" i="3"/>
  <c r="DA86" i="3"/>
  <c r="DF86" i="3"/>
  <c r="DG86" i="3"/>
  <c r="DI86" i="3"/>
  <c r="DJ86" i="3"/>
  <c r="DK86" i="3" s="1"/>
  <c r="DL86" i="3"/>
  <c r="DM86" i="3"/>
  <c r="DN86" i="3"/>
  <c r="DO86" i="3"/>
  <c r="DQ86" i="3" s="1"/>
  <c r="DP86" i="3"/>
  <c r="DR86" i="3"/>
  <c r="DS86" i="3"/>
  <c r="DU86" i="3"/>
  <c r="DV86" i="3"/>
  <c r="DX86" i="3"/>
  <c r="DY86" i="3"/>
  <c r="DZ86" i="3"/>
  <c r="EE86" i="3"/>
  <c r="EF86" i="3"/>
  <c r="EH86" i="3"/>
  <c r="EI86" i="3"/>
  <c r="EJ86" i="3" s="1"/>
  <c r="EK86" i="3"/>
  <c r="EL86" i="3"/>
  <c r="EM86" i="3"/>
  <c r="EN86" i="3"/>
  <c r="EP86" i="3" s="1"/>
  <c r="EO86" i="3"/>
  <c r="EQ86" i="3"/>
  <c r="ER86" i="3"/>
  <c r="ET86" i="3"/>
  <c r="EU86" i="3"/>
  <c r="FA86" i="3"/>
  <c r="FB86" i="3"/>
  <c r="FD86" i="3"/>
  <c r="FF86" i="3" s="1"/>
  <c r="FE86" i="3"/>
  <c r="FG86" i="3"/>
  <c r="FH86" i="3"/>
  <c r="FI86" i="3" s="1"/>
  <c r="FJ86" i="3"/>
  <c r="FL86" i="3" s="1"/>
  <c r="FK86" i="3"/>
  <c r="FM86" i="3"/>
  <c r="FN86" i="3"/>
  <c r="FT86" i="3"/>
  <c r="FU86" i="3"/>
  <c r="FV86" i="3" s="1"/>
  <c r="FW86" i="3"/>
  <c r="FX86" i="3"/>
  <c r="FZ86" i="3"/>
  <c r="GA86" i="3"/>
  <c r="GC86" i="3"/>
  <c r="GE86" i="3" s="1"/>
  <c r="GD86" i="3"/>
  <c r="GJ86" i="3"/>
  <c r="GK86" i="3"/>
  <c r="GL86" i="3"/>
  <c r="GM86" i="3"/>
  <c r="GN86" i="3"/>
  <c r="GP86" i="3"/>
  <c r="GQ86" i="3"/>
  <c r="GW86" i="3"/>
  <c r="GX86" i="3"/>
  <c r="GY86" i="3"/>
  <c r="GZ86" i="3"/>
  <c r="HB86" i="3" s="1"/>
  <c r="HA86" i="3"/>
  <c r="HG86" i="3"/>
  <c r="HH86" i="3"/>
  <c r="HI86" i="3" s="1"/>
  <c r="L87" i="3"/>
  <c r="AY87" i="3"/>
  <c r="AZ87" i="3"/>
  <c r="BB87" i="3"/>
  <c r="BC87" i="3"/>
  <c r="BE87" i="3"/>
  <c r="BF87" i="3"/>
  <c r="BG87" i="3" s="1"/>
  <c r="BH87" i="3"/>
  <c r="BI87" i="3"/>
  <c r="BK87" i="3"/>
  <c r="BL87" i="3"/>
  <c r="BN87" i="3"/>
  <c r="BP87" i="3" s="1"/>
  <c r="BO87" i="3"/>
  <c r="BQ87" i="3"/>
  <c r="BR87" i="3"/>
  <c r="BS87" i="3" s="1"/>
  <c r="BT87" i="3"/>
  <c r="BV87" i="3" s="1"/>
  <c r="BU87" i="3"/>
  <c r="BW87" i="3"/>
  <c r="BX87" i="3"/>
  <c r="CD87" i="3"/>
  <c r="CE87" i="3"/>
  <c r="CF87" i="3" s="1"/>
  <c r="CG87" i="3"/>
  <c r="CI87" i="3" s="1"/>
  <c r="CH87" i="3"/>
  <c r="CJ87" i="3"/>
  <c r="CK87" i="3"/>
  <c r="CM87" i="3"/>
  <c r="CO87" i="3" s="1"/>
  <c r="CN87" i="3"/>
  <c r="CP87" i="3"/>
  <c r="CQ87" i="3"/>
  <c r="CR87" i="3" s="1"/>
  <c r="CS87" i="3"/>
  <c r="CU87" i="3" s="1"/>
  <c r="CT87" i="3"/>
  <c r="CV87" i="3"/>
  <c r="CW87" i="3"/>
  <c r="CY87" i="3"/>
  <c r="CZ87" i="3"/>
  <c r="DF87" i="3"/>
  <c r="DG87" i="3"/>
  <c r="DI87" i="3"/>
  <c r="DJ87" i="3"/>
  <c r="DL87" i="3"/>
  <c r="DN87" i="3" s="1"/>
  <c r="DM87" i="3"/>
  <c r="DO87" i="3"/>
  <c r="DP87" i="3"/>
  <c r="DQ87" i="3" s="1"/>
  <c r="DR87" i="3"/>
  <c r="DT87" i="3" s="1"/>
  <c r="DS87" i="3"/>
  <c r="DU87" i="3"/>
  <c r="DV87" i="3"/>
  <c r="DX87" i="3"/>
  <c r="DY87" i="3"/>
  <c r="EE87" i="3"/>
  <c r="EG87" i="3" s="1"/>
  <c r="EF87" i="3"/>
  <c r="EH87" i="3"/>
  <c r="EI87" i="3"/>
  <c r="EK87" i="3"/>
  <c r="EM87" i="3" s="1"/>
  <c r="EL87" i="3"/>
  <c r="EN87" i="3"/>
  <c r="EO87" i="3"/>
  <c r="EP87" i="3" s="1"/>
  <c r="EQ87" i="3"/>
  <c r="ES87" i="3" s="1"/>
  <c r="ER87" i="3"/>
  <c r="ET87" i="3"/>
  <c r="EU87" i="3"/>
  <c r="FA87" i="3"/>
  <c r="FB87" i="3"/>
  <c r="FC87" i="3" s="1"/>
  <c r="FD87" i="3"/>
  <c r="FE87" i="3"/>
  <c r="FG87" i="3"/>
  <c r="FH87" i="3"/>
  <c r="FJ87" i="3"/>
  <c r="FL87" i="3" s="1"/>
  <c r="FK87" i="3"/>
  <c r="FM87" i="3"/>
  <c r="FN87" i="3"/>
  <c r="FO87" i="3" s="1"/>
  <c r="FT87" i="3"/>
  <c r="FV87" i="3" s="1"/>
  <c r="FU87" i="3"/>
  <c r="FW87" i="3"/>
  <c r="FX87" i="3"/>
  <c r="FZ87" i="3"/>
  <c r="GA87" i="3"/>
  <c r="GC87" i="3"/>
  <c r="GD87" i="3"/>
  <c r="GE87" i="3"/>
  <c r="GJ87" i="3"/>
  <c r="GK87" i="3"/>
  <c r="GM87" i="3"/>
  <c r="GN87" i="3"/>
  <c r="GO87" i="3" s="1"/>
  <c r="GP87" i="3"/>
  <c r="GQ87" i="3"/>
  <c r="GR87" i="3"/>
  <c r="GW87" i="3"/>
  <c r="GY87" i="3" s="1"/>
  <c r="GX87" i="3"/>
  <c r="GZ87" i="3"/>
  <c r="HA87" i="3"/>
  <c r="HB87" i="3" s="1"/>
  <c r="HG87" i="3"/>
  <c r="HI87" i="3" s="1"/>
  <c r="HH87" i="3"/>
  <c r="L88" i="3"/>
  <c r="AY88" i="3"/>
  <c r="AZ88" i="3"/>
  <c r="BA88" i="3" s="1"/>
  <c r="BB88" i="3"/>
  <c r="BC88" i="3"/>
  <c r="BD88" i="3"/>
  <c r="BE88" i="3"/>
  <c r="BG88" i="3" s="1"/>
  <c r="BF88" i="3"/>
  <c r="BH88" i="3"/>
  <c r="BI88" i="3"/>
  <c r="BK88" i="3"/>
  <c r="BL88" i="3"/>
  <c r="BN88" i="3"/>
  <c r="BO88" i="3"/>
  <c r="BP88" i="3"/>
  <c r="BQ88" i="3"/>
  <c r="BR88" i="3"/>
  <c r="BT88" i="3"/>
  <c r="BU88" i="3"/>
  <c r="BW88" i="3"/>
  <c r="BX88" i="3"/>
  <c r="BY88" i="3" s="1"/>
  <c r="CD88" i="3"/>
  <c r="CE88" i="3"/>
  <c r="CG88" i="3"/>
  <c r="CH88" i="3"/>
  <c r="CJ88" i="3"/>
  <c r="CK88" i="3"/>
  <c r="CL88" i="3" s="1"/>
  <c r="CM88" i="3"/>
  <c r="CN88" i="3"/>
  <c r="CO88" i="3"/>
  <c r="CP88" i="3"/>
  <c r="CR88" i="3" s="1"/>
  <c r="CQ88" i="3"/>
  <c r="CS88" i="3"/>
  <c r="CT88" i="3"/>
  <c r="CV88" i="3"/>
  <c r="CW88" i="3"/>
  <c r="CY88" i="3"/>
  <c r="CZ88" i="3"/>
  <c r="DA88" i="3"/>
  <c r="DF88" i="3"/>
  <c r="DG88" i="3"/>
  <c r="DI88" i="3"/>
  <c r="DJ88" i="3"/>
  <c r="DK88" i="3" s="1"/>
  <c r="DL88" i="3"/>
  <c r="DM88" i="3"/>
  <c r="DN88" i="3"/>
  <c r="DO88" i="3"/>
  <c r="DQ88" i="3" s="1"/>
  <c r="DP88" i="3"/>
  <c r="DR88" i="3"/>
  <c r="DS88" i="3"/>
  <c r="DU88" i="3"/>
  <c r="DV88" i="3"/>
  <c r="DX88" i="3"/>
  <c r="DY88" i="3"/>
  <c r="DZ88" i="3"/>
  <c r="EE88" i="3"/>
  <c r="EF88" i="3"/>
  <c r="EH88" i="3"/>
  <c r="EI88" i="3"/>
  <c r="EJ88" i="3" s="1"/>
  <c r="EK88" i="3"/>
  <c r="EL88" i="3"/>
  <c r="EM88" i="3"/>
  <c r="EN88" i="3"/>
  <c r="EP88" i="3" s="1"/>
  <c r="EO88" i="3"/>
  <c r="EQ88" i="3"/>
  <c r="ER88" i="3"/>
  <c r="ET88" i="3"/>
  <c r="EU88" i="3"/>
  <c r="FA88" i="3"/>
  <c r="FB88" i="3"/>
  <c r="FD88" i="3"/>
  <c r="FF88" i="3" s="1"/>
  <c r="FE88" i="3"/>
  <c r="FG88" i="3"/>
  <c r="FH88" i="3"/>
  <c r="FI88" i="3" s="1"/>
  <c r="FJ88" i="3"/>
  <c r="FL88" i="3" s="1"/>
  <c r="FK88" i="3"/>
  <c r="FM88" i="3"/>
  <c r="FN88" i="3"/>
  <c r="FT88" i="3"/>
  <c r="FU88" i="3"/>
  <c r="FV88" i="3" s="1"/>
  <c r="FW88" i="3"/>
  <c r="FY88" i="3" s="1"/>
  <c r="FX88" i="3"/>
  <c r="FZ88" i="3"/>
  <c r="GA88" i="3"/>
  <c r="GC88" i="3"/>
  <c r="GE88" i="3" s="1"/>
  <c r="GD88" i="3"/>
  <c r="GJ88" i="3"/>
  <c r="GK88" i="3"/>
  <c r="GL88" i="3"/>
  <c r="GM88" i="3"/>
  <c r="GN88" i="3"/>
  <c r="GP88" i="3"/>
  <c r="GQ88" i="3"/>
  <c r="GW88" i="3"/>
  <c r="GX88" i="3"/>
  <c r="GY88" i="3"/>
  <c r="GZ88" i="3"/>
  <c r="HB88" i="3" s="1"/>
  <c r="HA88" i="3"/>
  <c r="HG88" i="3"/>
  <c r="HH88" i="3"/>
  <c r="HI88" i="3" s="1"/>
  <c r="L89" i="3"/>
  <c r="AY89" i="3"/>
  <c r="AZ89" i="3"/>
  <c r="BB89" i="3"/>
  <c r="BC89" i="3"/>
  <c r="BE89" i="3"/>
  <c r="BF89" i="3"/>
  <c r="BG89" i="3" s="1"/>
  <c r="BH89" i="3"/>
  <c r="BI89" i="3"/>
  <c r="BK89" i="3"/>
  <c r="BL89" i="3"/>
  <c r="BN89" i="3"/>
  <c r="BP89" i="3" s="1"/>
  <c r="BO89" i="3"/>
  <c r="BQ89" i="3"/>
  <c r="BR89" i="3"/>
  <c r="BS89" i="3" s="1"/>
  <c r="BT89" i="3"/>
  <c r="BV89" i="3" s="1"/>
  <c r="BU89" i="3"/>
  <c r="BW89" i="3"/>
  <c r="BX89" i="3"/>
  <c r="CD89" i="3"/>
  <c r="CE89" i="3"/>
  <c r="CF89" i="3" s="1"/>
  <c r="CG89" i="3"/>
  <c r="CH89" i="3"/>
  <c r="CJ89" i="3"/>
  <c r="CK89" i="3"/>
  <c r="CM89" i="3"/>
  <c r="CO89" i="3" s="1"/>
  <c r="CN89" i="3"/>
  <c r="CP89" i="3"/>
  <c r="CQ89" i="3"/>
  <c r="CR89" i="3" s="1"/>
  <c r="CS89" i="3"/>
  <c r="CU89" i="3" s="1"/>
  <c r="CT89" i="3"/>
  <c r="CV89" i="3"/>
  <c r="CW89" i="3"/>
  <c r="CY89" i="3"/>
  <c r="CZ89" i="3"/>
  <c r="DF89" i="3"/>
  <c r="DG89" i="3"/>
  <c r="DI89" i="3"/>
  <c r="DJ89" i="3"/>
  <c r="DL89" i="3"/>
  <c r="DN89" i="3" s="1"/>
  <c r="DM89" i="3"/>
  <c r="DO89" i="3"/>
  <c r="DP89" i="3"/>
  <c r="DQ89" i="3" s="1"/>
  <c r="DR89" i="3"/>
  <c r="DT89" i="3" s="1"/>
  <c r="DS89" i="3"/>
  <c r="DU89" i="3"/>
  <c r="DV89" i="3"/>
  <c r="DX89" i="3"/>
  <c r="DY89" i="3"/>
  <c r="EE89" i="3"/>
  <c r="EF89" i="3"/>
  <c r="EH89" i="3"/>
  <c r="EI89" i="3"/>
  <c r="EK89" i="3"/>
  <c r="EM89" i="3" s="1"/>
  <c r="EL89" i="3"/>
  <c r="EN89" i="3"/>
  <c r="EO89" i="3"/>
  <c r="EP89" i="3" s="1"/>
  <c r="EQ89" i="3"/>
  <c r="ES89" i="3" s="1"/>
  <c r="ER89" i="3"/>
  <c r="ET89" i="3"/>
  <c r="EU89" i="3"/>
  <c r="FA89" i="3"/>
  <c r="FB89" i="3"/>
  <c r="FC89" i="3" s="1"/>
  <c r="FD89" i="3"/>
  <c r="FE89" i="3"/>
  <c r="FG89" i="3"/>
  <c r="FH89" i="3"/>
  <c r="FJ89" i="3"/>
  <c r="FL89" i="3" s="1"/>
  <c r="FK89" i="3"/>
  <c r="FM89" i="3"/>
  <c r="FN89" i="3"/>
  <c r="FO89" i="3" s="1"/>
  <c r="FT89" i="3"/>
  <c r="FV89" i="3" s="1"/>
  <c r="FU89" i="3"/>
  <c r="FW89" i="3"/>
  <c r="FX89" i="3"/>
  <c r="FZ89" i="3"/>
  <c r="GA89" i="3"/>
  <c r="GC89" i="3"/>
  <c r="GD89" i="3"/>
  <c r="GE89" i="3"/>
  <c r="GJ89" i="3"/>
  <c r="GK89" i="3"/>
  <c r="GM89" i="3"/>
  <c r="GN89" i="3"/>
  <c r="GO89" i="3" s="1"/>
  <c r="GP89" i="3"/>
  <c r="GQ89" i="3"/>
  <c r="GR89" i="3"/>
  <c r="GW89" i="3"/>
  <c r="GY89" i="3" s="1"/>
  <c r="GX89" i="3"/>
  <c r="GZ89" i="3"/>
  <c r="HA89" i="3"/>
  <c r="HB89" i="3" s="1"/>
  <c r="HG89" i="3"/>
  <c r="HI89" i="3" s="1"/>
  <c r="HH89" i="3"/>
  <c r="L90" i="3"/>
  <c r="AY90" i="3"/>
  <c r="AZ90" i="3"/>
  <c r="BA90" i="3" s="1"/>
  <c r="BB90" i="3"/>
  <c r="BC90" i="3"/>
  <c r="BD90" i="3"/>
  <c r="BE90" i="3"/>
  <c r="BG90" i="3" s="1"/>
  <c r="BF90" i="3"/>
  <c r="BH90" i="3"/>
  <c r="BI90" i="3"/>
  <c r="BK90" i="3"/>
  <c r="BL90" i="3"/>
  <c r="BN90" i="3"/>
  <c r="BO90" i="3"/>
  <c r="BP90" i="3"/>
  <c r="BQ90" i="3"/>
  <c r="BR90" i="3"/>
  <c r="BT90" i="3"/>
  <c r="BU90" i="3"/>
  <c r="BW90" i="3"/>
  <c r="BX90" i="3"/>
  <c r="BY90" i="3" s="1"/>
  <c r="CD90" i="3"/>
  <c r="CE90" i="3"/>
  <c r="CG90" i="3"/>
  <c r="CH90" i="3"/>
  <c r="CJ90" i="3"/>
  <c r="CK90" i="3"/>
  <c r="CL90" i="3" s="1"/>
  <c r="CM90" i="3"/>
  <c r="CN90" i="3"/>
  <c r="CO90" i="3"/>
  <c r="CP90" i="3"/>
  <c r="CR90" i="3" s="1"/>
  <c r="CQ90" i="3"/>
  <c r="CS90" i="3"/>
  <c r="CT90" i="3"/>
  <c r="CV90" i="3"/>
  <c r="CW90" i="3"/>
  <c r="CY90" i="3"/>
  <c r="CZ90" i="3"/>
  <c r="DA90" i="3"/>
  <c r="DF90" i="3"/>
  <c r="DG90" i="3"/>
  <c r="DI90" i="3"/>
  <c r="DJ90" i="3"/>
  <c r="DK90" i="3" s="1"/>
  <c r="DL90" i="3"/>
  <c r="DM90" i="3"/>
  <c r="DN90" i="3"/>
  <c r="DO90" i="3"/>
  <c r="DQ90" i="3" s="1"/>
  <c r="DP90" i="3"/>
  <c r="DR90" i="3"/>
  <c r="DS90" i="3"/>
  <c r="DU90" i="3"/>
  <c r="DV90" i="3"/>
  <c r="DX90" i="3"/>
  <c r="DY90" i="3"/>
  <c r="DZ90" i="3"/>
  <c r="EE90" i="3"/>
  <c r="EF90" i="3"/>
  <c r="EH90" i="3"/>
  <c r="EI90" i="3"/>
  <c r="EJ90" i="3" s="1"/>
  <c r="EK90" i="3"/>
  <c r="EL90" i="3"/>
  <c r="EM90" i="3"/>
  <c r="EN90" i="3"/>
  <c r="EO90" i="3"/>
  <c r="EQ90" i="3"/>
  <c r="ER90" i="3"/>
  <c r="ET90" i="3"/>
  <c r="EU90" i="3"/>
  <c r="FA90" i="3"/>
  <c r="FB90" i="3"/>
  <c r="FD90" i="3"/>
  <c r="FF90" i="3" s="1"/>
  <c r="FE90" i="3"/>
  <c r="FG90" i="3"/>
  <c r="FH90" i="3"/>
  <c r="FI90" i="3" s="1"/>
  <c r="FJ90" i="3"/>
  <c r="FK90" i="3"/>
  <c r="FL90" i="3"/>
  <c r="FM90" i="3"/>
  <c r="FN90" i="3"/>
  <c r="FT90" i="3"/>
  <c r="FU90" i="3"/>
  <c r="FV90" i="3" s="1"/>
  <c r="FW90" i="3"/>
  <c r="FY90" i="3" s="1"/>
  <c r="FX90" i="3"/>
  <c r="FZ90" i="3"/>
  <c r="GA90" i="3"/>
  <c r="GC90" i="3"/>
  <c r="GE90" i="3" s="1"/>
  <c r="GD90" i="3"/>
  <c r="GJ90" i="3"/>
  <c r="GK90" i="3"/>
  <c r="GM90" i="3"/>
  <c r="GN90" i="3"/>
  <c r="GP90" i="3"/>
  <c r="GQ90" i="3"/>
  <c r="GR90" i="3"/>
  <c r="GW90" i="3"/>
  <c r="GX90" i="3"/>
  <c r="GY90" i="3"/>
  <c r="GZ90" i="3"/>
  <c r="HB90" i="3" s="1"/>
  <c r="HA90" i="3"/>
  <c r="HG90" i="3"/>
  <c r="HH90" i="3"/>
  <c r="HI90" i="3" s="1"/>
  <c r="L91" i="3"/>
  <c r="AY91" i="3"/>
  <c r="AZ91" i="3"/>
  <c r="BB91" i="3"/>
  <c r="BC91" i="3"/>
  <c r="BE91" i="3"/>
  <c r="BF91" i="3"/>
  <c r="BG91" i="3" s="1"/>
  <c r="BH91" i="3"/>
  <c r="BI91" i="3"/>
  <c r="BK91" i="3"/>
  <c r="BL91" i="3"/>
  <c r="BN91" i="3"/>
  <c r="BP91" i="3" s="1"/>
  <c r="BO91" i="3"/>
  <c r="BQ91" i="3"/>
  <c r="BR91" i="3"/>
  <c r="BS91" i="3" s="1"/>
  <c r="BT91" i="3"/>
  <c r="BU91" i="3"/>
  <c r="BW91" i="3"/>
  <c r="BX91" i="3"/>
  <c r="CD91" i="3"/>
  <c r="CE91" i="3"/>
  <c r="CF91" i="3" s="1"/>
  <c r="CG91" i="3"/>
  <c r="CH91" i="3"/>
  <c r="CJ91" i="3"/>
  <c r="CK91" i="3"/>
  <c r="CM91" i="3"/>
  <c r="CN91" i="3"/>
  <c r="CP91" i="3"/>
  <c r="CQ91" i="3"/>
  <c r="CR91" i="3" s="1"/>
  <c r="CS91" i="3"/>
  <c r="CU91" i="3" s="1"/>
  <c r="CT91" i="3"/>
  <c r="CV91" i="3"/>
  <c r="CW91" i="3"/>
  <c r="CY91" i="3"/>
  <c r="CZ91" i="3"/>
  <c r="DF91" i="3"/>
  <c r="DG91" i="3"/>
  <c r="DI91" i="3"/>
  <c r="DJ91" i="3"/>
  <c r="DL91" i="3"/>
  <c r="DM91" i="3"/>
  <c r="DO91" i="3"/>
  <c r="DP91" i="3"/>
  <c r="DQ91" i="3" s="1"/>
  <c r="DR91" i="3"/>
  <c r="DS91" i="3"/>
  <c r="DU91" i="3"/>
  <c r="DV91" i="3"/>
  <c r="DX91" i="3"/>
  <c r="DZ91" i="3" s="1"/>
  <c r="DY91" i="3"/>
  <c r="EE91" i="3"/>
  <c r="EF91" i="3"/>
  <c r="EH91" i="3"/>
  <c r="EI91" i="3"/>
  <c r="EK91" i="3"/>
  <c r="EM91" i="3" s="1"/>
  <c r="EL91" i="3"/>
  <c r="EN91" i="3"/>
  <c r="EO91" i="3"/>
  <c r="EP91" i="3" s="1"/>
  <c r="EQ91" i="3"/>
  <c r="ES91" i="3" s="1"/>
  <c r="ER91" i="3"/>
  <c r="ET91" i="3"/>
  <c r="EU91" i="3"/>
  <c r="FA91" i="3"/>
  <c r="FB91" i="3"/>
  <c r="FD91" i="3"/>
  <c r="FE91" i="3"/>
  <c r="FF91" i="3" s="1"/>
  <c r="FG91" i="3"/>
  <c r="FH91" i="3"/>
  <c r="FJ91" i="3"/>
  <c r="FL91" i="3" s="1"/>
  <c r="FK91" i="3"/>
  <c r="FM91" i="3"/>
  <c r="FN91" i="3"/>
  <c r="FO91" i="3" s="1"/>
  <c r="FT91" i="3"/>
  <c r="FU91" i="3"/>
  <c r="FW91" i="3"/>
  <c r="FX91" i="3"/>
  <c r="FZ91" i="3"/>
  <c r="GA91" i="3"/>
  <c r="GC91" i="3"/>
  <c r="GD91" i="3"/>
  <c r="GJ91" i="3"/>
  <c r="GL91" i="3" s="1"/>
  <c r="GK91" i="3"/>
  <c r="GM91" i="3"/>
  <c r="GN91" i="3"/>
  <c r="GO91" i="3" s="1"/>
  <c r="GP91" i="3"/>
  <c r="GR91" i="3" s="1"/>
  <c r="GQ91" i="3"/>
  <c r="GW91" i="3"/>
  <c r="GY91" i="3" s="1"/>
  <c r="GX91" i="3"/>
  <c r="GZ91" i="3"/>
  <c r="HA91" i="3"/>
  <c r="HB91" i="3" s="1"/>
  <c r="HG91" i="3"/>
  <c r="HI91" i="3" s="1"/>
  <c r="HH91" i="3"/>
  <c r="L92" i="3"/>
  <c r="AY92" i="3"/>
  <c r="AZ92" i="3"/>
  <c r="BA92" i="3" s="1"/>
  <c r="BB92" i="3"/>
  <c r="BC92" i="3"/>
  <c r="BE92" i="3"/>
  <c r="BF92" i="3"/>
  <c r="BH92" i="3"/>
  <c r="BI92" i="3"/>
  <c r="BK92" i="3"/>
  <c r="BL92" i="3"/>
  <c r="BM92" i="3" s="1"/>
  <c r="BN92" i="3"/>
  <c r="BP92" i="3" s="1"/>
  <c r="BO92" i="3"/>
  <c r="BQ92" i="3"/>
  <c r="BR92" i="3"/>
  <c r="BT92" i="3"/>
  <c r="BU92" i="3"/>
  <c r="BW92" i="3"/>
  <c r="BX92" i="3"/>
  <c r="BY92" i="3" s="1"/>
  <c r="CD92" i="3"/>
  <c r="CE92" i="3"/>
  <c r="CG92" i="3"/>
  <c r="CH92" i="3"/>
  <c r="CJ92" i="3"/>
  <c r="CK92" i="3"/>
  <c r="CL92" i="3" s="1"/>
  <c r="CM92" i="3"/>
  <c r="CN92" i="3"/>
  <c r="CP92" i="3"/>
  <c r="CQ92" i="3"/>
  <c r="CS92" i="3"/>
  <c r="CU92" i="3" s="1"/>
  <c r="CT92" i="3"/>
  <c r="CV92" i="3"/>
  <c r="CW92" i="3"/>
  <c r="CX92" i="3" s="1"/>
  <c r="CY92" i="3"/>
  <c r="CZ92" i="3"/>
  <c r="DF92" i="3"/>
  <c r="DG92" i="3"/>
  <c r="DI92" i="3"/>
  <c r="DJ92" i="3"/>
  <c r="DK92" i="3" s="1"/>
  <c r="DL92" i="3"/>
  <c r="DM92" i="3"/>
  <c r="DO92" i="3"/>
  <c r="DP92" i="3"/>
  <c r="DR92" i="3"/>
  <c r="DS92" i="3"/>
  <c r="DU92" i="3"/>
  <c r="DV92" i="3"/>
  <c r="DW92" i="3" s="1"/>
  <c r="DX92" i="3"/>
  <c r="DZ92" i="3" s="1"/>
  <c r="DY92" i="3"/>
  <c r="EE92" i="3"/>
  <c r="EF92" i="3"/>
  <c r="EH92" i="3"/>
  <c r="EI92" i="3"/>
  <c r="EJ92" i="3" s="1"/>
  <c r="EK92" i="3"/>
  <c r="EM92" i="3" s="1"/>
  <c r="EL92" i="3"/>
  <c r="EN92" i="3"/>
  <c r="EO92" i="3"/>
  <c r="EQ92" i="3"/>
  <c r="ES92" i="3" s="1"/>
  <c r="ER92" i="3"/>
  <c r="ET92" i="3"/>
  <c r="EU92" i="3"/>
  <c r="EV92" i="3" s="1"/>
  <c r="FA92" i="3"/>
  <c r="FB92" i="3"/>
  <c r="FD92" i="3"/>
  <c r="FE92" i="3"/>
  <c r="FF92" i="3" s="1"/>
  <c r="FG92" i="3"/>
  <c r="FH92" i="3"/>
  <c r="FI92" i="3" s="1"/>
  <c r="FJ92" i="3"/>
  <c r="FL92" i="3" s="1"/>
  <c r="FK92" i="3"/>
  <c r="FM92" i="3"/>
  <c r="FN92" i="3"/>
  <c r="FT92" i="3"/>
  <c r="FU92" i="3"/>
  <c r="FW92" i="3"/>
  <c r="FX92" i="3"/>
  <c r="FZ92" i="3"/>
  <c r="GA92" i="3"/>
  <c r="GC92" i="3"/>
  <c r="GD92" i="3"/>
  <c r="GJ92" i="3"/>
  <c r="GL92" i="3" s="1"/>
  <c r="GK92" i="3"/>
  <c r="GM92" i="3"/>
  <c r="GN92" i="3"/>
  <c r="GP92" i="3"/>
  <c r="GR92" i="3" s="1"/>
  <c r="GQ92" i="3"/>
  <c r="GW92" i="3"/>
  <c r="GY92" i="3" s="1"/>
  <c r="GX92" i="3"/>
  <c r="GZ92" i="3"/>
  <c r="HA92" i="3"/>
  <c r="HG92" i="3"/>
  <c r="HH92" i="3"/>
  <c r="L93" i="3"/>
  <c r="AY93" i="3"/>
  <c r="AZ93" i="3"/>
  <c r="BB93" i="3"/>
  <c r="BC93" i="3"/>
  <c r="BE93" i="3"/>
  <c r="BF93" i="3"/>
  <c r="BG93" i="3" s="1"/>
  <c r="BH93" i="3"/>
  <c r="BI93" i="3"/>
  <c r="BK93" i="3"/>
  <c r="BL93" i="3"/>
  <c r="BN93" i="3"/>
  <c r="BP93" i="3" s="1"/>
  <c r="BO93" i="3"/>
  <c r="BQ93" i="3"/>
  <c r="BR93" i="3"/>
  <c r="BS93" i="3" s="1"/>
  <c r="BT93" i="3"/>
  <c r="BU93" i="3"/>
  <c r="BW93" i="3"/>
  <c r="BX93" i="3"/>
  <c r="CD93" i="3"/>
  <c r="CE93" i="3"/>
  <c r="CF93" i="3" s="1"/>
  <c r="CG93" i="3"/>
  <c r="CH93" i="3"/>
  <c r="CJ93" i="3"/>
  <c r="CK93" i="3"/>
  <c r="CM93" i="3"/>
  <c r="CN93" i="3"/>
  <c r="CP93" i="3"/>
  <c r="CQ93" i="3"/>
  <c r="CR93" i="3" s="1"/>
  <c r="CS93" i="3"/>
  <c r="CU93" i="3" s="1"/>
  <c r="CT93" i="3"/>
  <c r="CV93" i="3"/>
  <c r="CW93" i="3"/>
  <c r="CY93" i="3"/>
  <c r="CZ93" i="3"/>
  <c r="DF93" i="3"/>
  <c r="DG93" i="3"/>
  <c r="DI93" i="3"/>
  <c r="DJ93" i="3"/>
  <c r="DL93" i="3"/>
  <c r="DM93" i="3"/>
  <c r="DO93" i="3"/>
  <c r="DP93" i="3"/>
  <c r="DQ93" i="3" s="1"/>
  <c r="DR93" i="3"/>
  <c r="DS93" i="3"/>
  <c r="DU93" i="3"/>
  <c r="DV93" i="3"/>
  <c r="DX93" i="3"/>
  <c r="DZ93" i="3" s="1"/>
  <c r="DY93" i="3"/>
  <c r="EE93" i="3"/>
  <c r="EF93" i="3"/>
  <c r="EH93" i="3"/>
  <c r="EI93" i="3"/>
  <c r="EK93" i="3"/>
  <c r="EM93" i="3" s="1"/>
  <c r="EL93" i="3"/>
  <c r="EN93" i="3"/>
  <c r="EO93" i="3"/>
  <c r="EP93" i="3" s="1"/>
  <c r="EQ93" i="3"/>
  <c r="ES93" i="3" s="1"/>
  <c r="ER93" i="3"/>
  <c r="ET93" i="3"/>
  <c r="EU93" i="3"/>
  <c r="FA93" i="3"/>
  <c r="FB93" i="3"/>
  <c r="FD93" i="3"/>
  <c r="FE93" i="3"/>
  <c r="FF93" i="3" s="1"/>
  <c r="FG93" i="3"/>
  <c r="FH93" i="3"/>
  <c r="FJ93" i="3"/>
  <c r="FL93" i="3" s="1"/>
  <c r="FK93" i="3"/>
  <c r="FM93" i="3"/>
  <c r="FN93" i="3"/>
  <c r="FO93" i="3" s="1"/>
  <c r="FT93" i="3"/>
  <c r="FU93" i="3"/>
  <c r="FW93" i="3"/>
  <c r="FX93" i="3"/>
  <c r="FZ93" i="3"/>
  <c r="GA93" i="3"/>
  <c r="GC93" i="3"/>
  <c r="GD93" i="3"/>
  <c r="GJ93" i="3"/>
  <c r="GL93" i="3" s="1"/>
  <c r="GK93" i="3"/>
  <c r="GM93" i="3"/>
  <c r="GN93" i="3"/>
  <c r="GO93" i="3" s="1"/>
  <c r="GP93" i="3"/>
  <c r="GR93" i="3" s="1"/>
  <c r="GQ93" i="3"/>
  <c r="GW93" i="3"/>
  <c r="GY93" i="3" s="1"/>
  <c r="GX93" i="3"/>
  <c r="GZ93" i="3"/>
  <c r="HA93" i="3"/>
  <c r="HB93" i="3" s="1"/>
  <c r="HG93" i="3"/>
  <c r="HI93" i="3" s="1"/>
  <c r="HH93" i="3"/>
  <c r="L94" i="3"/>
  <c r="AY94" i="3"/>
  <c r="AZ94" i="3"/>
  <c r="BA94" i="3" s="1"/>
  <c r="BB94" i="3"/>
  <c r="BC94" i="3"/>
  <c r="BE94" i="3"/>
  <c r="BF94" i="3"/>
  <c r="BH94" i="3"/>
  <c r="BI94" i="3"/>
  <c r="BK94" i="3"/>
  <c r="BL94" i="3"/>
  <c r="BM94" i="3" s="1"/>
  <c r="BN94" i="3"/>
  <c r="BP94" i="3" s="1"/>
  <c r="BO94" i="3"/>
  <c r="BQ94" i="3"/>
  <c r="BR94" i="3"/>
  <c r="BT94" i="3"/>
  <c r="BU94" i="3"/>
  <c r="BW94" i="3"/>
  <c r="BX94" i="3"/>
  <c r="BY94" i="3" s="1"/>
  <c r="CD94" i="3"/>
  <c r="CE94" i="3"/>
  <c r="CG94" i="3"/>
  <c r="CH94" i="3"/>
  <c r="CJ94" i="3"/>
  <c r="CK94" i="3"/>
  <c r="CL94" i="3" s="1"/>
  <c r="CM94" i="3"/>
  <c r="CN94" i="3"/>
  <c r="CP94" i="3"/>
  <c r="CQ94" i="3"/>
  <c r="CS94" i="3"/>
  <c r="CU94" i="3" s="1"/>
  <c r="CT94" i="3"/>
  <c r="CV94" i="3"/>
  <c r="CW94" i="3"/>
  <c r="CX94" i="3" s="1"/>
  <c r="CY94" i="3"/>
  <c r="CZ94" i="3"/>
  <c r="DF94" i="3"/>
  <c r="DG94" i="3"/>
  <c r="DI94" i="3"/>
  <c r="DJ94" i="3"/>
  <c r="DK94" i="3" s="1"/>
  <c r="DL94" i="3"/>
  <c r="DM94" i="3"/>
  <c r="DO94" i="3"/>
  <c r="DP94" i="3"/>
  <c r="DR94" i="3"/>
  <c r="DS94" i="3"/>
  <c r="DU94" i="3"/>
  <c r="DV94" i="3"/>
  <c r="DW94" i="3" s="1"/>
  <c r="DX94" i="3"/>
  <c r="DZ94" i="3" s="1"/>
  <c r="DY94" i="3"/>
  <c r="EE94" i="3"/>
  <c r="EF94" i="3"/>
  <c r="EH94" i="3"/>
  <c r="EI94" i="3"/>
  <c r="EJ94" i="3" s="1"/>
  <c r="EK94" i="3"/>
  <c r="EM94" i="3" s="1"/>
  <c r="EL94" i="3"/>
  <c r="EN94" i="3"/>
  <c r="EO94" i="3"/>
  <c r="EQ94" i="3"/>
  <c r="ES94" i="3" s="1"/>
  <c r="ER94" i="3"/>
  <c r="ET94" i="3"/>
  <c r="EU94" i="3"/>
  <c r="EV94" i="3" s="1"/>
  <c r="FA94" i="3"/>
  <c r="FB94" i="3"/>
  <c r="FD94" i="3"/>
  <c r="FE94" i="3"/>
  <c r="FF94" i="3" s="1"/>
  <c r="FG94" i="3"/>
  <c r="FH94" i="3"/>
  <c r="FI94" i="3" s="1"/>
  <c r="FJ94" i="3"/>
  <c r="FL94" i="3" s="1"/>
  <c r="FK94" i="3"/>
  <c r="FM94" i="3"/>
  <c r="FN94" i="3"/>
  <c r="FT94" i="3"/>
  <c r="FU94" i="3"/>
  <c r="FW94" i="3"/>
  <c r="FX94" i="3"/>
  <c r="FZ94" i="3"/>
  <c r="GA94" i="3"/>
  <c r="GC94" i="3"/>
  <c r="GD94" i="3"/>
  <c r="GJ94" i="3"/>
  <c r="GK94" i="3"/>
  <c r="GM94" i="3"/>
  <c r="GN94" i="3"/>
  <c r="GP94" i="3"/>
  <c r="GR94" i="3" s="1"/>
  <c r="GQ94" i="3"/>
  <c r="GW94" i="3"/>
  <c r="GY94" i="3" s="1"/>
  <c r="GX94" i="3"/>
  <c r="GZ94" i="3"/>
  <c r="HA94" i="3"/>
  <c r="HG94" i="3"/>
  <c r="HH94" i="3"/>
  <c r="L95" i="3"/>
  <c r="AY95" i="3"/>
  <c r="AZ95" i="3"/>
  <c r="BB95" i="3"/>
  <c r="BC95" i="3"/>
  <c r="BE95" i="3"/>
  <c r="BF95" i="3"/>
  <c r="BG95" i="3" s="1"/>
  <c r="BH95" i="3"/>
  <c r="BI95" i="3"/>
  <c r="BK95" i="3"/>
  <c r="BL95" i="3"/>
  <c r="BN95" i="3"/>
  <c r="BP95" i="3" s="1"/>
  <c r="BO95" i="3"/>
  <c r="BQ95" i="3"/>
  <c r="BR95" i="3"/>
  <c r="BS95" i="3" s="1"/>
  <c r="BT95" i="3"/>
  <c r="BU95" i="3"/>
  <c r="BW95" i="3"/>
  <c r="BX95" i="3"/>
  <c r="CD95" i="3"/>
  <c r="CE95" i="3"/>
  <c r="CF95" i="3" s="1"/>
  <c r="CG95" i="3"/>
  <c r="CH95" i="3"/>
  <c r="CJ95" i="3"/>
  <c r="CK95" i="3"/>
  <c r="CM95" i="3"/>
  <c r="CN95" i="3"/>
  <c r="CP95" i="3"/>
  <c r="CQ95" i="3"/>
  <c r="CR95" i="3" s="1"/>
  <c r="CS95" i="3"/>
  <c r="CU95" i="3" s="1"/>
  <c r="CT95" i="3"/>
  <c r="CV95" i="3"/>
  <c r="CW95" i="3"/>
  <c r="CY95" i="3"/>
  <c r="CZ95" i="3"/>
  <c r="DF95" i="3"/>
  <c r="DG95" i="3"/>
  <c r="DI95" i="3"/>
  <c r="DJ95" i="3"/>
  <c r="DL95" i="3"/>
  <c r="DM95" i="3"/>
  <c r="DO95" i="3"/>
  <c r="DP95" i="3"/>
  <c r="DQ95" i="3" s="1"/>
  <c r="DR95" i="3"/>
  <c r="DS95" i="3"/>
  <c r="DU95" i="3"/>
  <c r="DV95" i="3"/>
  <c r="DX95" i="3"/>
  <c r="DZ95" i="3" s="1"/>
  <c r="DY95" i="3"/>
  <c r="EE95" i="3"/>
  <c r="EF95" i="3"/>
  <c r="EH95" i="3"/>
  <c r="EI95" i="3"/>
  <c r="EK95" i="3"/>
  <c r="EM95" i="3" s="1"/>
  <c r="EL95" i="3"/>
  <c r="EN95" i="3"/>
  <c r="EO95" i="3"/>
  <c r="EP95" i="3" s="1"/>
  <c r="EQ95" i="3"/>
  <c r="ES95" i="3" s="1"/>
  <c r="ER95" i="3"/>
  <c r="ET95" i="3"/>
  <c r="EU95" i="3"/>
  <c r="FA95" i="3"/>
  <c r="FB95" i="3"/>
  <c r="FD95" i="3"/>
  <c r="FE95" i="3"/>
  <c r="FF95" i="3" s="1"/>
  <c r="FG95" i="3"/>
  <c r="FH95" i="3"/>
  <c r="FJ95" i="3"/>
  <c r="FL95" i="3" s="1"/>
  <c r="FK95" i="3"/>
  <c r="FM95" i="3"/>
  <c r="FN95" i="3"/>
  <c r="FO95" i="3" s="1"/>
  <c r="FT95" i="3"/>
  <c r="FU95" i="3"/>
  <c r="FW95" i="3"/>
  <c r="FX95" i="3"/>
  <c r="FZ95" i="3"/>
  <c r="GA95" i="3"/>
  <c r="GC95" i="3"/>
  <c r="GD95" i="3"/>
  <c r="GJ95" i="3"/>
  <c r="GL95" i="3" s="1"/>
  <c r="GK95" i="3"/>
  <c r="GM95" i="3"/>
  <c r="GN95" i="3"/>
  <c r="GO95" i="3" s="1"/>
  <c r="GP95" i="3"/>
  <c r="GR95" i="3" s="1"/>
  <c r="GQ95" i="3"/>
  <c r="GW95" i="3"/>
  <c r="GY95" i="3" s="1"/>
  <c r="GX95" i="3"/>
  <c r="GZ95" i="3"/>
  <c r="HA95" i="3"/>
  <c r="HB95" i="3" s="1"/>
  <c r="HG95" i="3"/>
  <c r="HI95" i="3" s="1"/>
  <c r="HH95" i="3"/>
  <c r="L96" i="3"/>
  <c r="AY96" i="3"/>
  <c r="AZ96" i="3"/>
  <c r="BA96" i="3" s="1"/>
  <c r="BB96" i="3"/>
  <c r="BC96" i="3"/>
  <c r="BE96" i="3"/>
  <c r="BF96" i="3"/>
  <c r="BH96" i="3"/>
  <c r="BI96" i="3"/>
  <c r="BK96" i="3"/>
  <c r="BL96" i="3"/>
  <c r="BM96" i="3" s="1"/>
  <c r="BN96" i="3"/>
  <c r="BP96" i="3" s="1"/>
  <c r="BO96" i="3"/>
  <c r="BQ96" i="3"/>
  <c r="BR96" i="3"/>
  <c r="BT96" i="3"/>
  <c r="BU96" i="3"/>
  <c r="BW96" i="3"/>
  <c r="BX96" i="3"/>
  <c r="BY96" i="3" s="1"/>
  <c r="CD96" i="3"/>
  <c r="CE96" i="3"/>
  <c r="CG96" i="3"/>
  <c r="CH96" i="3"/>
  <c r="CJ96" i="3"/>
  <c r="CK96" i="3"/>
  <c r="CL96" i="3" s="1"/>
  <c r="CM96" i="3"/>
  <c r="CN96" i="3"/>
  <c r="CP96" i="3"/>
  <c r="CQ96" i="3"/>
  <c r="CS96" i="3"/>
  <c r="CU96" i="3" s="1"/>
  <c r="CT96" i="3"/>
  <c r="CV96" i="3"/>
  <c r="CW96" i="3"/>
  <c r="CX96" i="3" s="1"/>
  <c r="CY96" i="3"/>
  <c r="CZ96" i="3"/>
  <c r="DF96" i="3"/>
  <c r="DG96" i="3"/>
  <c r="DI96" i="3"/>
  <c r="DJ96" i="3"/>
  <c r="DK96" i="3" s="1"/>
  <c r="DL96" i="3"/>
  <c r="DM96" i="3"/>
  <c r="DO96" i="3"/>
  <c r="DP96" i="3"/>
  <c r="DR96" i="3"/>
  <c r="DS96" i="3"/>
  <c r="DU96" i="3"/>
  <c r="DV96" i="3"/>
  <c r="DW96" i="3" s="1"/>
  <c r="DX96" i="3"/>
  <c r="DZ96" i="3" s="1"/>
  <c r="DY96" i="3"/>
  <c r="EE96" i="3"/>
  <c r="EG96" i="3" s="1"/>
  <c r="EF96" i="3"/>
  <c r="EH96" i="3"/>
  <c r="EI96" i="3"/>
  <c r="EK96" i="3"/>
  <c r="EM96" i="3" s="1"/>
  <c r="EL96" i="3"/>
  <c r="EN96" i="3"/>
  <c r="EO96" i="3"/>
  <c r="EQ96" i="3"/>
  <c r="ES96" i="3" s="1"/>
  <c r="ER96" i="3"/>
  <c r="ET96" i="3"/>
  <c r="EU96" i="3"/>
  <c r="FA96" i="3"/>
  <c r="FB96" i="3"/>
  <c r="FD96" i="3"/>
  <c r="FE96" i="3"/>
  <c r="FF96" i="3"/>
  <c r="FG96" i="3"/>
  <c r="FH96" i="3"/>
  <c r="FI96" i="3" s="1"/>
  <c r="FJ96" i="3"/>
  <c r="FK96" i="3"/>
  <c r="FM96" i="3"/>
  <c r="FN96" i="3"/>
  <c r="FT96" i="3"/>
  <c r="FU96" i="3"/>
  <c r="FW96" i="3"/>
  <c r="FX96" i="3"/>
  <c r="FZ96" i="3"/>
  <c r="GA96" i="3"/>
  <c r="GC96" i="3"/>
  <c r="GD96" i="3"/>
  <c r="GJ96" i="3"/>
  <c r="GL96" i="3" s="1"/>
  <c r="GK96" i="3"/>
  <c r="GM96" i="3"/>
  <c r="GN96" i="3"/>
  <c r="GP96" i="3"/>
  <c r="GQ96" i="3"/>
  <c r="GR96" i="3"/>
  <c r="GW96" i="3"/>
  <c r="GY96" i="3" s="1"/>
  <c r="GX96" i="3"/>
  <c r="GZ96" i="3"/>
  <c r="HB96" i="3" s="1"/>
  <c r="HA96" i="3"/>
  <c r="HG96" i="3"/>
  <c r="HH96" i="3"/>
  <c r="L97" i="3"/>
  <c r="AB97" i="3" s="1"/>
  <c r="AY97" i="3"/>
  <c r="AZ97" i="3"/>
  <c r="BB97" i="3"/>
  <c r="BC97" i="3"/>
  <c r="BE97" i="3"/>
  <c r="BF97" i="3"/>
  <c r="BG97" i="3" s="1"/>
  <c r="BH97" i="3"/>
  <c r="BI97" i="3"/>
  <c r="BK97" i="3"/>
  <c r="BL97" i="3"/>
  <c r="BN97" i="3"/>
  <c r="BP97" i="3" s="1"/>
  <c r="BO97" i="3"/>
  <c r="BQ97" i="3"/>
  <c r="BR97" i="3"/>
  <c r="BT97" i="3"/>
  <c r="BU97" i="3"/>
  <c r="BW97" i="3"/>
  <c r="BX97" i="3"/>
  <c r="CD97" i="3"/>
  <c r="CE97" i="3"/>
  <c r="CF97" i="3" s="1"/>
  <c r="CG97" i="3"/>
  <c r="CI97" i="3" s="1"/>
  <c r="CH97" i="3"/>
  <c r="CJ97" i="3"/>
  <c r="CK97" i="3"/>
  <c r="CM97" i="3"/>
  <c r="CO97" i="3" s="1"/>
  <c r="CN97" i="3"/>
  <c r="CP97" i="3"/>
  <c r="CQ97" i="3"/>
  <c r="CS97" i="3"/>
  <c r="CU97" i="3" s="1"/>
  <c r="CT97" i="3"/>
  <c r="CV97" i="3"/>
  <c r="CW97" i="3"/>
  <c r="CY97" i="3"/>
  <c r="CZ97" i="3"/>
  <c r="DF97" i="3"/>
  <c r="DG97" i="3"/>
  <c r="DI97" i="3"/>
  <c r="DJ97" i="3"/>
  <c r="DL97" i="3"/>
  <c r="DM97" i="3"/>
  <c r="DO97" i="3"/>
  <c r="DP97" i="3"/>
  <c r="DQ97" i="3" s="1"/>
  <c r="DR97" i="3"/>
  <c r="DS97" i="3"/>
  <c r="DU97" i="3"/>
  <c r="DV97" i="3"/>
  <c r="DX97" i="3"/>
  <c r="DY97" i="3"/>
  <c r="DZ97" i="3"/>
  <c r="EE97" i="3"/>
  <c r="EG97" i="3" s="1"/>
  <c r="EF97" i="3"/>
  <c r="EH97" i="3"/>
  <c r="EJ97" i="3" s="1"/>
  <c r="EI97" i="3"/>
  <c r="EK97" i="3"/>
  <c r="EM97" i="3" s="1"/>
  <c r="EL97" i="3"/>
  <c r="EN97" i="3"/>
  <c r="EO97" i="3"/>
  <c r="EQ97" i="3"/>
  <c r="ES97" i="3" s="1"/>
  <c r="ER97" i="3"/>
  <c r="ET97" i="3"/>
  <c r="EU97" i="3"/>
  <c r="FA97" i="3"/>
  <c r="FB97" i="3"/>
  <c r="FD97" i="3"/>
  <c r="FF97" i="3" s="1"/>
  <c r="FE97" i="3"/>
  <c r="FG97" i="3"/>
  <c r="FH97" i="3"/>
  <c r="FJ97" i="3"/>
  <c r="FK97" i="3"/>
  <c r="FM97" i="3"/>
  <c r="FN97" i="3"/>
  <c r="FO97" i="3" s="1"/>
  <c r="FT97" i="3"/>
  <c r="FV97" i="3" s="1"/>
  <c r="FU97" i="3"/>
  <c r="FW97" i="3"/>
  <c r="FX97" i="3"/>
  <c r="FZ97" i="3"/>
  <c r="GA97" i="3"/>
  <c r="GC97" i="3"/>
  <c r="GD97" i="3"/>
  <c r="GJ97" i="3"/>
  <c r="GL97" i="3" s="1"/>
  <c r="GK97" i="3"/>
  <c r="GM97" i="3"/>
  <c r="GN97" i="3"/>
  <c r="GO97" i="3" s="1"/>
  <c r="GP97" i="3"/>
  <c r="GR97" i="3" s="1"/>
  <c r="GQ97" i="3"/>
  <c r="GW97" i="3"/>
  <c r="GY97" i="3" s="1"/>
  <c r="GX97" i="3"/>
  <c r="GZ97" i="3"/>
  <c r="HA97" i="3"/>
  <c r="HG97" i="3"/>
  <c r="HI97" i="3" s="1"/>
  <c r="HH97" i="3"/>
  <c r="L98" i="3"/>
  <c r="AJ98" i="3" s="1"/>
  <c r="AY98" i="3"/>
  <c r="AZ98" i="3"/>
  <c r="BB98" i="3"/>
  <c r="BD98" i="3" s="1"/>
  <c r="BC98" i="3"/>
  <c r="BE98" i="3"/>
  <c r="BF98" i="3"/>
  <c r="BH98" i="3"/>
  <c r="BI98" i="3"/>
  <c r="BJ98" i="3"/>
  <c r="BK98" i="3"/>
  <c r="BL98" i="3"/>
  <c r="BM98" i="3" s="1"/>
  <c r="BN98" i="3"/>
  <c r="BO98" i="3"/>
  <c r="BQ98" i="3"/>
  <c r="BR98" i="3"/>
  <c r="BT98" i="3"/>
  <c r="BV98" i="3" s="1"/>
  <c r="BU98" i="3"/>
  <c r="BW98" i="3"/>
  <c r="BX98" i="3"/>
  <c r="BY98" i="3" s="1"/>
  <c r="CD98" i="3"/>
  <c r="CE98" i="3"/>
  <c r="CG98" i="3"/>
  <c r="CH98" i="3"/>
  <c r="CJ98" i="3"/>
  <c r="CK98" i="3"/>
  <c r="CM98" i="3"/>
  <c r="CO98" i="3" s="1"/>
  <c r="CN98" i="3"/>
  <c r="CP98" i="3"/>
  <c r="CQ98" i="3"/>
  <c r="CS98" i="3"/>
  <c r="CU98" i="3" s="1"/>
  <c r="CT98" i="3"/>
  <c r="CV98" i="3"/>
  <c r="CW98" i="3"/>
  <c r="CY98" i="3"/>
  <c r="DA98" i="3" s="1"/>
  <c r="CZ98" i="3"/>
  <c r="DF98" i="3"/>
  <c r="DH98" i="3" s="1"/>
  <c r="DG98" i="3"/>
  <c r="DI98" i="3"/>
  <c r="DJ98" i="3"/>
  <c r="DL98" i="3"/>
  <c r="DN98" i="3" s="1"/>
  <c r="DM98" i="3"/>
  <c r="DO98" i="3"/>
  <c r="DP98" i="3"/>
  <c r="DR98" i="3"/>
  <c r="DT98" i="3" s="1"/>
  <c r="DS98" i="3"/>
  <c r="DU98" i="3"/>
  <c r="DV98" i="3"/>
  <c r="DW98" i="3" s="1"/>
  <c r="DX98" i="3"/>
  <c r="DZ98" i="3" s="1"/>
  <c r="DY98" i="3"/>
  <c r="EE98" i="3"/>
  <c r="EG98" i="3" s="1"/>
  <c r="EF98" i="3"/>
  <c r="EH98" i="3"/>
  <c r="EI98" i="3"/>
  <c r="EJ98" i="3" s="1"/>
  <c r="EK98" i="3"/>
  <c r="EL98" i="3"/>
  <c r="EN98" i="3"/>
  <c r="EO98" i="3"/>
  <c r="EQ98" i="3"/>
  <c r="ER98" i="3"/>
  <c r="ET98" i="3"/>
  <c r="EU98" i="3"/>
  <c r="EV98" i="3" s="1"/>
  <c r="FA98" i="3"/>
  <c r="FB98" i="3"/>
  <c r="FD98" i="3"/>
  <c r="FE98" i="3"/>
  <c r="FF98" i="3" s="1"/>
  <c r="FG98" i="3"/>
  <c r="FH98" i="3"/>
  <c r="FJ98" i="3"/>
  <c r="FL98" i="3" s="1"/>
  <c r="FK98" i="3"/>
  <c r="FM98" i="3"/>
  <c r="FN98" i="3"/>
  <c r="FT98" i="3"/>
  <c r="FU98" i="3"/>
  <c r="FV98" i="3" s="1"/>
  <c r="FW98" i="3"/>
  <c r="FX98" i="3"/>
  <c r="FZ98" i="3"/>
  <c r="GA98" i="3"/>
  <c r="GC98" i="3"/>
  <c r="GD98" i="3"/>
  <c r="GJ98" i="3"/>
  <c r="GK98" i="3"/>
  <c r="GM98" i="3"/>
  <c r="GN98" i="3"/>
  <c r="GP98" i="3"/>
  <c r="GR98" i="3" s="1"/>
  <c r="GQ98" i="3"/>
  <c r="GW98" i="3"/>
  <c r="GY98" i="3" s="1"/>
  <c r="GX98" i="3"/>
  <c r="GZ98" i="3"/>
  <c r="HA98" i="3"/>
  <c r="HG98" i="3"/>
  <c r="HH98" i="3"/>
  <c r="HI98" i="3" s="1"/>
  <c r="L99" i="3"/>
  <c r="AY99" i="3"/>
  <c r="AZ99" i="3"/>
  <c r="BB99" i="3"/>
  <c r="BD99" i="3" s="1"/>
  <c r="BC99" i="3"/>
  <c r="BE99" i="3"/>
  <c r="BF99" i="3"/>
  <c r="BG99" i="3" s="1"/>
  <c r="BH99" i="3"/>
  <c r="BI99" i="3"/>
  <c r="BK99" i="3"/>
  <c r="BL99" i="3"/>
  <c r="BN99" i="3"/>
  <c r="BO99" i="3"/>
  <c r="BQ99" i="3"/>
  <c r="BR99" i="3"/>
  <c r="BT99" i="3"/>
  <c r="BV99" i="3" s="1"/>
  <c r="BU99" i="3"/>
  <c r="BW99" i="3"/>
  <c r="BY99" i="3" s="1"/>
  <c r="BX99" i="3"/>
  <c r="CD99" i="3"/>
  <c r="CE99" i="3"/>
  <c r="CF99" i="3"/>
  <c r="CG99" i="3"/>
  <c r="CI99" i="3" s="1"/>
  <c r="CH99" i="3"/>
  <c r="CJ99" i="3"/>
  <c r="CK99" i="3"/>
  <c r="CM99" i="3"/>
  <c r="CN99" i="3"/>
  <c r="CO99" i="3"/>
  <c r="CP99" i="3"/>
  <c r="CR99" i="3" s="1"/>
  <c r="CQ99" i="3"/>
  <c r="CS99" i="3"/>
  <c r="CU99" i="3" s="1"/>
  <c r="CT99" i="3"/>
  <c r="CV99" i="3"/>
  <c r="CW99" i="3"/>
  <c r="CY99" i="3"/>
  <c r="DA99" i="3" s="1"/>
  <c r="CZ99" i="3"/>
  <c r="DF99" i="3"/>
  <c r="DG99" i="3"/>
  <c r="DH99" i="3" s="1"/>
  <c r="DI99" i="3"/>
  <c r="DK99" i="3" s="1"/>
  <c r="DJ99" i="3"/>
  <c r="DL99" i="3"/>
  <c r="DN99" i="3" s="1"/>
  <c r="DM99" i="3"/>
  <c r="DO99" i="3"/>
  <c r="DP99" i="3"/>
  <c r="DQ99" i="3"/>
  <c r="DR99" i="3"/>
  <c r="DT99" i="3" s="1"/>
  <c r="DS99" i="3"/>
  <c r="DU99" i="3"/>
  <c r="DV99" i="3"/>
  <c r="DX99" i="3"/>
  <c r="DY99" i="3"/>
  <c r="DZ99" i="3"/>
  <c r="EE99" i="3"/>
  <c r="EF99" i="3"/>
  <c r="EH99" i="3"/>
  <c r="EI99" i="3"/>
  <c r="EK99" i="3"/>
  <c r="EL99" i="3"/>
  <c r="EN99" i="3"/>
  <c r="EO99" i="3"/>
  <c r="EQ99" i="3"/>
  <c r="ES99" i="3" s="1"/>
  <c r="ER99" i="3"/>
  <c r="ET99" i="3"/>
  <c r="EV99" i="3" s="1"/>
  <c r="EU99" i="3"/>
  <c r="FA99" i="3"/>
  <c r="FB99" i="3"/>
  <c r="FC99" i="3"/>
  <c r="FD99" i="3"/>
  <c r="FF99" i="3" s="1"/>
  <c r="FE99" i="3"/>
  <c r="FG99" i="3"/>
  <c r="FH99" i="3"/>
  <c r="FJ99" i="3"/>
  <c r="FK99" i="3"/>
  <c r="FL99" i="3"/>
  <c r="FM99" i="3"/>
  <c r="FO99" i="3" s="1"/>
  <c r="FN99" i="3"/>
  <c r="FT99" i="3"/>
  <c r="FU99" i="3"/>
  <c r="FW99" i="3"/>
  <c r="FX99" i="3"/>
  <c r="FZ99" i="3"/>
  <c r="GA99" i="3"/>
  <c r="GC99" i="3"/>
  <c r="GD99" i="3"/>
  <c r="GE99" i="3"/>
  <c r="GJ99" i="3"/>
  <c r="GK99" i="3"/>
  <c r="GM99" i="3"/>
  <c r="GN99" i="3"/>
  <c r="GO99" i="3" s="1"/>
  <c r="GP99" i="3"/>
  <c r="GQ99" i="3"/>
  <c r="GR99" i="3"/>
  <c r="GW99" i="3"/>
  <c r="GY99" i="3" s="1"/>
  <c r="GX99" i="3"/>
  <c r="GZ99" i="3"/>
  <c r="HB99" i="3" s="1"/>
  <c r="HA99" i="3"/>
  <c r="HG99" i="3"/>
  <c r="HH99" i="3"/>
  <c r="L100" i="3"/>
  <c r="AY100" i="3"/>
  <c r="AZ100" i="3"/>
  <c r="BB100" i="3"/>
  <c r="BD100" i="3" s="1"/>
  <c r="BC100" i="3"/>
  <c r="BE100" i="3"/>
  <c r="BG100" i="3" s="1"/>
  <c r="BF100" i="3"/>
  <c r="BH100" i="3"/>
  <c r="BI100" i="3"/>
  <c r="BK100" i="3"/>
  <c r="BL100" i="3"/>
  <c r="BN100" i="3"/>
  <c r="BO100" i="3"/>
  <c r="BP100" i="3" s="1"/>
  <c r="BQ100" i="3"/>
  <c r="BR100" i="3"/>
  <c r="BS100" i="3"/>
  <c r="BT100" i="3"/>
  <c r="BU100" i="3"/>
  <c r="BW100" i="3"/>
  <c r="BX100" i="3"/>
  <c r="CD100" i="3"/>
  <c r="CF100" i="3" s="1"/>
  <c r="CE100" i="3"/>
  <c r="CG100" i="3"/>
  <c r="CI100" i="3" s="1"/>
  <c r="CH100" i="3"/>
  <c r="CJ100" i="3"/>
  <c r="CL100" i="3" s="1"/>
  <c r="CK100" i="3"/>
  <c r="CM100" i="3"/>
  <c r="CO100" i="3" s="1"/>
  <c r="CN100" i="3"/>
  <c r="CP100" i="3"/>
  <c r="CQ100" i="3"/>
  <c r="CR100" i="3" s="1"/>
  <c r="CS100" i="3"/>
  <c r="CU100" i="3" s="1"/>
  <c r="CT100" i="3"/>
  <c r="CV100" i="3"/>
  <c r="CW100" i="3"/>
  <c r="CY100" i="3"/>
  <c r="CZ100" i="3"/>
  <c r="DA100" i="3"/>
  <c r="DF100" i="3"/>
  <c r="DG100" i="3"/>
  <c r="DI100" i="3"/>
  <c r="DJ100" i="3"/>
  <c r="DL100" i="3"/>
  <c r="DN100" i="3" s="1"/>
  <c r="DM100" i="3"/>
  <c r="DO100" i="3"/>
  <c r="DQ100" i="3" s="1"/>
  <c r="DP100" i="3"/>
  <c r="DR100" i="3"/>
  <c r="DS100" i="3"/>
  <c r="DU100" i="3"/>
  <c r="DV100" i="3"/>
  <c r="DX100" i="3"/>
  <c r="DY100" i="3"/>
  <c r="DZ100" i="3" s="1"/>
  <c r="EE100" i="3"/>
  <c r="EG100" i="3" s="1"/>
  <c r="EF100" i="3"/>
  <c r="EH100" i="3"/>
  <c r="EI100" i="3"/>
  <c r="EK100" i="3"/>
  <c r="EL100" i="3"/>
  <c r="EM100" i="3"/>
  <c r="EN100" i="3"/>
  <c r="EP100" i="3" s="1"/>
  <c r="EO100" i="3"/>
  <c r="EQ100" i="3"/>
  <c r="ES100" i="3" s="1"/>
  <c r="ER100" i="3"/>
  <c r="ET100" i="3"/>
  <c r="EV100" i="3" s="1"/>
  <c r="EU100" i="3"/>
  <c r="FA100" i="3"/>
  <c r="FC100" i="3" s="1"/>
  <c r="FB100" i="3"/>
  <c r="FD100" i="3"/>
  <c r="FE100" i="3"/>
  <c r="FG100" i="3"/>
  <c r="FH100" i="3"/>
  <c r="FJ100" i="3"/>
  <c r="FK100" i="3"/>
  <c r="FL100" i="3" s="1"/>
  <c r="FM100" i="3"/>
  <c r="FN100" i="3"/>
  <c r="FO100" i="3"/>
  <c r="FT100" i="3"/>
  <c r="FU100" i="3"/>
  <c r="FW100" i="3"/>
  <c r="FX100" i="3"/>
  <c r="FY100" i="3" s="1"/>
  <c r="FZ100" i="3"/>
  <c r="GA100" i="3"/>
  <c r="GB100" i="3"/>
  <c r="GC100" i="3"/>
  <c r="GD100" i="3"/>
  <c r="GJ100" i="3"/>
  <c r="GK100" i="3"/>
  <c r="GL100" i="3" s="1"/>
  <c r="GM100" i="3"/>
  <c r="GN100" i="3"/>
  <c r="GO100" i="3"/>
  <c r="GP100" i="3"/>
  <c r="GQ100" i="3"/>
  <c r="GW100" i="3"/>
  <c r="GX100" i="3"/>
  <c r="GY100" i="3" s="1"/>
  <c r="GZ100" i="3"/>
  <c r="HA100" i="3"/>
  <c r="HB100" i="3"/>
  <c r="HG100" i="3"/>
  <c r="HH100" i="3"/>
  <c r="L101" i="3"/>
  <c r="AY101" i="3"/>
  <c r="BA101" i="3" s="1"/>
  <c r="AZ101" i="3"/>
  <c r="BB101" i="3"/>
  <c r="BC101" i="3"/>
  <c r="BE101" i="3"/>
  <c r="BF101" i="3"/>
  <c r="BH101" i="3"/>
  <c r="BI101" i="3"/>
  <c r="BJ101" i="3" s="1"/>
  <c r="BK101" i="3"/>
  <c r="BL101" i="3"/>
  <c r="BM101" i="3"/>
  <c r="BN101" i="3"/>
  <c r="BO101" i="3"/>
  <c r="BQ101" i="3"/>
  <c r="BR101" i="3"/>
  <c r="BT101" i="3"/>
  <c r="BV101" i="3" s="1"/>
  <c r="BU101" i="3"/>
  <c r="BW101" i="3"/>
  <c r="BY101" i="3" s="1"/>
  <c r="BX101" i="3"/>
  <c r="CD101" i="3"/>
  <c r="CE101" i="3"/>
  <c r="CG101" i="3"/>
  <c r="CI101" i="3" s="1"/>
  <c r="CH101" i="3"/>
  <c r="CJ101" i="3"/>
  <c r="CL101" i="3" s="1"/>
  <c r="CK101" i="3"/>
  <c r="CM101" i="3"/>
  <c r="CN101" i="3"/>
  <c r="CP101" i="3"/>
  <c r="CQ101" i="3"/>
  <c r="CS101" i="3"/>
  <c r="CT101" i="3"/>
  <c r="CU101" i="3" s="1"/>
  <c r="CV101" i="3"/>
  <c r="CW101" i="3"/>
  <c r="CX101" i="3"/>
  <c r="CY101" i="3"/>
  <c r="CZ101" i="3"/>
  <c r="DF101" i="3"/>
  <c r="DG101" i="3"/>
  <c r="DH101" i="3" s="1"/>
  <c r="DI101" i="3"/>
  <c r="DJ101" i="3"/>
  <c r="DK101" i="3"/>
  <c r="DL101" i="3"/>
  <c r="DM101" i="3"/>
  <c r="DO101" i="3"/>
  <c r="DP101" i="3"/>
  <c r="DR101" i="3"/>
  <c r="DT101" i="3" s="1"/>
  <c r="DS101" i="3"/>
  <c r="DU101" i="3"/>
  <c r="DW101" i="3" s="1"/>
  <c r="DV101" i="3"/>
  <c r="DX101" i="3"/>
  <c r="DY101" i="3"/>
  <c r="EE101" i="3"/>
  <c r="EG101" i="3" s="1"/>
  <c r="EF101" i="3"/>
  <c r="EH101" i="3"/>
  <c r="EJ101" i="3" s="1"/>
  <c r="EI101" i="3"/>
  <c r="EK101" i="3"/>
  <c r="EL101" i="3"/>
  <c r="EN101" i="3"/>
  <c r="EO101" i="3"/>
  <c r="EQ101" i="3"/>
  <c r="ER101" i="3"/>
  <c r="ES101" i="3" s="1"/>
  <c r="ET101" i="3"/>
  <c r="EU101" i="3"/>
  <c r="EV101" i="3"/>
  <c r="FA101" i="3"/>
  <c r="FB101" i="3"/>
  <c r="FD101" i="3"/>
  <c r="FE101" i="3"/>
  <c r="FF101" i="3" s="1"/>
  <c r="FG101" i="3"/>
  <c r="FH101" i="3"/>
  <c r="FI101" i="3"/>
  <c r="FJ101" i="3"/>
  <c r="FK101" i="3"/>
  <c r="FM101" i="3"/>
  <c r="FN101" i="3"/>
  <c r="FT101" i="3"/>
  <c r="FV101" i="3" s="1"/>
  <c r="FU101" i="3"/>
  <c r="FW101" i="3"/>
  <c r="FY101" i="3" s="1"/>
  <c r="FX101" i="3"/>
  <c r="FZ101" i="3"/>
  <c r="GA101" i="3"/>
  <c r="GC101" i="3"/>
  <c r="GE101" i="3" s="1"/>
  <c r="GD101" i="3"/>
  <c r="GJ101" i="3"/>
  <c r="GK101" i="3"/>
  <c r="GM101" i="3"/>
  <c r="GN101" i="3"/>
  <c r="GP101" i="3"/>
  <c r="GQ101" i="3"/>
  <c r="GR101" i="3" s="1"/>
  <c r="GW101" i="3"/>
  <c r="GX101" i="3"/>
  <c r="GZ101" i="3"/>
  <c r="HB101" i="3" s="1"/>
  <c r="HA101" i="3"/>
  <c r="HG101" i="3"/>
  <c r="HH101" i="3"/>
  <c r="HI101" i="3"/>
  <c r="L102" i="3"/>
  <c r="AY102" i="3"/>
  <c r="AZ102" i="3"/>
  <c r="BB102" i="3"/>
  <c r="BD102" i="3" s="1"/>
  <c r="BC102" i="3"/>
  <c r="BE102" i="3"/>
  <c r="BG102" i="3" s="1"/>
  <c r="BF102" i="3"/>
  <c r="BH102" i="3"/>
  <c r="BI102" i="3"/>
  <c r="BK102" i="3"/>
  <c r="BL102" i="3"/>
  <c r="BN102" i="3"/>
  <c r="BO102" i="3"/>
  <c r="BQ102" i="3"/>
  <c r="BR102" i="3"/>
  <c r="BS102" i="3"/>
  <c r="BT102" i="3"/>
  <c r="BU102" i="3"/>
  <c r="BW102" i="3"/>
  <c r="BX102" i="3"/>
  <c r="CD102" i="3"/>
  <c r="CF102" i="3" s="1"/>
  <c r="CE102" i="3"/>
  <c r="CG102" i="3"/>
  <c r="CI102" i="3" s="1"/>
  <c r="CH102" i="3"/>
  <c r="CJ102" i="3"/>
  <c r="CL102" i="3" s="1"/>
  <c r="CK102" i="3"/>
  <c r="CM102" i="3"/>
  <c r="CO102" i="3" s="1"/>
  <c r="CN102" i="3"/>
  <c r="CP102" i="3"/>
  <c r="CQ102" i="3"/>
  <c r="CR102" i="3" s="1"/>
  <c r="CS102" i="3"/>
  <c r="CU102" i="3" s="1"/>
  <c r="CT102" i="3"/>
  <c r="CV102" i="3"/>
  <c r="CW102" i="3"/>
  <c r="CY102" i="3"/>
  <c r="CZ102" i="3"/>
  <c r="DA102" i="3"/>
  <c r="DF102" i="3"/>
  <c r="DG102" i="3"/>
  <c r="DI102" i="3"/>
  <c r="DJ102" i="3"/>
  <c r="DL102" i="3"/>
  <c r="DN102" i="3" s="1"/>
  <c r="DM102" i="3"/>
  <c r="DO102" i="3"/>
  <c r="DQ102" i="3" s="1"/>
  <c r="DP102" i="3"/>
  <c r="DR102" i="3"/>
  <c r="DS102" i="3"/>
  <c r="DU102" i="3"/>
  <c r="DV102" i="3"/>
  <c r="DX102" i="3"/>
  <c r="DY102" i="3"/>
  <c r="DZ102" i="3" s="1"/>
  <c r="EE102" i="3"/>
  <c r="EG102" i="3" s="1"/>
  <c r="EF102" i="3"/>
  <c r="EH102" i="3"/>
  <c r="EI102" i="3"/>
  <c r="EK102" i="3"/>
  <c r="EL102" i="3"/>
  <c r="EM102" i="3"/>
  <c r="EN102" i="3"/>
  <c r="EP102" i="3" s="1"/>
  <c r="EO102" i="3"/>
  <c r="EQ102" i="3"/>
  <c r="ES102" i="3" s="1"/>
  <c r="ER102" i="3"/>
  <c r="ET102" i="3"/>
  <c r="EV102" i="3" s="1"/>
  <c r="EU102" i="3"/>
  <c r="FA102" i="3"/>
  <c r="FC102" i="3" s="1"/>
  <c r="FB102" i="3"/>
  <c r="FD102" i="3"/>
  <c r="FE102" i="3"/>
  <c r="FG102" i="3"/>
  <c r="FH102" i="3"/>
  <c r="FJ102" i="3"/>
  <c r="FK102" i="3"/>
  <c r="FL102" i="3" s="1"/>
  <c r="FM102" i="3"/>
  <c r="FN102" i="3"/>
  <c r="FO102" i="3"/>
  <c r="FT102" i="3"/>
  <c r="FU102" i="3"/>
  <c r="FW102" i="3"/>
  <c r="FX102" i="3"/>
  <c r="FY102" i="3" s="1"/>
  <c r="FZ102" i="3"/>
  <c r="GA102" i="3"/>
  <c r="GB102" i="3"/>
  <c r="GC102" i="3"/>
  <c r="GD102" i="3"/>
  <c r="GJ102" i="3"/>
  <c r="GK102" i="3"/>
  <c r="GL102" i="3" s="1"/>
  <c r="GM102" i="3"/>
  <c r="GN102" i="3"/>
  <c r="GO102" i="3"/>
  <c r="GP102" i="3"/>
  <c r="GQ102" i="3"/>
  <c r="GW102" i="3"/>
  <c r="GX102" i="3"/>
  <c r="GY102" i="3" s="1"/>
  <c r="GZ102" i="3"/>
  <c r="HA102" i="3"/>
  <c r="HB102" i="3"/>
  <c r="HG102" i="3"/>
  <c r="HH102" i="3"/>
  <c r="L103" i="3"/>
  <c r="Y103" i="3"/>
  <c r="AY103" i="3"/>
  <c r="BA103" i="3" s="1"/>
  <c r="AZ103" i="3"/>
  <c r="BB103" i="3"/>
  <c r="BC103" i="3"/>
  <c r="BE103" i="3"/>
  <c r="BF103" i="3"/>
  <c r="BH103" i="3"/>
  <c r="BI103" i="3"/>
  <c r="BJ103" i="3" s="1"/>
  <c r="BK103" i="3"/>
  <c r="BL103" i="3"/>
  <c r="BM103" i="3"/>
  <c r="BN103" i="3"/>
  <c r="BO103" i="3"/>
  <c r="BQ103" i="3"/>
  <c r="BR103" i="3"/>
  <c r="BT103" i="3"/>
  <c r="BV103" i="3" s="1"/>
  <c r="BU103" i="3"/>
  <c r="BW103" i="3"/>
  <c r="BY103" i="3" s="1"/>
  <c r="BX103" i="3"/>
  <c r="CD103" i="3"/>
  <c r="CE103" i="3"/>
  <c r="CG103" i="3"/>
  <c r="CI103" i="3" s="1"/>
  <c r="CH103" i="3"/>
  <c r="CJ103" i="3"/>
  <c r="CL103" i="3" s="1"/>
  <c r="CK103" i="3"/>
  <c r="CM103" i="3"/>
  <c r="CN103" i="3"/>
  <c r="CP103" i="3"/>
  <c r="CQ103" i="3"/>
  <c r="CS103" i="3"/>
  <c r="CT103" i="3"/>
  <c r="CU103" i="3" s="1"/>
  <c r="CV103" i="3"/>
  <c r="CW103" i="3"/>
  <c r="CX103" i="3"/>
  <c r="CY103" i="3"/>
  <c r="CZ103" i="3"/>
  <c r="DF103" i="3"/>
  <c r="DG103" i="3"/>
  <c r="DH103" i="3" s="1"/>
  <c r="DI103" i="3"/>
  <c r="DJ103" i="3"/>
  <c r="DK103" i="3"/>
  <c r="DL103" i="3"/>
  <c r="DM103" i="3"/>
  <c r="DO103" i="3"/>
  <c r="DP103" i="3"/>
  <c r="DR103" i="3"/>
  <c r="DT103" i="3" s="1"/>
  <c r="DS103" i="3"/>
  <c r="DU103" i="3"/>
  <c r="DW103" i="3" s="1"/>
  <c r="DV103" i="3"/>
  <c r="DX103" i="3"/>
  <c r="DY103" i="3"/>
  <c r="EE103" i="3"/>
  <c r="EG103" i="3" s="1"/>
  <c r="EF103" i="3"/>
  <c r="EH103" i="3"/>
  <c r="EJ103" i="3" s="1"/>
  <c r="EI103" i="3"/>
  <c r="EK103" i="3"/>
  <c r="EL103" i="3"/>
  <c r="EN103" i="3"/>
  <c r="EO103" i="3"/>
  <c r="EQ103" i="3"/>
  <c r="ER103" i="3"/>
  <c r="ES103" i="3" s="1"/>
  <c r="ET103" i="3"/>
  <c r="EU103" i="3"/>
  <c r="EV103" i="3"/>
  <c r="FA103" i="3"/>
  <c r="FB103" i="3"/>
  <c r="FD103" i="3"/>
  <c r="FE103" i="3"/>
  <c r="FF103" i="3" s="1"/>
  <c r="FG103" i="3"/>
  <c r="FH103" i="3"/>
  <c r="FI103" i="3"/>
  <c r="FJ103" i="3"/>
  <c r="FK103" i="3"/>
  <c r="FM103" i="3"/>
  <c r="FN103" i="3"/>
  <c r="FT103" i="3"/>
  <c r="FV103" i="3" s="1"/>
  <c r="FU103" i="3"/>
  <c r="FW103" i="3"/>
  <c r="FY103" i="3" s="1"/>
  <c r="FX103" i="3"/>
  <c r="FZ103" i="3"/>
  <c r="GA103" i="3"/>
  <c r="GC103" i="3"/>
  <c r="GE103" i="3" s="1"/>
  <c r="GD103" i="3"/>
  <c r="GJ103" i="3"/>
  <c r="GK103" i="3"/>
  <c r="GM103" i="3"/>
  <c r="GN103" i="3"/>
  <c r="GP103" i="3"/>
  <c r="GQ103" i="3"/>
  <c r="GR103" i="3" s="1"/>
  <c r="GW103" i="3"/>
  <c r="GY103" i="3" s="1"/>
  <c r="GX103" i="3"/>
  <c r="GZ103" i="3"/>
  <c r="HB103" i="3" s="1"/>
  <c r="HA103" i="3"/>
  <c r="HG103" i="3"/>
  <c r="HH103" i="3"/>
  <c r="HI103" i="3"/>
  <c r="L104" i="3"/>
  <c r="AY104" i="3"/>
  <c r="AZ104" i="3"/>
  <c r="AZ109" i="3" s="1"/>
  <c r="AZ113" i="3" s="1"/>
  <c r="BB104" i="3"/>
  <c r="BD104" i="3" s="1"/>
  <c r="BC104" i="3"/>
  <c r="BE104" i="3"/>
  <c r="BG104" i="3" s="1"/>
  <c r="BF104" i="3"/>
  <c r="BH104" i="3"/>
  <c r="BI104" i="3"/>
  <c r="BK104" i="3"/>
  <c r="BL104" i="3"/>
  <c r="BN104" i="3"/>
  <c r="BO104" i="3"/>
  <c r="BP104" i="3" s="1"/>
  <c r="BQ104" i="3"/>
  <c r="BR104" i="3"/>
  <c r="BS104" i="3"/>
  <c r="BT104" i="3"/>
  <c r="BU104" i="3"/>
  <c r="BW104" i="3"/>
  <c r="BX104" i="3"/>
  <c r="BX109" i="3" s="1"/>
  <c r="BX113" i="3" s="1"/>
  <c r="CD104" i="3"/>
  <c r="CF104" i="3" s="1"/>
  <c r="CE104" i="3"/>
  <c r="CG104" i="3"/>
  <c r="CI104" i="3" s="1"/>
  <c r="CH104" i="3"/>
  <c r="CJ104" i="3"/>
  <c r="CL104" i="3" s="1"/>
  <c r="CK104" i="3"/>
  <c r="CM104" i="3"/>
  <c r="CO104" i="3" s="1"/>
  <c r="CN104" i="3"/>
  <c r="CP104" i="3"/>
  <c r="CQ104" i="3"/>
  <c r="CR104" i="3" s="1"/>
  <c r="CS104" i="3"/>
  <c r="CU104" i="3" s="1"/>
  <c r="CT104" i="3"/>
  <c r="CV104" i="3"/>
  <c r="CW104" i="3"/>
  <c r="CY104" i="3"/>
  <c r="CZ104" i="3"/>
  <c r="DA104" i="3"/>
  <c r="DF104" i="3"/>
  <c r="DG104" i="3"/>
  <c r="DI104" i="3"/>
  <c r="DJ104" i="3"/>
  <c r="DL104" i="3"/>
  <c r="DN104" i="3" s="1"/>
  <c r="DM104" i="3"/>
  <c r="DO104" i="3"/>
  <c r="DQ104" i="3" s="1"/>
  <c r="DP104" i="3"/>
  <c r="DR104" i="3"/>
  <c r="DS104" i="3"/>
  <c r="DS109" i="3" s="1"/>
  <c r="DU104" i="3"/>
  <c r="DV104" i="3"/>
  <c r="DX104" i="3"/>
  <c r="DY104" i="3"/>
  <c r="DZ104" i="3" s="1"/>
  <c r="EE104" i="3"/>
  <c r="EG104" i="3" s="1"/>
  <c r="EF104" i="3"/>
  <c r="EH104" i="3"/>
  <c r="EJ104" i="3" s="1"/>
  <c r="EI104" i="3"/>
  <c r="EK104" i="3"/>
  <c r="EL104" i="3"/>
  <c r="EM104" i="3"/>
  <c r="EN104" i="3"/>
  <c r="EP104" i="3" s="1"/>
  <c r="EO104" i="3"/>
  <c r="EQ104" i="3"/>
  <c r="ES104" i="3" s="1"/>
  <c r="ER104" i="3"/>
  <c r="ET104" i="3"/>
  <c r="EV104" i="3" s="1"/>
  <c r="EU104" i="3"/>
  <c r="FA104" i="3"/>
  <c r="FC104" i="3" s="1"/>
  <c r="FB104" i="3"/>
  <c r="FD104" i="3"/>
  <c r="FE104" i="3"/>
  <c r="FG104" i="3"/>
  <c r="FH104" i="3"/>
  <c r="FJ104" i="3"/>
  <c r="FK104" i="3"/>
  <c r="FL104" i="3" s="1"/>
  <c r="FM104" i="3"/>
  <c r="FO104" i="3" s="1"/>
  <c r="FN104" i="3"/>
  <c r="FT104" i="3"/>
  <c r="FV104" i="3" s="1"/>
  <c r="FU104" i="3"/>
  <c r="FW104" i="3"/>
  <c r="FX104" i="3"/>
  <c r="FY104" i="3"/>
  <c r="FZ104" i="3"/>
  <c r="GB104" i="3" s="1"/>
  <c r="GA104" i="3"/>
  <c r="GC104" i="3"/>
  <c r="GE104" i="3" s="1"/>
  <c r="GD104" i="3"/>
  <c r="GJ104" i="3"/>
  <c r="GK104" i="3"/>
  <c r="GL104" i="3"/>
  <c r="GM104" i="3"/>
  <c r="GO104" i="3" s="1"/>
  <c r="GN104" i="3"/>
  <c r="GP104" i="3"/>
  <c r="GR104" i="3" s="1"/>
  <c r="GQ104" i="3"/>
  <c r="GW104" i="3"/>
  <c r="GX104" i="3"/>
  <c r="GY104" i="3"/>
  <c r="GZ104" i="3"/>
  <c r="HB104" i="3" s="1"/>
  <c r="HA104" i="3"/>
  <c r="HG104" i="3"/>
  <c r="HG110" i="3" s="1"/>
  <c r="HH104" i="3"/>
  <c r="L105" i="3"/>
  <c r="AK105" i="3" s="1"/>
  <c r="AY105" i="3"/>
  <c r="AZ105" i="3"/>
  <c r="BA105" i="3" s="1"/>
  <c r="BB105" i="3"/>
  <c r="BD105" i="3" s="1"/>
  <c r="BC105" i="3"/>
  <c r="BE105" i="3"/>
  <c r="BF105" i="3"/>
  <c r="BH105" i="3"/>
  <c r="BH109" i="3" s="1"/>
  <c r="BI105" i="3"/>
  <c r="BK105" i="3"/>
  <c r="BM105" i="3" s="1"/>
  <c r="BL105" i="3"/>
  <c r="BN105" i="3"/>
  <c r="BO105" i="3"/>
  <c r="BQ105" i="3"/>
  <c r="BR105" i="3"/>
  <c r="BT105" i="3"/>
  <c r="BU105" i="3"/>
  <c r="BV105" i="3" s="1"/>
  <c r="BW105" i="3"/>
  <c r="BY105" i="3" s="1"/>
  <c r="BX105" i="3"/>
  <c r="CD105" i="3"/>
  <c r="CF105" i="3" s="1"/>
  <c r="CE105" i="3"/>
  <c r="CG105" i="3"/>
  <c r="CH105" i="3"/>
  <c r="CI105" i="3"/>
  <c r="CJ105" i="3"/>
  <c r="CL105" i="3" s="1"/>
  <c r="CK105" i="3"/>
  <c r="CK109" i="3" s="1"/>
  <c r="CK113" i="3" s="1"/>
  <c r="CM105" i="3"/>
  <c r="CO105" i="3" s="1"/>
  <c r="CN105" i="3"/>
  <c r="CP105" i="3"/>
  <c r="CR105" i="3" s="1"/>
  <c r="CQ105" i="3"/>
  <c r="CS105" i="3"/>
  <c r="CS109" i="3" s="1"/>
  <c r="CT105" i="3"/>
  <c r="CV105" i="3"/>
  <c r="CW105" i="3"/>
  <c r="CX105" i="3" s="1"/>
  <c r="CY105" i="3"/>
  <c r="DA105" i="3" s="1"/>
  <c r="CZ105" i="3"/>
  <c r="DF105" i="3"/>
  <c r="DH105" i="3" s="1"/>
  <c r="DG105" i="3"/>
  <c r="DI105" i="3"/>
  <c r="DJ105" i="3"/>
  <c r="DK105" i="3" s="1"/>
  <c r="DL105" i="3"/>
  <c r="DN105" i="3" s="1"/>
  <c r="DM105" i="3"/>
  <c r="DO105" i="3"/>
  <c r="DQ105" i="3" s="1"/>
  <c r="DP105" i="3"/>
  <c r="DR105" i="3"/>
  <c r="DS105" i="3"/>
  <c r="DT105" i="3"/>
  <c r="DU105" i="3"/>
  <c r="DW105" i="3" s="1"/>
  <c r="DV105" i="3"/>
  <c r="DX105" i="3"/>
  <c r="DZ105" i="3" s="1"/>
  <c r="DY105" i="3"/>
  <c r="EE105" i="3"/>
  <c r="EE109" i="3" s="1"/>
  <c r="EF105" i="3"/>
  <c r="EG105" i="3"/>
  <c r="EH105" i="3"/>
  <c r="EJ105" i="3" s="1"/>
  <c r="EI105" i="3"/>
  <c r="EI109" i="3" s="1"/>
  <c r="EI113" i="3" s="1"/>
  <c r="EK105" i="3"/>
  <c r="EM105" i="3" s="1"/>
  <c r="EL105" i="3"/>
  <c r="EN105" i="3"/>
  <c r="EP105" i="3" s="1"/>
  <c r="EO105" i="3"/>
  <c r="EQ105" i="3"/>
  <c r="ES105" i="3" s="1"/>
  <c r="ER105" i="3"/>
  <c r="ET105" i="3"/>
  <c r="EU105" i="3"/>
  <c r="EV105" i="3" s="1"/>
  <c r="FA105" i="3"/>
  <c r="FB105" i="3"/>
  <c r="FD105" i="3"/>
  <c r="FD110" i="3" s="1"/>
  <c r="FE105" i="3"/>
  <c r="FG105" i="3"/>
  <c r="FH105" i="3"/>
  <c r="FI105" i="3"/>
  <c r="FJ105" i="3"/>
  <c r="FK105" i="3"/>
  <c r="FM105" i="3"/>
  <c r="FN105" i="3"/>
  <c r="FT105" i="3"/>
  <c r="FV105" i="3" s="1"/>
  <c r="FU105" i="3"/>
  <c r="FU109" i="3" s="1"/>
  <c r="FU113" i="3" s="1"/>
  <c r="FW105" i="3"/>
  <c r="FY105" i="3" s="1"/>
  <c r="FX105" i="3"/>
  <c r="FZ105" i="3"/>
  <c r="GB105" i="3" s="1"/>
  <c r="GA105" i="3"/>
  <c r="GC105" i="3"/>
  <c r="GE105" i="3" s="1"/>
  <c r="GD105" i="3"/>
  <c r="GJ105" i="3"/>
  <c r="GK105" i="3"/>
  <c r="GM105" i="3"/>
  <c r="GN105" i="3"/>
  <c r="GP105" i="3"/>
  <c r="GQ105" i="3"/>
  <c r="GR105" i="3" s="1"/>
  <c r="GW105" i="3"/>
  <c r="GY105" i="3" s="1"/>
  <c r="GX105" i="3"/>
  <c r="GZ105" i="3"/>
  <c r="HB105" i="3" s="1"/>
  <c r="HA105" i="3"/>
  <c r="HG105" i="3"/>
  <c r="HH105" i="3"/>
  <c r="HI105" i="3"/>
  <c r="W106" i="3"/>
  <c r="AU106" i="3"/>
  <c r="AW106" i="3"/>
  <c r="B109" i="3"/>
  <c r="C109" i="3"/>
  <c r="D109" i="3"/>
  <c r="X101" i="3" s="1"/>
  <c r="E109" i="3"/>
  <c r="AB82" i="3" s="1"/>
  <c r="F109" i="3"/>
  <c r="AD101" i="3" s="1"/>
  <c r="G109" i="3"/>
  <c r="AH105" i="3" s="1"/>
  <c r="H109" i="3"/>
  <c r="AK77" i="3" s="1"/>
  <c r="I109" i="3"/>
  <c r="AL83" i="3" s="1"/>
  <c r="J109" i="3"/>
  <c r="K109" i="3"/>
  <c r="BE109" i="3"/>
  <c r="BE111" i="3" s="1"/>
  <c r="BI109" i="3"/>
  <c r="BL109" i="3"/>
  <c r="BQ109" i="3"/>
  <c r="BQ112" i="3" s="1"/>
  <c r="BT109" i="3"/>
  <c r="CD109" i="3"/>
  <c r="CD111" i="3" s="1"/>
  <c r="CH109" i="3"/>
  <c r="CH111" i="3" s="1"/>
  <c r="CP109" i="3"/>
  <c r="CP112" i="3" s="1"/>
  <c r="CT109" i="3"/>
  <c r="DF109" i="3"/>
  <c r="DF112" i="3" s="1"/>
  <c r="DG109" i="3"/>
  <c r="DR109" i="3"/>
  <c r="DR112" i="3" s="1"/>
  <c r="DV109" i="3"/>
  <c r="EF109" i="3"/>
  <c r="EF111" i="3" s="1"/>
  <c r="EN109" i="3"/>
  <c r="ER109" i="3"/>
  <c r="ER113" i="3" s="1"/>
  <c r="FA109" i="3"/>
  <c r="FE109" i="3"/>
  <c r="FE111" i="3" s="1"/>
  <c r="FH109" i="3"/>
  <c r="FM109" i="3"/>
  <c r="FM112" i="3" s="1"/>
  <c r="FZ109" i="3"/>
  <c r="FZ113" i="3" s="1"/>
  <c r="GD109" i="3"/>
  <c r="GM109" i="3"/>
  <c r="GP109" i="3"/>
  <c r="GP113" i="3" s="1"/>
  <c r="GQ109" i="3"/>
  <c r="GZ109" i="3"/>
  <c r="GZ111" i="3" s="1"/>
  <c r="HH109" i="3"/>
  <c r="HH112" i="3" s="1"/>
  <c r="D110" i="3"/>
  <c r="H110" i="3"/>
  <c r="AY110" i="3"/>
  <c r="BC110" i="3"/>
  <c r="BH110" i="3"/>
  <c r="BK110" i="3"/>
  <c r="BL110" i="3"/>
  <c r="BO110" i="3"/>
  <c r="BT110" i="3"/>
  <c r="BW110" i="3"/>
  <c r="BX110" i="3"/>
  <c r="CG110" i="3"/>
  <c r="CJ110" i="3"/>
  <c r="CK110" i="3"/>
  <c r="CN110" i="3"/>
  <c r="CS110" i="3"/>
  <c r="CV110" i="3"/>
  <c r="CW110" i="3"/>
  <c r="CZ110" i="3"/>
  <c r="DF110" i="3"/>
  <c r="DI110" i="3"/>
  <c r="DJ110" i="3"/>
  <c r="DM110" i="3"/>
  <c r="DR110" i="3"/>
  <c r="DU110" i="3"/>
  <c r="DV110" i="3"/>
  <c r="DY110" i="3"/>
  <c r="EE110" i="3"/>
  <c r="EH110" i="3"/>
  <c r="EI110" i="3"/>
  <c r="EL110" i="3"/>
  <c r="EQ110" i="3"/>
  <c r="ET110" i="3"/>
  <c r="EU110" i="3"/>
  <c r="FG110" i="3"/>
  <c r="FH110" i="3"/>
  <c r="FK110" i="3"/>
  <c r="FT110" i="3"/>
  <c r="FU110" i="3"/>
  <c r="FX110" i="3"/>
  <c r="GC110" i="3"/>
  <c r="GK110" i="3"/>
  <c r="GP110" i="3"/>
  <c r="GQ110" i="3"/>
  <c r="GX110" i="3"/>
  <c r="GZ110" i="3"/>
  <c r="HH110" i="3"/>
  <c r="C111" i="3"/>
  <c r="D111" i="3"/>
  <c r="G111" i="3"/>
  <c r="H111" i="3"/>
  <c r="I111" i="3"/>
  <c r="K111" i="3"/>
  <c r="BI111" i="3"/>
  <c r="BQ111" i="3"/>
  <c r="CP111" i="3"/>
  <c r="CT111" i="3"/>
  <c r="DG111" i="3"/>
  <c r="EN111" i="3"/>
  <c r="FA111" i="3"/>
  <c r="FM111" i="3"/>
  <c r="GD111" i="3"/>
  <c r="GM111" i="3"/>
  <c r="GQ111" i="3"/>
  <c r="HH111" i="3"/>
  <c r="C112" i="3"/>
  <c r="D112" i="3"/>
  <c r="G112" i="3"/>
  <c r="H112" i="3"/>
  <c r="I112" i="3"/>
  <c r="K112" i="3"/>
  <c r="BI112" i="3"/>
  <c r="BT112" i="3"/>
  <c r="CD112" i="3"/>
  <c r="CH112" i="3"/>
  <c r="CT112" i="3"/>
  <c r="DG112" i="3"/>
  <c r="EF112" i="3"/>
  <c r="EN112" i="3"/>
  <c r="FA112" i="3"/>
  <c r="FZ112" i="3"/>
  <c r="GD112" i="3"/>
  <c r="GM112" i="3"/>
  <c r="GP112" i="3"/>
  <c r="GQ112" i="3"/>
  <c r="GZ112" i="3"/>
  <c r="B113" i="3"/>
  <c r="C113" i="3"/>
  <c r="D113" i="3"/>
  <c r="E113" i="3"/>
  <c r="F113" i="3"/>
  <c r="G113" i="3"/>
  <c r="H113" i="3"/>
  <c r="I113" i="3"/>
  <c r="J113" i="3"/>
  <c r="K113" i="3"/>
  <c r="BE113" i="3"/>
  <c r="BI113" i="3"/>
  <c r="BL113" i="3"/>
  <c r="BQ113" i="3"/>
  <c r="BT113" i="3"/>
  <c r="CD113" i="3"/>
  <c r="CH113" i="3"/>
  <c r="CP113" i="3"/>
  <c r="CT113" i="3"/>
  <c r="DF113" i="3"/>
  <c r="DG113" i="3"/>
  <c r="DV113" i="3"/>
  <c r="EN113" i="3"/>
  <c r="FA113" i="3"/>
  <c r="FH113" i="3"/>
  <c r="FM113" i="3"/>
  <c r="GD113" i="3"/>
  <c r="GM113" i="3"/>
  <c r="GQ113" i="3"/>
  <c r="GZ113" i="3"/>
  <c r="HH113" i="3"/>
  <c r="B114" i="3"/>
  <c r="C114" i="3"/>
  <c r="D114" i="3"/>
  <c r="F114" i="3"/>
  <c r="G114" i="3"/>
  <c r="H114" i="3"/>
  <c r="J114" i="3"/>
  <c r="K114" i="3"/>
  <c r="B115" i="3"/>
  <c r="C115" i="3"/>
  <c r="D115" i="3"/>
  <c r="F115" i="3"/>
  <c r="G115" i="3"/>
  <c r="H115" i="3"/>
  <c r="J115" i="3"/>
  <c r="K115" i="3"/>
  <c r="B118" i="3"/>
  <c r="C118" i="3"/>
  <c r="D118" i="3"/>
  <c r="D145" i="3" s="1"/>
  <c r="E118" i="3"/>
  <c r="E145" i="3" s="1"/>
  <c r="F118" i="3"/>
  <c r="G118" i="3"/>
  <c r="H118" i="3"/>
  <c r="H145" i="3" s="1"/>
  <c r="I118" i="3"/>
  <c r="I145" i="3" s="1"/>
  <c r="J118" i="3"/>
  <c r="K118" i="3"/>
  <c r="B145" i="3"/>
  <c r="C145" i="3"/>
  <c r="F145" i="3"/>
  <c r="G145" i="3"/>
  <c r="J145" i="3"/>
  <c r="K145" i="3"/>
  <c r="B155" i="3"/>
  <c r="C155" i="3"/>
  <c r="D155" i="3"/>
  <c r="F155" i="3"/>
  <c r="G155" i="3"/>
  <c r="H155" i="3"/>
  <c r="J155" i="3"/>
  <c r="K155" i="3"/>
  <c r="P198" i="3"/>
  <c r="P199" i="3"/>
  <c r="P200" i="3"/>
  <c r="P201" i="3"/>
  <c r="P202" i="3"/>
  <c r="AD203" i="3" s="1"/>
  <c r="P203" i="3"/>
  <c r="X203" i="3"/>
  <c r="P204" i="3"/>
  <c r="P205" i="3"/>
  <c r="P206" i="3"/>
  <c r="P207" i="3"/>
  <c r="B4" i="1"/>
  <c r="C4" i="1"/>
  <c r="D4" i="1"/>
  <c r="E4" i="1"/>
  <c r="F4" i="1"/>
  <c r="G4" i="1"/>
  <c r="H4" i="1"/>
  <c r="I4" i="1"/>
  <c r="J4" i="1"/>
  <c r="K4" i="1"/>
  <c r="L6" i="1"/>
  <c r="M6" i="1" s="1"/>
  <c r="AZ6" i="1"/>
  <c r="BA6" i="1"/>
  <c r="BC6" i="1"/>
  <c r="BD6" i="1"/>
  <c r="BF6" i="1"/>
  <c r="BG6" i="1"/>
  <c r="BI6" i="1"/>
  <c r="BJ6" i="1"/>
  <c r="BL6" i="1"/>
  <c r="BM6" i="1"/>
  <c r="BN6" i="1" s="1"/>
  <c r="BO6" i="1"/>
  <c r="BP6" i="1"/>
  <c r="BR6" i="1"/>
  <c r="BS6" i="1"/>
  <c r="BU6" i="1"/>
  <c r="BV6" i="1"/>
  <c r="BX6" i="1"/>
  <c r="BY6" i="1"/>
  <c r="CE6" i="1"/>
  <c r="CF6" i="1"/>
  <c r="CH6" i="1"/>
  <c r="CI6" i="1"/>
  <c r="CK6" i="1"/>
  <c r="CL6" i="1"/>
  <c r="CN6" i="1"/>
  <c r="CO6" i="1"/>
  <c r="CQ6" i="1"/>
  <c r="CR6" i="1"/>
  <c r="CT6" i="1"/>
  <c r="CU6" i="1"/>
  <c r="CW6" i="1"/>
  <c r="CX6" i="1"/>
  <c r="CY6" i="1"/>
  <c r="CZ6" i="1"/>
  <c r="DB6" i="1" s="1"/>
  <c r="DA6" i="1"/>
  <c r="DG6" i="1"/>
  <c r="DH6" i="1"/>
  <c r="DJ6" i="1"/>
  <c r="DL6" i="1" s="1"/>
  <c r="DK6" i="1"/>
  <c r="DM6" i="1"/>
  <c r="DN6" i="1"/>
  <c r="DO6" i="1" s="1"/>
  <c r="DP6" i="1"/>
  <c r="DR6" i="1" s="1"/>
  <c r="DQ6" i="1"/>
  <c r="DS6" i="1"/>
  <c r="DT6" i="1"/>
  <c r="DV6" i="1"/>
  <c r="DX6" i="1" s="1"/>
  <c r="DW6" i="1"/>
  <c r="DY6" i="1"/>
  <c r="EA6" i="1" s="1"/>
  <c r="DZ6" i="1"/>
  <c r="EF6" i="1"/>
  <c r="EG6" i="1"/>
  <c r="EI6" i="1"/>
  <c r="EK6" i="1" s="1"/>
  <c r="EJ6" i="1"/>
  <c r="EL6" i="1"/>
  <c r="EM6" i="1"/>
  <c r="EO6" i="1"/>
  <c r="EQ6" i="1" s="1"/>
  <c r="EP6" i="1"/>
  <c r="ER6" i="1"/>
  <c r="ET6" i="1" s="1"/>
  <c r="ES6" i="1"/>
  <c r="EU6" i="1"/>
  <c r="EW6" i="1" s="1"/>
  <c r="EV6" i="1"/>
  <c r="FB6" i="1"/>
  <c r="FC6" i="1"/>
  <c r="FE6" i="1"/>
  <c r="FG6" i="1" s="1"/>
  <c r="FF6" i="1"/>
  <c r="FH6" i="1"/>
  <c r="FI6" i="1"/>
  <c r="FK6" i="1"/>
  <c r="FL6" i="1"/>
  <c r="FN6" i="1"/>
  <c r="FO6" i="1"/>
  <c r="FU6" i="1"/>
  <c r="FW6" i="1" s="1"/>
  <c r="FV6" i="1"/>
  <c r="FX6" i="1"/>
  <c r="FZ6" i="1" s="1"/>
  <c r="FY6" i="1"/>
  <c r="GA6" i="1"/>
  <c r="GC6" i="1" s="1"/>
  <c r="GB6" i="1"/>
  <c r="GD6" i="1"/>
  <c r="GF6" i="1" s="1"/>
  <c r="GE6" i="1"/>
  <c r="GK6" i="1"/>
  <c r="GL6" i="1"/>
  <c r="GN6" i="1"/>
  <c r="GP6" i="1" s="1"/>
  <c r="GO6" i="1"/>
  <c r="GQ6" i="1"/>
  <c r="GS6" i="1" s="1"/>
  <c r="GR6" i="1"/>
  <c r="GX6" i="1"/>
  <c r="GZ6" i="1" s="1"/>
  <c r="GY6" i="1"/>
  <c r="HA6" i="1"/>
  <c r="HC6" i="1" s="1"/>
  <c r="HB6" i="1"/>
  <c r="HH6" i="1"/>
  <c r="HJ6" i="1" s="1"/>
  <c r="HI6" i="1"/>
  <c r="L7" i="1"/>
  <c r="M7" i="1" s="1"/>
  <c r="AZ7" i="1"/>
  <c r="BA7" i="1"/>
  <c r="BB7" i="1" s="1"/>
  <c r="BC7" i="1"/>
  <c r="BD7" i="1"/>
  <c r="BF7" i="1"/>
  <c r="BG7" i="1"/>
  <c r="BI7" i="1"/>
  <c r="BK7" i="1" s="1"/>
  <c r="BJ7" i="1"/>
  <c r="BL7" i="1"/>
  <c r="BN7" i="1" s="1"/>
  <c r="BM7" i="1"/>
  <c r="BO7" i="1"/>
  <c r="BP7" i="1"/>
  <c r="BR7" i="1"/>
  <c r="BS7" i="1"/>
  <c r="BU7" i="1"/>
  <c r="BV7" i="1"/>
  <c r="BX7" i="1"/>
  <c r="BZ7" i="1" s="1"/>
  <c r="BY7" i="1"/>
  <c r="CE7" i="1"/>
  <c r="CF7" i="1"/>
  <c r="CH7" i="1"/>
  <c r="CJ7" i="1" s="1"/>
  <c r="CI7" i="1"/>
  <c r="CK7" i="1"/>
  <c r="CM7" i="1" s="1"/>
  <c r="CL7" i="1"/>
  <c r="CN7" i="1"/>
  <c r="CO7" i="1"/>
  <c r="CQ7" i="1"/>
  <c r="CR7" i="1"/>
  <c r="CT7" i="1"/>
  <c r="CU7" i="1"/>
  <c r="CW7" i="1"/>
  <c r="CY7" i="1" s="1"/>
  <c r="CX7" i="1"/>
  <c r="CZ7" i="1"/>
  <c r="DA7" i="1"/>
  <c r="DG7" i="1"/>
  <c r="DI7" i="1" s="1"/>
  <c r="DH7" i="1"/>
  <c r="DJ7" i="1"/>
  <c r="DL7" i="1" s="1"/>
  <c r="DK7" i="1"/>
  <c r="DM7" i="1"/>
  <c r="DN7" i="1"/>
  <c r="DP7" i="1"/>
  <c r="DQ7" i="1"/>
  <c r="DS7" i="1"/>
  <c r="DT7" i="1"/>
  <c r="DV7" i="1"/>
  <c r="DX7" i="1" s="1"/>
  <c r="DW7" i="1"/>
  <c r="DY7" i="1"/>
  <c r="DZ7" i="1"/>
  <c r="EF7" i="1"/>
  <c r="EH7" i="1" s="1"/>
  <c r="EG7" i="1"/>
  <c r="EI7" i="1"/>
  <c r="EK7" i="1" s="1"/>
  <c r="EJ7" i="1"/>
  <c r="EL7" i="1"/>
  <c r="EM7" i="1"/>
  <c r="EO7" i="1"/>
  <c r="EP7" i="1"/>
  <c r="ER7" i="1"/>
  <c r="ES7" i="1"/>
  <c r="EU7" i="1"/>
  <c r="EW7" i="1" s="1"/>
  <c r="EV7" i="1"/>
  <c r="FB7" i="1"/>
  <c r="FC7" i="1"/>
  <c r="FE7" i="1"/>
  <c r="FG7" i="1" s="1"/>
  <c r="FF7" i="1"/>
  <c r="FH7" i="1"/>
  <c r="FJ7" i="1" s="1"/>
  <c r="FI7" i="1"/>
  <c r="FK7" i="1"/>
  <c r="FL7" i="1"/>
  <c r="FN7" i="1"/>
  <c r="FO7" i="1"/>
  <c r="FU7" i="1"/>
  <c r="FV7" i="1"/>
  <c r="FW7" i="1" s="1"/>
  <c r="FX7" i="1"/>
  <c r="FY7" i="1"/>
  <c r="GA7" i="1"/>
  <c r="GB7" i="1"/>
  <c r="GD7" i="1"/>
  <c r="GF7" i="1" s="1"/>
  <c r="GE7" i="1"/>
  <c r="GG7" i="1"/>
  <c r="GK7" i="1"/>
  <c r="GL7" i="1"/>
  <c r="GN7" i="1"/>
  <c r="GO7" i="1"/>
  <c r="GQ7" i="1"/>
  <c r="GR7" i="1"/>
  <c r="GS7" i="1" s="1"/>
  <c r="GX7" i="1"/>
  <c r="GY7" i="1"/>
  <c r="HA7" i="1"/>
  <c r="HB7" i="1"/>
  <c r="HE7" i="1"/>
  <c r="HH7" i="1"/>
  <c r="HI7" i="1"/>
  <c r="HO7" i="1"/>
  <c r="HY7" i="1"/>
  <c r="IF7" i="1"/>
  <c r="IN7" i="1"/>
  <c r="L8" i="1"/>
  <c r="AZ8" i="1"/>
  <c r="BA8" i="1"/>
  <c r="BC8" i="1"/>
  <c r="BD8" i="1"/>
  <c r="BF8" i="1"/>
  <c r="BH8" i="1" s="1"/>
  <c r="BG8" i="1"/>
  <c r="BI8" i="1"/>
  <c r="BK8" i="1" s="1"/>
  <c r="BJ8" i="1"/>
  <c r="BL8" i="1"/>
  <c r="BN8" i="1" s="1"/>
  <c r="BM8" i="1"/>
  <c r="BO8" i="1"/>
  <c r="BQ8" i="1" s="1"/>
  <c r="BP8" i="1"/>
  <c r="BR8" i="1"/>
  <c r="BT8" i="1" s="1"/>
  <c r="BS8" i="1"/>
  <c r="BU8" i="1"/>
  <c r="BV8" i="1"/>
  <c r="BX8" i="1"/>
  <c r="BZ8" i="1" s="1"/>
  <c r="BY8" i="1"/>
  <c r="CE8" i="1"/>
  <c r="CG8" i="1" s="1"/>
  <c r="CF8" i="1"/>
  <c r="CH8" i="1"/>
  <c r="CI8" i="1"/>
  <c r="CK8" i="1"/>
  <c r="CM8" i="1" s="1"/>
  <c r="CL8" i="1"/>
  <c r="CN8" i="1"/>
  <c r="CO8" i="1"/>
  <c r="CQ8" i="1"/>
  <c r="CS8" i="1" s="1"/>
  <c r="CR8" i="1"/>
  <c r="CT8" i="1"/>
  <c r="CU8" i="1"/>
  <c r="CW8" i="1"/>
  <c r="CX8" i="1"/>
  <c r="CZ8" i="1"/>
  <c r="DA8" i="1"/>
  <c r="DG8" i="1"/>
  <c r="DH8" i="1"/>
  <c r="DJ8" i="1"/>
  <c r="DK8" i="1"/>
  <c r="DM8" i="1"/>
  <c r="DN8" i="1"/>
  <c r="DP8" i="1"/>
  <c r="DQ8" i="1"/>
  <c r="DR8" i="1" s="1"/>
  <c r="DS8" i="1"/>
  <c r="DU8" i="1" s="1"/>
  <c r="DT8" i="1"/>
  <c r="DV8" i="1"/>
  <c r="DW8" i="1"/>
  <c r="DY8" i="1"/>
  <c r="DZ8" i="1"/>
  <c r="EF8" i="1"/>
  <c r="EH8" i="1" s="1"/>
  <c r="EG8" i="1"/>
  <c r="EI8" i="1"/>
  <c r="EK8" i="1" s="1"/>
  <c r="EJ8" i="1"/>
  <c r="EL8" i="1"/>
  <c r="EM8" i="1"/>
  <c r="EO8" i="1"/>
  <c r="EQ8" i="1" s="1"/>
  <c r="EP8" i="1"/>
  <c r="ER8" i="1"/>
  <c r="ES8" i="1"/>
  <c r="EU8" i="1"/>
  <c r="EW8" i="1" s="1"/>
  <c r="EV8" i="1"/>
  <c r="FB8" i="1"/>
  <c r="FD8" i="1" s="1"/>
  <c r="FC8" i="1"/>
  <c r="FE8" i="1"/>
  <c r="FF8" i="1"/>
  <c r="FH8" i="1"/>
  <c r="FJ8" i="1" s="1"/>
  <c r="FI8" i="1"/>
  <c r="FK8" i="1"/>
  <c r="FM8" i="1" s="1"/>
  <c r="FL8" i="1"/>
  <c r="FN8" i="1"/>
  <c r="FP8" i="1" s="1"/>
  <c r="FO8" i="1"/>
  <c r="FU8" i="1"/>
  <c r="FV8" i="1"/>
  <c r="FX8" i="1"/>
  <c r="FY8" i="1"/>
  <c r="GA8" i="1"/>
  <c r="GB8" i="1"/>
  <c r="GD8" i="1"/>
  <c r="GE8" i="1"/>
  <c r="GK8" i="1"/>
  <c r="GL8" i="1"/>
  <c r="GN8" i="1"/>
  <c r="GO8" i="1"/>
  <c r="GQ8" i="1"/>
  <c r="GR8" i="1"/>
  <c r="GX8" i="1"/>
  <c r="GY8" i="1"/>
  <c r="HA8" i="1"/>
  <c r="HB8" i="1"/>
  <c r="HH8" i="1"/>
  <c r="HI8" i="1"/>
  <c r="L9" i="1"/>
  <c r="AZ9" i="1"/>
  <c r="BA9" i="1"/>
  <c r="BC9" i="1"/>
  <c r="BD9" i="1"/>
  <c r="BF9" i="1"/>
  <c r="BG9" i="1"/>
  <c r="BH9" i="1" s="1"/>
  <c r="BI9" i="1"/>
  <c r="BJ9" i="1"/>
  <c r="BL9" i="1"/>
  <c r="BM9" i="1"/>
  <c r="BO9" i="1"/>
  <c r="BP9" i="1"/>
  <c r="BQ9" i="1" s="1"/>
  <c r="BR9" i="1"/>
  <c r="BT9" i="1" s="1"/>
  <c r="BS9" i="1"/>
  <c r="BU9" i="1"/>
  <c r="BW9" i="1" s="1"/>
  <c r="BV9" i="1"/>
  <c r="BX9" i="1"/>
  <c r="BY9" i="1"/>
  <c r="CE9" i="1"/>
  <c r="CG9" i="1" s="1"/>
  <c r="CF9" i="1"/>
  <c r="CH9" i="1"/>
  <c r="CI9" i="1"/>
  <c r="CK9" i="1"/>
  <c r="CL9" i="1"/>
  <c r="CN9" i="1"/>
  <c r="CO9" i="1"/>
  <c r="CQ9" i="1"/>
  <c r="CS9" i="1" s="1"/>
  <c r="CR9" i="1"/>
  <c r="CT9" i="1"/>
  <c r="CU9" i="1"/>
  <c r="CW9" i="1"/>
  <c r="CX9" i="1"/>
  <c r="CZ9" i="1"/>
  <c r="DA9" i="1"/>
  <c r="DG9" i="1"/>
  <c r="DH9" i="1"/>
  <c r="DJ9" i="1"/>
  <c r="DK9" i="1"/>
  <c r="DM9" i="1"/>
  <c r="DN9" i="1"/>
  <c r="DP9" i="1"/>
  <c r="DQ9" i="1"/>
  <c r="DR9" i="1" s="1"/>
  <c r="DS9" i="1"/>
  <c r="DT9" i="1"/>
  <c r="DV9" i="1"/>
  <c r="DW9" i="1"/>
  <c r="DY9" i="1"/>
  <c r="EA9" i="1" s="1"/>
  <c r="DZ9" i="1"/>
  <c r="EF9" i="1"/>
  <c r="EG9" i="1"/>
  <c r="EI9" i="1"/>
  <c r="EJ9" i="1"/>
  <c r="EL9" i="1"/>
  <c r="EN9" i="1" s="1"/>
  <c r="EM9" i="1"/>
  <c r="EO9" i="1"/>
  <c r="EQ9" i="1" s="1"/>
  <c r="EP9" i="1"/>
  <c r="ER9" i="1"/>
  <c r="ES9" i="1"/>
  <c r="EU9" i="1"/>
  <c r="EV9" i="1"/>
  <c r="FB9" i="1"/>
  <c r="FC9" i="1"/>
  <c r="FE9" i="1"/>
  <c r="FG9" i="1" s="1"/>
  <c r="FF9" i="1"/>
  <c r="FH9" i="1"/>
  <c r="FI9" i="1"/>
  <c r="FK9" i="1"/>
  <c r="FL9" i="1"/>
  <c r="FM9" i="1"/>
  <c r="FN9" i="1"/>
  <c r="FO9" i="1"/>
  <c r="FU9" i="1"/>
  <c r="FV9" i="1"/>
  <c r="FX9" i="1"/>
  <c r="FZ9" i="1" s="1"/>
  <c r="FY9" i="1"/>
  <c r="GA9" i="1"/>
  <c r="GC9" i="1" s="1"/>
  <c r="GB9" i="1"/>
  <c r="GD9" i="1"/>
  <c r="GF9" i="1" s="1"/>
  <c r="GE9" i="1"/>
  <c r="GK9" i="1"/>
  <c r="GL9" i="1"/>
  <c r="GN9" i="1"/>
  <c r="GO9" i="1"/>
  <c r="GP9" i="1"/>
  <c r="GQ9" i="1"/>
  <c r="GR9" i="1"/>
  <c r="GX9" i="1"/>
  <c r="GY9" i="1"/>
  <c r="GZ9" i="1" s="1"/>
  <c r="HA9" i="1"/>
  <c r="HC9" i="1" s="1"/>
  <c r="HB9" i="1"/>
  <c r="HH9" i="1"/>
  <c r="HI9" i="1"/>
  <c r="L10" i="1"/>
  <c r="AZ10" i="1"/>
  <c r="BA10" i="1"/>
  <c r="BC10" i="1"/>
  <c r="BD10" i="1"/>
  <c r="BF10" i="1"/>
  <c r="BG10" i="1"/>
  <c r="BI10" i="1"/>
  <c r="BJ10" i="1"/>
  <c r="BL10" i="1"/>
  <c r="BM10" i="1"/>
  <c r="BN10" i="1" s="1"/>
  <c r="BO10" i="1"/>
  <c r="BQ10" i="1" s="1"/>
  <c r="BP10" i="1"/>
  <c r="BR10" i="1"/>
  <c r="BS10" i="1"/>
  <c r="BU10" i="1"/>
  <c r="BV10" i="1"/>
  <c r="BX10" i="1"/>
  <c r="BZ10" i="1" s="1"/>
  <c r="BY10" i="1"/>
  <c r="CE10" i="1"/>
  <c r="CG10" i="1" s="1"/>
  <c r="CF10" i="1"/>
  <c r="CH10" i="1"/>
  <c r="CI10" i="1"/>
  <c r="CK10" i="1"/>
  <c r="CM10" i="1" s="1"/>
  <c r="CL10" i="1"/>
  <c r="CN10" i="1"/>
  <c r="CO10" i="1"/>
  <c r="CQ10" i="1"/>
  <c r="CS10" i="1" s="1"/>
  <c r="CR10" i="1"/>
  <c r="CT10" i="1"/>
  <c r="CU10" i="1"/>
  <c r="CW10" i="1"/>
  <c r="CX10" i="1"/>
  <c r="CY10" i="1"/>
  <c r="CZ10" i="1"/>
  <c r="DA10" i="1"/>
  <c r="DG10" i="1"/>
  <c r="DH10" i="1"/>
  <c r="DJ10" i="1"/>
  <c r="DK10" i="1"/>
  <c r="DM10" i="1"/>
  <c r="DO10" i="1" s="1"/>
  <c r="DN10" i="1"/>
  <c r="DP10" i="1"/>
  <c r="DQ10" i="1"/>
  <c r="DS10" i="1"/>
  <c r="DT10" i="1"/>
  <c r="DV10" i="1"/>
  <c r="DW10" i="1"/>
  <c r="DY10" i="1"/>
  <c r="DZ10" i="1"/>
  <c r="EF10" i="1"/>
  <c r="EG10" i="1"/>
  <c r="EI10" i="1"/>
  <c r="EK10" i="1" s="1"/>
  <c r="EJ10" i="1"/>
  <c r="EL10" i="1"/>
  <c r="EN10" i="1" s="1"/>
  <c r="EM10" i="1"/>
  <c r="EO10" i="1"/>
  <c r="EQ10" i="1" s="1"/>
  <c r="EP10" i="1"/>
  <c r="ER10" i="1"/>
  <c r="ES10" i="1"/>
  <c r="EU10" i="1"/>
  <c r="EW10" i="1" s="1"/>
  <c r="EV10" i="1"/>
  <c r="FB10" i="1"/>
  <c r="FC10" i="1"/>
  <c r="FE10" i="1"/>
  <c r="FF10" i="1"/>
  <c r="FH10" i="1"/>
  <c r="FI10" i="1"/>
  <c r="FK10" i="1"/>
  <c r="FL10" i="1"/>
  <c r="FM10" i="1"/>
  <c r="FN10" i="1"/>
  <c r="FO10" i="1"/>
  <c r="FU10" i="1"/>
  <c r="FW10" i="1" s="1"/>
  <c r="FV10" i="1"/>
  <c r="FX10" i="1"/>
  <c r="FZ10" i="1" s="1"/>
  <c r="FY10" i="1"/>
  <c r="GA10" i="1"/>
  <c r="GB10" i="1"/>
  <c r="GD10" i="1"/>
  <c r="GE10" i="1"/>
  <c r="GK10" i="1"/>
  <c r="GM10" i="1" s="1"/>
  <c r="GL10" i="1"/>
  <c r="GN10" i="1"/>
  <c r="GO10" i="1"/>
  <c r="GQ10" i="1"/>
  <c r="GR10" i="1"/>
  <c r="GX10" i="1"/>
  <c r="GZ10" i="1" s="1"/>
  <c r="GY10" i="1"/>
  <c r="HA10" i="1"/>
  <c r="HB10" i="1"/>
  <c r="HH10" i="1"/>
  <c r="HI10" i="1"/>
  <c r="L11" i="1"/>
  <c r="AZ11" i="1"/>
  <c r="BA11" i="1"/>
  <c r="BC11" i="1"/>
  <c r="BE11" i="1" s="1"/>
  <c r="BD11" i="1"/>
  <c r="BF11" i="1"/>
  <c r="BG11" i="1"/>
  <c r="BI11" i="1"/>
  <c r="BK11" i="1" s="1"/>
  <c r="BJ11" i="1"/>
  <c r="BL11" i="1"/>
  <c r="BM11" i="1"/>
  <c r="BO11" i="1"/>
  <c r="BP11" i="1"/>
  <c r="BR11" i="1"/>
  <c r="BS11" i="1"/>
  <c r="BU11" i="1"/>
  <c r="BV11" i="1"/>
  <c r="BX11" i="1"/>
  <c r="BY11" i="1"/>
  <c r="BZ11" i="1" s="1"/>
  <c r="CE11" i="1"/>
  <c r="CF11" i="1"/>
  <c r="CH11" i="1"/>
  <c r="CI11" i="1"/>
  <c r="CJ11" i="1" s="1"/>
  <c r="CK11" i="1"/>
  <c r="CM11" i="1" s="1"/>
  <c r="CL11" i="1"/>
  <c r="CN11" i="1"/>
  <c r="CP11" i="1" s="1"/>
  <c r="CO11" i="1"/>
  <c r="CQ11" i="1"/>
  <c r="CR11" i="1"/>
  <c r="CT11" i="1"/>
  <c r="CV11" i="1" s="1"/>
  <c r="CU11" i="1"/>
  <c r="CW11" i="1"/>
  <c r="CX11" i="1"/>
  <c r="CZ11" i="1"/>
  <c r="DB11" i="1" s="1"/>
  <c r="DA11" i="1"/>
  <c r="DG11" i="1"/>
  <c r="DH11" i="1"/>
  <c r="DI11" i="1"/>
  <c r="DJ11" i="1"/>
  <c r="DK11" i="1"/>
  <c r="DM11" i="1"/>
  <c r="DN11" i="1"/>
  <c r="DP11" i="1"/>
  <c r="DQ11" i="1"/>
  <c r="DS11" i="1"/>
  <c r="DT11" i="1"/>
  <c r="DV11" i="1"/>
  <c r="DW11" i="1"/>
  <c r="DX11" i="1" s="1"/>
  <c r="DY11" i="1"/>
  <c r="DZ11" i="1"/>
  <c r="EF11" i="1"/>
  <c r="EH11" i="1" s="1"/>
  <c r="EG11" i="1"/>
  <c r="EI11" i="1"/>
  <c r="EJ11" i="1"/>
  <c r="EL11" i="1"/>
  <c r="EN11" i="1" s="1"/>
  <c r="EM11" i="1"/>
  <c r="EO11" i="1"/>
  <c r="EP11" i="1"/>
  <c r="ER11" i="1"/>
  <c r="ET11" i="1" s="1"/>
  <c r="ES11" i="1"/>
  <c r="EU11" i="1"/>
  <c r="EV11" i="1"/>
  <c r="FB11" i="1"/>
  <c r="FC11" i="1"/>
  <c r="FE11" i="1"/>
  <c r="FF11" i="1"/>
  <c r="FH11" i="1"/>
  <c r="FI11" i="1"/>
  <c r="FK11" i="1"/>
  <c r="FL11" i="1"/>
  <c r="FN11" i="1"/>
  <c r="FO11" i="1"/>
  <c r="FU11" i="1"/>
  <c r="FV11" i="1"/>
  <c r="FW11" i="1" s="1"/>
  <c r="FX11" i="1"/>
  <c r="FY11" i="1"/>
  <c r="GA11" i="1"/>
  <c r="GB11" i="1"/>
  <c r="GD11" i="1"/>
  <c r="GE11" i="1"/>
  <c r="GF11" i="1" s="1"/>
  <c r="GK11" i="1"/>
  <c r="GM11" i="1" s="1"/>
  <c r="GL11" i="1"/>
  <c r="GN11" i="1"/>
  <c r="GO11" i="1"/>
  <c r="GQ11" i="1"/>
  <c r="GS11" i="1" s="1"/>
  <c r="GR11" i="1"/>
  <c r="GX11" i="1"/>
  <c r="GZ11" i="1" s="1"/>
  <c r="GY11" i="1"/>
  <c r="HA11" i="1"/>
  <c r="HB11" i="1"/>
  <c r="HH11" i="1"/>
  <c r="HJ11" i="1" s="1"/>
  <c r="HI11" i="1"/>
  <c r="L12" i="1"/>
  <c r="AZ12" i="1"/>
  <c r="BA12" i="1"/>
  <c r="BC12" i="1"/>
  <c r="BD12" i="1"/>
  <c r="BF12" i="1"/>
  <c r="BG12" i="1"/>
  <c r="BI12" i="1"/>
  <c r="BJ12" i="1"/>
  <c r="BK12" i="1" s="1"/>
  <c r="BL12" i="1"/>
  <c r="BM12" i="1"/>
  <c r="BO12" i="1"/>
  <c r="BP12" i="1"/>
  <c r="BR12" i="1"/>
  <c r="BS12" i="1"/>
  <c r="BT12" i="1" s="1"/>
  <c r="BU12" i="1"/>
  <c r="BW12" i="1" s="1"/>
  <c r="BV12" i="1"/>
  <c r="BX12" i="1"/>
  <c r="BZ12" i="1" s="1"/>
  <c r="BY12" i="1"/>
  <c r="CE12" i="1"/>
  <c r="CF12" i="1"/>
  <c r="CG12" i="1"/>
  <c r="CH12" i="1"/>
  <c r="CI12" i="1"/>
  <c r="CK12" i="1"/>
  <c r="CL12" i="1"/>
  <c r="CN12" i="1"/>
  <c r="CO12" i="1"/>
  <c r="CQ12" i="1"/>
  <c r="CR12" i="1"/>
  <c r="CT12" i="1"/>
  <c r="CU12" i="1"/>
  <c r="CV12" i="1" s="1"/>
  <c r="CW12" i="1"/>
  <c r="CX12" i="1"/>
  <c r="CZ12" i="1"/>
  <c r="DA12" i="1"/>
  <c r="DG12" i="1"/>
  <c r="DH12" i="1"/>
  <c r="DI12" i="1" s="1"/>
  <c r="DJ12" i="1"/>
  <c r="DK12" i="1"/>
  <c r="DM12" i="1"/>
  <c r="DN12" i="1"/>
  <c r="DP12" i="1"/>
  <c r="DR12" i="1" s="1"/>
  <c r="DQ12" i="1"/>
  <c r="DS12" i="1"/>
  <c r="DT12" i="1"/>
  <c r="DV12" i="1"/>
  <c r="DW12" i="1"/>
  <c r="DY12" i="1"/>
  <c r="DZ12" i="1"/>
  <c r="EF12" i="1"/>
  <c r="EG12" i="1"/>
  <c r="EI12" i="1"/>
  <c r="EK12" i="1" s="1"/>
  <c r="EJ12" i="1"/>
  <c r="EL12" i="1"/>
  <c r="EN12" i="1" s="1"/>
  <c r="EM12" i="1"/>
  <c r="EO12" i="1"/>
  <c r="EQ12" i="1" s="1"/>
  <c r="EP12" i="1"/>
  <c r="ER12" i="1"/>
  <c r="ES12" i="1"/>
  <c r="EU12" i="1"/>
  <c r="EV12" i="1"/>
  <c r="FB12" i="1"/>
  <c r="FC12" i="1"/>
  <c r="FD12" i="1" s="1"/>
  <c r="FE12" i="1"/>
  <c r="FG12" i="1" s="1"/>
  <c r="FF12" i="1"/>
  <c r="FH12" i="1"/>
  <c r="FJ12" i="1" s="1"/>
  <c r="FI12" i="1"/>
  <c r="FK12" i="1"/>
  <c r="FL12" i="1"/>
  <c r="FN12" i="1"/>
  <c r="FP12" i="1" s="1"/>
  <c r="FO12" i="1"/>
  <c r="FU12" i="1"/>
  <c r="FV12" i="1"/>
  <c r="FX12" i="1"/>
  <c r="FY12" i="1"/>
  <c r="GA12" i="1"/>
  <c r="GB12" i="1"/>
  <c r="GD12" i="1"/>
  <c r="GF12" i="1" s="1"/>
  <c r="GE12" i="1"/>
  <c r="GK12" i="1"/>
  <c r="GL12" i="1"/>
  <c r="GN12" i="1"/>
  <c r="GO12" i="1"/>
  <c r="GP12" i="1" s="1"/>
  <c r="GQ12" i="1"/>
  <c r="GR12" i="1"/>
  <c r="GS12" i="1" s="1"/>
  <c r="GX12" i="1"/>
  <c r="GY12" i="1"/>
  <c r="HA12" i="1"/>
  <c r="HB12" i="1"/>
  <c r="HH12" i="1"/>
  <c r="HJ12" i="1" s="1"/>
  <c r="HI12" i="1"/>
  <c r="L13" i="1"/>
  <c r="AZ13" i="1"/>
  <c r="BA13" i="1"/>
  <c r="BC13" i="1"/>
  <c r="BD13" i="1"/>
  <c r="BF13" i="1"/>
  <c r="BH13" i="1" s="1"/>
  <c r="BG13" i="1"/>
  <c r="BI13" i="1"/>
  <c r="BK13" i="1" s="1"/>
  <c r="BJ13" i="1"/>
  <c r="BL13" i="1"/>
  <c r="BN13" i="1" s="1"/>
  <c r="BM13" i="1"/>
  <c r="BO13" i="1"/>
  <c r="BQ13" i="1" s="1"/>
  <c r="BP13" i="1"/>
  <c r="BR13" i="1"/>
  <c r="BS13" i="1"/>
  <c r="BU13" i="1"/>
  <c r="BW13" i="1" s="1"/>
  <c r="BV13" i="1"/>
  <c r="BX13" i="1"/>
  <c r="BZ13" i="1" s="1"/>
  <c r="BY13" i="1"/>
  <c r="CE13" i="1"/>
  <c r="CG13" i="1" s="1"/>
  <c r="CF13" i="1"/>
  <c r="CH13" i="1"/>
  <c r="CI13" i="1"/>
  <c r="CK13" i="1"/>
  <c r="CL13" i="1"/>
  <c r="CN13" i="1"/>
  <c r="CO13" i="1"/>
  <c r="CQ13" i="1"/>
  <c r="CR13" i="1"/>
  <c r="CT13" i="1"/>
  <c r="CU13" i="1"/>
  <c r="CW13" i="1"/>
  <c r="CX13" i="1"/>
  <c r="CZ13" i="1"/>
  <c r="DA13" i="1"/>
  <c r="DB13" i="1" s="1"/>
  <c r="DG13" i="1"/>
  <c r="DH13" i="1"/>
  <c r="DJ13" i="1"/>
  <c r="DK13" i="1"/>
  <c r="DM13" i="1"/>
  <c r="DO13" i="1" s="1"/>
  <c r="DN13" i="1"/>
  <c r="DP13" i="1"/>
  <c r="DR13" i="1" s="1"/>
  <c r="DQ13" i="1"/>
  <c r="DS13" i="1"/>
  <c r="DU13" i="1" s="1"/>
  <c r="DT13" i="1"/>
  <c r="DV13" i="1"/>
  <c r="DW13" i="1"/>
  <c r="DY13" i="1"/>
  <c r="EA13" i="1" s="1"/>
  <c r="DZ13" i="1"/>
  <c r="EF13" i="1"/>
  <c r="EG13" i="1"/>
  <c r="EI13" i="1"/>
  <c r="EJ13" i="1"/>
  <c r="EL13" i="1"/>
  <c r="EM13" i="1"/>
  <c r="EO13" i="1"/>
  <c r="EP13" i="1"/>
  <c r="EQ13" i="1"/>
  <c r="ER13" i="1"/>
  <c r="ES13" i="1"/>
  <c r="EU13" i="1"/>
  <c r="EV13" i="1"/>
  <c r="FB13" i="1"/>
  <c r="FC13" i="1"/>
  <c r="FE13" i="1"/>
  <c r="FF13" i="1"/>
  <c r="FH13" i="1"/>
  <c r="FI13" i="1"/>
  <c r="FK13" i="1"/>
  <c r="FL13" i="1"/>
  <c r="FN13" i="1"/>
  <c r="FO13" i="1"/>
  <c r="FP13" i="1" s="1"/>
  <c r="FU13" i="1"/>
  <c r="FV13" i="1"/>
  <c r="FX13" i="1"/>
  <c r="FY13" i="1"/>
  <c r="GA13" i="1"/>
  <c r="GB13" i="1"/>
  <c r="GC13" i="1" s="1"/>
  <c r="GD13" i="1"/>
  <c r="GE13" i="1"/>
  <c r="GK13" i="1"/>
  <c r="GL13" i="1"/>
  <c r="GN13" i="1"/>
  <c r="GO13" i="1"/>
  <c r="GQ13" i="1"/>
  <c r="GR13" i="1"/>
  <c r="GX13" i="1"/>
  <c r="GY13" i="1"/>
  <c r="HA13" i="1"/>
  <c r="HC13" i="1" s="1"/>
  <c r="HB13" i="1"/>
  <c r="HH13" i="1"/>
  <c r="HI13" i="1"/>
  <c r="L14" i="1"/>
  <c r="AZ14" i="1"/>
  <c r="BA14" i="1"/>
  <c r="BC14" i="1"/>
  <c r="BE14" i="1" s="1"/>
  <c r="BD14" i="1"/>
  <c r="BF14" i="1"/>
  <c r="BG14" i="1"/>
  <c r="BI14" i="1"/>
  <c r="BJ14" i="1"/>
  <c r="BL14" i="1"/>
  <c r="BM14" i="1"/>
  <c r="BO14" i="1"/>
  <c r="BQ14" i="1" s="1"/>
  <c r="BP14" i="1"/>
  <c r="BR14" i="1"/>
  <c r="BS14" i="1"/>
  <c r="BU14" i="1"/>
  <c r="BV14" i="1"/>
  <c r="BX14" i="1"/>
  <c r="BY14" i="1"/>
  <c r="CE14" i="1"/>
  <c r="CG14" i="1" s="1"/>
  <c r="CF14" i="1"/>
  <c r="CH14" i="1"/>
  <c r="CI14" i="1"/>
  <c r="CK14" i="1"/>
  <c r="CL14" i="1"/>
  <c r="CM14" i="1"/>
  <c r="CN14" i="1"/>
  <c r="CO14" i="1"/>
  <c r="CP14" i="1" s="1"/>
  <c r="CQ14" i="1"/>
  <c r="CR14" i="1"/>
  <c r="CT14" i="1"/>
  <c r="CU14" i="1"/>
  <c r="CW14" i="1"/>
  <c r="CX14" i="1"/>
  <c r="CY14" i="1" s="1"/>
  <c r="CZ14" i="1"/>
  <c r="DA14" i="1"/>
  <c r="DG14" i="1"/>
  <c r="DH14" i="1"/>
  <c r="DJ14" i="1"/>
  <c r="DK14" i="1"/>
  <c r="DM14" i="1"/>
  <c r="DO14" i="1" s="1"/>
  <c r="DN14" i="1"/>
  <c r="DP14" i="1"/>
  <c r="DQ14" i="1"/>
  <c r="DS14" i="1"/>
  <c r="DT14" i="1"/>
  <c r="DV14" i="1"/>
  <c r="DW14" i="1"/>
  <c r="DY14" i="1"/>
  <c r="EA14" i="1" s="1"/>
  <c r="DZ14" i="1"/>
  <c r="EF14" i="1"/>
  <c r="EG14" i="1"/>
  <c r="EI14" i="1"/>
  <c r="EK14" i="1" s="1"/>
  <c r="EJ14" i="1"/>
  <c r="EL14" i="1"/>
  <c r="EM14" i="1"/>
  <c r="EO14" i="1"/>
  <c r="EQ14" i="1" s="1"/>
  <c r="EP14" i="1"/>
  <c r="ER14" i="1"/>
  <c r="ES14" i="1"/>
  <c r="EU14" i="1"/>
  <c r="EW14" i="1" s="1"/>
  <c r="EV14" i="1"/>
  <c r="FB14" i="1"/>
  <c r="FC14" i="1"/>
  <c r="FE14" i="1"/>
  <c r="FF14" i="1"/>
  <c r="FH14" i="1"/>
  <c r="FI14" i="1"/>
  <c r="FK14" i="1"/>
  <c r="FM14" i="1" s="1"/>
  <c r="FL14" i="1"/>
  <c r="FN14" i="1"/>
  <c r="FO14" i="1"/>
  <c r="FU14" i="1"/>
  <c r="FV14" i="1"/>
  <c r="FX14" i="1"/>
  <c r="FZ14" i="1" s="1"/>
  <c r="FY14" i="1"/>
  <c r="GA14" i="1"/>
  <c r="GB14" i="1"/>
  <c r="GD14" i="1"/>
  <c r="GE14" i="1"/>
  <c r="GK14" i="1"/>
  <c r="GM14" i="1" s="1"/>
  <c r="GL14" i="1"/>
  <c r="GN14" i="1"/>
  <c r="GO14" i="1"/>
  <c r="GQ14" i="1"/>
  <c r="GR14" i="1"/>
  <c r="GX14" i="1"/>
  <c r="GY14" i="1"/>
  <c r="GZ14" i="1"/>
  <c r="HA14" i="1"/>
  <c r="HB14" i="1"/>
  <c r="HH14" i="1"/>
  <c r="HI14" i="1"/>
  <c r="HJ14" i="1" s="1"/>
  <c r="L15" i="1"/>
  <c r="AZ15" i="1"/>
  <c r="BA15" i="1"/>
  <c r="BB15" i="1" s="1"/>
  <c r="BC15" i="1"/>
  <c r="BD15" i="1"/>
  <c r="BF15" i="1"/>
  <c r="BG15" i="1"/>
  <c r="BI15" i="1"/>
  <c r="BJ15" i="1"/>
  <c r="BL15" i="1"/>
  <c r="BM15" i="1"/>
  <c r="BO15" i="1"/>
  <c r="BP15" i="1"/>
  <c r="BR15" i="1"/>
  <c r="BS15" i="1"/>
  <c r="BU15" i="1"/>
  <c r="BV15" i="1"/>
  <c r="BX15" i="1"/>
  <c r="BY15" i="1"/>
  <c r="CE15" i="1"/>
  <c r="CF15" i="1"/>
  <c r="CH15" i="1"/>
  <c r="CJ15" i="1" s="1"/>
  <c r="CI15" i="1"/>
  <c r="CK15" i="1"/>
  <c r="CL15" i="1"/>
  <c r="CN15" i="1"/>
  <c r="CP15" i="1" s="1"/>
  <c r="CO15" i="1"/>
  <c r="CQ15" i="1"/>
  <c r="CR15" i="1"/>
  <c r="CT15" i="1"/>
  <c r="CV15" i="1" s="1"/>
  <c r="CU15" i="1"/>
  <c r="CW15" i="1"/>
  <c r="CX15" i="1"/>
  <c r="CY15" i="1" s="1"/>
  <c r="CZ15" i="1"/>
  <c r="DA15" i="1"/>
  <c r="DG15" i="1"/>
  <c r="DI15" i="1" s="1"/>
  <c r="DH15" i="1"/>
  <c r="DJ15" i="1"/>
  <c r="DK15" i="1"/>
  <c r="DM15" i="1"/>
  <c r="DO15" i="1" s="1"/>
  <c r="DN15" i="1"/>
  <c r="DP15" i="1"/>
  <c r="DQ15" i="1"/>
  <c r="DS15" i="1"/>
  <c r="DU15" i="1" s="1"/>
  <c r="DT15" i="1"/>
  <c r="DV15" i="1"/>
  <c r="DW15" i="1"/>
  <c r="DX15" i="1" s="1"/>
  <c r="DY15" i="1"/>
  <c r="EA15" i="1" s="1"/>
  <c r="DZ15" i="1"/>
  <c r="EF15" i="1"/>
  <c r="EG15" i="1"/>
  <c r="EH15" i="1"/>
  <c r="EI15" i="1"/>
  <c r="EJ15" i="1"/>
  <c r="EL15" i="1"/>
  <c r="EM15" i="1"/>
  <c r="EO15" i="1"/>
  <c r="EP15" i="1"/>
  <c r="ER15" i="1"/>
  <c r="ES15" i="1"/>
  <c r="EU15" i="1"/>
  <c r="EW15" i="1" s="1"/>
  <c r="EV15" i="1"/>
  <c r="FB15" i="1"/>
  <c r="FC15" i="1"/>
  <c r="FE15" i="1"/>
  <c r="FF15" i="1"/>
  <c r="FH15" i="1"/>
  <c r="FI15" i="1"/>
  <c r="FK15" i="1"/>
  <c r="FL15" i="1"/>
  <c r="FN15" i="1"/>
  <c r="FO15" i="1"/>
  <c r="FU15" i="1"/>
  <c r="FV15" i="1"/>
  <c r="FW15" i="1"/>
  <c r="FX15" i="1"/>
  <c r="FZ15" i="1" s="1"/>
  <c r="FY15" i="1"/>
  <c r="GA15" i="1"/>
  <c r="GB15" i="1"/>
  <c r="GD15" i="1"/>
  <c r="GF15" i="1" s="1"/>
  <c r="GE15" i="1"/>
  <c r="GK15" i="1"/>
  <c r="GL15" i="1"/>
  <c r="GN15" i="1"/>
  <c r="GO15" i="1"/>
  <c r="GQ15" i="1"/>
  <c r="GR15" i="1"/>
  <c r="GX15" i="1"/>
  <c r="GZ15" i="1" s="1"/>
  <c r="GY15" i="1"/>
  <c r="HA15" i="1"/>
  <c r="HB15" i="1"/>
  <c r="HH15" i="1"/>
  <c r="HI15" i="1"/>
  <c r="L16" i="1"/>
  <c r="AZ16" i="1"/>
  <c r="BA16" i="1"/>
  <c r="BC16" i="1"/>
  <c r="BD16" i="1"/>
  <c r="BF16" i="1"/>
  <c r="BH16" i="1" s="1"/>
  <c r="BG16" i="1"/>
  <c r="BI16" i="1"/>
  <c r="BJ16" i="1"/>
  <c r="BK16" i="1" s="1"/>
  <c r="BL16" i="1"/>
  <c r="BM16" i="1"/>
  <c r="BO16" i="1"/>
  <c r="BP16" i="1"/>
  <c r="BR16" i="1"/>
  <c r="BS16" i="1"/>
  <c r="BT16" i="1"/>
  <c r="BU16" i="1"/>
  <c r="BW16" i="1" s="1"/>
  <c r="BV16" i="1"/>
  <c r="BX16" i="1"/>
  <c r="BY16" i="1"/>
  <c r="CE16" i="1"/>
  <c r="CG16" i="1" s="1"/>
  <c r="CF16" i="1"/>
  <c r="CH16" i="1"/>
  <c r="CJ16" i="1" s="1"/>
  <c r="CI16" i="1"/>
  <c r="CK16" i="1"/>
  <c r="CL16" i="1"/>
  <c r="CN16" i="1"/>
  <c r="CO16" i="1"/>
  <c r="CQ16" i="1"/>
  <c r="CR16" i="1"/>
  <c r="CT16" i="1"/>
  <c r="CV16" i="1" s="1"/>
  <c r="CU16" i="1"/>
  <c r="CW16" i="1"/>
  <c r="CX16" i="1"/>
  <c r="CZ16" i="1"/>
  <c r="DA16" i="1"/>
  <c r="DG16" i="1"/>
  <c r="DH16" i="1"/>
  <c r="DI16" i="1" s="1"/>
  <c r="DJ16" i="1"/>
  <c r="DK16" i="1"/>
  <c r="DM16" i="1"/>
  <c r="DN16" i="1"/>
  <c r="DP16" i="1"/>
  <c r="DQ16" i="1"/>
  <c r="DS16" i="1"/>
  <c r="DU16" i="1" s="1"/>
  <c r="DT16" i="1"/>
  <c r="DV16" i="1"/>
  <c r="DW16" i="1"/>
  <c r="DY16" i="1"/>
  <c r="EA16" i="1" s="1"/>
  <c r="DZ16" i="1"/>
  <c r="EF16" i="1"/>
  <c r="EG16" i="1"/>
  <c r="EH16" i="1"/>
  <c r="EI16" i="1"/>
  <c r="EJ16" i="1"/>
  <c r="EL16" i="1"/>
  <c r="EM16" i="1"/>
  <c r="EO16" i="1"/>
  <c r="EQ16" i="1" s="1"/>
  <c r="EP16" i="1"/>
  <c r="ER16" i="1"/>
  <c r="ET16" i="1" s="1"/>
  <c r="ES16" i="1"/>
  <c r="EU16" i="1"/>
  <c r="EV16" i="1"/>
  <c r="FB16" i="1"/>
  <c r="FD16" i="1" s="1"/>
  <c r="FC16" i="1"/>
  <c r="FE16" i="1"/>
  <c r="FF16" i="1"/>
  <c r="FH16" i="1"/>
  <c r="FI16" i="1"/>
  <c r="FK16" i="1"/>
  <c r="FL16" i="1"/>
  <c r="FN16" i="1"/>
  <c r="FP16" i="1" s="1"/>
  <c r="FO16" i="1"/>
  <c r="FU16" i="1"/>
  <c r="FV16" i="1"/>
  <c r="FX16" i="1"/>
  <c r="FZ16" i="1" s="1"/>
  <c r="FY16" i="1"/>
  <c r="GA16" i="1"/>
  <c r="GB16" i="1"/>
  <c r="GC16" i="1" s="1"/>
  <c r="GD16" i="1"/>
  <c r="GE16" i="1"/>
  <c r="GF16" i="1"/>
  <c r="GK16" i="1"/>
  <c r="GL16" i="1"/>
  <c r="GN16" i="1"/>
  <c r="GO16" i="1"/>
  <c r="GP16" i="1" s="1"/>
  <c r="GQ16" i="1"/>
  <c r="GR16" i="1"/>
  <c r="GS16" i="1"/>
  <c r="GX16" i="1"/>
  <c r="GZ16" i="1" s="1"/>
  <c r="GY16" i="1"/>
  <c r="HA16" i="1"/>
  <c r="HB16" i="1"/>
  <c r="HC16" i="1" s="1"/>
  <c r="HH16" i="1"/>
  <c r="HI16" i="1"/>
  <c r="L17" i="1"/>
  <c r="AZ17" i="1"/>
  <c r="BA17" i="1"/>
  <c r="BC17" i="1"/>
  <c r="BE17" i="1" s="1"/>
  <c r="BD17" i="1"/>
  <c r="BF17" i="1"/>
  <c r="BG17" i="1"/>
  <c r="BI17" i="1"/>
  <c r="BJ17" i="1"/>
  <c r="BL17" i="1"/>
  <c r="BM17" i="1"/>
  <c r="BO17" i="1"/>
  <c r="BQ17" i="1" s="1"/>
  <c r="BP17" i="1"/>
  <c r="BR17" i="1"/>
  <c r="BS17" i="1"/>
  <c r="BT17" i="1" s="1"/>
  <c r="BU17" i="1"/>
  <c r="BV17" i="1"/>
  <c r="BX17" i="1"/>
  <c r="BY17" i="1"/>
  <c r="CE17" i="1"/>
  <c r="CF17" i="1"/>
  <c r="CG17" i="1"/>
  <c r="CH17" i="1"/>
  <c r="CJ17" i="1" s="1"/>
  <c r="CI17" i="1"/>
  <c r="CK17" i="1"/>
  <c r="CL17" i="1"/>
  <c r="CN17" i="1"/>
  <c r="CP17" i="1" s="1"/>
  <c r="CO17" i="1"/>
  <c r="CQ17" i="1"/>
  <c r="CR17" i="1"/>
  <c r="CT17" i="1"/>
  <c r="CU17" i="1"/>
  <c r="CW17" i="1"/>
  <c r="CX17" i="1"/>
  <c r="CZ17" i="1"/>
  <c r="DB17" i="1" s="1"/>
  <c r="DA17" i="1"/>
  <c r="DG17" i="1"/>
  <c r="DI17" i="1" s="1"/>
  <c r="DH17" i="1"/>
  <c r="DJ17" i="1"/>
  <c r="DK17" i="1"/>
  <c r="DM17" i="1"/>
  <c r="DO17" i="1" s="1"/>
  <c r="DN17" i="1"/>
  <c r="DP17" i="1"/>
  <c r="DQ17" i="1"/>
  <c r="DS17" i="1"/>
  <c r="DT17" i="1"/>
  <c r="DV17" i="1"/>
  <c r="DW17" i="1"/>
  <c r="DY17" i="1"/>
  <c r="EA17" i="1" s="1"/>
  <c r="DZ17" i="1"/>
  <c r="EF17" i="1"/>
  <c r="EG17" i="1"/>
  <c r="EI17" i="1"/>
  <c r="EK17" i="1" s="1"/>
  <c r="EJ17" i="1"/>
  <c r="EL17" i="1"/>
  <c r="EM17" i="1"/>
  <c r="EN17" i="1" s="1"/>
  <c r="EO17" i="1"/>
  <c r="EP17" i="1"/>
  <c r="EQ17" i="1"/>
  <c r="ER17" i="1"/>
  <c r="ET17" i="1" s="1"/>
  <c r="ES17" i="1"/>
  <c r="EU17" i="1"/>
  <c r="EV17" i="1"/>
  <c r="FB17" i="1"/>
  <c r="FD17" i="1" s="1"/>
  <c r="FC17" i="1"/>
  <c r="FE17" i="1"/>
  <c r="FF17" i="1"/>
  <c r="FH17" i="1"/>
  <c r="FJ17" i="1" s="1"/>
  <c r="FI17" i="1"/>
  <c r="FK17" i="1"/>
  <c r="FL17" i="1"/>
  <c r="FN17" i="1"/>
  <c r="FP17" i="1" s="1"/>
  <c r="FO17" i="1"/>
  <c r="FU17" i="1"/>
  <c r="FV17" i="1"/>
  <c r="FX17" i="1"/>
  <c r="FY17" i="1"/>
  <c r="GA17" i="1"/>
  <c r="GC17" i="1" s="1"/>
  <c r="GB17" i="1"/>
  <c r="GD17" i="1"/>
  <c r="GE17" i="1"/>
  <c r="GK17" i="1"/>
  <c r="GM17" i="1" s="1"/>
  <c r="GL17" i="1"/>
  <c r="GN17" i="1"/>
  <c r="GO17" i="1"/>
  <c r="GQ17" i="1"/>
  <c r="GR17" i="1"/>
  <c r="GX17" i="1"/>
  <c r="GY17" i="1"/>
  <c r="GZ17" i="1" s="1"/>
  <c r="HA17" i="1"/>
  <c r="HB17" i="1"/>
  <c r="HH17" i="1"/>
  <c r="HI17" i="1"/>
  <c r="L18" i="1"/>
  <c r="AZ18" i="1"/>
  <c r="BA18" i="1"/>
  <c r="BB18" i="1" s="1"/>
  <c r="BC18" i="1"/>
  <c r="BD18" i="1"/>
  <c r="BF18" i="1"/>
  <c r="BG18" i="1"/>
  <c r="BI18" i="1"/>
  <c r="BJ18" i="1"/>
  <c r="BL18" i="1"/>
  <c r="BN18" i="1" s="1"/>
  <c r="BM18" i="1"/>
  <c r="BO18" i="1"/>
  <c r="BP18" i="1"/>
  <c r="BQ18" i="1"/>
  <c r="BR18" i="1"/>
  <c r="BT18" i="1" s="1"/>
  <c r="BS18" i="1"/>
  <c r="BU18" i="1"/>
  <c r="BV18" i="1"/>
  <c r="BX18" i="1"/>
  <c r="BZ18" i="1" s="1"/>
  <c r="BY18" i="1"/>
  <c r="CE18" i="1"/>
  <c r="CG18" i="1" s="1"/>
  <c r="CF18" i="1"/>
  <c r="CH18" i="1"/>
  <c r="CI18" i="1"/>
  <c r="CK18" i="1"/>
  <c r="CM18" i="1" s="1"/>
  <c r="CL18" i="1"/>
  <c r="CN18" i="1"/>
  <c r="CO18" i="1"/>
  <c r="CQ18" i="1"/>
  <c r="CR18" i="1"/>
  <c r="CT18" i="1"/>
  <c r="CU18" i="1"/>
  <c r="CW18" i="1"/>
  <c r="CY18" i="1" s="1"/>
  <c r="CX18" i="1"/>
  <c r="CZ18" i="1"/>
  <c r="DA18" i="1"/>
  <c r="DB18" i="1" s="1"/>
  <c r="DG18" i="1"/>
  <c r="DH18" i="1"/>
  <c r="DJ18" i="1"/>
  <c r="DL18" i="1" s="1"/>
  <c r="DK18" i="1"/>
  <c r="DM18" i="1"/>
  <c r="DN18" i="1"/>
  <c r="DO18" i="1" s="1"/>
  <c r="DP18" i="1"/>
  <c r="DQ18" i="1"/>
  <c r="DS18" i="1"/>
  <c r="DT18" i="1"/>
  <c r="DV18" i="1"/>
  <c r="DW18" i="1"/>
  <c r="DX18" i="1"/>
  <c r="DY18" i="1"/>
  <c r="EA18" i="1" s="1"/>
  <c r="DZ18" i="1"/>
  <c r="EF18" i="1"/>
  <c r="EG18" i="1"/>
  <c r="EI18" i="1"/>
  <c r="EJ18" i="1"/>
  <c r="EK18" i="1"/>
  <c r="EL18" i="1"/>
  <c r="EN18" i="1" s="1"/>
  <c r="EM18" i="1"/>
  <c r="EO18" i="1"/>
  <c r="EQ18" i="1" s="1"/>
  <c r="EP18" i="1"/>
  <c r="ER18" i="1"/>
  <c r="ES18" i="1"/>
  <c r="EU18" i="1"/>
  <c r="EW18" i="1" s="1"/>
  <c r="EV18" i="1"/>
  <c r="FB18" i="1"/>
  <c r="FC18" i="1"/>
  <c r="FE18" i="1"/>
  <c r="FG18" i="1" s="1"/>
  <c r="FF18" i="1"/>
  <c r="FH18" i="1"/>
  <c r="FI18" i="1"/>
  <c r="FK18" i="1"/>
  <c r="FM18" i="1" s="1"/>
  <c r="FL18" i="1"/>
  <c r="FN18" i="1"/>
  <c r="FO18" i="1"/>
  <c r="FU18" i="1"/>
  <c r="FV18" i="1"/>
  <c r="FW18" i="1" s="1"/>
  <c r="FX18" i="1"/>
  <c r="FY18" i="1"/>
  <c r="GA18" i="1"/>
  <c r="GB18" i="1"/>
  <c r="GD18" i="1"/>
  <c r="GE18" i="1"/>
  <c r="GK18" i="1"/>
  <c r="GM18" i="1" s="1"/>
  <c r="GL18" i="1"/>
  <c r="GN18" i="1"/>
  <c r="GO18" i="1"/>
  <c r="GQ18" i="1"/>
  <c r="GR18" i="1"/>
  <c r="GX18" i="1"/>
  <c r="GZ18" i="1" s="1"/>
  <c r="GY18" i="1"/>
  <c r="HA18" i="1"/>
  <c r="HB18" i="1"/>
  <c r="HH18" i="1"/>
  <c r="HJ18" i="1" s="1"/>
  <c r="HI18" i="1"/>
  <c r="L19" i="1"/>
  <c r="AZ19" i="1"/>
  <c r="BA19" i="1"/>
  <c r="BC19" i="1"/>
  <c r="BD19" i="1"/>
  <c r="BF19" i="1"/>
  <c r="BG19" i="1"/>
  <c r="BI19" i="1"/>
  <c r="BK19" i="1" s="1"/>
  <c r="BJ19" i="1"/>
  <c r="BL19" i="1"/>
  <c r="BN19" i="1" s="1"/>
  <c r="BM19" i="1"/>
  <c r="BO19" i="1"/>
  <c r="BP19" i="1"/>
  <c r="BR19" i="1"/>
  <c r="BS19" i="1"/>
  <c r="BU19" i="1"/>
  <c r="BV19" i="1"/>
  <c r="BX19" i="1"/>
  <c r="BZ19" i="1" s="1"/>
  <c r="BY19" i="1"/>
  <c r="CE19" i="1"/>
  <c r="CF19" i="1"/>
  <c r="CH19" i="1"/>
  <c r="CI19" i="1"/>
  <c r="CJ19" i="1"/>
  <c r="CK19" i="1"/>
  <c r="CM19" i="1" s="1"/>
  <c r="CL19" i="1"/>
  <c r="CN19" i="1"/>
  <c r="CP19" i="1" s="1"/>
  <c r="CO19" i="1"/>
  <c r="CQ19" i="1"/>
  <c r="CR19" i="1"/>
  <c r="CT19" i="1"/>
  <c r="CV19" i="1" s="1"/>
  <c r="CU19" i="1"/>
  <c r="CW19" i="1"/>
  <c r="CX19" i="1"/>
  <c r="CZ19" i="1"/>
  <c r="DA19" i="1"/>
  <c r="DG19" i="1"/>
  <c r="DH19" i="1"/>
  <c r="DI19" i="1" s="1"/>
  <c r="DJ19" i="1"/>
  <c r="DK19" i="1"/>
  <c r="DL19" i="1"/>
  <c r="DM19" i="1"/>
  <c r="DO19" i="1" s="1"/>
  <c r="DN19" i="1"/>
  <c r="DP19" i="1"/>
  <c r="DQ19" i="1"/>
  <c r="DS19" i="1"/>
  <c r="DU19" i="1" s="1"/>
  <c r="DT19" i="1"/>
  <c r="DV19" i="1"/>
  <c r="DW19" i="1"/>
  <c r="DY19" i="1"/>
  <c r="DZ19" i="1"/>
  <c r="EF19" i="1"/>
  <c r="EH19" i="1" s="1"/>
  <c r="EG19" i="1"/>
  <c r="EI19" i="1"/>
  <c r="EJ19" i="1"/>
  <c r="EK19" i="1" s="1"/>
  <c r="EL19" i="1"/>
  <c r="EM19" i="1"/>
  <c r="EO19" i="1"/>
  <c r="EP19" i="1"/>
  <c r="ER19" i="1"/>
  <c r="ES19" i="1"/>
  <c r="EU19" i="1"/>
  <c r="EW19" i="1" s="1"/>
  <c r="EV19" i="1"/>
  <c r="FB19" i="1"/>
  <c r="FC19" i="1"/>
  <c r="FE19" i="1"/>
  <c r="FG19" i="1" s="1"/>
  <c r="FF19" i="1"/>
  <c r="FH19" i="1"/>
  <c r="FJ19" i="1" s="1"/>
  <c r="FI19" i="1"/>
  <c r="FK19" i="1"/>
  <c r="FL19" i="1"/>
  <c r="FN19" i="1"/>
  <c r="FO19" i="1"/>
  <c r="FU19" i="1"/>
  <c r="FW19" i="1" s="1"/>
  <c r="FV19" i="1"/>
  <c r="FX19" i="1"/>
  <c r="FY19" i="1"/>
  <c r="GA19" i="1"/>
  <c r="GB19" i="1"/>
  <c r="GD19" i="1"/>
  <c r="GE19" i="1"/>
  <c r="GF19" i="1"/>
  <c r="GK19" i="1"/>
  <c r="GM19" i="1" s="1"/>
  <c r="GL19" i="1"/>
  <c r="GN19" i="1"/>
  <c r="GO19" i="1"/>
  <c r="GQ19" i="1"/>
  <c r="GS19" i="1" s="1"/>
  <c r="GR19" i="1"/>
  <c r="GX19" i="1"/>
  <c r="GY19" i="1"/>
  <c r="HA19" i="1"/>
  <c r="HB19" i="1"/>
  <c r="HH19" i="1"/>
  <c r="HI19" i="1"/>
  <c r="HJ19" i="1"/>
  <c r="L20" i="1"/>
  <c r="AZ20" i="1"/>
  <c r="BB20" i="1" s="1"/>
  <c r="BA20" i="1"/>
  <c r="BC20" i="1"/>
  <c r="BD20" i="1"/>
  <c r="BF20" i="1"/>
  <c r="BH20" i="1" s="1"/>
  <c r="BG20" i="1"/>
  <c r="BI20" i="1"/>
  <c r="BJ20" i="1"/>
  <c r="BL20" i="1"/>
  <c r="BM20" i="1"/>
  <c r="BO20" i="1"/>
  <c r="BP20" i="1"/>
  <c r="BR20" i="1"/>
  <c r="BT20" i="1" s="1"/>
  <c r="BS20" i="1"/>
  <c r="BU20" i="1"/>
  <c r="BV20" i="1"/>
  <c r="BW20" i="1" s="1"/>
  <c r="BX20" i="1"/>
  <c r="BY20" i="1"/>
  <c r="CE20" i="1"/>
  <c r="CG20" i="1" s="1"/>
  <c r="CF20" i="1"/>
  <c r="CH20" i="1"/>
  <c r="CI20" i="1"/>
  <c r="CJ20" i="1" s="1"/>
  <c r="CK20" i="1"/>
  <c r="CL20" i="1"/>
  <c r="CN20" i="1"/>
  <c r="CO20" i="1"/>
  <c r="CQ20" i="1"/>
  <c r="CR20" i="1"/>
  <c r="CT20" i="1"/>
  <c r="CV20" i="1" s="1"/>
  <c r="CU20" i="1"/>
  <c r="CW20" i="1"/>
  <c r="CX20" i="1"/>
  <c r="CZ20" i="1"/>
  <c r="DB20" i="1" s="1"/>
  <c r="DA20" i="1"/>
  <c r="DG20" i="1"/>
  <c r="DH20" i="1"/>
  <c r="DI20" i="1"/>
  <c r="DJ20" i="1"/>
  <c r="DL20" i="1" s="1"/>
  <c r="DK20" i="1"/>
  <c r="DM20" i="1"/>
  <c r="DN20" i="1"/>
  <c r="DP20" i="1"/>
  <c r="DR20" i="1" s="1"/>
  <c r="DQ20" i="1"/>
  <c r="DS20" i="1"/>
  <c r="DU20" i="1" s="1"/>
  <c r="DT20" i="1"/>
  <c r="DV20" i="1"/>
  <c r="DW20" i="1"/>
  <c r="DY20" i="1"/>
  <c r="EA20" i="1" s="1"/>
  <c r="DZ20" i="1"/>
  <c r="EF20" i="1"/>
  <c r="EG20" i="1"/>
  <c r="EI20" i="1"/>
  <c r="EJ20" i="1"/>
  <c r="EL20" i="1"/>
  <c r="EM20" i="1"/>
  <c r="EO20" i="1"/>
  <c r="EQ20" i="1" s="1"/>
  <c r="EP20" i="1"/>
  <c r="ER20" i="1"/>
  <c r="ES20" i="1"/>
  <c r="ET20" i="1" s="1"/>
  <c r="EU20" i="1"/>
  <c r="EV20" i="1"/>
  <c r="FB20" i="1"/>
  <c r="FD20" i="1" s="1"/>
  <c r="FC20" i="1"/>
  <c r="FE20" i="1"/>
  <c r="FF20" i="1"/>
  <c r="FG20" i="1" s="1"/>
  <c r="FH20" i="1"/>
  <c r="FI20" i="1"/>
  <c r="FK20" i="1"/>
  <c r="FL20" i="1"/>
  <c r="FN20" i="1"/>
  <c r="FO20" i="1"/>
  <c r="FU20" i="1"/>
  <c r="FV20" i="1"/>
  <c r="FX20" i="1"/>
  <c r="FY20" i="1"/>
  <c r="GA20" i="1"/>
  <c r="GC20" i="1" s="1"/>
  <c r="GB20" i="1"/>
  <c r="GD20" i="1"/>
  <c r="GE20" i="1"/>
  <c r="GF20" i="1"/>
  <c r="GK20" i="1"/>
  <c r="GL20" i="1"/>
  <c r="GN20" i="1"/>
  <c r="GO20" i="1"/>
  <c r="GQ20" i="1"/>
  <c r="GS20" i="1" s="1"/>
  <c r="GR20" i="1"/>
  <c r="GX20" i="1"/>
  <c r="GZ20" i="1" s="1"/>
  <c r="GY20" i="1"/>
  <c r="HA20" i="1"/>
  <c r="HB20" i="1"/>
  <c r="HH20" i="1"/>
  <c r="HI20" i="1"/>
  <c r="L21" i="1"/>
  <c r="M21" i="1" s="1"/>
  <c r="AZ21" i="1"/>
  <c r="BA21" i="1"/>
  <c r="BC21" i="1"/>
  <c r="BE21" i="1" s="1"/>
  <c r="BD21" i="1"/>
  <c r="BF21" i="1"/>
  <c r="BG21" i="1"/>
  <c r="BI21" i="1"/>
  <c r="BJ21" i="1"/>
  <c r="BL21" i="1"/>
  <c r="BM21" i="1"/>
  <c r="BO21" i="1"/>
  <c r="BP21" i="1"/>
  <c r="BR21" i="1"/>
  <c r="BT21" i="1" s="1"/>
  <c r="BS21" i="1"/>
  <c r="BU21" i="1"/>
  <c r="BV21" i="1"/>
  <c r="BX21" i="1"/>
  <c r="BZ21" i="1" s="1"/>
  <c r="BY21" i="1"/>
  <c r="CE21" i="1"/>
  <c r="CF21" i="1"/>
  <c r="CG21" i="1" s="1"/>
  <c r="CH21" i="1"/>
  <c r="CI21" i="1"/>
  <c r="CK21" i="1"/>
  <c r="CL21" i="1"/>
  <c r="CN21" i="1"/>
  <c r="CO21" i="1"/>
  <c r="CP21" i="1"/>
  <c r="CQ21" i="1"/>
  <c r="CS21" i="1" s="1"/>
  <c r="CR21" i="1"/>
  <c r="CT21" i="1"/>
  <c r="CU21" i="1"/>
  <c r="CW21" i="1"/>
  <c r="CY21" i="1" s="1"/>
  <c r="CX21" i="1"/>
  <c r="CZ21" i="1"/>
  <c r="DA21" i="1"/>
  <c r="DG21" i="1"/>
  <c r="DH21" i="1"/>
  <c r="DJ21" i="1"/>
  <c r="DK21" i="1"/>
  <c r="DM21" i="1"/>
  <c r="DO21" i="1" s="1"/>
  <c r="DN21" i="1"/>
  <c r="DP21" i="1"/>
  <c r="DR21" i="1" s="1"/>
  <c r="DQ21" i="1"/>
  <c r="DS21" i="1"/>
  <c r="DT21" i="1"/>
  <c r="DV21" i="1"/>
  <c r="DW21" i="1"/>
  <c r="DY21" i="1"/>
  <c r="DZ21" i="1"/>
  <c r="EF21" i="1"/>
  <c r="EG21" i="1"/>
  <c r="EI21" i="1"/>
  <c r="EJ21" i="1"/>
  <c r="EL21" i="1"/>
  <c r="EN21" i="1" s="1"/>
  <c r="EM21" i="1"/>
  <c r="EO21" i="1"/>
  <c r="EP21" i="1"/>
  <c r="ER21" i="1"/>
  <c r="ES21" i="1"/>
  <c r="EU21" i="1"/>
  <c r="EV21" i="1"/>
  <c r="FB21" i="1"/>
  <c r="FC21" i="1"/>
  <c r="FD21" i="1"/>
  <c r="FE21" i="1"/>
  <c r="FG21" i="1" s="1"/>
  <c r="FF21" i="1"/>
  <c r="FH21" i="1"/>
  <c r="FI21" i="1"/>
  <c r="FK21" i="1"/>
  <c r="FM21" i="1" s="1"/>
  <c r="FL21" i="1"/>
  <c r="FN21" i="1"/>
  <c r="FO21" i="1"/>
  <c r="FU21" i="1"/>
  <c r="FV21" i="1"/>
  <c r="FX21" i="1"/>
  <c r="FY21" i="1"/>
  <c r="FZ21" i="1" s="1"/>
  <c r="GA21" i="1"/>
  <c r="GB21" i="1"/>
  <c r="GD21" i="1"/>
  <c r="GE21" i="1"/>
  <c r="GK21" i="1"/>
  <c r="GL21" i="1"/>
  <c r="GM21" i="1"/>
  <c r="GN21" i="1"/>
  <c r="GP21" i="1" s="1"/>
  <c r="GO21" i="1"/>
  <c r="GQ21" i="1"/>
  <c r="GR21" i="1"/>
  <c r="GX21" i="1"/>
  <c r="GZ21" i="1" s="1"/>
  <c r="GY21" i="1"/>
  <c r="HA21" i="1"/>
  <c r="HC21" i="1" s="1"/>
  <c r="HB21" i="1"/>
  <c r="HH21" i="1"/>
  <c r="HI21" i="1"/>
  <c r="L22" i="1"/>
  <c r="AZ22" i="1"/>
  <c r="BB22" i="1" s="1"/>
  <c r="BA22" i="1"/>
  <c r="BC22" i="1"/>
  <c r="BD22" i="1"/>
  <c r="BF22" i="1"/>
  <c r="BG22" i="1"/>
  <c r="BI22" i="1"/>
  <c r="BJ22" i="1"/>
  <c r="BL22" i="1"/>
  <c r="BN22" i="1" s="1"/>
  <c r="BM22" i="1"/>
  <c r="BO22" i="1"/>
  <c r="BP22" i="1"/>
  <c r="BQ22" i="1"/>
  <c r="BR22" i="1"/>
  <c r="BS22" i="1"/>
  <c r="BU22" i="1"/>
  <c r="BV22" i="1"/>
  <c r="BX22" i="1"/>
  <c r="BY22" i="1"/>
  <c r="BZ22" i="1"/>
  <c r="CE22" i="1"/>
  <c r="CG22" i="1" s="1"/>
  <c r="CF22" i="1"/>
  <c r="CH22" i="1"/>
  <c r="CI22" i="1"/>
  <c r="CK22" i="1"/>
  <c r="CM22" i="1" s="1"/>
  <c r="CL22" i="1"/>
  <c r="CN22" i="1"/>
  <c r="CO22" i="1"/>
  <c r="CQ22" i="1"/>
  <c r="CR22" i="1"/>
  <c r="CT22" i="1"/>
  <c r="CU22" i="1"/>
  <c r="CW22" i="1"/>
  <c r="CY22" i="1" s="1"/>
  <c r="CX22" i="1"/>
  <c r="CZ22" i="1"/>
  <c r="DA22" i="1"/>
  <c r="DG22" i="1"/>
  <c r="DI22" i="1" s="1"/>
  <c r="DH22" i="1"/>
  <c r="DJ22" i="1"/>
  <c r="DK22" i="1"/>
  <c r="DM22" i="1"/>
  <c r="DO22" i="1" s="1"/>
  <c r="DN22" i="1"/>
  <c r="DP22" i="1"/>
  <c r="DQ22" i="1"/>
  <c r="DS22" i="1"/>
  <c r="DT22" i="1"/>
  <c r="DV22" i="1"/>
  <c r="DW22" i="1"/>
  <c r="DX22" i="1"/>
  <c r="DY22" i="1"/>
  <c r="DZ22" i="1"/>
  <c r="EF22" i="1"/>
  <c r="EG22" i="1"/>
  <c r="EI22" i="1"/>
  <c r="EJ22" i="1"/>
  <c r="EK22" i="1"/>
  <c r="EL22" i="1"/>
  <c r="EM22" i="1"/>
  <c r="EN22" i="1"/>
  <c r="EO22" i="1"/>
  <c r="EQ22" i="1" s="1"/>
  <c r="EP22" i="1"/>
  <c r="ER22" i="1"/>
  <c r="ES22" i="1"/>
  <c r="EU22" i="1"/>
  <c r="EW22" i="1" s="1"/>
  <c r="EV22" i="1"/>
  <c r="FB22" i="1"/>
  <c r="FC22" i="1"/>
  <c r="FE22" i="1"/>
  <c r="FG22" i="1" s="1"/>
  <c r="FF22" i="1"/>
  <c r="FH22" i="1"/>
  <c r="FI22" i="1"/>
  <c r="FK22" i="1"/>
  <c r="FM22" i="1" s="1"/>
  <c r="FL22" i="1"/>
  <c r="FN22" i="1"/>
  <c r="FO22" i="1"/>
  <c r="FU22" i="1"/>
  <c r="FW22" i="1" s="1"/>
  <c r="FV22" i="1"/>
  <c r="FX22" i="1"/>
  <c r="FY22" i="1"/>
  <c r="GA22" i="1"/>
  <c r="GB22" i="1"/>
  <c r="GD22" i="1"/>
  <c r="GE22" i="1"/>
  <c r="GK22" i="1"/>
  <c r="GL22" i="1"/>
  <c r="GN22" i="1"/>
  <c r="GO22" i="1"/>
  <c r="GQ22" i="1"/>
  <c r="GR22" i="1"/>
  <c r="GX22" i="1"/>
  <c r="GY22" i="1"/>
  <c r="HA22" i="1"/>
  <c r="HB22" i="1"/>
  <c r="HH22" i="1"/>
  <c r="HJ22" i="1" s="1"/>
  <c r="HI22" i="1"/>
  <c r="L23" i="1"/>
  <c r="AZ23" i="1"/>
  <c r="BB23" i="1" s="1"/>
  <c r="BA23" i="1"/>
  <c r="BC23" i="1"/>
  <c r="BD23" i="1"/>
  <c r="BF23" i="1"/>
  <c r="BG23" i="1"/>
  <c r="BI23" i="1"/>
  <c r="BJ23" i="1"/>
  <c r="BK23" i="1"/>
  <c r="BL23" i="1"/>
  <c r="BN23" i="1" s="1"/>
  <c r="BM23" i="1"/>
  <c r="BO23" i="1"/>
  <c r="BP23" i="1"/>
  <c r="BR23" i="1"/>
  <c r="BS23" i="1"/>
  <c r="BU23" i="1"/>
  <c r="BV23" i="1"/>
  <c r="BX23" i="1"/>
  <c r="BY23" i="1"/>
  <c r="CE23" i="1"/>
  <c r="CF23" i="1"/>
  <c r="CH23" i="1"/>
  <c r="CI23" i="1"/>
  <c r="CJ23" i="1"/>
  <c r="CK23" i="1"/>
  <c r="CL23" i="1"/>
  <c r="CM23" i="1"/>
  <c r="CN23" i="1"/>
  <c r="CP23" i="1" s="1"/>
  <c r="CO23" i="1"/>
  <c r="CQ23" i="1"/>
  <c r="CR23" i="1"/>
  <c r="CT23" i="1"/>
  <c r="CV23" i="1" s="1"/>
  <c r="CU23" i="1"/>
  <c r="CW23" i="1"/>
  <c r="CX23" i="1"/>
  <c r="CZ23" i="1"/>
  <c r="DA23" i="1"/>
  <c r="DG23" i="1"/>
  <c r="DH23" i="1"/>
  <c r="DJ23" i="1"/>
  <c r="DK23" i="1"/>
  <c r="DL23" i="1"/>
  <c r="DM23" i="1"/>
  <c r="DO23" i="1" s="1"/>
  <c r="DN23" i="1"/>
  <c r="DP23" i="1"/>
  <c r="DQ23" i="1"/>
  <c r="DS23" i="1"/>
  <c r="DU23" i="1" s="1"/>
  <c r="DT23" i="1"/>
  <c r="DV23" i="1"/>
  <c r="DW23" i="1"/>
  <c r="DY23" i="1"/>
  <c r="DZ23" i="1"/>
  <c r="EF23" i="1"/>
  <c r="EH23" i="1" s="1"/>
  <c r="EG23" i="1"/>
  <c r="EI23" i="1"/>
  <c r="EJ23" i="1"/>
  <c r="EK23" i="1"/>
  <c r="EL23" i="1"/>
  <c r="EM23" i="1"/>
  <c r="EO23" i="1"/>
  <c r="EP23" i="1"/>
  <c r="ER23" i="1"/>
  <c r="ES23" i="1"/>
  <c r="EU23" i="1"/>
  <c r="EV23" i="1"/>
  <c r="FB23" i="1"/>
  <c r="FC23" i="1"/>
  <c r="FE23" i="1"/>
  <c r="FG23" i="1" s="1"/>
  <c r="FF23" i="1"/>
  <c r="FH23" i="1"/>
  <c r="FI23" i="1"/>
  <c r="FK23" i="1"/>
  <c r="FL23" i="1"/>
  <c r="FN23" i="1"/>
  <c r="FO23" i="1"/>
  <c r="FU23" i="1"/>
  <c r="FV23" i="1"/>
  <c r="FX23" i="1"/>
  <c r="FY23" i="1"/>
  <c r="GA23" i="1"/>
  <c r="GB23" i="1"/>
  <c r="GB109" i="1" s="1"/>
  <c r="GD23" i="1"/>
  <c r="GE23" i="1"/>
  <c r="GF23" i="1"/>
  <c r="GK23" i="1"/>
  <c r="GM23" i="1" s="1"/>
  <c r="GL23" i="1"/>
  <c r="GN23" i="1"/>
  <c r="GO23" i="1"/>
  <c r="GQ23" i="1"/>
  <c r="GS23" i="1" s="1"/>
  <c r="GR23" i="1"/>
  <c r="GX23" i="1"/>
  <c r="GY23" i="1"/>
  <c r="HA23" i="1"/>
  <c r="HB23" i="1"/>
  <c r="HH23" i="1"/>
  <c r="HI23" i="1"/>
  <c r="HJ23" i="1"/>
  <c r="L24" i="1"/>
  <c r="AZ24" i="1"/>
  <c r="BA24" i="1"/>
  <c r="BA109" i="1" s="1"/>
  <c r="BC24" i="1"/>
  <c r="BD24" i="1"/>
  <c r="BF24" i="1"/>
  <c r="BG24" i="1"/>
  <c r="BI24" i="1"/>
  <c r="BJ24" i="1"/>
  <c r="BL24" i="1"/>
  <c r="BM24" i="1"/>
  <c r="BO24" i="1"/>
  <c r="BP24" i="1"/>
  <c r="BR24" i="1"/>
  <c r="BS24" i="1"/>
  <c r="BU24" i="1"/>
  <c r="BV24" i="1"/>
  <c r="BW24" i="1"/>
  <c r="BX24" i="1"/>
  <c r="BY24" i="1"/>
  <c r="CE24" i="1"/>
  <c r="CF24" i="1"/>
  <c r="CH24" i="1"/>
  <c r="CI24" i="1"/>
  <c r="CJ24" i="1"/>
  <c r="CK24" i="1"/>
  <c r="CL24" i="1"/>
  <c r="CN24" i="1"/>
  <c r="CO24" i="1"/>
  <c r="CQ24" i="1"/>
  <c r="CR24" i="1"/>
  <c r="CT24" i="1"/>
  <c r="CU24" i="1"/>
  <c r="CW24" i="1"/>
  <c r="CX24" i="1"/>
  <c r="CZ24" i="1"/>
  <c r="DA24" i="1"/>
  <c r="DG24" i="1"/>
  <c r="DH24" i="1"/>
  <c r="DI24" i="1"/>
  <c r="DJ24" i="1"/>
  <c r="DL24" i="1" s="1"/>
  <c r="DK24" i="1"/>
  <c r="DM24" i="1"/>
  <c r="DN24" i="1"/>
  <c r="DP24" i="1"/>
  <c r="DR24" i="1" s="1"/>
  <c r="DQ24" i="1"/>
  <c r="DS24" i="1"/>
  <c r="DT24" i="1"/>
  <c r="DV24" i="1"/>
  <c r="DW24" i="1"/>
  <c r="DY24" i="1"/>
  <c r="DZ24" i="1"/>
  <c r="EF24" i="1"/>
  <c r="EG24" i="1"/>
  <c r="EI24" i="1"/>
  <c r="EJ24" i="1"/>
  <c r="EL24" i="1"/>
  <c r="EM24" i="1"/>
  <c r="EO24" i="1"/>
  <c r="EQ24" i="1" s="1"/>
  <c r="EP24" i="1"/>
  <c r="ER24" i="1"/>
  <c r="ES24" i="1"/>
  <c r="ET24" i="1"/>
  <c r="EU24" i="1"/>
  <c r="EV24" i="1"/>
  <c r="FB24" i="1"/>
  <c r="FC24" i="1"/>
  <c r="FE24" i="1"/>
  <c r="FF24" i="1"/>
  <c r="FG24" i="1"/>
  <c r="FH24" i="1"/>
  <c r="FI24" i="1"/>
  <c r="FK24" i="1"/>
  <c r="FL24" i="1"/>
  <c r="FN24" i="1"/>
  <c r="FO24" i="1"/>
  <c r="FU24" i="1"/>
  <c r="FV24" i="1"/>
  <c r="FX24" i="1"/>
  <c r="FY24" i="1"/>
  <c r="GA24" i="1"/>
  <c r="GB24" i="1"/>
  <c r="GD24" i="1"/>
  <c r="GE24" i="1"/>
  <c r="GF24" i="1"/>
  <c r="GK24" i="1"/>
  <c r="GL24" i="1"/>
  <c r="GN24" i="1"/>
  <c r="GO24" i="1"/>
  <c r="GQ24" i="1"/>
  <c r="GS24" i="1" s="1"/>
  <c r="GR24" i="1"/>
  <c r="GX24" i="1"/>
  <c r="GY24" i="1"/>
  <c r="HA24" i="1"/>
  <c r="HB24" i="1"/>
  <c r="HH24" i="1"/>
  <c r="HI24" i="1"/>
  <c r="L25" i="1"/>
  <c r="AZ25" i="1"/>
  <c r="BA25" i="1"/>
  <c r="BC25" i="1"/>
  <c r="BE25" i="1" s="1"/>
  <c r="BD25" i="1"/>
  <c r="BF25" i="1"/>
  <c r="BH25" i="1" s="1"/>
  <c r="BG25" i="1"/>
  <c r="BI25" i="1"/>
  <c r="BJ25" i="1"/>
  <c r="BL25" i="1"/>
  <c r="BL110" i="1" s="1"/>
  <c r="BM25" i="1"/>
  <c r="BO25" i="1"/>
  <c r="BP25" i="1"/>
  <c r="BR25" i="1"/>
  <c r="BS25" i="1"/>
  <c r="BU25" i="1"/>
  <c r="BV25" i="1"/>
  <c r="BX25" i="1"/>
  <c r="BZ25" i="1" s="1"/>
  <c r="BY25" i="1"/>
  <c r="CE25" i="1"/>
  <c r="CF25" i="1"/>
  <c r="CG25" i="1"/>
  <c r="CH25" i="1"/>
  <c r="CI25" i="1"/>
  <c r="CK25" i="1"/>
  <c r="CL25" i="1"/>
  <c r="CN25" i="1"/>
  <c r="CO25" i="1"/>
  <c r="CP25" i="1"/>
  <c r="CQ25" i="1"/>
  <c r="CS25" i="1" s="1"/>
  <c r="CR25" i="1"/>
  <c r="CT25" i="1"/>
  <c r="CU25" i="1"/>
  <c r="CW25" i="1"/>
  <c r="CY25" i="1" s="1"/>
  <c r="CX25" i="1"/>
  <c r="CZ25" i="1"/>
  <c r="DA25" i="1"/>
  <c r="DG25" i="1"/>
  <c r="DH25" i="1"/>
  <c r="DJ25" i="1"/>
  <c r="DK25" i="1"/>
  <c r="DM25" i="1"/>
  <c r="DO25" i="1" s="1"/>
  <c r="DN25" i="1"/>
  <c r="DP25" i="1"/>
  <c r="DQ25" i="1"/>
  <c r="DS25" i="1"/>
  <c r="DT25" i="1"/>
  <c r="DV25" i="1"/>
  <c r="DW25" i="1"/>
  <c r="DY25" i="1"/>
  <c r="DZ25" i="1"/>
  <c r="EF25" i="1"/>
  <c r="EG25" i="1"/>
  <c r="EI25" i="1"/>
  <c r="EJ25" i="1"/>
  <c r="EL25" i="1"/>
  <c r="EN25" i="1" s="1"/>
  <c r="EM25" i="1"/>
  <c r="EO25" i="1"/>
  <c r="EP25" i="1"/>
  <c r="EQ25" i="1"/>
  <c r="ER25" i="1"/>
  <c r="ES25" i="1"/>
  <c r="EU25" i="1"/>
  <c r="EV25" i="1"/>
  <c r="FB25" i="1"/>
  <c r="FC25" i="1"/>
  <c r="FD25" i="1"/>
  <c r="FE25" i="1"/>
  <c r="FG25" i="1" s="1"/>
  <c r="FF25" i="1"/>
  <c r="FH25" i="1"/>
  <c r="FI25" i="1"/>
  <c r="FK25" i="1"/>
  <c r="FM25" i="1" s="1"/>
  <c r="FL25" i="1"/>
  <c r="FN25" i="1"/>
  <c r="FO25" i="1"/>
  <c r="FU25" i="1"/>
  <c r="FV25" i="1"/>
  <c r="FX25" i="1"/>
  <c r="FY25" i="1"/>
  <c r="FZ25" i="1"/>
  <c r="GA25" i="1"/>
  <c r="GB25" i="1"/>
  <c r="GD25" i="1"/>
  <c r="GE25" i="1"/>
  <c r="GK25" i="1"/>
  <c r="GL25" i="1"/>
  <c r="GM25" i="1"/>
  <c r="GN25" i="1"/>
  <c r="GP25" i="1" s="1"/>
  <c r="GO25" i="1"/>
  <c r="GQ25" i="1"/>
  <c r="GR25" i="1"/>
  <c r="GX25" i="1"/>
  <c r="GZ25" i="1" s="1"/>
  <c r="GY25" i="1"/>
  <c r="HA25" i="1"/>
  <c r="HC25" i="1" s="1"/>
  <c r="HB25" i="1"/>
  <c r="HH25" i="1"/>
  <c r="HI25" i="1"/>
  <c r="L26" i="1"/>
  <c r="AZ26" i="1"/>
  <c r="BB26" i="1" s="1"/>
  <c r="BA26" i="1"/>
  <c r="BC26" i="1"/>
  <c r="BD26" i="1"/>
  <c r="BF26" i="1"/>
  <c r="BG26" i="1"/>
  <c r="BI26" i="1"/>
  <c r="BJ26" i="1"/>
  <c r="BL26" i="1"/>
  <c r="BM26" i="1"/>
  <c r="BO26" i="1"/>
  <c r="BP26" i="1"/>
  <c r="BQ26" i="1"/>
  <c r="BR26" i="1"/>
  <c r="BS26" i="1"/>
  <c r="BU26" i="1"/>
  <c r="BV26" i="1"/>
  <c r="BX26" i="1"/>
  <c r="BY26" i="1"/>
  <c r="BZ26" i="1"/>
  <c r="CE26" i="1"/>
  <c r="CG26" i="1" s="1"/>
  <c r="CF26" i="1"/>
  <c r="CH26" i="1"/>
  <c r="CI26" i="1"/>
  <c r="CK26" i="1"/>
  <c r="CM26" i="1" s="1"/>
  <c r="CL26" i="1"/>
  <c r="CN26" i="1"/>
  <c r="CO26" i="1"/>
  <c r="CQ26" i="1"/>
  <c r="CR26" i="1"/>
  <c r="CT26" i="1"/>
  <c r="CU26" i="1"/>
  <c r="CW26" i="1"/>
  <c r="CY26" i="1" s="1"/>
  <c r="CX26" i="1"/>
  <c r="CZ26" i="1"/>
  <c r="DB26" i="1" s="1"/>
  <c r="DA26" i="1"/>
  <c r="DG26" i="1"/>
  <c r="DH26" i="1"/>
  <c r="DJ26" i="1"/>
  <c r="DK26" i="1"/>
  <c r="DM26" i="1"/>
  <c r="DO26" i="1" s="1"/>
  <c r="DN26" i="1"/>
  <c r="DP26" i="1"/>
  <c r="DQ26" i="1"/>
  <c r="DS26" i="1"/>
  <c r="DT26" i="1"/>
  <c r="DV26" i="1"/>
  <c r="DW26" i="1"/>
  <c r="DX26" i="1"/>
  <c r="DY26" i="1"/>
  <c r="DZ26" i="1"/>
  <c r="EF26" i="1"/>
  <c r="EG26" i="1"/>
  <c r="EI26" i="1"/>
  <c r="EJ26" i="1"/>
  <c r="EK26" i="1"/>
  <c r="EL26" i="1"/>
  <c r="EN26" i="1" s="1"/>
  <c r="EM26" i="1"/>
  <c r="EO26" i="1"/>
  <c r="EP26" i="1"/>
  <c r="ER26" i="1"/>
  <c r="ES26" i="1"/>
  <c r="EU26" i="1"/>
  <c r="EV26" i="1"/>
  <c r="FB26" i="1"/>
  <c r="FC26" i="1"/>
  <c r="FE26" i="1"/>
  <c r="FF26" i="1"/>
  <c r="FH26" i="1"/>
  <c r="FI26" i="1"/>
  <c r="FK26" i="1"/>
  <c r="FM26" i="1" s="1"/>
  <c r="FL26" i="1"/>
  <c r="FN26" i="1"/>
  <c r="FO26" i="1"/>
  <c r="FU26" i="1"/>
  <c r="FV26" i="1"/>
  <c r="FW26" i="1"/>
  <c r="FX26" i="1"/>
  <c r="FY26" i="1"/>
  <c r="GA26" i="1"/>
  <c r="GB26" i="1"/>
  <c r="GD26" i="1"/>
  <c r="GE26" i="1"/>
  <c r="GK26" i="1"/>
  <c r="GM26" i="1" s="1"/>
  <c r="GL26" i="1"/>
  <c r="GN26" i="1"/>
  <c r="GO26" i="1"/>
  <c r="GQ26" i="1"/>
  <c r="GR26" i="1"/>
  <c r="GX26" i="1"/>
  <c r="GY26" i="1"/>
  <c r="HA26" i="1"/>
  <c r="HB26" i="1"/>
  <c r="HH26" i="1"/>
  <c r="HI26" i="1"/>
  <c r="L27" i="1"/>
  <c r="M27" i="1"/>
  <c r="AZ27" i="1"/>
  <c r="BA27" i="1"/>
  <c r="BC27" i="1"/>
  <c r="BD27" i="1"/>
  <c r="BF27" i="1"/>
  <c r="BG27" i="1"/>
  <c r="BI27" i="1"/>
  <c r="BJ27" i="1"/>
  <c r="BL27" i="1"/>
  <c r="BM27" i="1"/>
  <c r="BN27" i="1"/>
  <c r="BO27" i="1"/>
  <c r="BP27" i="1"/>
  <c r="BR27" i="1"/>
  <c r="BS27" i="1"/>
  <c r="BU27" i="1"/>
  <c r="BV27" i="1"/>
  <c r="BX27" i="1"/>
  <c r="BY27" i="1"/>
  <c r="CE27" i="1"/>
  <c r="CF27" i="1"/>
  <c r="CH27" i="1"/>
  <c r="CI27" i="1"/>
  <c r="CK27" i="1"/>
  <c r="CL27" i="1"/>
  <c r="CM27" i="1" s="1"/>
  <c r="CN27" i="1"/>
  <c r="CO27" i="1"/>
  <c r="CQ27" i="1"/>
  <c r="CR27" i="1"/>
  <c r="CT27" i="1"/>
  <c r="CU27" i="1"/>
  <c r="CW27" i="1"/>
  <c r="CY27" i="1" s="1"/>
  <c r="CX27" i="1"/>
  <c r="CZ27" i="1"/>
  <c r="DA27" i="1"/>
  <c r="DG27" i="1"/>
  <c r="DH27" i="1"/>
  <c r="DJ27" i="1"/>
  <c r="DK27" i="1"/>
  <c r="DL27" i="1" s="1"/>
  <c r="DM27" i="1"/>
  <c r="DN27" i="1"/>
  <c r="DP27" i="1"/>
  <c r="DQ27" i="1"/>
  <c r="DS27" i="1"/>
  <c r="DT27" i="1"/>
  <c r="DV27" i="1"/>
  <c r="DW27" i="1"/>
  <c r="DY27" i="1"/>
  <c r="DZ27" i="1"/>
  <c r="EF27" i="1"/>
  <c r="EH27" i="1" s="1"/>
  <c r="EG27" i="1"/>
  <c r="EI27" i="1"/>
  <c r="EJ27" i="1"/>
  <c r="EL27" i="1"/>
  <c r="EM27" i="1"/>
  <c r="EO27" i="1"/>
  <c r="EP27" i="1"/>
  <c r="ER27" i="1"/>
  <c r="ES27" i="1"/>
  <c r="EU27" i="1"/>
  <c r="EW27" i="1" s="1"/>
  <c r="EV27" i="1"/>
  <c r="FB27" i="1"/>
  <c r="FC27" i="1"/>
  <c r="FE27" i="1"/>
  <c r="FF27" i="1"/>
  <c r="FG27" i="1" s="1"/>
  <c r="FH27" i="1"/>
  <c r="FI27" i="1"/>
  <c r="FK27" i="1"/>
  <c r="FL27" i="1"/>
  <c r="FN27" i="1"/>
  <c r="FO27" i="1"/>
  <c r="FU27" i="1"/>
  <c r="FV27" i="1"/>
  <c r="FX27" i="1"/>
  <c r="FY27" i="1"/>
  <c r="GA27" i="1"/>
  <c r="GB27" i="1"/>
  <c r="GD27" i="1"/>
  <c r="GE27" i="1"/>
  <c r="GF27" i="1"/>
  <c r="GK27" i="1"/>
  <c r="GM27" i="1" s="1"/>
  <c r="GL27" i="1"/>
  <c r="GN27" i="1"/>
  <c r="GO27" i="1"/>
  <c r="GQ27" i="1"/>
  <c r="GS27" i="1" s="1"/>
  <c r="GR27" i="1"/>
  <c r="GU27" i="1"/>
  <c r="GX27" i="1"/>
  <c r="GY27" i="1"/>
  <c r="HA27" i="1"/>
  <c r="HB27" i="1"/>
  <c r="HH27" i="1"/>
  <c r="HI27" i="1"/>
  <c r="HJ27" i="1"/>
  <c r="IF27" i="1"/>
  <c r="L28" i="1"/>
  <c r="AZ28" i="1"/>
  <c r="BA28" i="1"/>
  <c r="BC28" i="1"/>
  <c r="BD28" i="1"/>
  <c r="BF28" i="1"/>
  <c r="BG28" i="1"/>
  <c r="BI28" i="1"/>
  <c r="BJ28" i="1"/>
  <c r="BL28" i="1"/>
  <c r="BM28" i="1"/>
  <c r="BO28" i="1"/>
  <c r="BP28" i="1"/>
  <c r="BR28" i="1"/>
  <c r="BS28" i="1"/>
  <c r="BU28" i="1"/>
  <c r="BV28" i="1"/>
  <c r="BW28" i="1" s="1"/>
  <c r="BX28" i="1"/>
  <c r="BY28" i="1"/>
  <c r="CE28" i="1"/>
  <c r="CF28" i="1"/>
  <c r="CH28" i="1"/>
  <c r="CI28" i="1"/>
  <c r="CJ28" i="1"/>
  <c r="CK28" i="1"/>
  <c r="CL28" i="1"/>
  <c r="CN28" i="1"/>
  <c r="CO28" i="1"/>
  <c r="CQ28" i="1"/>
  <c r="CR28" i="1"/>
  <c r="CT28" i="1"/>
  <c r="CU28" i="1"/>
  <c r="CW28" i="1"/>
  <c r="CX28" i="1"/>
  <c r="CZ28" i="1"/>
  <c r="DA28" i="1"/>
  <c r="DG28" i="1"/>
  <c r="DH28" i="1"/>
  <c r="DI28" i="1"/>
  <c r="DJ28" i="1"/>
  <c r="DK28" i="1"/>
  <c r="DM28" i="1"/>
  <c r="DN28" i="1"/>
  <c r="DP28" i="1"/>
  <c r="DQ28" i="1"/>
  <c r="DS28" i="1"/>
  <c r="DU28" i="1" s="1"/>
  <c r="DT28" i="1"/>
  <c r="DV28" i="1"/>
  <c r="DW28" i="1"/>
  <c r="DY28" i="1"/>
  <c r="EA28" i="1" s="1"/>
  <c r="DZ28" i="1"/>
  <c r="EF28" i="1"/>
  <c r="EG28" i="1"/>
  <c r="EI28" i="1"/>
  <c r="EJ28" i="1"/>
  <c r="EL28" i="1"/>
  <c r="EM28" i="1"/>
  <c r="EO28" i="1"/>
  <c r="EQ28" i="1" s="1"/>
  <c r="EP28" i="1"/>
  <c r="ER28" i="1"/>
  <c r="ES28" i="1"/>
  <c r="ET28" i="1"/>
  <c r="EU28" i="1"/>
  <c r="EV28" i="1"/>
  <c r="FB28" i="1"/>
  <c r="FC28" i="1"/>
  <c r="FE28" i="1"/>
  <c r="FF28" i="1"/>
  <c r="FH28" i="1"/>
  <c r="FI28" i="1"/>
  <c r="FK28" i="1"/>
  <c r="FL28" i="1"/>
  <c r="FN28" i="1"/>
  <c r="FO28" i="1"/>
  <c r="FU28" i="1"/>
  <c r="FV28" i="1"/>
  <c r="FX28" i="1"/>
  <c r="FY28" i="1"/>
  <c r="GA28" i="1"/>
  <c r="GB28" i="1"/>
  <c r="GD28" i="1"/>
  <c r="GE28" i="1"/>
  <c r="GF28" i="1" s="1"/>
  <c r="GK28" i="1"/>
  <c r="GL28" i="1"/>
  <c r="GN28" i="1"/>
  <c r="GO28" i="1"/>
  <c r="GP28" i="1"/>
  <c r="GQ28" i="1"/>
  <c r="GR28" i="1"/>
  <c r="GS28" i="1" s="1"/>
  <c r="GX28" i="1"/>
  <c r="GY28" i="1"/>
  <c r="HA28" i="1"/>
  <c r="HB28" i="1"/>
  <c r="HC28" i="1" s="1"/>
  <c r="HH28" i="1"/>
  <c r="HI28" i="1"/>
  <c r="L29" i="1"/>
  <c r="M29" i="1" s="1"/>
  <c r="AZ29" i="1"/>
  <c r="BB29" i="1" s="1"/>
  <c r="BA29" i="1"/>
  <c r="BC29" i="1"/>
  <c r="BD29" i="1"/>
  <c r="BE29" i="1"/>
  <c r="BF29" i="1"/>
  <c r="BG29" i="1"/>
  <c r="BI29" i="1"/>
  <c r="BJ29" i="1"/>
  <c r="BL29" i="1"/>
  <c r="BM29" i="1"/>
  <c r="BO29" i="1"/>
  <c r="BP29" i="1"/>
  <c r="BR29" i="1"/>
  <c r="BS29" i="1"/>
  <c r="BU29" i="1"/>
  <c r="BV29" i="1"/>
  <c r="BX29" i="1"/>
  <c r="BY29" i="1"/>
  <c r="CE29" i="1"/>
  <c r="CF29" i="1"/>
  <c r="CH29" i="1"/>
  <c r="CI29" i="1"/>
  <c r="CK29" i="1"/>
  <c r="CL29" i="1"/>
  <c r="CN29" i="1"/>
  <c r="CO29" i="1"/>
  <c r="CP29" i="1" s="1"/>
  <c r="CQ29" i="1"/>
  <c r="CR29" i="1"/>
  <c r="CT29" i="1"/>
  <c r="CU29" i="1"/>
  <c r="CW29" i="1"/>
  <c r="CY29" i="1" s="1"/>
  <c r="CX29" i="1"/>
  <c r="CZ29" i="1"/>
  <c r="DB29" i="1" s="1"/>
  <c r="DA29" i="1"/>
  <c r="DG29" i="1"/>
  <c r="DH29" i="1"/>
  <c r="DJ29" i="1"/>
  <c r="DK29" i="1"/>
  <c r="DM29" i="1"/>
  <c r="DO29" i="1" s="1"/>
  <c r="DN29" i="1"/>
  <c r="DP29" i="1"/>
  <c r="DQ29" i="1"/>
  <c r="DS29" i="1"/>
  <c r="DU29" i="1" s="1"/>
  <c r="DT29" i="1"/>
  <c r="DV29" i="1"/>
  <c r="DW29" i="1"/>
  <c r="DY29" i="1"/>
  <c r="EA29" i="1" s="1"/>
  <c r="DZ29" i="1"/>
  <c r="EF29" i="1"/>
  <c r="EG29" i="1"/>
  <c r="EI29" i="1"/>
  <c r="EK29" i="1" s="1"/>
  <c r="EJ29" i="1"/>
  <c r="EL29" i="1"/>
  <c r="EM29" i="1"/>
  <c r="EO29" i="1"/>
  <c r="EP29" i="1"/>
  <c r="EQ29" i="1" s="1"/>
  <c r="ER29" i="1"/>
  <c r="ES29" i="1"/>
  <c r="EU29" i="1"/>
  <c r="EV29" i="1"/>
  <c r="FB29" i="1"/>
  <c r="FC29" i="1"/>
  <c r="FE29" i="1"/>
  <c r="FF29" i="1"/>
  <c r="FH29" i="1"/>
  <c r="FI29" i="1"/>
  <c r="FK29" i="1"/>
  <c r="FL29" i="1"/>
  <c r="FN29" i="1"/>
  <c r="FO29" i="1"/>
  <c r="FP29" i="1" s="1"/>
  <c r="FU29" i="1"/>
  <c r="FV29" i="1"/>
  <c r="FX29" i="1"/>
  <c r="FY29" i="1"/>
  <c r="FZ29" i="1" s="1"/>
  <c r="GA29" i="1"/>
  <c r="GB29" i="1"/>
  <c r="GD29" i="1"/>
  <c r="GE29" i="1"/>
  <c r="GK29" i="1"/>
  <c r="GM29" i="1" s="1"/>
  <c r="GL29" i="1"/>
  <c r="GN29" i="1"/>
  <c r="GO29" i="1"/>
  <c r="GO109" i="1" s="1"/>
  <c r="GQ29" i="1"/>
  <c r="GR29" i="1"/>
  <c r="GX29" i="1"/>
  <c r="GY29" i="1"/>
  <c r="HA29" i="1"/>
  <c r="HB29" i="1"/>
  <c r="HH29" i="1"/>
  <c r="HJ29" i="1" s="1"/>
  <c r="HI29" i="1"/>
  <c r="L30" i="1"/>
  <c r="AZ30" i="1"/>
  <c r="BA30" i="1"/>
  <c r="BB30" i="1" s="1"/>
  <c r="BC30" i="1"/>
  <c r="BD30" i="1"/>
  <c r="BF30" i="1"/>
  <c r="BG30" i="1"/>
  <c r="BI30" i="1"/>
  <c r="BJ30" i="1"/>
  <c r="BL30" i="1"/>
  <c r="BM30" i="1"/>
  <c r="BO30" i="1"/>
  <c r="BP30" i="1"/>
  <c r="BQ30" i="1" s="1"/>
  <c r="BR30" i="1"/>
  <c r="BS30" i="1"/>
  <c r="BU30" i="1"/>
  <c r="BV30" i="1"/>
  <c r="BX30" i="1"/>
  <c r="BY30" i="1"/>
  <c r="CE30" i="1"/>
  <c r="CG30" i="1" s="1"/>
  <c r="CF30" i="1"/>
  <c r="CH30" i="1"/>
  <c r="CI30" i="1"/>
  <c r="CK30" i="1"/>
  <c r="CM30" i="1" s="1"/>
  <c r="CL30" i="1"/>
  <c r="CN30" i="1"/>
  <c r="CP30" i="1" s="1"/>
  <c r="CO30" i="1"/>
  <c r="CQ30" i="1"/>
  <c r="CS30" i="1" s="1"/>
  <c r="CR30" i="1"/>
  <c r="CT30" i="1"/>
  <c r="CU30" i="1"/>
  <c r="CW30" i="1"/>
  <c r="CX30" i="1"/>
  <c r="CY30" i="1"/>
  <c r="CZ30" i="1"/>
  <c r="DA30" i="1"/>
  <c r="DB30" i="1" s="1"/>
  <c r="DG30" i="1"/>
  <c r="DH30" i="1"/>
  <c r="DH110" i="1" s="1"/>
  <c r="DJ30" i="1"/>
  <c r="DK30" i="1"/>
  <c r="DM30" i="1"/>
  <c r="DO30" i="1" s="1"/>
  <c r="DN30" i="1"/>
  <c r="DP30" i="1"/>
  <c r="DQ30" i="1"/>
  <c r="DS30" i="1"/>
  <c r="DT30" i="1"/>
  <c r="DV30" i="1"/>
  <c r="DW30" i="1"/>
  <c r="DY30" i="1"/>
  <c r="EA30" i="1" s="1"/>
  <c r="DZ30" i="1"/>
  <c r="EF30" i="1"/>
  <c r="EG30" i="1"/>
  <c r="EI30" i="1"/>
  <c r="EK30" i="1" s="1"/>
  <c r="EJ30" i="1"/>
  <c r="EL30" i="1"/>
  <c r="EM30" i="1"/>
  <c r="EN30" i="1" s="1"/>
  <c r="EO30" i="1"/>
  <c r="EP30" i="1"/>
  <c r="ER30" i="1"/>
  <c r="ES30" i="1"/>
  <c r="EU30" i="1"/>
  <c r="EV30" i="1"/>
  <c r="FB30" i="1"/>
  <c r="FC30" i="1"/>
  <c r="FE30" i="1"/>
  <c r="FF30" i="1"/>
  <c r="FH30" i="1"/>
  <c r="FI30" i="1"/>
  <c r="FK30" i="1"/>
  <c r="FL30" i="1"/>
  <c r="FM30" i="1" s="1"/>
  <c r="FN30" i="1"/>
  <c r="FO30" i="1"/>
  <c r="FU30" i="1"/>
  <c r="FV30" i="1"/>
  <c r="FX30" i="1"/>
  <c r="FY30" i="1"/>
  <c r="GA30" i="1"/>
  <c r="GB30" i="1"/>
  <c r="GD30" i="1"/>
  <c r="GE30" i="1"/>
  <c r="GK30" i="1"/>
  <c r="GM30" i="1" s="1"/>
  <c r="GL30" i="1"/>
  <c r="GN30" i="1"/>
  <c r="GO30" i="1"/>
  <c r="GQ30" i="1"/>
  <c r="GR30" i="1"/>
  <c r="GX30" i="1"/>
  <c r="GZ30" i="1" s="1"/>
  <c r="GY30" i="1"/>
  <c r="HA30" i="1"/>
  <c r="HB30" i="1"/>
  <c r="HH30" i="1"/>
  <c r="HJ30" i="1" s="1"/>
  <c r="HI30" i="1"/>
  <c r="L31" i="1"/>
  <c r="M31" i="1" s="1"/>
  <c r="AZ31" i="1"/>
  <c r="BA31" i="1"/>
  <c r="BC31" i="1"/>
  <c r="BD31" i="1"/>
  <c r="BF31" i="1"/>
  <c r="BG31" i="1"/>
  <c r="BI31" i="1"/>
  <c r="BK31" i="1" s="1"/>
  <c r="BJ31" i="1"/>
  <c r="BL31" i="1"/>
  <c r="BM31" i="1"/>
  <c r="BO31" i="1"/>
  <c r="BP31" i="1"/>
  <c r="BR31" i="1"/>
  <c r="BS31" i="1"/>
  <c r="BU31" i="1"/>
  <c r="BV31" i="1"/>
  <c r="BX31" i="1"/>
  <c r="BZ31" i="1" s="1"/>
  <c r="BY31" i="1"/>
  <c r="CE31" i="1"/>
  <c r="CF31" i="1"/>
  <c r="CH31" i="1"/>
  <c r="CI31" i="1"/>
  <c r="CJ31" i="1"/>
  <c r="CK31" i="1"/>
  <c r="CL31" i="1"/>
  <c r="CM31" i="1" s="1"/>
  <c r="CN31" i="1"/>
  <c r="CO31" i="1"/>
  <c r="CQ31" i="1"/>
  <c r="CR31" i="1"/>
  <c r="CT31" i="1"/>
  <c r="CU31" i="1"/>
  <c r="CW31" i="1"/>
  <c r="CX31" i="1"/>
  <c r="CZ31" i="1"/>
  <c r="DA31" i="1"/>
  <c r="DG31" i="1"/>
  <c r="DH31" i="1"/>
  <c r="DI31" i="1" s="1"/>
  <c r="DJ31" i="1"/>
  <c r="DK31" i="1"/>
  <c r="DM31" i="1"/>
  <c r="DO31" i="1" s="1"/>
  <c r="DN31" i="1"/>
  <c r="DP31" i="1"/>
  <c r="DQ31" i="1"/>
  <c r="DS31" i="1"/>
  <c r="DU31" i="1" s="1"/>
  <c r="DT31" i="1"/>
  <c r="DV31" i="1"/>
  <c r="DX31" i="1" s="1"/>
  <c r="DW31" i="1"/>
  <c r="DY31" i="1"/>
  <c r="EA31" i="1" s="1"/>
  <c r="DZ31" i="1"/>
  <c r="EF31" i="1"/>
  <c r="EH31" i="1" s="1"/>
  <c r="EG31" i="1"/>
  <c r="EI31" i="1"/>
  <c r="EJ31" i="1"/>
  <c r="EK31" i="1" s="1"/>
  <c r="EL31" i="1"/>
  <c r="EM31" i="1"/>
  <c r="EO31" i="1"/>
  <c r="EP31" i="1"/>
  <c r="ER31" i="1"/>
  <c r="ES31" i="1"/>
  <c r="EU31" i="1"/>
  <c r="EV31" i="1"/>
  <c r="FB31" i="1"/>
  <c r="FC31" i="1"/>
  <c r="FE31" i="1"/>
  <c r="FG31" i="1" s="1"/>
  <c r="FF31" i="1"/>
  <c r="FH31" i="1"/>
  <c r="FI31" i="1"/>
  <c r="FK31" i="1"/>
  <c r="FM31" i="1" s="1"/>
  <c r="FL31" i="1"/>
  <c r="FN31" i="1"/>
  <c r="FO31" i="1"/>
  <c r="FU31" i="1"/>
  <c r="FW31" i="1" s="1"/>
  <c r="FV31" i="1"/>
  <c r="FX31" i="1"/>
  <c r="FZ31" i="1" s="1"/>
  <c r="FY31" i="1"/>
  <c r="GA31" i="1"/>
  <c r="GC31" i="1" s="1"/>
  <c r="GB31" i="1"/>
  <c r="GD31" i="1"/>
  <c r="GE31" i="1"/>
  <c r="GF31" i="1"/>
  <c r="GK31" i="1"/>
  <c r="GL31" i="1"/>
  <c r="GN31" i="1"/>
  <c r="GO31" i="1"/>
  <c r="GQ31" i="1"/>
  <c r="GR31" i="1"/>
  <c r="GX31" i="1"/>
  <c r="GY31" i="1"/>
  <c r="HA31" i="1"/>
  <c r="HB31" i="1"/>
  <c r="HH31" i="1"/>
  <c r="HI31" i="1"/>
  <c r="HJ31" i="1" s="1"/>
  <c r="L32" i="1"/>
  <c r="AZ32" i="1"/>
  <c r="BB32" i="1" s="1"/>
  <c r="BA32" i="1"/>
  <c r="BC32" i="1"/>
  <c r="BD32" i="1"/>
  <c r="BF32" i="1"/>
  <c r="BH32" i="1" s="1"/>
  <c r="BG32" i="1"/>
  <c r="BI32" i="1"/>
  <c r="BK32" i="1" s="1"/>
  <c r="BJ32" i="1"/>
  <c r="BL32" i="1"/>
  <c r="BN32" i="1" s="1"/>
  <c r="BM32" i="1"/>
  <c r="BO32" i="1"/>
  <c r="BQ32" i="1" s="1"/>
  <c r="BP32" i="1"/>
  <c r="BR32" i="1"/>
  <c r="BS32" i="1"/>
  <c r="BT32" i="1"/>
  <c r="BU32" i="1"/>
  <c r="BV32" i="1"/>
  <c r="BW32" i="1" s="1"/>
  <c r="BX32" i="1"/>
  <c r="BY32" i="1"/>
  <c r="CE32" i="1"/>
  <c r="CF32" i="1"/>
  <c r="CG32" i="1" s="1"/>
  <c r="CH32" i="1"/>
  <c r="CI32" i="1"/>
  <c r="CK32" i="1"/>
  <c r="CM32" i="1" s="1"/>
  <c r="CL32" i="1"/>
  <c r="CN32" i="1"/>
  <c r="CO32" i="1"/>
  <c r="CQ32" i="1"/>
  <c r="CS32" i="1" s="1"/>
  <c r="CR32" i="1"/>
  <c r="CT32" i="1"/>
  <c r="CV32" i="1" s="1"/>
  <c r="CU32" i="1"/>
  <c r="CW32" i="1"/>
  <c r="CY32" i="1" s="1"/>
  <c r="CX32" i="1"/>
  <c r="CZ32" i="1"/>
  <c r="DA32" i="1"/>
  <c r="DG32" i="1"/>
  <c r="DH32" i="1"/>
  <c r="DI32" i="1"/>
  <c r="DJ32" i="1"/>
  <c r="DK32" i="1"/>
  <c r="DM32" i="1"/>
  <c r="DN32" i="1"/>
  <c r="DP32" i="1"/>
  <c r="DQ32" i="1"/>
  <c r="DR32" i="1" s="1"/>
  <c r="DS32" i="1"/>
  <c r="DT32" i="1"/>
  <c r="DV32" i="1"/>
  <c r="DW32" i="1"/>
  <c r="DY32" i="1"/>
  <c r="DZ32" i="1"/>
  <c r="EF32" i="1"/>
  <c r="EG32" i="1"/>
  <c r="EI32" i="1"/>
  <c r="EJ32" i="1"/>
  <c r="EL32" i="1"/>
  <c r="EM32" i="1"/>
  <c r="EO32" i="1"/>
  <c r="EP32" i="1"/>
  <c r="ER32" i="1"/>
  <c r="ES32" i="1"/>
  <c r="EU32" i="1"/>
  <c r="EW32" i="1" s="1"/>
  <c r="EV32" i="1"/>
  <c r="FB32" i="1"/>
  <c r="FC32" i="1"/>
  <c r="FD32" i="1"/>
  <c r="FE32" i="1"/>
  <c r="FF32" i="1"/>
  <c r="FG32" i="1" s="1"/>
  <c r="FH32" i="1"/>
  <c r="FI32" i="1"/>
  <c r="FK32" i="1"/>
  <c r="FL32" i="1"/>
  <c r="FN32" i="1"/>
  <c r="FO32" i="1"/>
  <c r="FU32" i="1"/>
  <c r="FV32" i="1"/>
  <c r="FX32" i="1"/>
  <c r="FY32" i="1"/>
  <c r="FY110" i="1" s="1"/>
  <c r="GA32" i="1"/>
  <c r="GB32" i="1"/>
  <c r="GD32" i="1"/>
  <c r="GE32" i="1"/>
  <c r="GE110" i="1" s="1"/>
  <c r="GK32" i="1"/>
  <c r="GL32" i="1"/>
  <c r="GN32" i="1"/>
  <c r="GP32" i="1" s="1"/>
  <c r="GO32" i="1"/>
  <c r="GQ32" i="1"/>
  <c r="GR32" i="1"/>
  <c r="GS32" i="1"/>
  <c r="GX32" i="1"/>
  <c r="GY32" i="1"/>
  <c r="HA32" i="1"/>
  <c r="HB32" i="1"/>
  <c r="HH32" i="1"/>
  <c r="HI32" i="1"/>
  <c r="L33" i="1"/>
  <c r="AZ33" i="1"/>
  <c r="BB33" i="1" s="1"/>
  <c r="BA33" i="1"/>
  <c r="BC33" i="1"/>
  <c r="BD33" i="1"/>
  <c r="BE33" i="1"/>
  <c r="BF33" i="1"/>
  <c r="BG33" i="1"/>
  <c r="BH33" i="1" s="1"/>
  <c r="BI33" i="1"/>
  <c r="BJ33" i="1"/>
  <c r="BL33" i="1"/>
  <c r="BM33" i="1"/>
  <c r="BO33" i="1"/>
  <c r="BP33" i="1"/>
  <c r="BR33" i="1"/>
  <c r="BS33" i="1"/>
  <c r="BU33" i="1"/>
  <c r="BV33" i="1"/>
  <c r="BX33" i="1"/>
  <c r="BY33" i="1"/>
  <c r="CE33" i="1"/>
  <c r="CG33" i="1" s="1"/>
  <c r="CF33" i="1"/>
  <c r="CH33" i="1"/>
  <c r="CI33" i="1"/>
  <c r="CK33" i="1"/>
  <c r="CK110" i="1" s="1"/>
  <c r="CL33" i="1"/>
  <c r="CN33" i="1"/>
  <c r="CO33" i="1"/>
  <c r="CQ33" i="1"/>
  <c r="CS33" i="1" s="1"/>
  <c r="CR33" i="1"/>
  <c r="CT33" i="1"/>
  <c r="CU33" i="1"/>
  <c r="CW33" i="1"/>
  <c r="CX33" i="1"/>
  <c r="CZ33" i="1"/>
  <c r="DB33" i="1" s="1"/>
  <c r="DA33" i="1"/>
  <c r="DG33" i="1"/>
  <c r="DI33" i="1" s="1"/>
  <c r="DH33" i="1"/>
  <c r="DJ33" i="1"/>
  <c r="DL33" i="1" s="1"/>
  <c r="DK33" i="1"/>
  <c r="DM33" i="1"/>
  <c r="DO33" i="1" s="1"/>
  <c r="DN33" i="1"/>
  <c r="DP33" i="1"/>
  <c r="DQ33" i="1"/>
  <c r="DR33" i="1" s="1"/>
  <c r="DS33" i="1"/>
  <c r="DT33" i="1"/>
  <c r="DV33" i="1"/>
  <c r="DW33" i="1"/>
  <c r="DW110" i="1" s="1"/>
  <c r="DY33" i="1"/>
  <c r="DZ33" i="1"/>
  <c r="EF33" i="1"/>
  <c r="EG33" i="1"/>
  <c r="EI33" i="1"/>
  <c r="EJ33" i="1"/>
  <c r="EL33" i="1"/>
  <c r="EM33" i="1"/>
  <c r="EO33" i="1"/>
  <c r="EP33" i="1"/>
  <c r="EQ33" i="1" s="1"/>
  <c r="ER33" i="1"/>
  <c r="ES33" i="1"/>
  <c r="EU33" i="1"/>
  <c r="EV33" i="1"/>
  <c r="FB33" i="1"/>
  <c r="FC33" i="1"/>
  <c r="FE33" i="1"/>
  <c r="FG33" i="1" s="1"/>
  <c r="FF33" i="1"/>
  <c r="FH33" i="1"/>
  <c r="FJ33" i="1" s="1"/>
  <c r="FI33" i="1"/>
  <c r="FK33" i="1"/>
  <c r="FM33" i="1" s="1"/>
  <c r="FL33" i="1"/>
  <c r="FN33" i="1"/>
  <c r="FP33" i="1" s="1"/>
  <c r="FO33" i="1"/>
  <c r="FU33" i="1"/>
  <c r="FV33" i="1"/>
  <c r="FX33" i="1"/>
  <c r="FY33" i="1"/>
  <c r="GA33" i="1"/>
  <c r="GC33" i="1" s="1"/>
  <c r="GB33" i="1"/>
  <c r="GD33" i="1"/>
  <c r="GE33" i="1"/>
  <c r="GK33" i="1"/>
  <c r="GL33" i="1"/>
  <c r="GN33" i="1"/>
  <c r="GP33" i="1" s="1"/>
  <c r="GO33" i="1"/>
  <c r="GQ33" i="1"/>
  <c r="GR33" i="1"/>
  <c r="GX33" i="1"/>
  <c r="GZ33" i="1" s="1"/>
  <c r="GY33" i="1"/>
  <c r="HA33" i="1"/>
  <c r="HB33" i="1"/>
  <c r="HC33" i="1" s="1"/>
  <c r="HH33" i="1"/>
  <c r="HI33" i="1"/>
  <c r="L34" i="1"/>
  <c r="M34" i="1" s="1"/>
  <c r="AW34" i="1"/>
  <c r="O34" i="1" s="1"/>
  <c r="O34" i="3" s="1"/>
  <c r="AY34" i="1"/>
  <c r="AZ34" i="1"/>
  <c r="BA34" i="1"/>
  <c r="BB34" i="1" s="1"/>
  <c r="BC34" i="1"/>
  <c r="BE34" i="1" s="1"/>
  <c r="BD34" i="1"/>
  <c r="BF34" i="1"/>
  <c r="BG34" i="1"/>
  <c r="BI34" i="1"/>
  <c r="BJ34" i="1"/>
  <c r="BL34" i="1"/>
  <c r="BN34" i="1" s="1"/>
  <c r="BM34" i="1"/>
  <c r="BO34" i="1"/>
  <c r="BP34" i="1"/>
  <c r="BQ34" i="1"/>
  <c r="BR34" i="1"/>
  <c r="BS34" i="1"/>
  <c r="BU34" i="1"/>
  <c r="BV34" i="1"/>
  <c r="BX34" i="1"/>
  <c r="BY34" i="1"/>
  <c r="BZ34" i="1" s="1"/>
  <c r="CE34" i="1"/>
  <c r="CG34" i="1" s="1"/>
  <c r="CF34" i="1"/>
  <c r="CH34" i="1"/>
  <c r="CI34" i="1"/>
  <c r="CK34" i="1"/>
  <c r="CM34" i="1" s="1"/>
  <c r="CL34" i="1"/>
  <c r="CN34" i="1"/>
  <c r="CP34" i="1" s="1"/>
  <c r="CO34" i="1"/>
  <c r="CQ34" i="1"/>
  <c r="CS34" i="1" s="1"/>
  <c r="CR34" i="1"/>
  <c r="CT34" i="1"/>
  <c r="CV34" i="1" s="1"/>
  <c r="CU34" i="1"/>
  <c r="CW34" i="1"/>
  <c r="CX34" i="1"/>
  <c r="CY34" i="1"/>
  <c r="CZ34" i="1"/>
  <c r="DA34" i="1"/>
  <c r="DB34" i="1" s="1"/>
  <c r="DG34" i="1"/>
  <c r="DH34" i="1"/>
  <c r="DJ34" i="1"/>
  <c r="DL34" i="1" s="1"/>
  <c r="DK34" i="1"/>
  <c r="DM34" i="1"/>
  <c r="DN34" i="1"/>
  <c r="DO34" i="1"/>
  <c r="DP34" i="1"/>
  <c r="DQ34" i="1"/>
  <c r="DS34" i="1"/>
  <c r="DT34" i="1"/>
  <c r="DV34" i="1"/>
  <c r="DW34" i="1"/>
  <c r="DX34" i="1" s="1"/>
  <c r="DY34" i="1"/>
  <c r="EA34" i="1" s="1"/>
  <c r="DZ34" i="1"/>
  <c r="EF34" i="1"/>
  <c r="EH34" i="1" s="1"/>
  <c r="EG34" i="1"/>
  <c r="EI34" i="1"/>
  <c r="EJ34" i="1"/>
  <c r="EK34" i="1"/>
  <c r="EL34" i="1"/>
  <c r="EM34" i="1"/>
  <c r="EN34" i="1" s="1"/>
  <c r="EO34" i="1"/>
  <c r="EQ34" i="1" s="1"/>
  <c r="EP34" i="1"/>
  <c r="ER34" i="1"/>
  <c r="ES34" i="1"/>
  <c r="EU34" i="1"/>
  <c r="EW34" i="1" s="1"/>
  <c r="EV34" i="1"/>
  <c r="FB34" i="1"/>
  <c r="FC34" i="1"/>
  <c r="FE34" i="1"/>
  <c r="FF34" i="1"/>
  <c r="FH34" i="1"/>
  <c r="FJ34" i="1" s="1"/>
  <c r="FI34" i="1"/>
  <c r="FK34" i="1"/>
  <c r="FL34" i="1"/>
  <c r="FM34" i="1"/>
  <c r="FN34" i="1"/>
  <c r="FO34" i="1"/>
  <c r="FU34" i="1"/>
  <c r="FV34" i="1"/>
  <c r="FW34" i="1" s="1"/>
  <c r="FX34" i="1"/>
  <c r="FZ34" i="1" s="1"/>
  <c r="FY34" i="1"/>
  <c r="GA34" i="1"/>
  <c r="GB34" i="1"/>
  <c r="GD34" i="1"/>
  <c r="GE34" i="1"/>
  <c r="GK34" i="1"/>
  <c r="GM34" i="1" s="1"/>
  <c r="GL34" i="1"/>
  <c r="GN34" i="1"/>
  <c r="GO34" i="1"/>
  <c r="GQ34" i="1"/>
  <c r="GR34" i="1"/>
  <c r="GX34" i="1"/>
  <c r="GZ34" i="1" s="1"/>
  <c r="GY34" i="1"/>
  <c r="HA34" i="1"/>
  <c r="HB34" i="1"/>
  <c r="HH34" i="1"/>
  <c r="HJ34" i="1" s="1"/>
  <c r="HI34" i="1"/>
  <c r="L35" i="1"/>
  <c r="M35" i="1" s="1"/>
  <c r="AW35" i="1"/>
  <c r="O35" i="1" s="1"/>
  <c r="O35" i="3" s="1"/>
  <c r="AY35" i="1"/>
  <c r="AZ35" i="1"/>
  <c r="BB35" i="1" s="1"/>
  <c r="BA35" i="1"/>
  <c r="BC35" i="1"/>
  <c r="BE35" i="1" s="1"/>
  <c r="BD35" i="1"/>
  <c r="BF35" i="1"/>
  <c r="BH35" i="1" s="1"/>
  <c r="BG35" i="1"/>
  <c r="BI35" i="1"/>
  <c r="BJ35" i="1"/>
  <c r="BK35" i="1"/>
  <c r="BL35" i="1"/>
  <c r="BM35" i="1"/>
  <c r="BN35" i="1" s="1"/>
  <c r="BO35" i="1"/>
  <c r="BQ35" i="1" s="1"/>
  <c r="BP35" i="1"/>
  <c r="BR35" i="1"/>
  <c r="BS35" i="1"/>
  <c r="BU35" i="1"/>
  <c r="BW35" i="1" s="1"/>
  <c r="BV35" i="1"/>
  <c r="BX35" i="1"/>
  <c r="BZ35" i="1" s="1"/>
  <c r="BY35" i="1"/>
  <c r="CE35" i="1"/>
  <c r="CG35" i="1" s="1"/>
  <c r="CF35" i="1"/>
  <c r="CH35" i="1"/>
  <c r="CI35" i="1"/>
  <c r="CJ35" i="1"/>
  <c r="CK35" i="1"/>
  <c r="CL35" i="1"/>
  <c r="CM35" i="1" s="1"/>
  <c r="CN35" i="1"/>
  <c r="CP35" i="1" s="1"/>
  <c r="CO35" i="1"/>
  <c r="CQ35" i="1"/>
  <c r="CR35" i="1"/>
  <c r="CT35" i="1"/>
  <c r="CV35" i="1" s="1"/>
  <c r="CU35" i="1"/>
  <c r="CW35" i="1"/>
  <c r="CY35" i="1" s="1"/>
  <c r="CX35" i="1"/>
  <c r="CZ35" i="1"/>
  <c r="DB35" i="1" s="1"/>
  <c r="DA35" i="1"/>
  <c r="DG35" i="1"/>
  <c r="DH35" i="1"/>
  <c r="DI35" i="1"/>
  <c r="DJ35" i="1"/>
  <c r="DK35" i="1"/>
  <c r="DL35" i="1" s="1"/>
  <c r="DM35" i="1"/>
  <c r="DO35" i="1" s="1"/>
  <c r="DN35" i="1"/>
  <c r="DP35" i="1"/>
  <c r="DQ35" i="1"/>
  <c r="DS35" i="1"/>
  <c r="DU35" i="1" s="1"/>
  <c r="DT35" i="1"/>
  <c r="DV35" i="1"/>
  <c r="DX35" i="1" s="1"/>
  <c r="DW35" i="1"/>
  <c r="DY35" i="1"/>
  <c r="EA35" i="1" s="1"/>
  <c r="DZ35" i="1"/>
  <c r="EF35" i="1"/>
  <c r="EG35" i="1"/>
  <c r="EI35" i="1"/>
  <c r="EK35" i="1" s="1"/>
  <c r="EJ35" i="1"/>
  <c r="EL35" i="1"/>
  <c r="EM35" i="1"/>
  <c r="EO35" i="1"/>
  <c r="EP35" i="1"/>
  <c r="ER35" i="1"/>
  <c r="ES35" i="1"/>
  <c r="ET35" i="1" s="1"/>
  <c r="EU35" i="1"/>
  <c r="EV35" i="1"/>
  <c r="EW35" i="1" s="1"/>
  <c r="FB35" i="1"/>
  <c r="FD35" i="1" s="1"/>
  <c r="FC35" i="1"/>
  <c r="FE35" i="1"/>
  <c r="FF35" i="1"/>
  <c r="FH35" i="1"/>
  <c r="FI35" i="1"/>
  <c r="FJ35" i="1"/>
  <c r="FK35" i="1"/>
  <c r="FL35" i="1"/>
  <c r="FN35" i="1"/>
  <c r="FO35" i="1"/>
  <c r="FU35" i="1"/>
  <c r="FV35" i="1"/>
  <c r="FX35" i="1"/>
  <c r="FZ35" i="1" s="1"/>
  <c r="FY35" i="1"/>
  <c r="GA35" i="1"/>
  <c r="GC35" i="1" s="1"/>
  <c r="GB35" i="1"/>
  <c r="GD35" i="1"/>
  <c r="GE35" i="1"/>
  <c r="GG35" i="1"/>
  <c r="GK35" i="1"/>
  <c r="GL35" i="1"/>
  <c r="GN35" i="1"/>
  <c r="GO35" i="1"/>
  <c r="GQ35" i="1"/>
  <c r="GR35" i="1"/>
  <c r="GS35" i="1" s="1"/>
  <c r="GX35" i="1"/>
  <c r="GZ35" i="1" s="1"/>
  <c r="GY35" i="1"/>
  <c r="HA35" i="1"/>
  <c r="HC35" i="1" s="1"/>
  <c r="HB35" i="1"/>
  <c r="HD35" i="1"/>
  <c r="HH35" i="1"/>
  <c r="HI35" i="1"/>
  <c r="HJ35" i="1"/>
  <c r="HP35" i="1"/>
  <c r="HW35" i="1"/>
  <c r="IB35" i="1"/>
  <c r="IH35" i="1"/>
  <c r="IL35" i="1"/>
  <c r="IR35" i="1"/>
  <c r="L36" i="1"/>
  <c r="AZ36" i="1"/>
  <c r="BA36" i="1"/>
  <c r="BC36" i="1"/>
  <c r="BD36" i="1"/>
  <c r="BF36" i="1"/>
  <c r="BG36" i="1"/>
  <c r="BI36" i="1"/>
  <c r="BJ36" i="1"/>
  <c r="BK36" i="1"/>
  <c r="BL36" i="1"/>
  <c r="BM36" i="1"/>
  <c r="BO36" i="1"/>
  <c r="BP36" i="1"/>
  <c r="BR36" i="1"/>
  <c r="BS36" i="1"/>
  <c r="BT36" i="1" s="1"/>
  <c r="BU36" i="1"/>
  <c r="BV36" i="1"/>
  <c r="BX36" i="1"/>
  <c r="BZ36" i="1" s="1"/>
  <c r="BY36" i="1"/>
  <c r="CE36" i="1"/>
  <c r="CG36" i="1" s="1"/>
  <c r="CF36" i="1"/>
  <c r="CH36" i="1"/>
  <c r="CJ36" i="1" s="1"/>
  <c r="CI36" i="1"/>
  <c r="CK36" i="1"/>
  <c r="CM36" i="1" s="1"/>
  <c r="CL36" i="1"/>
  <c r="CN36" i="1"/>
  <c r="CO36" i="1"/>
  <c r="CQ36" i="1"/>
  <c r="CR36" i="1"/>
  <c r="CT36" i="1"/>
  <c r="CV36" i="1" s="1"/>
  <c r="CU36" i="1"/>
  <c r="CW36" i="1"/>
  <c r="CX36" i="1"/>
  <c r="CZ36" i="1"/>
  <c r="DA36" i="1"/>
  <c r="DG36" i="1"/>
  <c r="DH36" i="1"/>
  <c r="DJ36" i="1"/>
  <c r="DL36" i="1" s="1"/>
  <c r="DK36" i="1"/>
  <c r="DM36" i="1"/>
  <c r="DO36" i="1" s="1"/>
  <c r="DN36" i="1"/>
  <c r="DP36" i="1"/>
  <c r="DQ36" i="1"/>
  <c r="DS36" i="1"/>
  <c r="DU36" i="1" s="1"/>
  <c r="DT36" i="1"/>
  <c r="DV36" i="1"/>
  <c r="DW36" i="1"/>
  <c r="DY36" i="1"/>
  <c r="DZ36" i="1"/>
  <c r="EF36" i="1"/>
  <c r="EH36" i="1" s="1"/>
  <c r="EG36" i="1"/>
  <c r="EI36" i="1"/>
  <c r="EK36" i="1" s="1"/>
  <c r="EJ36" i="1"/>
  <c r="EL36" i="1"/>
  <c r="EN36" i="1" s="1"/>
  <c r="EM36" i="1"/>
  <c r="EO36" i="1"/>
  <c r="EP36" i="1"/>
  <c r="EQ36" i="1"/>
  <c r="ER36" i="1"/>
  <c r="ES36" i="1"/>
  <c r="ET36" i="1" s="1"/>
  <c r="EU36" i="1"/>
  <c r="EW36" i="1" s="1"/>
  <c r="EV36" i="1"/>
  <c r="FB36" i="1"/>
  <c r="FC36" i="1"/>
  <c r="FE36" i="1"/>
  <c r="FG36" i="1" s="1"/>
  <c r="FF36" i="1"/>
  <c r="FH36" i="1"/>
  <c r="FI36" i="1"/>
  <c r="FK36" i="1"/>
  <c r="FL36" i="1"/>
  <c r="FN36" i="1"/>
  <c r="FO36" i="1"/>
  <c r="FU36" i="1"/>
  <c r="FW36" i="1" s="1"/>
  <c r="FV36" i="1"/>
  <c r="FX36" i="1"/>
  <c r="FZ36" i="1" s="1"/>
  <c r="FY36" i="1"/>
  <c r="GA36" i="1"/>
  <c r="GB36" i="1"/>
  <c r="GC36" i="1"/>
  <c r="GD36" i="1"/>
  <c r="GE36" i="1"/>
  <c r="GF36" i="1" s="1"/>
  <c r="GK36" i="1"/>
  <c r="GM36" i="1" s="1"/>
  <c r="GL36" i="1"/>
  <c r="GN36" i="1"/>
  <c r="GO36" i="1"/>
  <c r="GQ36" i="1"/>
  <c r="GS36" i="1" s="1"/>
  <c r="GR36" i="1"/>
  <c r="GX36" i="1"/>
  <c r="GY36" i="1"/>
  <c r="HA36" i="1"/>
  <c r="HB36" i="1"/>
  <c r="HC36" i="1" s="1"/>
  <c r="HH36" i="1"/>
  <c r="HI36" i="1"/>
  <c r="L37" i="1"/>
  <c r="AZ37" i="1"/>
  <c r="BB37" i="1" s="1"/>
  <c r="BA37" i="1"/>
  <c r="BC37" i="1"/>
  <c r="BE37" i="1" s="1"/>
  <c r="BD37" i="1"/>
  <c r="BF37" i="1"/>
  <c r="BG37" i="1"/>
  <c r="BI37" i="1"/>
  <c r="BK37" i="1" s="1"/>
  <c r="BJ37" i="1"/>
  <c r="BL37" i="1"/>
  <c r="BM37" i="1"/>
  <c r="BO37" i="1"/>
  <c r="BP37" i="1"/>
  <c r="BR37" i="1"/>
  <c r="BT37" i="1" s="1"/>
  <c r="BS37" i="1"/>
  <c r="BU37" i="1"/>
  <c r="BV37" i="1"/>
  <c r="BX37" i="1"/>
  <c r="BY37" i="1"/>
  <c r="CE37" i="1"/>
  <c r="CF37" i="1"/>
  <c r="CH37" i="1"/>
  <c r="CJ37" i="1" s="1"/>
  <c r="CI37" i="1"/>
  <c r="CK37" i="1"/>
  <c r="CM37" i="1" s="1"/>
  <c r="CL37" i="1"/>
  <c r="CN37" i="1"/>
  <c r="CO37" i="1"/>
  <c r="CQ37" i="1"/>
  <c r="CS37" i="1" s="1"/>
  <c r="CR37" i="1"/>
  <c r="CT37" i="1"/>
  <c r="CU37" i="1"/>
  <c r="CW37" i="1"/>
  <c r="CX37" i="1"/>
  <c r="CZ37" i="1"/>
  <c r="DA37" i="1"/>
  <c r="DG37" i="1"/>
  <c r="DI37" i="1" s="1"/>
  <c r="DH37" i="1"/>
  <c r="DJ37" i="1"/>
  <c r="DK37" i="1"/>
  <c r="DM37" i="1"/>
  <c r="DN37" i="1"/>
  <c r="DO37" i="1"/>
  <c r="DP37" i="1"/>
  <c r="DQ37" i="1"/>
  <c r="DR37" i="1" s="1"/>
  <c r="DS37" i="1"/>
  <c r="DU37" i="1" s="1"/>
  <c r="DT37" i="1"/>
  <c r="DV37" i="1"/>
  <c r="DX37" i="1" s="1"/>
  <c r="DW37" i="1"/>
  <c r="DY37" i="1"/>
  <c r="DZ37" i="1"/>
  <c r="EF37" i="1"/>
  <c r="EH37" i="1" s="1"/>
  <c r="EG37" i="1"/>
  <c r="EI37" i="1"/>
  <c r="EK37" i="1" s="1"/>
  <c r="EJ37" i="1"/>
  <c r="EL37" i="1"/>
  <c r="EM37" i="1"/>
  <c r="EO37" i="1"/>
  <c r="EQ37" i="1" s="1"/>
  <c r="EP37" i="1"/>
  <c r="ER37" i="1"/>
  <c r="ES37" i="1"/>
  <c r="EU37" i="1"/>
  <c r="EV37" i="1"/>
  <c r="FB37" i="1"/>
  <c r="FC37" i="1"/>
  <c r="FE37" i="1"/>
  <c r="FG37" i="1" s="1"/>
  <c r="FF37" i="1"/>
  <c r="FH37" i="1"/>
  <c r="FJ37" i="1" s="1"/>
  <c r="FI37" i="1"/>
  <c r="FK37" i="1"/>
  <c r="FM37" i="1" s="1"/>
  <c r="FL37" i="1"/>
  <c r="FN37" i="1"/>
  <c r="FO37" i="1"/>
  <c r="FP37" i="1" s="1"/>
  <c r="FU37" i="1"/>
  <c r="FW37" i="1" s="1"/>
  <c r="FV37" i="1"/>
  <c r="FX37" i="1"/>
  <c r="FY37" i="1"/>
  <c r="GA37" i="1"/>
  <c r="GB37" i="1"/>
  <c r="GC37" i="1"/>
  <c r="GD37" i="1"/>
  <c r="GE37" i="1"/>
  <c r="GK37" i="1"/>
  <c r="GL37" i="1"/>
  <c r="GM37" i="1" s="1"/>
  <c r="GN37" i="1"/>
  <c r="GP37" i="1" s="1"/>
  <c r="GO37" i="1"/>
  <c r="GQ37" i="1"/>
  <c r="GR37" i="1"/>
  <c r="GX37" i="1"/>
  <c r="GY37" i="1"/>
  <c r="GZ37" i="1" s="1"/>
  <c r="HA37" i="1"/>
  <c r="HB37" i="1"/>
  <c r="HH37" i="1"/>
  <c r="HI37" i="1"/>
  <c r="L38" i="1"/>
  <c r="AZ38" i="1"/>
  <c r="BA38" i="1"/>
  <c r="BC38" i="1"/>
  <c r="BD38" i="1"/>
  <c r="BE38" i="1"/>
  <c r="BF38" i="1"/>
  <c r="BG38" i="1"/>
  <c r="BI38" i="1"/>
  <c r="BJ38" i="1"/>
  <c r="BL38" i="1"/>
  <c r="BM38" i="1"/>
  <c r="BN38" i="1" s="1"/>
  <c r="BO38" i="1"/>
  <c r="BP38" i="1"/>
  <c r="BR38" i="1"/>
  <c r="BT38" i="1" s="1"/>
  <c r="BS38" i="1"/>
  <c r="BU38" i="1"/>
  <c r="BV38" i="1"/>
  <c r="BX38" i="1"/>
  <c r="BZ38" i="1" s="1"/>
  <c r="BY38" i="1"/>
  <c r="CE38" i="1"/>
  <c r="CF38" i="1"/>
  <c r="CH38" i="1"/>
  <c r="CI38" i="1"/>
  <c r="CK38" i="1"/>
  <c r="CL38" i="1"/>
  <c r="CM38" i="1" s="1"/>
  <c r="CN38" i="1"/>
  <c r="CO38" i="1"/>
  <c r="CP38" i="1"/>
  <c r="CQ38" i="1"/>
  <c r="CR38" i="1"/>
  <c r="CT38" i="1"/>
  <c r="CU38" i="1"/>
  <c r="CW38" i="1"/>
  <c r="CX38" i="1"/>
  <c r="CY38" i="1" s="1"/>
  <c r="CZ38" i="1"/>
  <c r="DA38" i="1"/>
  <c r="DB38" i="1" s="1"/>
  <c r="DG38" i="1"/>
  <c r="DH38" i="1"/>
  <c r="DJ38" i="1"/>
  <c r="DK38" i="1"/>
  <c r="DM38" i="1"/>
  <c r="DO38" i="1" s="1"/>
  <c r="DN38" i="1"/>
  <c r="DP38" i="1"/>
  <c r="DQ38" i="1"/>
  <c r="DS38" i="1"/>
  <c r="DT38" i="1"/>
  <c r="DV38" i="1"/>
  <c r="DW38" i="1"/>
  <c r="DY38" i="1"/>
  <c r="DZ38" i="1"/>
  <c r="EA38" i="1"/>
  <c r="EF38" i="1"/>
  <c r="EH38" i="1" s="1"/>
  <c r="EG38" i="1"/>
  <c r="EI38" i="1"/>
  <c r="EJ38" i="1"/>
  <c r="EL38" i="1"/>
  <c r="EN38" i="1" s="1"/>
  <c r="EM38" i="1"/>
  <c r="EO38" i="1"/>
  <c r="EP38" i="1"/>
  <c r="ER38" i="1"/>
  <c r="ES38" i="1"/>
  <c r="EU38" i="1"/>
  <c r="EV38" i="1"/>
  <c r="EW38" i="1" s="1"/>
  <c r="FB38" i="1"/>
  <c r="FD38" i="1" s="1"/>
  <c r="FC38" i="1"/>
  <c r="FE38" i="1"/>
  <c r="FF38" i="1"/>
  <c r="FH38" i="1"/>
  <c r="FI38" i="1"/>
  <c r="FJ38" i="1"/>
  <c r="FK38" i="1"/>
  <c r="FM38" i="1" s="1"/>
  <c r="FL38" i="1"/>
  <c r="FN38" i="1"/>
  <c r="FP38" i="1" s="1"/>
  <c r="FO38" i="1"/>
  <c r="FU38" i="1"/>
  <c r="FV38" i="1"/>
  <c r="FW38" i="1" s="1"/>
  <c r="FX38" i="1"/>
  <c r="FY38" i="1"/>
  <c r="GA38" i="1"/>
  <c r="GC38" i="1" s="1"/>
  <c r="GB38" i="1"/>
  <c r="GD38" i="1"/>
  <c r="GE38" i="1"/>
  <c r="GK38" i="1"/>
  <c r="GL38" i="1"/>
  <c r="GN38" i="1"/>
  <c r="GP38" i="1" s="1"/>
  <c r="GO38" i="1"/>
  <c r="GQ38" i="1"/>
  <c r="GS38" i="1" s="1"/>
  <c r="GR38" i="1"/>
  <c r="GX38" i="1"/>
  <c r="GZ38" i="1" s="1"/>
  <c r="GY38" i="1"/>
  <c r="HA38" i="1"/>
  <c r="HB38" i="1"/>
  <c r="HH38" i="1"/>
  <c r="HI38" i="1"/>
  <c r="L39" i="1"/>
  <c r="AW39" i="1" s="1"/>
  <c r="O39" i="1" s="1"/>
  <c r="O39" i="3" s="1"/>
  <c r="M39" i="1"/>
  <c r="AV39" i="1"/>
  <c r="N39" i="1" s="1"/>
  <c r="N39" i="3" s="1"/>
  <c r="AX39" i="1"/>
  <c r="AY39" i="1"/>
  <c r="AZ39" i="1"/>
  <c r="BA39" i="1"/>
  <c r="BB39" i="1"/>
  <c r="BC39" i="1"/>
  <c r="BE39" i="1" s="1"/>
  <c r="BD39" i="1"/>
  <c r="BF39" i="1"/>
  <c r="BG39" i="1"/>
  <c r="BI39" i="1"/>
  <c r="BJ39" i="1"/>
  <c r="BL39" i="1"/>
  <c r="BM39" i="1"/>
  <c r="BN39" i="1" s="1"/>
  <c r="BO39" i="1"/>
  <c r="BQ39" i="1" s="1"/>
  <c r="BP39" i="1"/>
  <c r="BR39" i="1"/>
  <c r="BS39" i="1"/>
  <c r="BU39" i="1"/>
  <c r="BV39" i="1"/>
  <c r="BW39" i="1"/>
  <c r="BX39" i="1"/>
  <c r="BZ39" i="1" s="1"/>
  <c r="BY39" i="1"/>
  <c r="CA39" i="1"/>
  <c r="CB39" i="1"/>
  <c r="CE39" i="1"/>
  <c r="CG39" i="1" s="1"/>
  <c r="CF39" i="1"/>
  <c r="CH39" i="1"/>
  <c r="CI39" i="1"/>
  <c r="CJ39" i="1" s="1"/>
  <c r="CK39" i="1"/>
  <c r="CL39" i="1"/>
  <c r="CM39" i="1"/>
  <c r="CN39" i="1"/>
  <c r="CP39" i="1" s="1"/>
  <c r="CO39" i="1"/>
  <c r="CQ39" i="1"/>
  <c r="CR39" i="1"/>
  <c r="CT39" i="1"/>
  <c r="CV39" i="1" s="1"/>
  <c r="CU39" i="1"/>
  <c r="CW39" i="1"/>
  <c r="CX39" i="1"/>
  <c r="CY39" i="1"/>
  <c r="CZ39" i="1"/>
  <c r="DA39" i="1"/>
  <c r="DC39" i="1"/>
  <c r="DD39" i="1"/>
  <c r="DG39" i="1"/>
  <c r="DH39" i="1"/>
  <c r="DI39" i="1" s="1"/>
  <c r="DJ39" i="1"/>
  <c r="DK39" i="1"/>
  <c r="DM39" i="1"/>
  <c r="DO39" i="1" s="1"/>
  <c r="DN39" i="1"/>
  <c r="DP39" i="1"/>
  <c r="DQ39" i="1"/>
  <c r="DS39" i="1"/>
  <c r="DT39" i="1"/>
  <c r="DU39" i="1"/>
  <c r="DV39" i="1"/>
  <c r="DX39" i="1" s="1"/>
  <c r="DW39" i="1"/>
  <c r="DY39" i="1"/>
  <c r="DZ39" i="1"/>
  <c r="EB39" i="1"/>
  <c r="ED39" i="1" s="1"/>
  <c r="EC39" i="1"/>
  <c r="EF39" i="1"/>
  <c r="EG39" i="1"/>
  <c r="EH39" i="1" s="1"/>
  <c r="EI39" i="1"/>
  <c r="EJ39" i="1"/>
  <c r="EK39" i="1"/>
  <c r="EL39" i="1"/>
  <c r="EN39" i="1" s="1"/>
  <c r="EM39" i="1"/>
  <c r="EO39" i="1"/>
  <c r="EP39" i="1"/>
  <c r="ER39" i="1"/>
  <c r="ET39" i="1" s="1"/>
  <c r="ES39" i="1"/>
  <c r="EU39" i="1"/>
  <c r="EW39" i="1" s="1"/>
  <c r="EV39" i="1"/>
  <c r="EX39" i="1"/>
  <c r="EY39" i="1"/>
  <c r="FB39" i="1"/>
  <c r="FD39" i="1" s="1"/>
  <c r="FC39" i="1"/>
  <c r="FE39" i="1"/>
  <c r="FF39" i="1"/>
  <c r="FG39" i="1" s="1"/>
  <c r="FH39" i="1"/>
  <c r="FJ39" i="1" s="1"/>
  <c r="FI39" i="1"/>
  <c r="FK39" i="1"/>
  <c r="FL39" i="1"/>
  <c r="FN39" i="1"/>
  <c r="FO39" i="1"/>
  <c r="FQ39" i="1"/>
  <c r="FS39" i="1" s="1"/>
  <c r="FR39" i="1"/>
  <c r="FU39" i="1"/>
  <c r="FV39" i="1"/>
  <c r="FW39" i="1"/>
  <c r="FX39" i="1"/>
  <c r="FZ39" i="1" s="1"/>
  <c r="FY39" i="1"/>
  <c r="GA39" i="1"/>
  <c r="GB39" i="1"/>
  <c r="GD39" i="1"/>
  <c r="GE39" i="1"/>
  <c r="GG39" i="1"/>
  <c r="GI39" i="1" s="1"/>
  <c r="GH39" i="1"/>
  <c r="GK39" i="1"/>
  <c r="GL39" i="1"/>
  <c r="GN39" i="1"/>
  <c r="GO39" i="1"/>
  <c r="GQ39" i="1"/>
  <c r="GR39" i="1"/>
  <c r="GS39" i="1"/>
  <c r="GT39" i="1"/>
  <c r="GU39" i="1"/>
  <c r="GV39" i="1"/>
  <c r="GX39" i="1"/>
  <c r="GZ39" i="1" s="1"/>
  <c r="GY39" i="1"/>
  <c r="HA39" i="1"/>
  <c r="HB39" i="1"/>
  <c r="HD39" i="1"/>
  <c r="HE39" i="1"/>
  <c r="HH39" i="1"/>
  <c r="HI39" i="1"/>
  <c r="HJ39" i="1"/>
  <c r="HK39" i="1"/>
  <c r="HM39" i="1" s="1"/>
  <c r="HL39" i="1"/>
  <c r="HO39" i="1"/>
  <c r="HP39" i="1"/>
  <c r="HS39" i="1"/>
  <c r="HT39" i="1"/>
  <c r="HU39" i="1"/>
  <c r="HV39" i="1"/>
  <c r="HX39" i="1" s="1"/>
  <c r="HW39" i="1"/>
  <c r="HY39" i="1"/>
  <c r="HZ39" i="1"/>
  <c r="IB39" i="1"/>
  <c r="ID39" i="1" s="1"/>
  <c r="IC39" i="1"/>
  <c r="IE39" i="1"/>
  <c r="IF39" i="1"/>
  <c r="IG39" i="1" s="1"/>
  <c r="IH39" i="1"/>
  <c r="II39" i="1"/>
  <c r="IJ39" i="1"/>
  <c r="IK39" i="1"/>
  <c r="IM39" i="1" s="1"/>
  <c r="IL39" i="1"/>
  <c r="IN39" i="1"/>
  <c r="IO39" i="1"/>
  <c r="IQ39" i="1"/>
  <c r="IS39" i="1" s="1"/>
  <c r="IR39" i="1"/>
  <c r="IT39" i="1"/>
  <c r="IV39" i="1" s="1"/>
  <c r="IU39" i="1"/>
  <c r="L40" i="1"/>
  <c r="AZ40" i="1"/>
  <c r="BA40" i="1"/>
  <c r="BC40" i="1"/>
  <c r="BE40" i="1" s="1"/>
  <c r="BD40" i="1"/>
  <c r="BF40" i="1"/>
  <c r="BG40" i="1"/>
  <c r="BH40" i="1" s="1"/>
  <c r="BI40" i="1"/>
  <c r="BJ40" i="1"/>
  <c r="BK40" i="1"/>
  <c r="BL40" i="1"/>
  <c r="BN40" i="1" s="1"/>
  <c r="BM40" i="1"/>
  <c r="BO40" i="1"/>
  <c r="BP40" i="1"/>
  <c r="BR40" i="1"/>
  <c r="BT40" i="1" s="1"/>
  <c r="BS40" i="1"/>
  <c r="BU40" i="1"/>
  <c r="BW40" i="1" s="1"/>
  <c r="BV40" i="1"/>
  <c r="BX40" i="1"/>
  <c r="BY40" i="1"/>
  <c r="CE40" i="1"/>
  <c r="CF40" i="1"/>
  <c r="CH40" i="1"/>
  <c r="CI40" i="1"/>
  <c r="CJ40" i="1"/>
  <c r="CK40" i="1"/>
  <c r="CM40" i="1" s="1"/>
  <c r="CL40" i="1"/>
  <c r="CN40" i="1"/>
  <c r="CO40" i="1"/>
  <c r="CQ40" i="1"/>
  <c r="CR40" i="1"/>
  <c r="CS40" i="1"/>
  <c r="CT40" i="1"/>
  <c r="CV40" i="1" s="1"/>
  <c r="CU40" i="1"/>
  <c r="CW40" i="1"/>
  <c r="CX40" i="1"/>
  <c r="CZ40" i="1"/>
  <c r="DB40" i="1" s="1"/>
  <c r="DA40" i="1"/>
  <c r="DG40" i="1"/>
  <c r="DI40" i="1" s="1"/>
  <c r="DH40" i="1"/>
  <c r="DJ40" i="1"/>
  <c r="DK40" i="1"/>
  <c r="DM40" i="1"/>
  <c r="DN40" i="1"/>
  <c r="DP40" i="1"/>
  <c r="DQ40" i="1"/>
  <c r="DR40" i="1" s="1"/>
  <c r="DS40" i="1"/>
  <c r="DU40" i="1" s="1"/>
  <c r="DT40" i="1"/>
  <c r="DV40" i="1"/>
  <c r="DW40" i="1"/>
  <c r="DY40" i="1"/>
  <c r="EA40" i="1" s="1"/>
  <c r="DZ40" i="1"/>
  <c r="EF40" i="1"/>
  <c r="EH40" i="1" s="1"/>
  <c r="EG40" i="1"/>
  <c r="EI40" i="1"/>
  <c r="EJ40" i="1"/>
  <c r="EL40" i="1"/>
  <c r="EN40" i="1" s="1"/>
  <c r="EM40" i="1"/>
  <c r="EO40" i="1"/>
  <c r="EP40" i="1"/>
  <c r="EQ40" i="1" s="1"/>
  <c r="ER40" i="1"/>
  <c r="ET40" i="1" s="1"/>
  <c r="ES40" i="1"/>
  <c r="EU40" i="1"/>
  <c r="EV40" i="1"/>
  <c r="FB40" i="1"/>
  <c r="FC40" i="1"/>
  <c r="FD40" i="1"/>
  <c r="FE40" i="1"/>
  <c r="FG40" i="1" s="1"/>
  <c r="FF40" i="1"/>
  <c r="FH40" i="1"/>
  <c r="FI40" i="1"/>
  <c r="FK40" i="1"/>
  <c r="FM40" i="1" s="1"/>
  <c r="FL40" i="1"/>
  <c r="FN40" i="1"/>
  <c r="FO40" i="1"/>
  <c r="FP40" i="1" s="1"/>
  <c r="FU40" i="1"/>
  <c r="FW40" i="1" s="1"/>
  <c r="FV40" i="1"/>
  <c r="FX40" i="1"/>
  <c r="FY40" i="1"/>
  <c r="GA40" i="1"/>
  <c r="GB40" i="1"/>
  <c r="GD40" i="1"/>
  <c r="GF40" i="1" s="1"/>
  <c r="GE40" i="1"/>
  <c r="GK40" i="1"/>
  <c r="GL40" i="1"/>
  <c r="GN40" i="1"/>
  <c r="GO40" i="1"/>
  <c r="GQ40" i="1"/>
  <c r="GR40" i="1"/>
  <c r="GS40" i="1"/>
  <c r="GX40" i="1"/>
  <c r="GZ40" i="1" s="1"/>
  <c r="GY40" i="1"/>
  <c r="HA40" i="1"/>
  <c r="HC40" i="1" s="1"/>
  <c r="HB40" i="1"/>
  <c r="HH40" i="1"/>
  <c r="HI40" i="1"/>
  <c r="L41" i="1"/>
  <c r="M41" i="1" s="1"/>
  <c r="AZ41" i="1"/>
  <c r="BA41" i="1"/>
  <c r="BC41" i="1"/>
  <c r="BD41" i="1"/>
  <c r="BF41" i="1"/>
  <c r="BH41" i="1" s="1"/>
  <c r="BG41" i="1"/>
  <c r="BI41" i="1"/>
  <c r="BJ41" i="1"/>
  <c r="BL41" i="1"/>
  <c r="BN41" i="1" s="1"/>
  <c r="BM41" i="1"/>
  <c r="BO41" i="1"/>
  <c r="BP41" i="1"/>
  <c r="BQ41" i="1"/>
  <c r="BR41" i="1"/>
  <c r="BS41" i="1"/>
  <c r="BT41" i="1"/>
  <c r="BU41" i="1"/>
  <c r="BW41" i="1" s="1"/>
  <c r="BV41" i="1"/>
  <c r="BX41" i="1"/>
  <c r="BY41" i="1"/>
  <c r="CE41" i="1"/>
  <c r="CG41" i="1" s="1"/>
  <c r="CF41" i="1"/>
  <c r="CH41" i="1"/>
  <c r="CI41" i="1"/>
  <c r="CK41" i="1"/>
  <c r="CL41" i="1"/>
  <c r="CN41" i="1"/>
  <c r="CO41" i="1"/>
  <c r="CP41" i="1" s="1"/>
  <c r="CQ41" i="1"/>
  <c r="CR41" i="1"/>
  <c r="CS41" i="1"/>
  <c r="CT41" i="1"/>
  <c r="CV41" i="1" s="1"/>
  <c r="CU41" i="1"/>
  <c r="CW41" i="1"/>
  <c r="CX41" i="1"/>
  <c r="CZ41" i="1"/>
  <c r="DA41" i="1"/>
  <c r="DG41" i="1"/>
  <c r="DH41" i="1"/>
  <c r="DJ41" i="1"/>
  <c r="DL41" i="1" s="1"/>
  <c r="DK41" i="1"/>
  <c r="DM41" i="1"/>
  <c r="DN41" i="1"/>
  <c r="DO41" i="1" s="1"/>
  <c r="DP41" i="1"/>
  <c r="DR41" i="1" s="1"/>
  <c r="DQ41" i="1"/>
  <c r="DS41" i="1"/>
  <c r="DT41" i="1"/>
  <c r="DV41" i="1"/>
  <c r="DW41" i="1"/>
  <c r="DY41" i="1"/>
  <c r="DZ41" i="1"/>
  <c r="EA41" i="1" s="1"/>
  <c r="EF41" i="1"/>
  <c r="EH41" i="1" s="1"/>
  <c r="EG41" i="1"/>
  <c r="EI41" i="1"/>
  <c r="EJ41" i="1"/>
  <c r="EL41" i="1"/>
  <c r="EM41" i="1"/>
  <c r="EO41" i="1"/>
  <c r="EQ41" i="1" s="1"/>
  <c r="EP41" i="1"/>
  <c r="ER41" i="1"/>
  <c r="ES41" i="1"/>
  <c r="EU41" i="1"/>
  <c r="EW41" i="1" s="1"/>
  <c r="EV41" i="1"/>
  <c r="FB41" i="1"/>
  <c r="FC41" i="1"/>
  <c r="FD41" i="1"/>
  <c r="FE41" i="1"/>
  <c r="FG41" i="1" s="1"/>
  <c r="FF41" i="1"/>
  <c r="FH41" i="1"/>
  <c r="FI41" i="1"/>
  <c r="FK41" i="1"/>
  <c r="FL41" i="1"/>
  <c r="FN41" i="1"/>
  <c r="FP41" i="1" s="1"/>
  <c r="FO41" i="1"/>
  <c r="FU41" i="1"/>
  <c r="FV41" i="1"/>
  <c r="FX41" i="1"/>
  <c r="FY41" i="1"/>
  <c r="GA41" i="1"/>
  <c r="GB41" i="1"/>
  <c r="GC41" i="1"/>
  <c r="GD41" i="1"/>
  <c r="GF41" i="1" s="1"/>
  <c r="GE41" i="1"/>
  <c r="GK41" i="1"/>
  <c r="GL41" i="1"/>
  <c r="GM41" i="1" s="1"/>
  <c r="GN41" i="1"/>
  <c r="GO41" i="1"/>
  <c r="GP41" i="1"/>
  <c r="GQ41" i="1"/>
  <c r="GS41" i="1" s="1"/>
  <c r="GR41" i="1"/>
  <c r="GX41" i="1"/>
  <c r="GY41" i="1"/>
  <c r="GZ41" i="1" s="1"/>
  <c r="HA41" i="1"/>
  <c r="HC41" i="1" s="1"/>
  <c r="HB41" i="1"/>
  <c r="HH41" i="1"/>
  <c r="HI41" i="1"/>
  <c r="L42" i="1"/>
  <c r="M42" i="1" s="1"/>
  <c r="AV42" i="1"/>
  <c r="N42" i="1" s="1"/>
  <c r="N42" i="3" s="1"/>
  <c r="AW42" i="1"/>
  <c r="O42" i="1" s="1"/>
  <c r="O42" i="3" s="1"/>
  <c r="AZ42" i="1"/>
  <c r="BB42" i="1" s="1"/>
  <c r="BA42" i="1"/>
  <c r="BC42" i="1"/>
  <c r="BD42" i="1"/>
  <c r="BE42" i="1"/>
  <c r="BF42" i="1"/>
  <c r="BH42" i="1" s="1"/>
  <c r="BG42" i="1"/>
  <c r="BI42" i="1"/>
  <c r="BJ42" i="1"/>
  <c r="BL42" i="1"/>
  <c r="BM42" i="1"/>
  <c r="BO42" i="1"/>
  <c r="BQ42" i="1" s="1"/>
  <c r="BP42" i="1"/>
  <c r="BR42" i="1"/>
  <c r="BS42" i="1"/>
  <c r="BU42" i="1"/>
  <c r="BW42" i="1" s="1"/>
  <c r="BV42" i="1"/>
  <c r="BX42" i="1"/>
  <c r="BY42" i="1"/>
  <c r="BZ42" i="1"/>
  <c r="CE42" i="1"/>
  <c r="CG42" i="1" s="1"/>
  <c r="CF42" i="1"/>
  <c r="CH42" i="1"/>
  <c r="CI42" i="1"/>
  <c r="CK42" i="1"/>
  <c r="CL42" i="1"/>
  <c r="CM42" i="1"/>
  <c r="CN42" i="1"/>
  <c r="CP42" i="1" s="1"/>
  <c r="CO42" i="1"/>
  <c r="CQ42" i="1"/>
  <c r="CR42" i="1"/>
  <c r="CT42" i="1"/>
  <c r="CV42" i="1" s="1"/>
  <c r="CU42" i="1"/>
  <c r="CW42" i="1"/>
  <c r="CX42" i="1"/>
  <c r="CY42" i="1" s="1"/>
  <c r="CZ42" i="1"/>
  <c r="DA42" i="1"/>
  <c r="DB42" i="1"/>
  <c r="DG42" i="1"/>
  <c r="DH42" i="1"/>
  <c r="DJ42" i="1"/>
  <c r="DK42" i="1"/>
  <c r="DL42" i="1" s="1"/>
  <c r="DM42" i="1"/>
  <c r="DO42" i="1" s="1"/>
  <c r="DN42" i="1"/>
  <c r="DP42" i="1"/>
  <c r="DQ42" i="1"/>
  <c r="DS42" i="1"/>
  <c r="DU42" i="1" s="1"/>
  <c r="DT42" i="1"/>
  <c r="DV42" i="1"/>
  <c r="DW42" i="1"/>
  <c r="DX42" i="1" s="1"/>
  <c r="DY42" i="1"/>
  <c r="DZ42" i="1"/>
  <c r="EA42" i="1"/>
  <c r="EF42" i="1"/>
  <c r="EH42" i="1" s="1"/>
  <c r="EG42" i="1"/>
  <c r="EI42" i="1"/>
  <c r="EJ42" i="1"/>
  <c r="EK42" i="1" s="1"/>
  <c r="EL42" i="1"/>
  <c r="EM42" i="1"/>
  <c r="EN42" i="1"/>
  <c r="EO42" i="1"/>
  <c r="EQ42" i="1" s="1"/>
  <c r="EP42" i="1"/>
  <c r="ER42" i="1"/>
  <c r="ES42" i="1"/>
  <c r="EU42" i="1"/>
  <c r="EW42" i="1" s="1"/>
  <c r="EV42" i="1"/>
  <c r="FB42" i="1"/>
  <c r="FC42" i="1"/>
  <c r="FE42" i="1"/>
  <c r="FG42" i="1" s="1"/>
  <c r="FF42" i="1"/>
  <c r="FH42" i="1"/>
  <c r="FJ42" i="1" s="1"/>
  <c r="FI42" i="1"/>
  <c r="FK42" i="1"/>
  <c r="FL42" i="1"/>
  <c r="FM42" i="1"/>
  <c r="FN42" i="1"/>
  <c r="FP42" i="1" s="1"/>
  <c r="FO42" i="1"/>
  <c r="FU42" i="1"/>
  <c r="FV42" i="1"/>
  <c r="FX42" i="1"/>
  <c r="FY42" i="1"/>
  <c r="FZ42" i="1"/>
  <c r="GA42" i="1"/>
  <c r="GC42" i="1" s="1"/>
  <c r="GB42" i="1"/>
  <c r="GD42" i="1"/>
  <c r="GE42" i="1"/>
  <c r="GK42" i="1"/>
  <c r="GL42" i="1"/>
  <c r="GM42" i="1"/>
  <c r="GN42" i="1"/>
  <c r="GP42" i="1" s="1"/>
  <c r="GO42" i="1"/>
  <c r="GQ42" i="1"/>
  <c r="GR42" i="1"/>
  <c r="GX42" i="1"/>
  <c r="GY42" i="1"/>
  <c r="GZ42" i="1"/>
  <c r="HA42" i="1"/>
  <c r="HC42" i="1" s="1"/>
  <c r="HB42" i="1"/>
  <c r="HH42" i="1"/>
  <c r="HI42" i="1"/>
  <c r="HJ42" i="1" s="1"/>
  <c r="L43" i="1"/>
  <c r="M43" i="1"/>
  <c r="M43" i="3" s="1"/>
  <c r="N43" i="1"/>
  <c r="N43" i="3" s="1"/>
  <c r="AV43" i="1"/>
  <c r="AW43" i="1"/>
  <c r="O43" i="1" s="1"/>
  <c r="O43" i="3" s="1"/>
  <c r="AX43" i="1"/>
  <c r="AY43" i="1"/>
  <c r="AZ43" i="1"/>
  <c r="BB43" i="1" s="1"/>
  <c r="BA43" i="1"/>
  <c r="BC43" i="1"/>
  <c r="BD43" i="1"/>
  <c r="BF43" i="1"/>
  <c r="BH43" i="1" s="1"/>
  <c r="BG43" i="1"/>
  <c r="BI43" i="1"/>
  <c r="BJ43" i="1"/>
  <c r="BK43" i="1" s="1"/>
  <c r="BL43" i="1"/>
  <c r="BN43" i="1" s="1"/>
  <c r="BM43" i="1"/>
  <c r="BO43" i="1"/>
  <c r="BP43" i="1"/>
  <c r="BR43" i="1"/>
  <c r="BT43" i="1" s="1"/>
  <c r="BS43" i="1"/>
  <c r="BU43" i="1"/>
  <c r="BW43" i="1" s="1"/>
  <c r="BV43" i="1"/>
  <c r="BX43" i="1"/>
  <c r="BY43" i="1"/>
  <c r="BZ43" i="1"/>
  <c r="CA43" i="1"/>
  <c r="CE43" i="1"/>
  <c r="CF43" i="1"/>
  <c r="CH43" i="1"/>
  <c r="CI43" i="1"/>
  <c r="CK43" i="1"/>
  <c r="CM43" i="1" s="1"/>
  <c r="CL43" i="1"/>
  <c r="CN43" i="1"/>
  <c r="CO43" i="1"/>
  <c r="CQ43" i="1"/>
  <c r="CS43" i="1" s="1"/>
  <c r="CR43" i="1"/>
  <c r="CT43" i="1"/>
  <c r="CU43" i="1"/>
  <c r="CV43" i="1"/>
  <c r="CW43" i="1"/>
  <c r="CX43" i="1"/>
  <c r="CY43" i="1"/>
  <c r="CZ43" i="1"/>
  <c r="DB43" i="1" s="1"/>
  <c r="DA43" i="1"/>
  <c r="DC43" i="1"/>
  <c r="DD43" i="1"/>
  <c r="DG43" i="1"/>
  <c r="DH43" i="1"/>
  <c r="DJ43" i="1"/>
  <c r="DK43" i="1"/>
  <c r="DL43" i="1"/>
  <c r="DM43" i="1"/>
  <c r="DO43" i="1" s="1"/>
  <c r="DN43" i="1"/>
  <c r="DP43" i="1"/>
  <c r="DQ43" i="1"/>
  <c r="DS43" i="1"/>
  <c r="DT43" i="1"/>
  <c r="DU43" i="1"/>
  <c r="DV43" i="1"/>
  <c r="DX43" i="1" s="1"/>
  <c r="DW43" i="1"/>
  <c r="DY43" i="1"/>
  <c r="DZ43" i="1"/>
  <c r="EB43" i="1"/>
  <c r="ED43" i="1" s="1"/>
  <c r="EC43" i="1"/>
  <c r="EF43" i="1"/>
  <c r="EG43" i="1"/>
  <c r="EH43" i="1" s="1"/>
  <c r="EI43" i="1"/>
  <c r="EJ43" i="1"/>
  <c r="EK43" i="1"/>
  <c r="EL43" i="1"/>
  <c r="EN43" i="1" s="1"/>
  <c r="EM43" i="1"/>
  <c r="EO43" i="1"/>
  <c r="EP43" i="1"/>
  <c r="ER43" i="1"/>
  <c r="ET43" i="1" s="1"/>
  <c r="ES43" i="1"/>
  <c r="EU43" i="1"/>
  <c r="EW43" i="1" s="1"/>
  <c r="EV43" i="1"/>
  <c r="EX43" i="1"/>
  <c r="EY43" i="1"/>
  <c r="FB43" i="1"/>
  <c r="FD43" i="1" s="1"/>
  <c r="FC43" i="1"/>
  <c r="FE43" i="1"/>
  <c r="FF43" i="1"/>
  <c r="FG43" i="1" s="1"/>
  <c r="FH43" i="1"/>
  <c r="FJ43" i="1" s="1"/>
  <c r="FI43" i="1"/>
  <c r="FK43" i="1"/>
  <c r="FL43" i="1"/>
  <c r="FN43" i="1"/>
  <c r="FP43" i="1" s="1"/>
  <c r="FO43" i="1"/>
  <c r="FQ43" i="1"/>
  <c r="FS43" i="1" s="1"/>
  <c r="FR43" i="1"/>
  <c r="FU43" i="1"/>
  <c r="FV43" i="1"/>
  <c r="FW43" i="1"/>
  <c r="FX43" i="1"/>
  <c r="FZ43" i="1" s="1"/>
  <c r="FY43" i="1"/>
  <c r="GA43" i="1"/>
  <c r="GB43" i="1"/>
  <c r="GD43" i="1"/>
  <c r="GE43" i="1"/>
  <c r="GF43" i="1"/>
  <c r="GG43" i="1"/>
  <c r="GI43" i="1" s="1"/>
  <c r="GH43" i="1"/>
  <c r="GK43" i="1"/>
  <c r="GL43" i="1"/>
  <c r="GN43" i="1"/>
  <c r="GP43" i="1" s="1"/>
  <c r="GO43" i="1"/>
  <c r="GQ43" i="1"/>
  <c r="GS43" i="1" s="1"/>
  <c r="GR43" i="1"/>
  <c r="GT43" i="1"/>
  <c r="GU43" i="1"/>
  <c r="GV43" i="1"/>
  <c r="GX43" i="1"/>
  <c r="GZ43" i="1" s="1"/>
  <c r="GY43" i="1"/>
  <c r="HA43" i="1"/>
  <c r="HB43" i="1"/>
  <c r="HD43" i="1"/>
  <c r="HE43" i="1"/>
  <c r="HF43" i="1"/>
  <c r="HH43" i="1"/>
  <c r="HJ43" i="1" s="1"/>
  <c r="HI43" i="1"/>
  <c r="HK43" i="1"/>
  <c r="HL43" i="1"/>
  <c r="HO43" i="1"/>
  <c r="HQ43" i="1" s="1"/>
  <c r="HP43" i="1"/>
  <c r="HS43" i="1"/>
  <c r="HU43" i="1" s="1"/>
  <c r="HT43" i="1"/>
  <c r="HV43" i="1"/>
  <c r="HW43" i="1"/>
  <c r="HX43" i="1"/>
  <c r="HY43" i="1"/>
  <c r="IA43" i="1" s="1"/>
  <c r="HZ43" i="1"/>
  <c r="IB43" i="1"/>
  <c r="IC43" i="1"/>
  <c r="IE43" i="1"/>
  <c r="IF43" i="1"/>
  <c r="IG43" i="1"/>
  <c r="IH43" i="1"/>
  <c r="IJ43" i="1" s="1"/>
  <c r="II43" i="1"/>
  <c r="IK43" i="1"/>
  <c r="IL43" i="1"/>
  <c r="IN43" i="1"/>
  <c r="IP43" i="1" s="1"/>
  <c r="IO43" i="1"/>
  <c r="IQ43" i="1"/>
  <c r="IS43" i="1" s="1"/>
  <c r="IR43" i="1"/>
  <c r="IT43" i="1"/>
  <c r="IU43" i="1"/>
  <c r="IV43" i="1"/>
  <c r="L44" i="1"/>
  <c r="AZ44" i="1"/>
  <c r="BA44" i="1"/>
  <c r="BC44" i="1"/>
  <c r="BE44" i="1" s="1"/>
  <c r="BD44" i="1"/>
  <c r="BF44" i="1"/>
  <c r="BG44" i="1"/>
  <c r="BH44" i="1"/>
  <c r="BI44" i="1"/>
  <c r="BJ44" i="1"/>
  <c r="BK44" i="1"/>
  <c r="BL44" i="1"/>
  <c r="BN44" i="1" s="1"/>
  <c r="BM44" i="1"/>
  <c r="BO44" i="1"/>
  <c r="BP44" i="1"/>
  <c r="BR44" i="1"/>
  <c r="BT44" i="1" s="1"/>
  <c r="BS44" i="1"/>
  <c r="BU44" i="1"/>
  <c r="BW44" i="1" s="1"/>
  <c r="BV44" i="1"/>
  <c r="BX44" i="1"/>
  <c r="BY44" i="1"/>
  <c r="CE44" i="1"/>
  <c r="CG44" i="1" s="1"/>
  <c r="CF44" i="1"/>
  <c r="CH44" i="1"/>
  <c r="CJ44" i="1" s="1"/>
  <c r="CI44" i="1"/>
  <c r="CK44" i="1"/>
  <c r="CL44" i="1"/>
  <c r="CN44" i="1"/>
  <c r="CP44" i="1" s="1"/>
  <c r="CO44" i="1"/>
  <c r="CQ44" i="1"/>
  <c r="CR44" i="1"/>
  <c r="CS44" i="1"/>
  <c r="CT44" i="1"/>
  <c r="CU44" i="1"/>
  <c r="CV44" i="1"/>
  <c r="CW44" i="1"/>
  <c r="CY44" i="1" s="1"/>
  <c r="CX44" i="1"/>
  <c r="CZ44" i="1"/>
  <c r="DA44" i="1"/>
  <c r="DG44" i="1"/>
  <c r="DI44" i="1" s="1"/>
  <c r="DH44" i="1"/>
  <c r="DJ44" i="1"/>
  <c r="DK44" i="1"/>
  <c r="DM44" i="1"/>
  <c r="DN44" i="1"/>
  <c r="DP44" i="1"/>
  <c r="DQ44" i="1"/>
  <c r="DR44" i="1" s="1"/>
  <c r="DS44" i="1"/>
  <c r="DT44" i="1"/>
  <c r="DU44" i="1"/>
  <c r="DV44" i="1"/>
  <c r="DX44" i="1" s="1"/>
  <c r="DW44" i="1"/>
  <c r="DY44" i="1"/>
  <c r="DZ44" i="1"/>
  <c r="EF44" i="1"/>
  <c r="EH44" i="1" s="1"/>
  <c r="EG44" i="1"/>
  <c r="EI44" i="1"/>
  <c r="EJ44" i="1"/>
  <c r="EL44" i="1"/>
  <c r="EN44" i="1" s="1"/>
  <c r="EM44" i="1"/>
  <c r="EO44" i="1"/>
  <c r="EQ44" i="1" s="1"/>
  <c r="EP44" i="1"/>
  <c r="ER44" i="1"/>
  <c r="ES44" i="1"/>
  <c r="ET44" i="1"/>
  <c r="EU44" i="1"/>
  <c r="EW44" i="1" s="1"/>
  <c r="EV44" i="1"/>
  <c r="FB44" i="1"/>
  <c r="FD44" i="1" s="1"/>
  <c r="FC44" i="1"/>
  <c r="FE44" i="1"/>
  <c r="FF44" i="1"/>
  <c r="FG44" i="1"/>
  <c r="FH44" i="1"/>
  <c r="FJ44" i="1" s="1"/>
  <c r="FI44" i="1"/>
  <c r="FK44" i="1"/>
  <c r="FL44" i="1"/>
  <c r="FN44" i="1"/>
  <c r="FO44" i="1"/>
  <c r="FP44" i="1"/>
  <c r="FU44" i="1"/>
  <c r="FW44" i="1" s="1"/>
  <c r="FV44" i="1"/>
  <c r="FX44" i="1"/>
  <c r="FY44" i="1"/>
  <c r="GA44" i="1"/>
  <c r="GC44" i="1" s="1"/>
  <c r="GB44" i="1"/>
  <c r="GD44" i="1"/>
  <c r="GF44" i="1" s="1"/>
  <c r="GE44" i="1"/>
  <c r="GK44" i="1"/>
  <c r="GL44" i="1"/>
  <c r="GN44" i="1"/>
  <c r="GO44" i="1"/>
  <c r="GQ44" i="1"/>
  <c r="GR44" i="1"/>
  <c r="GS44" i="1"/>
  <c r="GX44" i="1"/>
  <c r="GZ44" i="1" s="1"/>
  <c r="GY44" i="1"/>
  <c r="HA44" i="1"/>
  <c r="HC44" i="1" s="1"/>
  <c r="HB44" i="1"/>
  <c r="HH44" i="1"/>
  <c r="HI44" i="1"/>
  <c r="L45" i="1"/>
  <c r="M45" i="1" s="1"/>
  <c r="AZ45" i="1"/>
  <c r="BA45" i="1"/>
  <c r="BC45" i="1"/>
  <c r="BE45" i="1" s="1"/>
  <c r="BD45" i="1"/>
  <c r="BF45" i="1"/>
  <c r="BH45" i="1" s="1"/>
  <c r="BG45" i="1"/>
  <c r="BI45" i="1"/>
  <c r="BJ45" i="1"/>
  <c r="BL45" i="1"/>
  <c r="BN45" i="1" s="1"/>
  <c r="BM45" i="1"/>
  <c r="BO45" i="1"/>
  <c r="BP45" i="1"/>
  <c r="BQ45" i="1"/>
  <c r="BR45" i="1"/>
  <c r="BS45" i="1"/>
  <c r="BT45" i="1"/>
  <c r="BU45" i="1"/>
  <c r="BW45" i="1" s="1"/>
  <c r="BV45" i="1"/>
  <c r="BX45" i="1"/>
  <c r="BY45" i="1"/>
  <c r="CE45" i="1"/>
  <c r="CG45" i="1" s="1"/>
  <c r="CF45" i="1"/>
  <c r="CH45" i="1"/>
  <c r="CI45" i="1"/>
  <c r="CK45" i="1"/>
  <c r="CL45" i="1"/>
  <c r="CN45" i="1"/>
  <c r="CO45" i="1"/>
  <c r="CP45" i="1" s="1"/>
  <c r="CQ45" i="1"/>
  <c r="CR45" i="1"/>
  <c r="CS45" i="1"/>
  <c r="CT45" i="1"/>
  <c r="CV45" i="1" s="1"/>
  <c r="CU45" i="1"/>
  <c r="CW45" i="1"/>
  <c r="CX45" i="1"/>
  <c r="CZ45" i="1"/>
  <c r="DA45" i="1"/>
  <c r="DG45" i="1"/>
  <c r="DH45" i="1"/>
  <c r="DJ45" i="1"/>
  <c r="DK45" i="1"/>
  <c r="DM45" i="1"/>
  <c r="DN45" i="1"/>
  <c r="DO45" i="1" s="1"/>
  <c r="DP45" i="1"/>
  <c r="DR45" i="1" s="1"/>
  <c r="DQ45" i="1"/>
  <c r="DS45" i="1"/>
  <c r="DT45" i="1"/>
  <c r="DV45" i="1"/>
  <c r="DW45" i="1"/>
  <c r="DY45" i="1"/>
  <c r="DZ45" i="1"/>
  <c r="EA45" i="1" s="1"/>
  <c r="EF45" i="1"/>
  <c r="EH45" i="1" s="1"/>
  <c r="EG45" i="1"/>
  <c r="EI45" i="1"/>
  <c r="EJ45" i="1"/>
  <c r="EL45" i="1"/>
  <c r="EM45" i="1"/>
  <c r="EO45" i="1"/>
  <c r="EQ45" i="1" s="1"/>
  <c r="EP45" i="1"/>
  <c r="ER45" i="1"/>
  <c r="ES45" i="1"/>
  <c r="EU45" i="1"/>
  <c r="EV45" i="1"/>
  <c r="FB45" i="1"/>
  <c r="FC45" i="1"/>
  <c r="FD45" i="1"/>
  <c r="FE45" i="1"/>
  <c r="FG45" i="1" s="1"/>
  <c r="FF45" i="1"/>
  <c r="FH45" i="1"/>
  <c r="FI45" i="1"/>
  <c r="FK45" i="1"/>
  <c r="FL45" i="1"/>
  <c r="FM45" i="1"/>
  <c r="FN45" i="1"/>
  <c r="FP45" i="1" s="1"/>
  <c r="FO45" i="1"/>
  <c r="FU45" i="1"/>
  <c r="FV45" i="1"/>
  <c r="FX45" i="1"/>
  <c r="FY45" i="1"/>
  <c r="GA45" i="1"/>
  <c r="GC45" i="1" s="1"/>
  <c r="GB45" i="1"/>
  <c r="GD45" i="1"/>
  <c r="GE45" i="1"/>
  <c r="GK45" i="1"/>
  <c r="GL45" i="1"/>
  <c r="GN45" i="1"/>
  <c r="GO45" i="1"/>
  <c r="GP45" i="1"/>
  <c r="GQ45" i="1"/>
  <c r="GS45" i="1" s="1"/>
  <c r="GR45" i="1"/>
  <c r="GX45" i="1"/>
  <c r="GY45" i="1"/>
  <c r="GZ45" i="1" s="1"/>
  <c r="HA45" i="1"/>
  <c r="HB45" i="1"/>
  <c r="HC45" i="1"/>
  <c r="HH45" i="1"/>
  <c r="HJ45" i="1" s="1"/>
  <c r="HI45" i="1"/>
  <c r="L46" i="1"/>
  <c r="M46" i="1"/>
  <c r="AV46" i="1"/>
  <c r="N46" i="1" s="1"/>
  <c r="N46" i="3" s="1"/>
  <c r="AW46" i="1"/>
  <c r="O46" i="1" s="1"/>
  <c r="O46" i="3" s="1"/>
  <c r="AX46" i="1"/>
  <c r="AZ46" i="1"/>
  <c r="BB46" i="1" s="1"/>
  <c r="BA46" i="1"/>
  <c r="BC46" i="1"/>
  <c r="BE46" i="1" s="1"/>
  <c r="BD46" i="1"/>
  <c r="BF46" i="1"/>
  <c r="BG46" i="1"/>
  <c r="BI46" i="1"/>
  <c r="BK46" i="1" s="1"/>
  <c r="BJ46" i="1"/>
  <c r="BL46" i="1"/>
  <c r="BM46" i="1"/>
  <c r="BN46" i="1"/>
  <c r="BO46" i="1"/>
  <c r="BP46" i="1"/>
  <c r="BQ46" i="1"/>
  <c r="BR46" i="1"/>
  <c r="BT46" i="1" s="1"/>
  <c r="BS46" i="1"/>
  <c r="BU46" i="1"/>
  <c r="BV46" i="1"/>
  <c r="BX46" i="1"/>
  <c r="BZ46" i="1" s="1"/>
  <c r="BY46" i="1"/>
  <c r="CE46" i="1"/>
  <c r="CF46" i="1"/>
  <c r="CH46" i="1"/>
  <c r="CJ46" i="1" s="1"/>
  <c r="CI46" i="1"/>
  <c r="CK46" i="1"/>
  <c r="CM46" i="1" s="1"/>
  <c r="CL46" i="1"/>
  <c r="CN46" i="1"/>
  <c r="CO46" i="1"/>
  <c r="CP46" i="1"/>
  <c r="CQ46" i="1"/>
  <c r="CS46" i="1" s="1"/>
  <c r="CR46" i="1"/>
  <c r="CT46" i="1"/>
  <c r="CU46" i="1"/>
  <c r="CW46" i="1"/>
  <c r="CX46" i="1"/>
  <c r="CY46" i="1"/>
  <c r="CZ46" i="1"/>
  <c r="DB46" i="1" s="1"/>
  <c r="DA46" i="1"/>
  <c r="DC46" i="1"/>
  <c r="DG46" i="1"/>
  <c r="DH46" i="1"/>
  <c r="DJ46" i="1"/>
  <c r="DK46" i="1"/>
  <c r="DL46" i="1" s="1"/>
  <c r="DM46" i="1"/>
  <c r="DO46" i="1" s="1"/>
  <c r="DN46" i="1"/>
  <c r="DP46" i="1"/>
  <c r="DQ46" i="1"/>
  <c r="DS46" i="1"/>
  <c r="DT46" i="1"/>
  <c r="DV46" i="1"/>
  <c r="DW46" i="1"/>
  <c r="DX46" i="1" s="1"/>
  <c r="DY46" i="1"/>
  <c r="DZ46" i="1"/>
  <c r="EA46" i="1"/>
  <c r="EB46" i="1"/>
  <c r="EF46" i="1"/>
  <c r="EH46" i="1" s="1"/>
  <c r="EG46" i="1"/>
  <c r="EI46" i="1"/>
  <c r="EK46" i="1" s="1"/>
  <c r="EJ46" i="1"/>
  <c r="EL46" i="1"/>
  <c r="EM46" i="1"/>
  <c r="EN46" i="1"/>
  <c r="EO46" i="1"/>
  <c r="EQ46" i="1" s="1"/>
  <c r="EP46" i="1"/>
  <c r="ER46" i="1"/>
  <c r="ES46" i="1"/>
  <c r="EU46" i="1"/>
  <c r="EV46" i="1"/>
  <c r="EW46" i="1"/>
  <c r="FB46" i="1"/>
  <c r="FD46" i="1" s="1"/>
  <c r="FC46" i="1"/>
  <c r="FE46" i="1"/>
  <c r="FF46" i="1"/>
  <c r="FH46" i="1"/>
  <c r="FJ46" i="1" s="1"/>
  <c r="FI46" i="1"/>
  <c r="FK46" i="1"/>
  <c r="FM46" i="1" s="1"/>
  <c r="FL46" i="1"/>
  <c r="FN46" i="1"/>
  <c r="FO46" i="1"/>
  <c r="FQ46" i="1"/>
  <c r="FU46" i="1"/>
  <c r="FV46" i="1"/>
  <c r="FW46" i="1"/>
  <c r="FX46" i="1"/>
  <c r="FZ46" i="1" s="1"/>
  <c r="FY46" i="1"/>
  <c r="GA46" i="1"/>
  <c r="GC46" i="1" s="1"/>
  <c r="GB46" i="1"/>
  <c r="GD46" i="1"/>
  <c r="GE46" i="1"/>
  <c r="GH46" i="1"/>
  <c r="GK46" i="1"/>
  <c r="GL46" i="1"/>
  <c r="GM46" i="1"/>
  <c r="GN46" i="1"/>
  <c r="GP46" i="1" s="1"/>
  <c r="GO46" i="1"/>
  <c r="GQ46" i="1"/>
  <c r="GR46" i="1"/>
  <c r="GT46" i="1"/>
  <c r="GX46" i="1"/>
  <c r="GY46" i="1"/>
  <c r="HA46" i="1"/>
  <c r="HB46" i="1"/>
  <c r="HE46" i="1"/>
  <c r="HH46" i="1"/>
  <c r="HI46" i="1"/>
  <c r="HL46" i="1"/>
  <c r="HO46" i="1"/>
  <c r="HS46" i="1"/>
  <c r="HT46" i="1"/>
  <c r="HV46" i="1"/>
  <c r="HX46" i="1" s="1"/>
  <c r="HW46" i="1"/>
  <c r="HZ46" i="1"/>
  <c r="IB46" i="1"/>
  <c r="IE46" i="1"/>
  <c r="IG46" i="1" s="1"/>
  <c r="IF46" i="1"/>
  <c r="IH46" i="1"/>
  <c r="II46" i="1"/>
  <c r="IL46" i="1"/>
  <c r="IN46" i="1"/>
  <c r="IQ46" i="1"/>
  <c r="IR46" i="1"/>
  <c r="IT46" i="1"/>
  <c r="IV46" i="1" s="1"/>
  <c r="IU46" i="1"/>
  <c r="L47" i="1"/>
  <c r="M47" i="1"/>
  <c r="M47" i="3" s="1"/>
  <c r="N47" i="1"/>
  <c r="N47" i="3" s="1"/>
  <c r="AV47" i="1"/>
  <c r="AW47" i="1"/>
  <c r="O47" i="1" s="1"/>
  <c r="O47" i="3" s="1"/>
  <c r="AX47" i="1"/>
  <c r="AY47" i="1"/>
  <c r="AZ47" i="1"/>
  <c r="BA47" i="1"/>
  <c r="BC47" i="1"/>
  <c r="BE47" i="1" s="1"/>
  <c r="BD47" i="1"/>
  <c r="BF47" i="1"/>
  <c r="BG47" i="1"/>
  <c r="BI47" i="1"/>
  <c r="BK47" i="1" s="1"/>
  <c r="BJ47" i="1"/>
  <c r="BL47" i="1"/>
  <c r="BM47" i="1"/>
  <c r="BN47" i="1" s="1"/>
  <c r="BO47" i="1"/>
  <c r="BQ47" i="1" s="1"/>
  <c r="BP47" i="1"/>
  <c r="BR47" i="1"/>
  <c r="BS47" i="1"/>
  <c r="BU47" i="1"/>
  <c r="BW47" i="1" s="1"/>
  <c r="BV47" i="1"/>
  <c r="BX47" i="1"/>
  <c r="BY47" i="1"/>
  <c r="BZ47" i="1" s="1"/>
  <c r="CE47" i="1"/>
  <c r="CG47" i="1" s="1"/>
  <c r="CF47" i="1"/>
  <c r="CH47" i="1"/>
  <c r="CI47" i="1"/>
  <c r="CK47" i="1"/>
  <c r="CL47" i="1"/>
  <c r="CN47" i="1"/>
  <c r="CP47" i="1" s="1"/>
  <c r="CO47" i="1"/>
  <c r="CQ47" i="1"/>
  <c r="CR47" i="1"/>
  <c r="CT47" i="1"/>
  <c r="CV47" i="1" s="1"/>
  <c r="CU47" i="1"/>
  <c r="CW47" i="1"/>
  <c r="CX47" i="1"/>
  <c r="CY47" i="1" s="1"/>
  <c r="CZ47" i="1"/>
  <c r="DB47" i="1" s="1"/>
  <c r="DA47" i="1"/>
  <c r="DG47" i="1"/>
  <c r="DH47" i="1"/>
  <c r="DJ47" i="1"/>
  <c r="DK47" i="1"/>
  <c r="DM47" i="1"/>
  <c r="DO47" i="1" s="1"/>
  <c r="DN47" i="1"/>
  <c r="DP47" i="1"/>
  <c r="DQ47" i="1"/>
  <c r="DS47" i="1"/>
  <c r="DU47" i="1" s="1"/>
  <c r="DT47" i="1"/>
  <c r="DV47" i="1"/>
  <c r="DW47" i="1"/>
  <c r="DX47" i="1" s="1"/>
  <c r="DY47" i="1"/>
  <c r="EA47" i="1" s="1"/>
  <c r="DZ47" i="1"/>
  <c r="EF47" i="1"/>
  <c r="EG47" i="1"/>
  <c r="EI47" i="1"/>
  <c r="EJ47" i="1"/>
  <c r="EL47" i="1"/>
  <c r="EN47" i="1" s="1"/>
  <c r="EM47" i="1"/>
  <c r="EO47" i="1"/>
  <c r="EP47" i="1"/>
  <c r="ER47" i="1"/>
  <c r="ET47" i="1" s="1"/>
  <c r="ES47" i="1"/>
  <c r="EU47" i="1"/>
  <c r="EV47" i="1"/>
  <c r="EW47" i="1" s="1"/>
  <c r="FB47" i="1"/>
  <c r="FD47" i="1" s="1"/>
  <c r="FC47" i="1"/>
  <c r="FE47" i="1"/>
  <c r="FF47" i="1"/>
  <c r="FH47" i="1"/>
  <c r="FI47" i="1"/>
  <c r="FK47" i="1"/>
  <c r="FL47" i="1"/>
  <c r="FM47" i="1"/>
  <c r="FN47" i="1"/>
  <c r="FP47" i="1" s="1"/>
  <c r="FO47" i="1"/>
  <c r="FQ47" i="1"/>
  <c r="FU47" i="1"/>
  <c r="FV47" i="1"/>
  <c r="FX47" i="1"/>
  <c r="FY47" i="1"/>
  <c r="FZ47" i="1"/>
  <c r="GA47" i="1"/>
  <c r="GC47" i="1" s="1"/>
  <c r="GB47" i="1"/>
  <c r="GD47" i="1"/>
  <c r="GE47" i="1"/>
  <c r="GH47" i="1"/>
  <c r="GK47" i="1"/>
  <c r="GL47" i="1"/>
  <c r="GM47" i="1"/>
  <c r="GN47" i="1"/>
  <c r="GP47" i="1" s="1"/>
  <c r="GO47" i="1"/>
  <c r="GQ47" i="1"/>
  <c r="GR47" i="1"/>
  <c r="GU47" i="1"/>
  <c r="GX47" i="1"/>
  <c r="GY47" i="1"/>
  <c r="GZ47" i="1"/>
  <c r="HA47" i="1"/>
  <c r="HC47" i="1" s="1"/>
  <c r="HB47" i="1"/>
  <c r="HD47" i="1"/>
  <c r="HH47" i="1"/>
  <c r="HI47" i="1"/>
  <c r="HP47" i="1"/>
  <c r="HS47" i="1"/>
  <c r="HW47" i="1"/>
  <c r="IC47" i="1"/>
  <c r="IE47" i="1"/>
  <c r="II47" i="1"/>
  <c r="IO47" i="1"/>
  <c r="IQ47" i="1"/>
  <c r="IU47" i="1"/>
  <c r="L48" i="1"/>
  <c r="M48" i="1" s="1"/>
  <c r="AV48" i="1"/>
  <c r="N48" i="1" s="1"/>
  <c r="N48" i="3" s="1"/>
  <c r="AX48" i="1"/>
  <c r="AZ48" i="1"/>
  <c r="BA48" i="1"/>
  <c r="BB48" i="1"/>
  <c r="BC48" i="1"/>
  <c r="BE48" i="1" s="1"/>
  <c r="BD48" i="1"/>
  <c r="BF48" i="1"/>
  <c r="BG48" i="1"/>
  <c r="BI48" i="1"/>
  <c r="BJ48" i="1"/>
  <c r="BL48" i="1"/>
  <c r="BN48" i="1" s="1"/>
  <c r="BM48" i="1"/>
  <c r="BO48" i="1"/>
  <c r="BP48" i="1"/>
  <c r="BR48" i="1"/>
  <c r="BT48" i="1" s="1"/>
  <c r="BS48" i="1"/>
  <c r="BU48" i="1"/>
  <c r="BV48" i="1"/>
  <c r="BW48" i="1" s="1"/>
  <c r="BX48" i="1"/>
  <c r="BZ48" i="1" s="1"/>
  <c r="BY48" i="1"/>
  <c r="CE48" i="1"/>
  <c r="CF48" i="1"/>
  <c r="CH48" i="1"/>
  <c r="CI48" i="1"/>
  <c r="CK48" i="1"/>
  <c r="CM48" i="1" s="1"/>
  <c r="CL48" i="1"/>
  <c r="CN48" i="1"/>
  <c r="CO48" i="1"/>
  <c r="CQ48" i="1"/>
  <c r="CS48" i="1" s="1"/>
  <c r="CR48" i="1"/>
  <c r="CT48" i="1"/>
  <c r="CU48" i="1"/>
  <c r="CV48" i="1" s="1"/>
  <c r="CW48" i="1"/>
  <c r="CY48" i="1" s="1"/>
  <c r="CX48" i="1"/>
  <c r="CZ48" i="1"/>
  <c r="DA48" i="1"/>
  <c r="DG48" i="1"/>
  <c r="DH48" i="1"/>
  <c r="DJ48" i="1"/>
  <c r="DL48" i="1" s="1"/>
  <c r="DK48" i="1"/>
  <c r="DM48" i="1"/>
  <c r="DN48" i="1"/>
  <c r="DP48" i="1"/>
  <c r="DR48" i="1" s="1"/>
  <c r="DQ48" i="1"/>
  <c r="DS48" i="1"/>
  <c r="DT48" i="1"/>
  <c r="DU48" i="1" s="1"/>
  <c r="DV48" i="1"/>
  <c r="DX48" i="1" s="1"/>
  <c r="DW48" i="1"/>
  <c r="DY48" i="1"/>
  <c r="DZ48" i="1"/>
  <c r="EF48" i="1"/>
  <c r="EG48" i="1"/>
  <c r="EI48" i="1"/>
  <c r="EK48" i="1" s="1"/>
  <c r="EJ48" i="1"/>
  <c r="EL48" i="1"/>
  <c r="EM48" i="1"/>
  <c r="EO48" i="1"/>
  <c r="EQ48" i="1" s="1"/>
  <c r="EP48" i="1"/>
  <c r="ER48" i="1"/>
  <c r="ES48" i="1"/>
  <c r="ET48" i="1" s="1"/>
  <c r="EU48" i="1"/>
  <c r="EW48" i="1" s="1"/>
  <c r="EV48" i="1"/>
  <c r="FB48" i="1"/>
  <c r="FC48" i="1"/>
  <c r="FE48" i="1"/>
  <c r="FF48" i="1"/>
  <c r="FH48" i="1"/>
  <c r="FJ48" i="1" s="1"/>
  <c r="FI48" i="1"/>
  <c r="FK48" i="1"/>
  <c r="FL48" i="1"/>
  <c r="FN48" i="1"/>
  <c r="FP48" i="1" s="1"/>
  <c r="FO48" i="1"/>
  <c r="FU48" i="1"/>
  <c r="FV48" i="1"/>
  <c r="FW48" i="1"/>
  <c r="FX48" i="1"/>
  <c r="FZ48" i="1" s="1"/>
  <c r="FY48" i="1"/>
  <c r="GA48" i="1"/>
  <c r="GB48" i="1"/>
  <c r="GD48" i="1"/>
  <c r="GE48" i="1"/>
  <c r="GK48" i="1"/>
  <c r="GL48" i="1"/>
  <c r="GN48" i="1"/>
  <c r="GP48" i="1" s="1"/>
  <c r="GO48" i="1"/>
  <c r="GQ48" i="1"/>
  <c r="GR48" i="1"/>
  <c r="GS48" i="1" s="1"/>
  <c r="GX48" i="1"/>
  <c r="GZ48" i="1" s="1"/>
  <c r="GY48" i="1"/>
  <c r="HA48" i="1"/>
  <c r="HB48" i="1"/>
  <c r="HH48" i="1"/>
  <c r="HI48" i="1"/>
  <c r="HJ48" i="1"/>
  <c r="L49" i="1"/>
  <c r="M49" i="1" s="1"/>
  <c r="AV49" i="1"/>
  <c r="N49" i="1" s="1"/>
  <c r="N49" i="3" s="1"/>
  <c r="AZ49" i="1"/>
  <c r="BA49" i="1"/>
  <c r="BC49" i="1"/>
  <c r="BE49" i="1" s="1"/>
  <c r="BD49" i="1"/>
  <c r="BF49" i="1"/>
  <c r="BG49" i="1"/>
  <c r="BH49" i="1" s="1"/>
  <c r="BI49" i="1"/>
  <c r="BJ49" i="1"/>
  <c r="BK49" i="1"/>
  <c r="BL49" i="1"/>
  <c r="BN49" i="1" s="1"/>
  <c r="BM49" i="1"/>
  <c r="BO49" i="1"/>
  <c r="BP49" i="1"/>
  <c r="BR49" i="1"/>
  <c r="BS49" i="1"/>
  <c r="BU49" i="1"/>
  <c r="BV49" i="1"/>
  <c r="BW49" i="1"/>
  <c r="BX49" i="1"/>
  <c r="BZ49" i="1" s="1"/>
  <c r="BY49" i="1"/>
  <c r="CE49" i="1"/>
  <c r="CF49" i="1"/>
  <c r="CH49" i="1"/>
  <c r="CI49" i="1"/>
  <c r="CJ49" i="1"/>
  <c r="CK49" i="1"/>
  <c r="CM49" i="1" s="1"/>
  <c r="CL49" i="1"/>
  <c r="CN49" i="1"/>
  <c r="CO49" i="1"/>
  <c r="CQ49" i="1"/>
  <c r="CR49" i="1"/>
  <c r="CT49" i="1"/>
  <c r="CV49" i="1" s="1"/>
  <c r="CU49" i="1"/>
  <c r="CW49" i="1"/>
  <c r="CX49" i="1"/>
  <c r="CZ49" i="1"/>
  <c r="DB49" i="1" s="1"/>
  <c r="DA49" i="1"/>
  <c r="DG49" i="1"/>
  <c r="DI49" i="1" s="1"/>
  <c r="DH49" i="1"/>
  <c r="DJ49" i="1"/>
  <c r="DK49" i="1"/>
  <c r="DM49" i="1"/>
  <c r="DO49" i="1" s="1"/>
  <c r="DN49" i="1"/>
  <c r="DP49" i="1"/>
  <c r="DQ49" i="1"/>
  <c r="DR49" i="1" s="1"/>
  <c r="DS49" i="1"/>
  <c r="DU49" i="1" s="1"/>
  <c r="DT49" i="1"/>
  <c r="DV49" i="1"/>
  <c r="DW49" i="1"/>
  <c r="DY49" i="1"/>
  <c r="EA49" i="1" s="1"/>
  <c r="DZ49" i="1"/>
  <c r="EF49" i="1"/>
  <c r="EH49" i="1" s="1"/>
  <c r="EG49" i="1"/>
  <c r="EI49" i="1"/>
  <c r="EJ49" i="1"/>
  <c r="EL49" i="1"/>
  <c r="EN49" i="1" s="1"/>
  <c r="EM49" i="1"/>
  <c r="EO49" i="1"/>
  <c r="EP49" i="1"/>
  <c r="EQ49" i="1" s="1"/>
  <c r="ER49" i="1"/>
  <c r="ES49" i="1"/>
  <c r="ET49" i="1"/>
  <c r="EU49" i="1"/>
  <c r="EW49" i="1" s="1"/>
  <c r="EV49" i="1"/>
  <c r="FB49" i="1"/>
  <c r="FC49" i="1"/>
  <c r="FD49" i="1" s="1"/>
  <c r="FE49" i="1"/>
  <c r="FF49" i="1"/>
  <c r="FG49" i="1"/>
  <c r="FH49" i="1"/>
  <c r="FJ49" i="1" s="1"/>
  <c r="FI49" i="1"/>
  <c r="FK49" i="1"/>
  <c r="FL49" i="1"/>
  <c r="FN49" i="1"/>
  <c r="FO49" i="1"/>
  <c r="FU49" i="1"/>
  <c r="FV49" i="1"/>
  <c r="FX49" i="1"/>
  <c r="FZ49" i="1" s="1"/>
  <c r="FY49" i="1"/>
  <c r="GA49" i="1"/>
  <c r="GB49" i="1"/>
  <c r="GC49" i="1" s="1"/>
  <c r="GD49" i="1"/>
  <c r="GE49" i="1"/>
  <c r="GF49" i="1"/>
  <c r="GK49" i="1"/>
  <c r="GM49" i="1" s="1"/>
  <c r="GL49" i="1"/>
  <c r="GN49" i="1"/>
  <c r="GO49" i="1"/>
  <c r="GP49" i="1" s="1"/>
  <c r="GQ49" i="1"/>
  <c r="GR49" i="1"/>
  <c r="GS49" i="1"/>
  <c r="GX49" i="1"/>
  <c r="GZ49" i="1" s="1"/>
  <c r="GY49" i="1"/>
  <c r="HA49" i="1"/>
  <c r="HB49" i="1"/>
  <c r="HC49" i="1" s="1"/>
  <c r="HH49" i="1"/>
  <c r="HI49" i="1"/>
  <c r="L50" i="1"/>
  <c r="AV50" i="1" s="1"/>
  <c r="N50" i="1" s="1"/>
  <c r="N50" i="3" s="1"/>
  <c r="AZ50" i="1"/>
  <c r="BA50" i="1"/>
  <c r="BC50" i="1"/>
  <c r="BD50" i="1"/>
  <c r="BF50" i="1"/>
  <c r="BG50" i="1"/>
  <c r="BH50" i="1"/>
  <c r="BI50" i="1"/>
  <c r="BK50" i="1" s="1"/>
  <c r="BJ50" i="1"/>
  <c r="BL50" i="1"/>
  <c r="BM50" i="1"/>
  <c r="BO50" i="1"/>
  <c r="BP50" i="1"/>
  <c r="BR50" i="1"/>
  <c r="BT50" i="1" s="1"/>
  <c r="BS50" i="1"/>
  <c r="BU50" i="1"/>
  <c r="BV50" i="1"/>
  <c r="BX50" i="1"/>
  <c r="BZ50" i="1" s="1"/>
  <c r="BY50" i="1"/>
  <c r="CE50" i="1"/>
  <c r="CF50" i="1"/>
  <c r="CG50" i="1"/>
  <c r="CH50" i="1"/>
  <c r="CJ50" i="1" s="1"/>
  <c r="CI50" i="1"/>
  <c r="CK50" i="1"/>
  <c r="CL50" i="1"/>
  <c r="CN50" i="1"/>
  <c r="CO50" i="1"/>
  <c r="CQ50" i="1"/>
  <c r="CS50" i="1" s="1"/>
  <c r="CR50" i="1"/>
  <c r="CT50" i="1"/>
  <c r="CU50" i="1"/>
  <c r="CW50" i="1"/>
  <c r="CY50" i="1" s="1"/>
  <c r="CX50" i="1"/>
  <c r="CZ50" i="1"/>
  <c r="DA50" i="1"/>
  <c r="DB50" i="1" s="1"/>
  <c r="DG50" i="1"/>
  <c r="DI50" i="1" s="1"/>
  <c r="DH50" i="1"/>
  <c r="DJ50" i="1"/>
  <c r="DK50" i="1"/>
  <c r="DM50" i="1"/>
  <c r="DN50" i="1"/>
  <c r="DP50" i="1"/>
  <c r="DQ50" i="1"/>
  <c r="DR50" i="1"/>
  <c r="DS50" i="1"/>
  <c r="DU50" i="1" s="1"/>
  <c r="DT50" i="1"/>
  <c r="DV50" i="1"/>
  <c r="DW50" i="1"/>
  <c r="DY50" i="1"/>
  <c r="DZ50" i="1"/>
  <c r="EF50" i="1"/>
  <c r="EG50" i="1"/>
  <c r="EI50" i="1"/>
  <c r="EK50" i="1" s="1"/>
  <c r="EJ50" i="1"/>
  <c r="EL50" i="1"/>
  <c r="EM50" i="1"/>
  <c r="EN50" i="1" s="1"/>
  <c r="EO50" i="1"/>
  <c r="EP50" i="1"/>
  <c r="EQ50" i="1"/>
  <c r="ER50" i="1"/>
  <c r="ET50" i="1" s="1"/>
  <c r="ES50" i="1"/>
  <c r="EU50" i="1"/>
  <c r="EV50" i="1"/>
  <c r="FB50" i="1"/>
  <c r="FD50" i="1" s="1"/>
  <c r="FC50" i="1"/>
  <c r="FE50" i="1"/>
  <c r="FF50" i="1"/>
  <c r="FH50" i="1"/>
  <c r="FJ50" i="1" s="1"/>
  <c r="FI50" i="1"/>
  <c r="FK50" i="1"/>
  <c r="FL50" i="1"/>
  <c r="FM50" i="1" s="1"/>
  <c r="FN50" i="1"/>
  <c r="FO50" i="1"/>
  <c r="FP50" i="1"/>
  <c r="FU50" i="1"/>
  <c r="FW50" i="1" s="1"/>
  <c r="FV50" i="1"/>
  <c r="FX50" i="1"/>
  <c r="FY50" i="1"/>
  <c r="FZ50" i="1" s="1"/>
  <c r="GA50" i="1"/>
  <c r="GC50" i="1" s="1"/>
  <c r="GB50" i="1"/>
  <c r="GD50" i="1"/>
  <c r="GE50" i="1"/>
  <c r="GK50" i="1"/>
  <c r="GL50" i="1"/>
  <c r="GN50" i="1"/>
  <c r="GP50" i="1" s="1"/>
  <c r="GO50" i="1"/>
  <c r="GQ50" i="1"/>
  <c r="GR50" i="1"/>
  <c r="GX50" i="1"/>
  <c r="GY50" i="1"/>
  <c r="HA50" i="1"/>
  <c r="HB50" i="1"/>
  <c r="HC50" i="1"/>
  <c r="HH50" i="1"/>
  <c r="HJ50" i="1" s="1"/>
  <c r="HI50" i="1"/>
  <c r="L51" i="1"/>
  <c r="AY51" i="1" s="1"/>
  <c r="M51" i="1"/>
  <c r="M51" i="3" s="1"/>
  <c r="AW51" i="1"/>
  <c r="O51" i="1" s="1"/>
  <c r="O51" i="3" s="1"/>
  <c r="AX51" i="1"/>
  <c r="AZ51" i="1"/>
  <c r="BA51" i="1"/>
  <c r="BB51" i="1" s="1"/>
  <c r="BC51" i="1"/>
  <c r="BE51" i="1" s="1"/>
  <c r="BD51" i="1"/>
  <c r="BF51" i="1"/>
  <c r="BG51" i="1"/>
  <c r="BI51" i="1"/>
  <c r="BK51" i="1" s="1"/>
  <c r="BJ51" i="1"/>
  <c r="BL51" i="1"/>
  <c r="BM51" i="1"/>
  <c r="BN51" i="1" s="1"/>
  <c r="BO51" i="1"/>
  <c r="BP51" i="1"/>
  <c r="BQ51" i="1"/>
  <c r="BR51" i="1"/>
  <c r="BT51" i="1" s="1"/>
  <c r="BS51" i="1"/>
  <c r="BU51" i="1"/>
  <c r="BV51" i="1"/>
  <c r="BX51" i="1"/>
  <c r="BY51" i="1"/>
  <c r="CE51" i="1"/>
  <c r="CF51" i="1"/>
  <c r="CH51" i="1"/>
  <c r="CJ51" i="1" s="1"/>
  <c r="CI51" i="1"/>
  <c r="CK51" i="1"/>
  <c r="CL51" i="1"/>
  <c r="CM51" i="1" s="1"/>
  <c r="CN51" i="1"/>
  <c r="CP51" i="1" s="1"/>
  <c r="CO51" i="1"/>
  <c r="CQ51" i="1"/>
  <c r="CR51" i="1"/>
  <c r="CT51" i="1"/>
  <c r="CV51" i="1" s="1"/>
  <c r="CU51" i="1"/>
  <c r="CW51" i="1"/>
  <c r="CX51" i="1"/>
  <c r="CY51" i="1" s="1"/>
  <c r="CZ51" i="1"/>
  <c r="DA51" i="1"/>
  <c r="DB51" i="1"/>
  <c r="DG51" i="1"/>
  <c r="DI51" i="1" s="1"/>
  <c r="DH51" i="1"/>
  <c r="DJ51" i="1"/>
  <c r="DK51" i="1"/>
  <c r="DL51" i="1" s="1"/>
  <c r="DM51" i="1"/>
  <c r="DO51" i="1" s="1"/>
  <c r="DN51" i="1"/>
  <c r="DP51" i="1"/>
  <c r="DQ51" i="1"/>
  <c r="DS51" i="1"/>
  <c r="DU51" i="1" s="1"/>
  <c r="DT51" i="1"/>
  <c r="DV51" i="1"/>
  <c r="DW51" i="1"/>
  <c r="DX51" i="1" s="1"/>
  <c r="DY51" i="1"/>
  <c r="DZ51" i="1"/>
  <c r="EA51" i="1"/>
  <c r="EF51" i="1"/>
  <c r="EH51" i="1" s="1"/>
  <c r="EG51" i="1"/>
  <c r="EI51" i="1"/>
  <c r="EJ51" i="1"/>
  <c r="EK51" i="1" s="1"/>
  <c r="EL51" i="1"/>
  <c r="EN51" i="1" s="1"/>
  <c r="EM51" i="1"/>
  <c r="EO51" i="1"/>
  <c r="EP51" i="1"/>
  <c r="ER51" i="1"/>
  <c r="ET51" i="1" s="1"/>
  <c r="ES51" i="1"/>
  <c r="EU51" i="1"/>
  <c r="EV51" i="1"/>
  <c r="EW51" i="1" s="1"/>
  <c r="FB51" i="1"/>
  <c r="FD51" i="1" s="1"/>
  <c r="FC51" i="1"/>
  <c r="FE51" i="1"/>
  <c r="FF51" i="1"/>
  <c r="FH51" i="1"/>
  <c r="FI51" i="1"/>
  <c r="FK51" i="1"/>
  <c r="FM51" i="1" s="1"/>
  <c r="FL51" i="1"/>
  <c r="FN51" i="1"/>
  <c r="FO51" i="1"/>
  <c r="FQ51" i="1"/>
  <c r="FU51" i="1"/>
  <c r="FV51" i="1"/>
  <c r="FX51" i="1"/>
  <c r="FZ51" i="1" s="1"/>
  <c r="FY51" i="1"/>
  <c r="GA51" i="1"/>
  <c r="GB51" i="1"/>
  <c r="GD51" i="1"/>
  <c r="GF51" i="1" s="1"/>
  <c r="GE51" i="1"/>
  <c r="GK51" i="1"/>
  <c r="GM51" i="1" s="1"/>
  <c r="GL51" i="1"/>
  <c r="GN51" i="1"/>
  <c r="GO51" i="1"/>
  <c r="GQ51" i="1"/>
  <c r="GS51" i="1" s="1"/>
  <c r="GR51" i="1"/>
  <c r="GX51" i="1"/>
  <c r="GZ51" i="1" s="1"/>
  <c r="GY51" i="1"/>
  <c r="HA51" i="1"/>
  <c r="HB51" i="1"/>
  <c r="HD51" i="1"/>
  <c r="HH51" i="1"/>
  <c r="HI51" i="1"/>
  <c r="HW51" i="1"/>
  <c r="IU51" i="1"/>
  <c r="L52" i="1"/>
  <c r="M52" i="1" s="1"/>
  <c r="AV52" i="1"/>
  <c r="N52" i="1" s="1"/>
  <c r="N52" i="3" s="1"/>
  <c r="AX52" i="1"/>
  <c r="AZ52" i="1"/>
  <c r="BA52" i="1"/>
  <c r="BB52" i="1"/>
  <c r="BC52" i="1"/>
  <c r="BE52" i="1" s="1"/>
  <c r="BD52" i="1"/>
  <c r="BF52" i="1"/>
  <c r="BG52" i="1"/>
  <c r="BI52" i="1"/>
  <c r="BJ52" i="1"/>
  <c r="BL52" i="1"/>
  <c r="BM52" i="1"/>
  <c r="BN52" i="1"/>
  <c r="BO52" i="1"/>
  <c r="BQ52" i="1" s="1"/>
  <c r="BP52" i="1"/>
  <c r="BR52" i="1"/>
  <c r="BS52" i="1"/>
  <c r="BU52" i="1"/>
  <c r="BV52" i="1"/>
  <c r="BX52" i="1"/>
  <c r="BZ52" i="1" s="1"/>
  <c r="BY52" i="1"/>
  <c r="CE52" i="1"/>
  <c r="CF52" i="1"/>
  <c r="CH52" i="1"/>
  <c r="CI52" i="1"/>
  <c r="CK52" i="1"/>
  <c r="CL52" i="1"/>
  <c r="CM52" i="1"/>
  <c r="CN52" i="1"/>
  <c r="CP52" i="1" s="1"/>
  <c r="CO52" i="1"/>
  <c r="CQ52" i="1"/>
  <c r="CR52" i="1"/>
  <c r="CT52" i="1"/>
  <c r="CU52" i="1"/>
  <c r="CW52" i="1"/>
  <c r="CY52" i="1" s="1"/>
  <c r="CX52" i="1"/>
  <c r="CZ52" i="1"/>
  <c r="DA52" i="1"/>
  <c r="DG52" i="1"/>
  <c r="DH52" i="1"/>
  <c r="DJ52" i="1"/>
  <c r="DK52" i="1"/>
  <c r="DL52" i="1"/>
  <c r="DM52" i="1"/>
  <c r="DO52" i="1" s="1"/>
  <c r="DN52" i="1"/>
  <c r="DP52" i="1"/>
  <c r="DQ52" i="1"/>
  <c r="DS52" i="1"/>
  <c r="DT52" i="1"/>
  <c r="DV52" i="1"/>
  <c r="DX52" i="1" s="1"/>
  <c r="DW52" i="1"/>
  <c r="DY52" i="1"/>
  <c r="DZ52" i="1"/>
  <c r="EF52" i="1"/>
  <c r="EG52" i="1"/>
  <c r="EI52" i="1"/>
  <c r="EJ52" i="1"/>
  <c r="EK52" i="1"/>
  <c r="EL52" i="1"/>
  <c r="EN52" i="1" s="1"/>
  <c r="EM52" i="1"/>
  <c r="EO52" i="1"/>
  <c r="EP52" i="1"/>
  <c r="ER52" i="1"/>
  <c r="ES52" i="1"/>
  <c r="EU52" i="1"/>
  <c r="EW52" i="1" s="1"/>
  <c r="EV52" i="1"/>
  <c r="FB52" i="1"/>
  <c r="FC52" i="1"/>
  <c r="FE52" i="1"/>
  <c r="FF52" i="1"/>
  <c r="FH52" i="1"/>
  <c r="FI52" i="1"/>
  <c r="FJ52" i="1"/>
  <c r="FK52" i="1"/>
  <c r="FM52" i="1" s="1"/>
  <c r="FL52" i="1"/>
  <c r="FN52" i="1"/>
  <c r="FO52" i="1"/>
  <c r="FU52" i="1"/>
  <c r="FV52" i="1"/>
  <c r="FW52" i="1"/>
  <c r="FX52" i="1"/>
  <c r="FZ52" i="1" s="1"/>
  <c r="FY52" i="1"/>
  <c r="GA52" i="1"/>
  <c r="GB52" i="1"/>
  <c r="GD52" i="1"/>
  <c r="GE52" i="1"/>
  <c r="GK52" i="1"/>
  <c r="GL52" i="1"/>
  <c r="GN52" i="1"/>
  <c r="GP52" i="1" s="1"/>
  <c r="GO52" i="1"/>
  <c r="GQ52" i="1"/>
  <c r="GR52" i="1"/>
  <c r="GS52" i="1" s="1"/>
  <c r="GX52" i="1"/>
  <c r="GZ52" i="1" s="1"/>
  <c r="GY52" i="1"/>
  <c r="HA52" i="1"/>
  <c r="HB52" i="1"/>
  <c r="HH52" i="1"/>
  <c r="HJ52" i="1" s="1"/>
  <c r="HI52" i="1"/>
  <c r="L53" i="1"/>
  <c r="AY53" i="1" s="1"/>
  <c r="M53" i="1"/>
  <c r="M53" i="3" s="1"/>
  <c r="AV53" i="1"/>
  <c r="N53" i="1" s="1"/>
  <c r="N53" i="3" s="1"/>
  <c r="AW53" i="1"/>
  <c r="O53" i="1" s="1"/>
  <c r="O53" i="3" s="1"/>
  <c r="AZ53" i="1"/>
  <c r="BA53" i="1"/>
  <c r="BC53" i="1"/>
  <c r="BE53" i="1" s="1"/>
  <c r="BD53" i="1"/>
  <c r="BF53" i="1"/>
  <c r="BG53" i="1"/>
  <c r="BH53" i="1" s="1"/>
  <c r="BI53" i="1"/>
  <c r="BK53" i="1" s="1"/>
  <c r="BJ53" i="1"/>
  <c r="BL53" i="1"/>
  <c r="BM53" i="1"/>
  <c r="BO53" i="1"/>
  <c r="BQ53" i="1" s="1"/>
  <c r="BP53" i="1"/>
  <c r="BR53" i="1"/>
  <c r="BS53" i="1"/>
  <c r="BT53" i="1" s="1"/>
  <c r="BU53" i="1"/>
  <c r="BV53" i="1"/>
  <c r="BW53" i="1"/>
  <c r="BX53" i="1"/>
  <c r="BZ53" i="1" s="1"/>
  <c r="BY53" i="1"/>
  <c r="CE53" i="1"/>
  <c r="CF53" i="1"/>
  <c r="CG53" i="1" s="1"/>
  <c r="CH53" i="1"/>
  <c r="CI53" i="1"/>
  <c r="CJ53" i="1"/>
  <c r="CK53" i="1"/>
  <c r="CM53" i="1" s="1"/>
  <c r="CL53" i="1"/>
  <c r="CN53" i="1"/>
  <c r="CO53" i="1"/>
  <c r="CQ53" i="1"/>
  <c r="CR53" i="1"/>
  <c r="CT53" i="1"/>
  <c r="CU53" i="1"/>
  <c r="CV53" i="1"/>
  <c r="CW53" i="1"/>
  <c r="CY53" i="1" s="1"/>
  <c r="CX53" i="1"/>
  <c r="CZ53" i="1"/>
  <c r="DA53" i="1"/>
  <c r="DG53" i="1"/>
  <c r="DH53" i="1"/>
  <c r="DI53" i="1"/>
  <c r="DJ53" i="1"/>
  <c r="DL53" i="1" s="1"/>
  <c r="DK53" i="1"/>
  <c r="DM53" i="1"/>
  <c r="DN53" i="1"/>
  <c r="DP53" i="1"/>
  <c r="DQ53" i="1"/>
  <c r="DS53" i="1"/>
  <c r="DU53" i="1" s="1"/>
  <c r="DT53" i="1"/>
  <c r="DV53" i="1"/>
  <c r="DW53" i="1"/>
  <c r="DY53" i="1"/>
  <c r="EA53" i="1" s="1"/>
  <c r="DZ53" i="1"/>
  <c r="EF53" i="1"/>
  <c r="EH53" i="1" s="1"/>
  <c r="EG53" i="1"/>
  <c r="EI53" i="1"/>
  <c r="EJ53" i="1"/>
  <c r="EL53" i="1"/>
  <c r="EN53" i="1" s="1"/>
  <c r="EM53" i="1"/>
  <c r="EO53" i="1"/>
  <c r="EP53" i="1"/>
  <c r="EQ53" i="1" s="1"/>
  <c r="ER53" i="1"/>
  <c r="ET53" i="1" s="1"/>
  <c r="ES53" i="1"/>
  <c r="EU53" i="1"/>
  <c r="EV53" i="1"/>
  <c r="FB53" i="1"/>
  <c r="FC53" i="1"/>
  <c r="FD53" i="1" s="1"/>
  <c r="FE53" i="1"/>
  <c r="FG53" i="1" s="1"/>
  <c r="FF53" i="1"/>
  <c r="FH53" i="1"/>
  <c r="FI53" i="1"/>
  <c r="FK53" i="1"/>
  <c r="FM53" i="1" s="1"/>
  <c r="FL53" i="1"/>
  <c r="FN53" i="1"/>
  <c r="FO53" i="1"/>
  <c r="FP53" i="1" s="1"/>
  <c r="FU53" i="1"/>
  <c r="FV53" i="1"/>
  <c r="FX53" i="1"/>
  <c r="FZ53" i="1" s="1"/>
  <c r="FY53" i="1"/>
  <c r="GA53" i="1"/>
  <c r="GB53" i="1"/>
  <c r="GC53" i="1" s="1"/>
  <c r="GD53" i="1"/>
  <c r="GF53" i="1" s="1"/>
  <c r="GE53" i="1"/>
  <c r="GK53" i="1"/>
  <c r="GM53" i="1" s="1"/>
  <c r="GL53" i="1"/>
  <c r="GN53" i="1"/>
  <c r="GO53" i="1"/>
  <c r="GP53" i="1" s="1"/>
  <c r="GQ53" i="1"/>
  <c r="GS53" i="1" s="1"/>
  <c r="GR53" i="1"/>
  <c r="GX53" i="1"/>
  <c r="GZ53" i="1" s="1"/>
  <c r="GY53" i="1"/>
  <c r="HA53" i="1"/>
  <c r="HB53" i="1"/>
  <c r="HC53" i="1" s="1"/>
  <c r="HD53" i="1"/>
  <c r="HH53" i="1"/>
  <c r="HJ53" i="1" s="1"/>
  <c r="HI53" i="1"/>
  <c r="HP53" i="1"/>
  <c r="IC53" i="1"/>
  <c r="IO53" i="1"/>
  <c r="L54" i="1"/>
  <c r="AV54" i="1"/>
  <c r="N54" i="1" s="1"/>
  <c r="N54" i="3" s="1"/>
  <c r="AZ54" i="1"/>
  <c r="BB54" i="1" s="1"/>
  <c r="BA54" i="1"/>
  <c r="BC54" i="1"/>
  <c r="BD54" i="1"/>
  <c r="BE54" i="1" s="1"/>
  <c r="BF54" i="1"/>
  <c r="BG54" i="1"/>
  <c r="BH54" i="1"/>
  <c r="BI54" i="1"/>
  <c r="BK54" i="1" s="1"/>
  <c r="BJ54" i="1"/>
  <c r="BL54" i="1"/>
  <c r="BM54" i="1"/>
  <c r="BO54" i="1"/>
  <c r="BP54" i="1"/>
  <c r="BR54" i="1"/>
  <c r="BS54" i="1"/>
  <c r="BT54" i="1"/>
  <c r="BU54" i="1"/>
  <c r="BW54" i="1" s="1"/>
  <c r="BV54" i="1"/>
  <c r="BX54" i="1"/>
  <c r="BY54" i="1"/>
  <c r="CE54" i="1"/>
  <c r="CF54" i="1"/>
  <c r="CG54" i="1"/>
  <c r="CH54" i="1"/>
  <c r="CJ54" i="1" s="1"/>
  <c r="CI54" i="1"/>
  <c r="CK54" i="1"/>
  <c r="CL54" i="1"/>
  <c r="CN54" i="1"/>
  <c r="CO54" i="1"/>
  <c r="CQ54" i="1"/>
  <c r="CR54" i="1"/>
  <c r="CS54" i="1"/>
  <c r="CT54" i="1"/>
  <c r="CV54" i="1" s="1"/>
  <c r="CU54" i="1"/>
  <c r="CW54" i="1"/>
  <c r="CX54" i="1"/>
  <c r="CZ54" i="1"/>
  <c r="DA54" i="1"/>
  <c r="DG54" i="1"/>
  <c r="DH54" i="1"/>
  <c r="DJ54" i="1"/>
  <c r="DL54" i="1" s="1"/>
  <c r="DK54" i="1"/>
  <c r="DM54" i="1"/>
  <c r="DN54" i="1"/>
  <c r="DO54" i="1" s="1"/>
  <c r="DP54" i="1"/>
  <c r="DQ54" i="1"/>
  <c r="DR54" i="1"/>
  <c r="DS54" i="1"/>
  <c r="DU54" i="1" s="1"/>
  <c r="DT54" i="1"/>
  <c r="DV54" i="1"/>
  <c r="DW54" i="1"/>
  <c r="DY54" i="1"/>
  <c r="DZ54" i="1"/>
  <c r="EF54" i="1"/>
  <c r="EG54" i="1"/>
  <c r="EI54" i="1"/>
  <c r="EK54" i="1" s="1"/>
  <c r="EJ54" i="1"/>
  <c r="EL54" i="1"/>
  <c r="EM54" i="1"/>
  <c r="EN54" i="1" s="1"/>
  <c r="EO54" i="1"/>
  <c r="EQ54" i="1" s="1"/>
  <c r="EP54" i="1"/>
  <c r="ER54" i="1"/>
  <c r="ES54" i="1"/>
  <c r="EU54" i="1"/>
  <c r="EW54" i="1" s="1"/>
  <c r="EV54" i="1"/>
  <c r="FB54" i="1"/>
  <c r="FD54" i="1" s="1"/>
  <c r="FC54" i="1"/>
  <c r="FE54" i="1"/>
  <c r="FF54" i="1"/>
  <c r="FH54" i="1"/>
  <c r="FJ54" i="1" s="1"/>
  <c r="FI54" i="1"/>
  <c r="FK54" i="1"/>
  <c r="FL54" i="1"/>
  <c r="FM54" i="1" s="1"/>
  <c r="FN54" i="1"/>
  <c r="FP54" i="1" s="1"/>
  <c r="FO54" i="1"/>
  <c r="FU54" i="1"/>
  <c r="FV54" i="1"/>
  <c r="FX54" i="1"/>
  <c r="FY54" i="1"/>
  <c r="GA54" i="1"/>
  <c r="GC54" i="1" s="1"/>
  <c r="GB54" i="1"/>
  <c r="GD54" i="1"/>
  <c r="GE54" i="1"/>
  <c r="GK54" i="1"/>
  <c r="GL54" i="1"/>
  <c r="GN54" i="1"/>
  <c r="GO54" i="1"/>
  <c r="GP54" i="1"/>
  <c r="GQ54" i="1"/>
  <c r="GS54" i="1" s="1"/>
  <c r="GR54" i="1"/>
  <c r="GX54" i="1"/>
  <c r="GY54" i="1"/>
  <c r="GZ54" i="1" s="1"/>
  <c r="HA54" i="1"/>
  <c r="HB54" i="1"/>
  <c r="HC54" i="1"/>
  <c r="HH54" i="1"/>
  <c r="HJ54" i="1" s="1"/>
  <c r="HI54" i="1"/>
  <c r="L55" i="1"/>
  <c r="M55" i="1"/>
  <c r="M55" i="3" s="1"/>
  <c r="N55" i="1"/>
  <c r="N55" i="3" s="1"/>
  <c r="AV55" i="1"/>
  <c r="AW55" i="1"/>
  <c r="O55" i="1" s="1"/>
  <c r="O55" i="3" s="1"/>
  <c r="AX55" i="1"/>
  <c r="AY55" i="1"/>
  <c r="AZ55" i="1"/>
  <c r="BA55" i="1"/>
  <c r="BC55" i="1"/>
  <c r="BE55" i="1" s="1"/>
  <c r="BD55" i="1"/>
  <c r="BF55" i="1"/>
  <c r="BG55" i="1"/>
  <c r="BI55" i="1"/>
  <c r="BK55" i="1" s="1"/>
  <c r="BJ55" i="1"/>
  <c r="BL55" i="1"/>
  <c r="BM55" i="1"/>
  <c r="BN55" i="1" s="1"/>
  <c r="BO55" i="1"/>
  <c r="BQ55" i="1" s="1"/>
  <c r="BP55" i="1"/>
  <c r="BR55" i="1"/>
  <c r="BS55" i="1"/>
  <c r="BU55" i="1"/>
  <c r="BW55" i="1" s="1"/>
  <c r="BV55" i="1"/>
  <c r="BX55" i="1"/>
  <c r="BY55" i="1"/>
  <c r="BZ55" i="1" s="1"/>
  <c r="CE55" i="1"/>
  <c r="CG55" i="1" s="1"/>
  <c r="CF55" i="1"/>
  <c r="CH55" i="1"/>
  <c r="CI55" i="1"/>
  <c r="CK55" i="1"/>
  <c r="CL55" i="1"/>
  <c r="CN55" i="1"/>
  <c r="CP55" i="1" s="1"/>
  <c r="CO55" i="1"/>
  <c r="CQ55" i="1"/>
  <c r="CR55" i="1"/>
  <c r="CT55" i="1"/>
  <c r="CV55" i="1" s="1"/>
  <c r="CU55" i="1"/>
  <c r="CW55" i="1"/>
  <c r="CX55" i="1"/>
  <c r="CY55" i="1" s="1"/>
  <c r="CZ55" i="1"/>
  <c r="DB55" i="1" s="1"/>
  <c r="DA55" i="1"/>
  <c r="DG55" i="1"/>
  <c r="DH55" i="1"/>
  <c r="DJ55" i="1"/>
  <c r="DK55" i="1"/>
  <c r="DM55" i="1"/>
  <c r="DO55" i="1" s="1"/>
  <c r="DN55" i="1"/>
  <c r="DP55" i="1"/>
  <c r="DQ55" i="1"/>
  <c r="DS55" i="1"/>
  <c r="DU55" i="1" s="1"/>
  <c r="DT55" i="1"/>
  <c r="DV55" i="1"/>
  <c r="DW55" i="1"/>
  <c r="DX55" i="1" s="1"/>
  <c r="DY55" i="1"/>
  <c r="EA55" i="1" s="1"/>
  <c r="DZ55" i="1"/>
  <c r="EF55" i="1"/>
  <c r="EG55" i="1"/>
  <c r="EI55" i="1"/>
  <c r="EJ55" i="1"/>
  <c r="EL55" i="1"/>
  <c r="EN55" i="1" s="1"/>
  <c r="EM55" i="1"/>
  <c r="EO55" i="1"/>
  <c r="EP55" i="1"/>
  <c r="ER55" i="1"/>
  <c r="ET55" i="1" s="1"/>
  <c r="ES55" i="1"/>
  <c r="EU55" i="1"/>
  <c r="EV55" i="1"/>
  <c r="EW55" i="1" s="1"/>
  <c r="FB55" i="1"/>
  <c r="FD55" i="1" s="1"/>
  <c r="FC55" i="1"/>
  <c r="FE55" i="1"/>
  <c r="FF55" i="1"/>
  <c r="FH55" i="1"/>
  <c r="FI55" i="1"/>
  <c r="FK55" i="1"/>
  <c r="FL55" i="1"/>
  <c r="FM55" i="1"/>
  <c r="FN55" i="1"/>
  <c r="FP55" i="1" s="1"/>
  <c r="FO55" i="1"/>
  <c r="FQ55" i="1"/>
  <c r="FU55" i="1"/>
  <c r="FV55" i="1"/>
  <c r="FX55" i="1"/>
  <c r="FY55" i="1"/>
  <c r="FZ55" i="1"/>
  <c r="GA55" i="1"/>
  <c r="GC55" i="1" s="1"/>
  <c r="GB55" i="1"/>
  <c r="GD55" i="1"/>
  <c r="GE55" i="1"/>
  <c r="GH55" i="1"/>
  <c r="GK55" i="1"/>
  <c r="GL55" i="1"/>
  <c r="GM55" i="1"/>
  <c r="GN55" i="1"/>
  <c r="GP55" i="1" s="1"/>
  <c r="GO55" i="1"/>
  <c r="GQ55" i="1"/>
  <c r="GR55" i="1"/>
  <c r="GU55" i="1"/>
  <c r="GX55" i="1"/>
  <c r="GY55" i="1"/>
  <c r="GZ55" i="1"/>
  <c r="HA55" i="1"/>
  <c r="HC55" i="1" s="1"/>
  <c r="HB55" i="1"/>
  <c r="HD55" i="1"/>
  <c r="HH55" i="1"/>
  <c r="HI55" i="1"/>
  <c r="HW55" i="1"/>
  <c r="IE55" i="1"/>
  <c r="II55" i="1"/>
  <c r="IU55" i="1"/>
  <c r="L56" i="1"/>
  <c r="AZ56" i="1"/>
  <c r="BB56" i="1" s="1"/>
  <c r="BA56" i="1"/>
  <c r="BC56" i="1"/>
  <c r="BD56" i="1"/>
  <c r="BF56" i="1"/>
  <c r="BH56" i="1" s="1"/>
  <c r="BG56" i="1"/>
  <c r="BI56" i="1"/>
  <c r="BJ56" i="1"/>
  <c r="BK56" i="1" s="1"/>
  <c r="BL56" i="1"/>
  <c r="BM56" i="1"/>
  <c r="BN56" i="1"/>
  <c r="BO56" i="1"/>
  <c r="BQ56" i="1" s="1"/>
  <c r="BP56" i="1"/>
  <c r="BR56" i="1"/>
  <c r="BS56" i="1"/>
  <c r="BU56" i="1"/>
  <c r="BV56" i="1"/>
  <c r="BX56" i="1"/>
  <c r="BY56" i="1"/>
  <c r="BZ56" i="1"/>
  <c r="CE56" i="1"/>
  <c r="CG56" i="1" s="1"/>
  <c r="CF56" i="1"/>
  <c r="CH56" i="1"/>
  <c r="CI56" i="1"/>
  <c r="CJ56" i="1" s="1"/>
  <c r="CK56" i="1"/>
  <c r="CL56" i="1"/>
  <c r="CM56" i="1"/>
  <c r="CN56" i="1"/>
  <c r="CP56" i="1" s="1"/>
  <c r="CO56" i="1"/>
  <c r="CQ56" i="1"/>
  <c r="CR56" i="1"/>
  <c r="CT56" i="1"/>
  <c r="CU56" i="1"/>
  <c r="CW56" i="1"/>
  <c r="CX56" i="1"/>
  <c r="CY56" i="1"/>
  <c r="CZ56" i="1"/>
  <c r="DB56" i="1" s="1"/>
  <c r="DA56" i="1"/>
  <c r="DG56" i="1"/>
  <c r="DH56" i="1"/>
  <c r="DI56" i="1" s="1"/>
  <c r="DJ56" i="1"/>
  <c r="DL56" i="1" s="1"/>
  <c r="DK56" i="1"/>
  <c r="DM56" i="1"/>
  <c r="DO56" i="1" s="1"/>
  <c r="DN56" i="1"/>
  <c r="DP56" i="1"/>
  <c r="DQ56" i="1"/>
  <c r="DS56" i="1"/>
  <c r="DT56" i="1"/>
  <c r="DV56" i="1"/>
  <c r="DW56" i="1"/>
  <c r="DX56" i="1"/>
  <c r="DY56" i="1"/>
  <c r="EA56" i="1" s="1"/>
  <c r="DZ56" i="1"/>
  <c r="EF56" i="1"/>
  <c r="EG56" i="1"/>
  <c r="EH56" i="1" s="1"/>
  <c r="EI56" i="1"/>
  <c r="EK56" i="1" s="1"/>
  <c r="EJ56" i="1"/>
  <c r="EL56" i="1"/>
  <c r="EN56" i="1" s="1"/>
  <c r="EM56" i="1"/>
  <c r="EO56" i="1"/>
  <c r="EP56" i="1"/>
  <c r="ER56" i="1"/>
  <c r="ES56" i="1"/>
  <c r="EU56" i="1"/>
  <c r="EV56" i="1"/>
  <c r="EW56" i="1"/>
  <c r="FB56" i="1"/>
  <c r="FD56" i="1" s="1"/>
  <c r="FC56" i="1"/>
  <c r="FE56" i="1"/>
  <c r="FF56" i="1"/>
  <c r="FG56" i="1" s="1"/>
  <c r="FH56" i="1"/>
  <c r="FJ56" i="1" s="1"/>
  <c r="FI56" i="1"/>
  <c r="FK56" i="1"/>
  <c r="FM56" i="1" s="1"/>
  <c r="FL56" i="1"/>
  <c r="FN56" i="1"/>
  <c r="FO56" i="1"/>
  <c r="FU56" i="1"/>
  <c r="FW56" i="1" s="1"/>
  <c r="FV56" i="1"/>
  <c r="FX56" i="1"/>
  <c r="FY56" i="1"/>
  <c r="GA56" i="1"/>
  <c r="GC56" i="1" s="1"/>
  <c r="GB56" i="1"/>
  <c r="GD56" i="1"/>
  <c r="GE56" i="1"/>
  <c r="GF56" i="1" s="1"/>
  <c r="GK56" i="1"/>
  <c r="GM56" i="1" s="1"/>
  <c r="GL56" i="1"/>
  <c r="GN56" i="1"/>
  <c r="GO56" i="1"/>
  <c r="GQ56" i="1"/>
  <c r="GR56" i="1"/>
  <c r="GX56" i="1"/>
  <c r="GY56" i="1"/>
  <c r="HA56" i="1"/>
  <c r="HC56" i="1" s="1"/>
  <c r="HB56" i="1"/>
  <c r="HH56" i="1"/>
  <c r="HI56" i="1"/>
  <c r="HJ56" i="1" s="1"/>
  <c r="L57" i="1"/>
  <c r="M57" i="1"/>
  <c r="M57" i="3" s="1"/>
  <c r="O57" i="1"/>
  <c r="O57" i="3" s="1"/>
  <c r="AU57" i="1"/>
  <c r="AV57" i="1"/>
  <c r="N57" i="1" s="1"/>
  <c r="N57" i="3" s="1"/>
  <c r="AW57" i="1"/>
  <c r="AY57" i="1"/>
  <c r="AZ57" i="1"/>
  <c r="BB57" i="1" s="1"/>
  <c r="BA57" i="1"/>
  <c r="BC57" i="1"/>
  <c r="BD57" i="1"/>
  <c r="BF57" i="1"/>
  <c r="BG57" i="1"/>
  <c r="BI57" i="1"/>
  <c r="BJ57" i="1"/>
  <c r="BK57" i="1" s="1"/>
  <c r="BL57" i="1"/>
  <c r="BM57" i="1"/>
  <c r="BO57" i="1"/>
  <c r="BQ57" i="1" s="1"/>
  <c r="BP57" i="1"/>
  <c r="BR57" i="1"/>
  <c r="BS57" i="1"/>
  <c r="BT57" i="1" s="1"/>
  <c r="BU57" i="1"/>
  <c r="BW57" i="1" s="1"/>
  <c r="BV57" i="1"/>
  <c r="BX57" i="1"/>
  <c r="BY57" i="1"/>
  <c r="CA57" i="1"/>
  <c r="CE57" i="1"/>
  <c r="CF57" i="1"/>
  <c r="CG57" i="1" s="1"/>
  <c r="CH57" i="1"/>
  <c r="CJ57" i="1" s="1"/>
  <c r="CI57" i="1"/>
  <c r="CK57" i="1"/>
  <c r="CL57" i="1"/>
  <c r="CN57" i="1"/>
  <c r="CP57" i="1" s="1"/>
  <c r="CO57" i="1"/>
  <c r="CQ57" i="1"/>
  <c r="CR57" i="1"/>
  <c r="CS57" i="1" s="1"/>
  <c r="CT57" i="1"/>
  <c r="CV57" i="1" s="1"/>
  <c r="CU57" i="1"/>
  <c r="CW57" i="1"/>
  <c r="CY57" i="1" s="1"/>
  <c r="CX57" i="1"/>
  <c r="CZ57" i="1"/>
  <c r="DA57" i="1"/>
  <c r="DD57" i="1"/>
  <c r="DG57" i="1"/>
  <c r="DI57" i="1" s="1"/>
  <c r="DH57" i="1"/>
  <c r="DJ57" i="1"/>
  <c r="DL57" i="1" s="1"/>
  <c r="DK57" i="1"/>
  <c r="DM57" i="1"/>
  <c r="DN57" i="1"/>
  <c r="DP57" i="1"/>
  <c r="DQ57" i="1"/>
  <c r="DS57" i="1"/>
  <c r="DT57" i="1"/>
  <c r="DU57" i="1"/>
  <c r="DV57" i="1"/>
  <c r="DX57" i="1" s="1"/>
  <c r="DW57" i="1"/>
  <c r="DY57" i="1"/>
  <c r="DZ57" i="1"/>
  <c r="EC57" i="1"/>
  <c r="EF57" i="1"/>
  <c r="EG57" i="1"/>
  <c r="EH57" i="1"/>
  <c r="EI57" i="1"/>
  <c r="EK57" i="1" s="1"/>
  <c r="EJ57" i="1"/>
  <c r="EL57" i="1"/>
  <c r="EM57" i="1"/>
  <c r="EO57" i="1"/>
  <c r="EP57" i="1"/>
  <c r="ER57" i="1"/>
  <c r="ES57" i="1"/>
  <c r="ET57" i="1" s="1"/>
  <c r="EU57" i="1"/>
  <c r="EV57" i="1"/>
  <c r="EX57" i="1"/>
  <c r="FB57" i="1"/>
  <c r="FC57" i="1"/>
  <c r="FE57" i="1"/>
  <c r="FF57" i="1"/>
  <c r="FG57" i="1" s="1"/>
  <c r="FH57" i="1"/>
  <c r="FI57" i="1"/>
  <c r="FK57" i="1"/>
  <c r="FM57" i="1" s="1"/>
  <c r="FL57" i="1"/>
  <c r="FN57" i="1"/>
  <c r="FO57" i="1"/>
  <c r="FP57" i="1" s="1"/>
  <c r="FQ57" i="1"/>
  <c r="FU57" i="1"/>
  <c r="FW57" i="1" s="1"/>
  <c r="FV57" i="1"/>
  <c r="FX57" i="1"/>
  <c r="FY57" i="1"/>
  <c r="GA57" i="1"/>
  <c r="GB57" i="1"/>
  <c r="GD57" i="1"/>
  <c r="GE57" i="1"/>
  <c r="GF57" i="1" s="1"/>
  <c r="GK57" i="1"/>
  <c r="GL57" i="1"/>
  <c r="GN57" i="1"/>
  <c r="GO57" i="1"/>
  <c r="GQ57" i="1"/>
  <c r="GR57" i="1"/>
  <c r="GS57" i="1" s="1"/>
  <c r="GX57" i="1"/>
  <c r="GY57" i="1"/>
  <c r="HA57" i="1"/>
  <c r="HB57" i="1"/>
  <c r="HD57" i="1"/>
  <c r="HH57" i="1"/>
  <c r="HJ57" i="1" s="1"/>
  <c r="HI57" i="1"/>
  <c r="HP57" i="1"/>
  <c r="HS57" i="1"/>
  <c r="HW57" i="1"/>
  <c r="IC57" i="1"/>
  <c r="IE57" i="1"/>
  <c r="II57" i="1"/>
  <c r="IO57" i="1"/>
  <c r="IQ57" i="1"/>
  <c r="IU57" i="1"/>
  <c r="L58" i="1"/>
  <c r="AV58" i="1"/>
  <c r="N58" i="1" s="1"/>
  <c r="N58" i="3" s="1"/>
  <c r="AZ58" i="1"/>
  <c r="BB58" i="1" s="1"/>
  <c r="BA58" i="1"/>
  <c r="BC58" i="1"/>
  <c r="BD58" i="1"/>
  <c r="BE58" i="1" s="1"/>
  <c r="BF58" i="1"/>
  <c r="BH58" i="1" s="1"/>
  <c r="BG58" i="1"/>
  <c r="BI58" i="1"/>
  <c r="BJ58" i="1"/>
  <c r="BL58" i="1"/>
  <c r="BN58" i="1" s="1"/>
  <c r="BM58" i="1"/>
  <c r="BO58" i="1"/>
  <c r="BP58" i="1"/>
  <c r="BQ58" i="1" s="1"/>
  <c r="BR58" i="1"/>
  <c r="BT58" i="1" s="1"/>
  <c r="BS58" i="1"/>
  <c r="BU58" i="1"/>
  <c r="BW58" i="1" s="1"/>
  <c r="BV58" i="1"/>
  <c r="BX58" i="1"/>
  <c r="BY58" i="1"/>
  <c r="CE58" i="1"/>
  <c r="CG58" i="1" s="1"/>
  <c r="CF58" i="1"/>
  <c r="CH58" i="1"/>
  <c r="CI58" i="1"/>
  <c r="CK58" i="1"/>
  <c r="CM58" i="1" s="1"/>
  <c r="CL58" i="1"/>
  <c r="CN58" i="1"/>
  <c r="CO58" i="1"/>
  <c r="CP58" i="1" s="1"/>
  <c r="CQ58" i="1"/>
  <c r="CS58" i="1" s="1"/>
  <c r="CR58" i="1"/>
  <c r="CT58" i="1"/>
  <c r="CV58" i="1" s="1"/>
  <c r="CU58" i="1"/>
  <c r="CW58" i="1"/>
  <c r="CX58" i="1"/>
  <c r="CZ58" i="1"/>
  <c r="DA58" i="1"/>
  <c r="DG58" i="1"/>
  <c r="DH58" i="1"/>
  <c r="DJ58" i="1"/>
  <c r="DL58" i="1" s="1"/>
  <c r="DK58" i="1"/>
  <c r="DM58" i="1"/>
  <c r="DN58" i="1"/>
  <c r="DO58" i="1" s="1"/>
  <c r="DP58" i="1"/>
  <c r="DR58" i="1" s="1"/>
  <c r="DQ58" i="1"/>
  <c r="DS58" i="1"/>
  <c r="DT58" i="1"/>
  <c r="DV58" i="1"/>
  <c r="DX58" i="1" s="1"/>
  <c r="DW58" i="1"/>
  <c r="DY58" i="1"/>
  <c r="DZ58" i="1"/>
  <c r="EA58" i="1" s="1"/>
  <c r="EF58" i="1"/>
  <c r="EH58" i="1" s="1"/>
  <c r="EG58" i="1"/>
  <c r="EI58" i="1"/>
  <c r="EJ58" i="1"/>
  <c r="EL58" i="1"/>
  <c r="EM58" i="1"/>
  <c r="EO58" i="1"/>
  <c r="EP58" i="1"/>
  <c r="EQ58" i="1" s="1"/>
  <c r="ER58" i="1"/>
  <c r="ES58" i="1"/>
  <c r="EU58" i="1"/>
  <c r="EW58" i="1" s="1"/>
  <c r="EV58" i="1"/>
  <c r="FB58" i="1"/>
  <c r="FC58" i="1"/>
  <c r="FD58" i="1"/>
  <c r="FE58" i="1"/>
  <c r="FG58" i="1" s="1"/>
  <c r="FF58" i="1"/>
  <c r="FH58" i="1"/>
  <c r="FI58" i="1"/>
  <c r="FK58" i="1"/>
  <c r="FL58" i="1"/>
  <c r="FN58" i="1"/>
  <c r="FO58" i="1"/>
  <c r="FP58" i="1" s="1"/>
  <c r="FU58" i="1"/>
  <c r="FV58" i="1"/>
  <c r="FX58" i="1"/>
  <c r="FY58" i="1"/>
  <c r="GA58" i="1"/>
  <c r="GB58" i="1"/>
  <c r="GC58" i="1"/>
  <c r="GD58" i="1"/>
  <c r="GF58" i="1" s="1"/>
  <c r="GE58" i="1"/>
  <c r="GK58" i="1"/>
  <c r="GL58" i="1"/>
  <c r="GM58" i="1" s="1"/>
  <c r="GN58" i="1"/>
  <c r="GP58" i="1" s="1"/>
  <c r="GO58" i="1"/>
  <c r="GQ58" i="1"/>
  <c r="GS58" i="1" s="1"/>
  <c r="GR58" i="1"/>
  <c r="GX58" i="1"/>
  <c r="GY58" i="1"/>
  <c r="GZ58" i="1" s="1"/>
  <c r="HA58" i="1"/>
  <c r="HC58" i="1" s="1"/>
  <c r="HB58" i="1"/>
  <c r="HH58" i="1"/>
  <c r="HI58" i="1"/>
  <c r="L59" i="1"/>
  <c r="AV59" i="1" s="1"/>
  <c r="N59" i="1" s="1"/>
  <c r="N59" i="3" s="1"/>
  <c r="AZ59" i="1"/>
  <c r="BA59" i="1"/>
  <c r="BC59" i="1"/>
  <c r="BD59" i="1"/>
  <c r="BE59" i="1"/>
  <c r="BF59" i="1"/>
  <c r="BH59" i="1" s="1"/>
  <c r="BG59" i="1"/>
  <c r="BI59" i="1"/>
  <c r="BJ59" i="1"/>
  <c r="BL59" i="1"/>
  <c r="BM59" i="1"/>
  <c r="BO59" i="1"/>
  <c r="BP59" i="1"/>
  <c r="BQ59" i="1" s="1"/>
  <c r="BR59" i="1"/>
  <c r="BS59" i="1"/>
  <c r="BU59" i="1"/>
  <c r="BW59" i="1" s="1"/>
  <c r="BV59" i="1"/>
  <c r="BX59" i="1"/>
  <c r="BY59" i="1"/>
  <c r="BZ59" i="1" s="1"/>
  <c r="CE59" i="1"/>
  <c r="CG59" i="1" s="1"/>
  <c r="CF59" i="1"/>
  <c r="CH59" i="1"/>
  <c r="CI59" i="1"/>
  <c r="CK59" i="1"/>
  <c r="CL59" i="1"/>
  <c r="CN59" i="1"/>
  <c r="CO59" i="1"/>
  <c r="CP59" i="1"/>
  <c r="CQ59" i="1"/>
  <c r="CS59" i="1" s="1"/>
  <c r="CR59" i="1"/>
  <c r="CT59" i="1"/>
  <c r="CU59" i="1"/>
  <c r="CW59" i="1"/>
  <c r="CX59" i="1"/>
  <c r="CZ59" i="1"/>
  <c r="DA59" i="1"/>
  <c r="DB59" i="1" s="1"/>
  <c r="DG59" i="1"/>
  <c r="DH59" i="1"/>
  <c r="DJ59" i="1"/>
  <c r="DK59" i="1"/>
  <c r="DM59" i="1"/>
  <c r="DN59" i="1"/>
  <c r="DO59" i="1"/>
  <c r="DP59" i="1"/>
  <c r="DR59" i="1" s="1"/>
  <c r="DQ59" i="1"/>
  <c r="DS59" i="1"/>
  <c r="DT59" i="1"/>
  <c r="DV59" i="1"/>
  <c r="DW59" i="1"/>
  <c r="DY59" i="1"/>
  <c r="DZ59" i="1"/>
  <c r="EA59" i="1" s="1"/>
  <c r="EF59" i="1"/>
  <c r="EG59" i="1"/>
  <c r="EI59" i="1"/>
  <c r="EJ59" i="1"/>
  <c r="EL59" i="1"/>
  <c r="EM59" i="1"/>
  <c r="EN59" i="1"/>
  <c r="EO59" i="1"/>
  <c r="EQ59" i="1" s="1"/>
  <c r="EP59" i="1"/>
  <c r="ER59" i="1"/>
  <c r="ES59" i="1"/>
  <c r="EU59" i="1"/>
  <c r="EV59" i="1"/>
  <c r="FB59" i="1"/>
  <c r="FC59" i="1"/>
  <c r="FE59" i="1"/>
  <c r="FG59" i="1" s="1"/>
  <c r="FF59" i="1"/>
  <c r="FH59" i="1"/>
  <c r="FI59" i="1"/>
  <c r="FJ59" i="1" s="1"/>
  <c r="FK59" i="1"/>
  <c r="FM59" i="1" s="1"/>
  <c r="FL59" i="1"/>
  <c r="FN59" i="1"/>
  <c r="FP59" i="1" s="1"/>
  <c r="FO59" i="1"/>
  <c r="FU59" i="1"/>
  <c r="FV59" i="1"/>
  <c r="FW59" i="1" s="1"/>
  <c r="FX59" i="1"/>
  <c r="FZ59" i="1" s="1"/>
  <c r="FY59" i="1"/>
  <c r="GA59" i="1"/>
  <c r="GB59" i="1"/>
  <c r="GD59" i="1"/>
  <c r="GE59" i="1"/>
  <c r="GK59" i="1"/>
  <c r="GM59" i="1" s="1"/>
  <c r="GL59" i="1"/>
  <c r="GN59" i="1"/>
  <c r="GO59" i="1"/>
  <c r="GQ59" i="1"/>
  <c r="GR59" i="1"/>
  <c r="GX59" i="1"/>
  <c r="GZ59" i="1" s="1"/>
  <c r="GY59" i="1"/>
  <c r="HA59" i="1"/>
  <c r="HB59" i="1"/>
  <c r="HH59" i="1"/>
  <c r="HI59" i="1"/>
  <c r="L60" i="1"/>
  <c r="N60" i="1"/>
  <c r="N60" i="3" s="1"/>
  <c r="AV60" i="1"/>
  <c r="AZ60" i="1"/>
  <c r="BA60" i="1"/>
  <c r="BB60" i="1"/>
  <c r="BC60" i="1"/>
  <c r="BD60" i="1"/>
  <c r="BF60" i="1"/>
  <c r="BG60" i="1"/>
  <c r="BI60" i="1"/>
  <c r="BJ60" i="1"/>
  <c r="BK60" i="1" s="1"/>
  <c r="BL60" i="1"/>
  <c r="BM60" i="1"/>
  <c r="BO60" i="1"/>
  <c r="BQ60" i="1" s="1"/>
  <c r="BP60" i="1"/>
  <c r="BR60" i="1"/>
  <c r="BT60" i="1" s="1"/>
  <c r="BS60" i="1"/>
  <c r="BU60" i="1"/>
  <c r="BV60" i="1"/>
  <c r="BX60" i="1"/>
  <c r="BY60" i="1"/>
  <c r="BZ60" i="1"/>
  <c r="CE60" i="1"/>
  <c r="CF60" i="1"/>
  <c r="CH60" i="1"/>
  <c r="CI60" i="1"/>
  <c r="CJ60" i="1" s="1"/>
  <c r="CK60" i="1"/>
  <c r="CL60" i="1"/>
  <c r="CN60" i="1"/>
  <c r="CP60" i="1" s="1"/>
  <c r="CO60" i="1"/>
  <c r="CQ60" i="1"/>
  <c r="CS60" i="1" s="1"/>
  <c r="CR60" i="1"/>
  <c r="CT60" i="1"/>
  <c r="CU60" i="1"/>
  <c r="CW60" i="1"/>
  <c r="CX60" i="1"/>
  <c r="CY60" i="1"/>
  <c r="CZ60" i="1"/>
  <c r="DB60" i="1" s="1"/>
  <c r="DA60" i="1"/>
  <c r="DG60" i="1"/>
  <c r="DH60" i="1"/>
  <c r="DI60" i="1" s="1"/>
  <c r="DJ60" i="1"/>
  <c r="DL60" i="1" s="1"/>
  <c r="DK60" i="1"/>
  <c r="DM60" i="1"/>
  <c r="DN60" i="1"/>
  <c r="DP60" i="1"/>
  <c r="DR60" i="1" s="1"/>
  <c r="DQ60" i="1"/>
  <c r="DS60" i="1"/>
  <c r="DT60" i="1"/>
  <c r="DU60" i="1" s="1"/>
  <c r="DV60" i="1"/>
  <c r="DX60" i="1" s="1"/>
  <c r="DW60" i="1"/>
  <c r="DY60" i="1"/>
  <c r="EA60" i="1" s="1"/>
  <c r="DZ60" i="1"/>
  <c r="EF60" i="1"/>
  <c r="EG60" i="1"/>
  <c r="EH60" i="1" s="1"/>
  <c r="EI60" i="1"/>
  <c r="EK60" i="1" s="1"/>
  <c r="EJ60" i="1"/>
  <c r="EL60" i="1"/>
  <c r="EM60" i="1"/>
  <c r="EO60" i="1"/>
  <c r="EQ60" i="1" s="1"/>
  <c r="EP60" i="1"/>
  <c r="ER60" i="1"/>
  <c r="ES60" i="1"/>
  <c r="ET60" i="1" s="1"/>
  <c r="EU60" i="1"/>
  <c r="EW60" i="1" s="1"/>
  <c r="EV60" i="1"/>
  <c r="FB60" i="1"/>
  <c r="FC60" i="1"/>
  <c r="FE60" i="1"/>
  <c r="FF60" i="1"/>
  <c r="FG60" i="1" s="1"/>
  <c r="FH60" i="1"/>
  <c r="FI60" i="1"/>
  <c r="FK60" i="1"/>
  <c r="FM60" i="1" s="1"/>
  <c r="FL60" i="1"/>
  <c r="FN60" i="1"/>
  <c r="FP60" i="1" s="1"/>
  <c r="FO60" i="1"/>
  <c r="FU60" i="1"/>
  <c r="FW60" i="1" s="1"/>
  <c r="FV60" i="1"/>
  <c r="FX60" i="1"/>
  <c r="FY60" i="1"/>
  <c r="GA60" i="1"/>
  <c r="GB60" i="1"/>
  <c r="GD60" i="1"/>
  <c r="GE60" i="1"/>
  <c r="GF60" i="1" s="1"/>
  <c r="GK60" i="1"/>
  <c r="GL60" i="1"/>
  <c r="GN60" i="1"/>
  <c r="GO60" i="1"/>
  <c r="GQ60" i="1"/>
  <c r="GR60" i="1"/>
  <c r="GS60" i="1" s="1"/>
  <c r="GX60" i="1"/>
  <c r="GY60" i="1"/>
  <c r="HA60" i="1"/>
  <c r="HB60" i="1"/>
  <c r="HH60" i="1"/>
  <c r="HI60" i="1"/>
  <c r="HJ60" i="1" s="1"/>
  <c r="L61" i="1"/>
  <c r="AY61" i="1"/>
  <c r="AZ61" i="1"/>
  <c r="BB61" i="1" s="1"/>
  <c r="BA61" i="1"/>
  <c r="BC61" i="1"/>
  <c r="BD61" i="1"/>
  <c r="BF61" i="1"/>
  <c r="BG61" i="1"/>
  <c r="BI61" i="1"/>
  <c r="BJ61" i="1"/>
  <c r="BK61" i="1"/>
  <c r="BL61" i="1"/>
  <c r="BN61" i="1" s="1"/>
  <c r="BM61" i="1"/>
  <c r="BO61" i="1"/>
  <c r="BP61" i="1"/>
  <c r="BR61" i="1"/>
  <c r="BS61" i="1"/>
  <c r="BU61" i="1"/>
  <c r="BV61" i="1"/>
  <c r="BW61" i="1" s="1"/>
  <c r="BX61" i="1"/>
  <c r="BY61" i="1"/>
  <c r="CE61" i="1"/>
  <c r="CF61" i="1"/>
  <c r="CH61" i="1"/>
  <c r="CI61" i="1"/>
  <c r="CJ61" i="1" s="1"/>
  <c r="CK61" i="1"/>
  <c r="CL61" i="1"/>
  <c r="CN61" i="1"/>
  <c r="CP61" i="1" s="1"/>
  <c r="CO61" i="1"/>
  <c r="CQ61" i="1"/>
  <c r="CR61" i="1"/>
  <c r="CS61" i="1" s="1"/>
  <c r="CT61" i="1"/>
  <c r="CV61" i="1" s="1"/>
  <c r="CU61" i="1"/>
  <c r="CW61" i="1"/>
  <c r="CX61" i="1"/>
  <c r="CZ61" i="1"/>
  <c r="DB61" i="1" s="1"/>
  <c r="DA61" i="1"/>
  <c r="DG61" i="1"/>
  <c r="DH61" i="1"/>
  <c r="DJ61" i="1"/>
  <c r="DL61" i="1" s="1"/>
  <c r="DK61" i="1"/>
  <c r="DM61" i="1"/>
  <c r="DO61" i="1" s="1"/>
  <c r="DN61" i="1"/>
  <c r="DP61" i="1"/>
  <c r="DQ61" i="1"/>
  <c r="DS61" i="1"/>
  <c r="DT61" i="1"/>
  <c r="DU61" i="1"/>
  <c r="DV61" i="1"/>
  <c r="DW61" i="1"/>
  <c r="DY61" i="1"/>
  <c r="DZ61" i="1"/>
  <c r="EF61" i="1"/>
  <c r="EG61" i="1"/>
  <c r="EH61" i="1"/>
  <c r="EI61" i="1"/>
  <c r="EJ61" i="1"/>
  <c r="EL61" i="1"/>
  <c r="EM61" i="1"/>
  <c r="EO61" i="1"/>
  <c r="EP61" i="1"/>
  <c r="EQ61" i="1" s="1"/>
  <c r="ER61" i="1"/>
  <c r="ES61" i="1"/>
  <c r="ET61" i="1" s="1"/>
  <c r="EU61" i="1"/>
  <c r="EW61" i="1" s="1"/>
  <c r="EV61" i="1"/>
  <c r="FB61" i="1"/>
  <c r="FC61" i="1"/>
  <c r="FD61" i="1" s="1"/>
  <c r="FE61" i="1"/>
  <c r="FF61" i="1"/>
  <c r="FG61" i="1" s="1"/>
  <c r="FH61" i="1"/>
  <c r="FJ61" i="1" s="1"/>
  <c r="FI61" i="1"/>
  <c r="FK61" i="1"/>
  <c r="FM61" i="1" s="1"/>
  <c r="FL61" i="1"/>
  <c r="FN61" i="1"/>
  <c r="FO61" i="1"/>
  <c r="FU61" i="1"/>
  <c r="FV61" i="1"/>
  <c r="FX61" i="1"/>
  <c r="FY61" i="1"/>
  <c r="GA61" i="1"/>
  <c r="GB61" i="1"/>
  <c r="GC61" i="1" s="1"/>
  <c r="GD61" i="1"/>
  <c r="GE61" i="1"/>
  <c r="GF61" i="1" s="1"/>
  <c r="GK61" i="1"/>
  <c r="GL61" i="1"/>
  <c r="GN61" i="1"/>
  <c r="GO61" i="1"/>
  <c r="GP61" i="1" s="1"/>
  <c r="GQ61" i="1"/>
  <c r="GR61" i="1"/>
  <c r="GS61" i="1" s="1"/>
  <c r="GX61" i="1"/>
  <c r="GY61" i="1"/>
  <c r="HA61" i="1"/>
  <c r="HB61" i="1"/>
  <c r="HC61" i="1" s="1"/>
  <c r="HH61" i="1"/>
  <c r="HI61" i="1"/>
  <c r="L62" i="1"/>
  <c r="AZ62" i="1"/>
  <c r="BA62" i="1"/>
  <c r="BC62" i="1"/>
  <c r="BD62" i="1"/>
  <c r="BE62" i="1" s="1"/>
  <c r="BF62" i="1"/>
  <c r="BG62" i="1"/>
  <c r="BH62" i="1" s="1"/>
  <c r="BI62" i="1"/>
  <c r="BK62" i="1" s="1"/>
  <c r="BJ62" i="1"/>
  <c r="BL62" i="1"/>
  <c r="BN62" i="1" s="1"/>
  <c r="BM62" i="1"/>
  <c r="BO62" i="1"/>
  <c r="BP62" i="1"/>
  <c r="BR62" i="1"/>
  <c r="BT62" i="1" s="1"/>
  <c r="BS62" i="1"/>
  <c r="BU62" i="1"/>
  <c r="BV62" i="1"/>
  <c r="BX62" i="1"/>
  <c r="BY62" i="1"/>
  <c r="CE62" i="1"/>
  <c r="CF62" i="1"/>
  <c r="CG62" i="1" s="1"/>
  <c r="CH62" i="1"/>
  <c r="CJ62" i="1" s="1"/>
  <c r="CI62" i="1"/>
  <c r="CK62" i="1"/>
  <c r="CM62" i="1" s="1"/>
  <c r="CL62" i="1"/>
  <c r="CN62" i="1"/>
  <c r="CO62" i="1"/>
  <c r="CQ62" i="1"/>
  <c r="CS62" i="1" s="1"/>
  <c r="CR62" i="1"/>
  <c r="CT62" i="1"/>
  <c r="CU62" i="1"/>
  <c r="CW62" i="1"/>
  <c r="CX62" i="1"/>
  <c r="CZ62" i="1"/>
  <c r="DA62" i="1"/>
  <c r="DB62" i="1" s="1"/>
  <c r="DG62" i="1"/>
  <c r="DH62" i="1"/>
  <c r="DJ62" i="1"/>
  <c r="DK62" i="1"/>
  <c r="DM62" i="1"/>
  <c r="DN62" i="1"/>
  <c r="DO62" i="1" s="1"/>
  <c r="DP62" i="1"/>
  <c r="DQ62" i="1"/>
  <c r="DR62" i="1" s="1"/>
  <c r="DS62" i="1"/>
  <c r="DU62" i="1" s="1"/>
  <c r="DT62" i="1"/>
  <c r="DV62" i="1"/>
  <c r="DX62" i="1" s="1"/>
  <c r="DW62" i="1"/>
  <c r="DY62" i="1"/>
  <c r="DZ62" i="1"/>
  <c r="EF62" i="1"/>
  <c r="EH62" i="1" s="1"/>
  <c r="EG62" i="1"/>
  <c r="EI62" i="1"/>
  <c r="EK62" i="1" s="1"/>
  <c r="EJ62" i="1"/>
  <c r="EL62" i="1"/>
  <c r="EM62" i="1"/>
  <c r="EO62" i="1"/>
  <c r="EP62" i="1"/>
  <c r="EQ62" i="1"/>
  <c r="ER62" i="1"/>
  <c r="ES62" i="1"/>
  <c r="EU62" i="1"/>
  <c r="EV62" i="1"/>
  <c r="FB62" i="1"/>
  <c r="FC62" i="1"/>
  <c r="FE62" i="1"/>
  <c r="FF62" i="1"/>
  <c r="FH62" i="1"/>
  <c r="FJ62" i="1" s="1"/>
  <c r="FI62" i="1"/>
  <c r="FK62" i="1"/>
  <c r="FL62" i="1"/>
  <c r="FM62" i="1" s="1"/>
  <c r="FN62" i="1"/>
  <c r="FO62" i="1"/>
  <c r="FP62" i="1"/>
  <c r="FU62" i="1"/>
  <c r="FW62" i="1" s="1"/>
  <c r="FV62" i="1"/>
  <c r="FX62" i="1"/>
  <c r="FY62" i="1"/>
  <c r="FZ62" i="1" s="1"/>
  <c r="GA62" i="1"/>
  <c r="GC62" i="1" s="1"/>
  <c r="GB62" i="1"/>
  <c r="GD62" i="1"/>
  <c r="GF62" i="1" s="1"/>
  <c r="GE62" i="1"/>
  <c r="GK62" i="1"/>
  <c r="GL62" i="1"/>
  <c r="GN62" i="1"/>
  <c r="GO62" i="1"/>
  <c r="GP62" i="1"/>
  <c r="GQ62" i="1"/>
  <c r="GR62" i="1"/>
  <c r="GX62" i="1"/>
  <c r="GY62" i="1"/>
  <c r="GZ62" i="1" s="1"/>
  <c r="HA62" i="1"/>
  <c r="HB62" i="1"/>
  <c r="HC62" i="1" s="1"/>
  <c r="HH62" i="1"/>
  <c r="HJ62" i="1" s="1"/>
  <c r="HI62" i="1"/>
  <c r="L63" i="1"/>
  <c r="AV63" i="1" s="1"/>
  <c r="N63" i="1" s="1"/>
  <c r="N63" i="3" s="1"/>
  <c r="AX63" i="1"/>
  <c r="AZ63" i="1"/>
  <c r="BA63" i="1"/>
  <c r="BB63" i="1" s="1"/>
  <c r="BC63" i="1"/>
  <c r="BE63" i="1" s="1"/>
  <c r="BD63" i="1"/>
  <c r="BF63" i="1"/>
  <c r="BH63" i="1" s="1"/>
  <c r="BG63" i="1"/>
  <c r="BI63" i="1"/>
  <c r="BK63" i="1" s="1"/>
  <c r="BJ63" i="1"/>
  <c r="BL63" i="1"/>
  <c r="BM63" i="1"/>
  <c r="BO63" i="1"/>
  <c r="BP63" i="1"/>
  <c r="BQ63" i="1"/>
  <c r="BR63" i="1"/>
  <c r="BS63" i="1"/>
  <c r="BU63" i="1"/>
  <c r="BV63" i="1"/>
  <c r="BX63" i="1"/>
  <c r="BY63" i="1"/>
  <c r="BZ63" i="1" s="1"/>
  <c r="CE63" i="1"/>
  <c r="CF63" i="1"/>
  <c r="CH63" i="1"/>
  <c r="CI63" i="1"/>
  <c r="CK63" i="1"/>
  <c r="CL63" i="1"/>
  <c r="CM63" i="1" s="1"/>
  <c r="CN63" i="1"/>
  <c r="CO63" i="1"/>
  <c r="CP63" i="1" s="1"/>
  <c r="CQ63" i="1"/>
  <c r="CS63" i="1" s="1"/>
  <c r="CR63" i="1"/>
  <c r="CT63" i="1"/>
  <c r="CV63" i="1" s="1"/>
  <c r="CU63" i="1"/>
  <c r="CW63" i="1"/>
  <c r="CX63" i="1"/>
  <c r="CZ63" i="1"/>
  <c r="DA63" i="1"/>
  <c r="DB63" i="1"/>
  <c r="DG63" i="1"/>
  <c r="DH63" i="1"/>
  <c r="DJ63" i="1"/>
  <c r="DK63" i="1"/>
  <c r="DL63" i="1" s="1"/>
  <c r="DM63" i="1"/>
  <c r="DN63" i="1"/>
  <c r="DO63" i="1" s="1"/>
  <c r="DP63" i="1"/>
  <c r="DR63" i="1" s="1"/>
  <c r="DQ63" i="1"/>
  <c r="DS63" i="1"/>
  <c r="DU63" i="1" s="1"/>
  <c r="DT63" i="1"/>
  <c r="DV63" i="1"/>
  <c r="DW63" i="1"/>
  <c r="DY63" i="1"/>
  <c r="DZ63" i="1"/>
  <c r="EA63" i="1"/>
  <c r="EF63" i="1"/>
  <c r="EG63" i="1"/>
  <c r="EI63" i="1"/>
  <c r="EJ63" i="1"/>
  <c r="EK63" i="1" s="1"/>
  <c r="EL63" i="1"/>
  <c r="EM63" i="1"/>
  <c r="EN63" i="1" s="1"/>
  <c r="EO63" i="1"/>
  <c r="EQ63" i="1" s="1"/>
  <c r="EP63" i="1"/>
  <c r="ER63" i="1"/>
  <c r="ET63" i="1" s="1"/>
  <c r="ES63" i="1"/>
  <c r="EU63" i="1"/>
  <c r="EV63" i="1"/>
  <c r="FB63" i="1"/>
  <c r="FD63" i="1" s="1"/>
  <c r="FC63" i="1"/>
  <c r="FE63" i="1"/>
  <c r="FG63" i="1" s="1"/>
  <c r="FF63" i="1"/>
  <c r="FH63" i="1"/>
  <c r="FI63" i="1"/>
  <c r="FK63" i="1"/>
  <c r="FM63" i="1" s="1"/>
  <c r="FL63" i="1"/>
  <c r="FN63" i="1"/>
  <c r="FO63" i="1"/>
  <c r="FU63" i="1"/>
  <c r="FV63" i="1"/>
  <c r="FX63" i="1"/>
  <c r="FZ63" i="1" s="1"/>
  <c r="FY63" i="1"/>
  <c r="GA63" i="1"/>
  <c r="GB63" i="1"/>
  <c r="GD63" i="1"/>
  <c r="GE63" i="1"/>
  <c r="GK63" i="1"/>
  <c r="GM63" i="1" s="1"/>
  <c r="GL63" i="1"/>
  <c r="GN63" i="1"/>
  <c r="GO63" i="1"/>
  <c r="GQ63" i="1"/>
  <c r="GR63" i="1"/>
  <c r="GX63" i="1"/>
  <c r="GZ63" i="1" s="1"/>
  <c r="GY63" i="1"/>
  <c r="HA63" i="1"/>
  <c r="HB63" i="1"/>
  <c r="HH63" i="1"/>
  <c r="HI63" i="1"/>
  <c r="L64" i="1"/>
  <c r="M64" i="1" s="1"/>
  <c r="DC64" i="1" s="1"/>
  <c r="AV64" i="1"/>
  <c r="N64" i="1" s="1"/>
  <c r="N64" i="3" s="1"/>
  <c r="AZ64" i="1"/>
  <c r="BA64" i="1"/>
  <c r="BB64" i="1"/>
  <c r="BC64" i="1"/>
  <c r="BD64" i="1"/>
  <c r="BF64" i="1"/>
  <c r="BG64" i="1"/>
  <c r="BI64" i="1"/>
  <c r="BJ64" i="1"/>
  <c r="BK64" i="1" s="1"/>
  <c r="BL64" i="1"/>
  <c r="BN64" i="1" s="1"/>
  <c r="BM64" i="1"/>
  <c r="BO64" i="1"/>
  <c r="BQ64" i="1" s="1"/>
  <c r="BP64" i="1"/>
  <c r="BR64" i="1"/>
  <c r="BT64" i="1" s="1"/>
  <c r="BS64" i="1"/>
  <c r="BU64" i="1"/>
  <c r="BV64" i="1"/>
  <c r="BX64" i="1"/>
  <c r="BZ64" i="1" s="1"/>
  <c r="BY64" i="1"/>
  <c r="CE64" i="1"/>
  <c r="CF64" i="1"/>
  <c r="CH64" i="1"/>
  <c r="CI64" i="1"/>
  <c r="CJ64" i="1" s="1"/>
  <c r="CK64" i="1"/>
  <c r="CM64" i="1" s="1"/>
  <c r="CL64" i="1"/>
  <c r="CN64" i="1"/>
  <c r="CP64" i="1" s="1"/>
  <c r="CO64" i="1"/>
  <c r="CQ64" i="1"/>
  <c r="CS64" i="1" s="1"/>
  <c r="CR64" i="1"/>
  <c r="CT64" i="1"/>
  <c r="CU64" i="1"/>
  <c r="CW64" i="1"/>
  <c r="CY64" i="1" s="1"/>
  <c r="CX64" i="1"/>
  <c r="CZ64" i="1"/>
  <c r="DA64" i="1"/>
  <c r="DG64" i="1"/>
  <c r="DH64" i="1"/>
  <c r="DJ64" i="1"/>
  <c r="DL64" i="1" s="1"/>
  <c r="DK64" i="1"/>
  <c r="DM64" i="1"/>
  <c r="DN64" i="1"/>
  <c r="DP64" i="1"/>
  <c r="DQ64" i="1"/>
  <c r="DS64" i="1"/>
  <c r="DT64" i="1"/>
  <c r="DU64" i="1" s="1"/>
  <c r="DV64" i="1"/>
  <c r="DW64" i="1"/>
  <c r="DX64" i="1" s="1"/>
  <c r="DY64" i="1"/>
  <c r="EA64" i="1" s="1"/>
  <c r="DZ64" i="1"/>
  <c r="EB64" i="1"/>
  <c r="EF64" i="1"/>
  <c r="EG64" i="1"/>
  <c r="EH64" i="1" s="1"/>
  <c r="EI64" i="1"/>
  <c r="EJ64" i="1"/>
  <c r="EK64" i="1" s="1"/>
  <c r="EL64" i="1"/>
  <c r="EN64" i="1" s="1"/>
  <c r="EM64" i="1"/>
  <c r="EO64" i="1"/>
  <c r="EQ64" i="1" s="1"/>
  <c r="EP64" i="1"/>
  <c r="ER64" i="1"/>
  <c r="ES64" i="1"/>
  <c r="EU64" i="1"/>
  <c r="EV64" i="1"/>
  <c r="EW64" i="1"/>
  <c r="FB64" i="1"/>
  <c r="FC64" i="1"/>
  <c r="FE64" i="1"/>
  <c r="FF64" i="1"/>
  <c r="FG64" i="1" s="1"/>
  <c r="FH64" i="1"/>
  <c r="FI64" i="1"/>
  <c r="FJ64" i="1" s="1"/>
  <c r="FK64" i="1"/>
  <c r="FM64" i="1" s="1"/>
  <c r="FL64" i="1"/>
  <c r="FN64" i="1"/>
  <c r="FP64" i="1" s="1"/>
  <c r="FO64" i="1"/>
  <c r="FR64" i="1"/>
  <c r="FU64" i="1"/>
  <c r="FV64" i="1"/>
  <c r="FW64" i="1" s="1"/>
  <c r="FX64" i="1"/>
  <c r="FZ64" i="1" s="1"/>
  <c r="FY64" i="1"/>
  <c r="GA64" i="1"/>
  <c r="GC64" i="1" s="1"/>
  <c r="GB64" i="1"/>
  <c r="GD64" i="1"/>
  <c r="GE64" i="1"/>
  <c r="GK64" i="1"/>
  <c r="GM64" i="1" s="1"/>
  <c r="GL64" i="1"/>
  <c r="GN64" i="1"/>
  <c r="GP64" i="1" s="1"/>
  <c r="GO64" i="1"/>
  <c r="GQ64" i="1"/>
  <c r="GR64" i="1"/>
  <c r="GX64" i="1"/>
  <c r="GZ64" i="1" s="1"/>
  <c r="GY64" i="1"/>
  <c r="HA64" i="1"/>
  <c r="HC64" i="1" s="1"/>
  <c r="HB64" i="1"/>
  <c r="HE64" i="1"/>
  <c r="HH64" i="1"/>
  <c r="HI64" i="1"/>
  <c r="HJ64" i="1" s="1"/>
  <c r="HO64" i="1"/>
  <c r="IB64" i="1"/>
  <c r="IF64" i="1"/>
  <c r="IN64" i="1"/>
  <c r="L65" i="1"/>
  <c r="M65" i="1" s="1"/>
  <c r="AV65" i="1"/>
  <c r="N65" i="1" s="1"/>
  <c r="N65" i="3" s="1"/>
  <c r="AY65" i="1"/>
  <c r="AZ65" i="1"/>
  <c r="BA65" i="1"/>
  <c r="BC65" i="1"/>
  <c r="BD65" i="1"/>
  <c r="BF65" i="1"/>
  <c r="BG65" i="1"/>
  <c r="BH65" i="1" s="1"/>
  <c r="BI65" i="1"/>
  <c r="BK65" i="1" s="1"/>
  <c r="BJ65" i="1"/>
  <c r="BL65" i="1"/>
  <c r="BN65" i="1" s="1"/>
  <c r="BM65" i="1"/>
  <c r="BO65" i="1"/>
  <c r="BQ65" i="1" s="1"/>
  <c r="BP65" i="1"/>
  <c r="BR65" i="1"/>
  <c r="BS65" i="1"/>
  <c r="BU65" i="1"/>
  <c r="BW65" i="1" s="1"/>
  <c r="BV65" i="1"/>
  <c r="BX65" i="1"/>
  <c r="BY65" i="1"/>
  <c r="CE65" i="1"/>
  <c r="CF65" i="1"/>
  <c r="CH65" i="1"/>
  <c r="CJ65" i="1" s="1"/>
  <c r="CI65" i="1"/>
  <c r="CK65" i="1"/>
  <c r="CL65" i="1"/>
  <c r="CN65" i="1"/>
  <c r="CO65" i="1"/>
  <c r="CQ65" i="1"/>
  <c r="CR65" i="1"/>
  <c r="CS65" i="1" s="1"/>
  <c r="CT65" i="1"/>
  <c r="CU65" i="1"/>
  <c r="CV65" i="1" s="1"/>
  <c r="CW65" i="1"/>
  <c r="CY65" i="1" s="1"/>
  <c r="CX65" i="1"/>
  <c r="CZ65" i="1"/>
  <c r="DB65" i="1" s="1"/>
  <c r="DA65" i="1"/>
  <c r="DG65" i="1"/>
  <c r="DH65" i="1"/>
  <c r="DI65" i="1" s="1"/>
  <c r="DJ65" i="1"/>
  <c r="DL65" i="1" s="1"/>
  <c r="DK65" i="1"/>
  <c r="DM65" i="1"/>
  <c r="DO65" i="1" s="1"/>
  <c r="DN65" i="1"/>
  <c r="DP65" i="1"/>
  <c r="DQ65" i="1"/>
  <c r="DS65" i="1"/>
  <c r="DT65" i="1"/>
  <c r="DU65" i="1"/>
  <c r="DV65" i="1"/>
  <c r="DW65" i="1"/>
  <c r="DY65" i="1"/>
  <c r="DZ65" i="1"/>
  <c r="EF65" i="1"/>
  <c r="EG65" i="1"/>
  <c r="EH65" i="1"/>
  <c r="EI65" i="1"/>
  <c r="EJ65" i="1"/>
  <c r="EL65" i="1"/>
  <c r="EM65" i="1"/>
  <c r="EO65" i="1"/>
  <c r="EP65" i="1"/>
  <c r="EQ65" i="1" s="1"/>
  <c r="ER65" i="1"/>
  <c r="ET65" i="1" s="1"/>
  <c r="ES65" i="1"/>
  <c r="EU65" i="1"/>
  <c r="EW65" i="1" s="1"/>
  <c r="EV65" i="1"/>
  <c r="FB65" i="1"/>
  <c r="FC65" i="1"/>
  <c r="FD65" i="1" s="1"/>
  <c r="FE65" i="1"/>
  <c r="FG65" i="1" s="1"/>
  <c r="FF65" i="1"/>
  <c r="FH65" i="1"/>
  <c r="FJ65" i="1" s="1"/>
  <c r="FI65" i="1"/>
  <c r="FK65" i="1"/>
  <c r="FM65" i="1" s="1"/>
  <c r="FL65" i="1"/>
  <c r="FN65" i="1"/>
  <c r="FO65" i="1"/>
  <c r="FU65" i="1"/>
  <c r="FV65" i="1"/>
  <c r="FX65" i="1"/>
  <c r="FY65" i="1"/>
  <c r="GA65" i="1"/>
  <c r="GB65" i="1"/>
  <c r="GC65" i="1" s="1"/>
  <c r="GD65" i="1"/>
  <c r="GF65" i="1" s="1"/>
  <c r="GE65" i="1"/>
  <c r="GK65" i="1"/>
  <c r="GL65" i="1"/>
  <c r="GN65" i="1"/>
  <c r="GO65" i="1"/>
  <c r="GP65" i="1" s="1"/>
  <c r="GQ65" i="1"/>
  <c r="GS65" i="1" s="1"/>
  <c r="GR65" i="1"/>
  <c r="GX65" i="1"/>
  <c r="GY65" i="1"/>
  <c r="HA65" i="1"/>
  <c r="HB65" i="1"/>
  <c r="HC65" i="1" s="1"/>
  <c r="HH65" i="1"/>
  <c r="HJ65" i="1" s="1"/>
  <c r="HI65" i="1"/>
  <c r="L66" i="1"/>
  <c r="AV66" i="1" s="1"/>
  <c r="N66" i="1" s="1"/>
  <c r="N66" i="3" s="1"/>
  <c r="AZ66" i="1"/>
  <c r="BB66" i="1" s="1"/>
  <c r="BA66" i="1"/>
  <c r="BC66" i="1"/>
  <c r="BD66" i="1"/>
  <c r="BF66" i="1"/>
  <c r="BH66" i="1" s="1"/>
  <c r="BG66" i="1"/>
  <c r="BI66" i="1"/>
  <c r="BJ66" i="1"/>
  <c r="BL66" i="1"/>
  <c r="BM66" i="1"/>
  <c r="BO66" i="1"/>
  <c r="BP66" i="1"/>
  <c r="BQ66" i="1" s="1"/>
  <c r="BR66" i="1"/>
  <c r="BS66" i="1"/>
  <c r="BT66" i="1" s="1"/>
  <c r="BU66" i="1"/>
  <c r="BW66" i="1" s="1"/>
  <c r="BV66" i="1"/>
  <c r="BX66" i="1"/>
  <c r="BZ66" i="1" s="1"/>
  <c r="BY66" i="1"/>
  <c r="CE66" i="1"/>
  <c r="CG66" i="1" s="1"/>
  <c r="CF66" i="1"/>
  <c r="CH66" i="1"/>
  <c r="CI66" i="1"/>
  <c r="CK66" i="1"/>
  <c r="CL66" i="1"/>
  <c r="CN66" i="1"/>
  <c r="CO66" i="1"/>
  <c r="CP66" i="1" s="1"/>
  <c r="CQ66" i="1"/>
  <c r="CR66" i="1"/>
  <c r="CS66" i="1" s="1"/>
  <c r="CT66" i="1"/>
  <c r="CV66" i="1" s="1"/>
  <c r="CU66" i="1"/>
  <c r="CW66" i="1"/>
  <c r="CY66" i="1" s="1"/>
  <c r="CX66" i="1"/>
  <c r="CZ66" i="1"/>
  <c r="DA66" i="1"/>
  <c r="DG66" i="1"/>
  <c r="DI66" i="1" s="1"/>
  <c r="DH66" i="1"/>
  <c r="DJ66" i="1"/>
  <c r="DL66" i="1" s="1"/>
  <c r="DK66" i="1"/>
  <c r="DM66" i="1"/>
  <c r="DN66" i="1"/>
  <c r="DP66" i="1"/>
  <c r="DR66" i="1" s="1"/>
  <c r="DQ66" i="1"/>
  <c r="DS66" i="1"/>
  <c r="DT66" i="1"/>
  <c r="DV66" i="1"/>
  <c r="DW66" i="1"/>
  <c r="DY66" i="1"/>
  <c r="DZ66" i="1"/>
  <c r="EA66" i="1" s="1"/>
  <c r="EF66" i="1"/>
  <c r="EG66" i="1"/>
  <c r="EI66" i="1"/>
  <c r="EJ66" i="1"/>
  <c r="EL66" i="1"/>
  <c r="EM66" i="1"/>
  <c r="EN66" i="1" s="1"/>
  <c r="EO66" i="1"/>
  <c r="EQ66" i="1" s="1"/>
  <c r="EP66" i="1"/>
  <c r="ER66" i="1"/>
  <c r="ET66" i="1" s="1"/>
  <c r="ES66" i="1"/>
  <c r="EU66" i="1"/>
  <c r="EW66" i="1" s="1"/>
  <c r="EV66" i="1"/>
  <c r="FB66" i="1"/>
  <c r="FC66" i="1"/>
  <c r="FD66" i="1"/>
  <c r="FE66" i="1"/>
  <c r="FF66" i="1"/>
  <c r="FH66" i="1"/>
  <c r="FI66" i="1"/>
  <c r="FK66" i="1"/>
  <c r="FL66" i="1"/>
  <c r="FM66" i="1" s="1"/>
  <c r="FN66" i="1"/>
  <c r="FP66" i="1" s="1"/>
  <c r="FO66" i="1"/>
  <c r="FU66" i="1"/>
  <c r="FW66" i="1" s="1"/>
  <c r="FV66" i="1"/>
  <c r="FX66" i="1"/>
  <c r="FY66" i="1"/>
  <c r="GA66" i="1"/>
  <c r="GB66" i="1"/>
  <c r="GC66" i="1"/>
  <c r="GD66" i="1"/>
  <c r="GE66" i="1"/>
  <c r="GK66" i="1"/>
  <c r="GL66" i="1"/>
  <c r="GM66" i="1" s="1"/>
  <c r="GN66" i="1"/>
  <c r="GO66" i="1"/>
  <c r="GP66" i="1" s="1"/>
  <c r="GQ66" i="1"/>
  <c r="GS66" i="1" s="1"/>
  <c r="GR66" i="1"/>
  <c r="GX66" i="1"/>
  <c r="GY66" i="1"/>
  <c r="HA66" i="1"/>
  <c r="HC66" i="1" s="1"/>
  <c r="HB66" i="1"/>
  <c r="HH66" i="1"/>
  <c r="HI66" i="1"/>
  <c r="L67" i="1"/>
  <c r="M67" i="1"/>
  <c r="HS67" i="1" s="1"/>
  <c r="AV67" i="1"/>
  <c r="N67" i="1" s="1"/>
  <c r="N67" i="3" s="1"/>
  <c r="AW67" i="1"/>
  <c r="O67" i="1" s="1"/>
  <c r="O67" i="3" s="1"/>
  <c r="AX67" i="1"/>
  <c r="AY67" i="1"/>
  <c r="AZ67" i="1"/>
  <c r="BA67" i="1"/>
  <c r="BC67" i="1"/>
  <c r="BD67" i="1"/>
  <c r="BE67" i="1"/>
  <c r="BF67" i="1"/>
  <c r="BG67" i="1"/>
  <c r="BI67" i="1"/>
  <c r="BJ67" i="1"/>
  <c r="BL67" i="1"/>
  <c r="BM67" i="1"/>
  <c r="BN67" i="1" s="1"/>
  <c r="BO67" i="1"/>
  <c r="BQ67" i="1" s="1"/>
  <c r="BP67" i="1"/>
  <c r="BR67" i="1"/>
  <c r="BT67" i="1" s="1"/>
  <c r="BS67" i="1"/>
  <c r="BU67" i="1"/>
  <c r="BW67" i="1" s="1"/>
  <c r="BV67" i="1"/>
  <c r="BX67" i="1"/>
  <c r="BY67" i="1"/>
  <c r="CE67" i="1"/>
  <c r="CG67" i="1" s="1"/>
  <c r="CF67" i="1"/>
  <c r="CH67" i="1"/>
  <c r="CJ67" i="1" s="1"/>
  <c r="CI67" i="1"/>
  <c r="CK67" i="1"/>
  <c r="CL67" i="1"/>
  <c r="CN67" i="1"/>
  <c r="CO67" i="1"/>
  <c r="CP67" i="1"/>
  <c r="CQ67" i="1"/>
  <c r="CR67" i="1"/>
  <c r="CT67" i="1"/>
  <c r="CU67" i="1"/>
  <c r="CW67" i="1"/>
  <c r="CX67" i="1"/>
  <c r="CY67" i="1" s="1"/>
  <c r="CZ67" i="1"/>
  <c r="DB67" i="1" s="1"/>
  <c r="DA67" i="1"/>
  <c r="DG67" i="1"/>
  <c r="DI67" i="1" s="1"/>
  <c r="DH67" i="1"/>
  <c r="DJ67" i="1"/>
  <c r="DK67" i="1"/>
  <c r="DM67" i="1"/>
  <c r="DN67" i="1"/>
  <c r="DO67" i="1"/>
  <c r="DP67" i="1"/>
  <c r="DQ67" i="1"/>
  <c r="DS67" i="1"/>
  <c r="DT67" i="1"/>
  <c r="DV67" i="1"/>
  <c r="DW67" i="1"/>
  <c r="DX67" i="1" s="1"/>
  <c r="DY67" i="1"/>
  <c r="EA67" i="1" s="1"/>
  <c r="DZ67" i="1"/>
  <c r="EF67" i="1"/>
  <c r="EH67" i="1" s="1"/>
  <c r="EG67" i="1"/>
  <c r="EI67" i="1"/>
  <c r="EJ67" i="1"/>
  <c r="EL67" i="1"/>
  <c r="EM67" i="1"/>
  <c r="EN67" i="1"/>
  <c r="EO67" i="1"/>
  <c r="EP67" i="1"/>
  <c r="ER67" i="1"/>
  <c r="ES67" i="1"/>
  <c r="EU67" i="1"/>
  <c r="EV67" i="1"/>
  <c r="EW67" i="1" s="1"/>
  <c r="FB67" i="1"/>
  <c r="FC67" i="1"/>
  <c r="FE67" i="1"/>
  <c r="FF67" i="1"/>
  <c r="FH67" i="1"/>
  <c r="FI67" i="1"/>
  <c r="FJ67" i="1" s="1"/>
  <c r="FK67" i="1"/>
  <c r="FL67" i="1"/>
  <c r="FM67" i="1" s="1"/>
  <c r="FN67" i="1"/>
  <c r="FP67" i="1" s="1"/>
  <c r="FO67" i="1"/>
  <c r="FQ67" i="1"/>
  <c r="FU67" i="1"/>
  <c r="FV67" i="1"/>
  <c r="FW67" i="1" s="1"/>
  <c r="FX67" i="1"/>
  <c r="FY67" i="1"/>
  <c r="FZ67" i="1" s="1"/>
  <c r="GA67" i="1"/>
  <c r="GC67" i="1" s="1"/>
  <c r="GB67" i="1"/>
  <c r="GD67" i="1"/>
  <c r="GF67" i="1" s="1"/>
  <c r="GE67" i="1"/>
  <c r="GH67" i="1"/>
  <c r="GK67" i="1"/>
  <c r="GL67" i="1"/>
  <c r="GM67" i="1" s="1"/>
  <c r="GN67" i="1"/>
  <c r="GP67" i="1" s="1"/>
  <c r="GO67" i="1"/>
  <c r="GQ67" i="1"/>
  <c r="GS67" i="1" s="1"/>
  <c r="GR67" i="1"/>
  <c r="GU67" i="1"/>
  <c r="GX67" i="1"/>
  <c r="GY67" i="1"/>
  <c r="GZ67" i="1" s="1"/>
  <c r="HA67" i="1"/>
  <c r="HC67" i="1" s="1"/>
  <c r="HB67" i="1"/>
  <c r="HD67" i="1"/>
  <c r="HH67" i="1"/>
  <c r="HI67" i="1"/>
  <c r="HJ67" i="1" s="1"/>
  <c r="HW67" i="1"/>
  <c r="II67" i="1"/>
  <c r="IU67" i="1"/>
  <c r="L68" i="1"/>
  <c r="M68" i="1" s="1"/>
  <c r="FR68" i="1" s="1"/>
  <c r="AX68" i="1"/>
  <c r="AZ68" i="1"/>
  <c r="BB68" i="1" s="1"/>
  <c r="BA68" i="1"/>
  <c r="BC68" i="1"/>
  <c r="BE68" i="1" s="1"/>
  <c r="BD68" i="1"/>
  <c r="BF68" i="1"/>
  <c r="BH68" i="1" s="1"/>
  <c r="BG68" i="1"/>
  <c r="BI68" i="1"/>
  <c r="BJ68" i="1"/>
  <c r="BL68" i="1"/>
  <c r="BN68" i="1" s="1"/>
  <c r="BM68" i="1"/>
  <c r="BO68" i="1"/>
  <c r="BP68" i="1"/>
  <c r="BR68" i="1"/>
  <c r="BS68" i="1"/>
  <c r="BU68" i="1"/>
  <c r="BV68" i="1"/>
  <c r="BW68" i="1" s="1"/>
  <c r="BX68" i="1"/>
  <c r="BY68" i="1"/>
  <c r="BZ68" i="1" s="1"/>
  <c r="CE68" i="1"/>
  <c r="CG68" i="1" s="1"/>
  <c r="CF68" i="1"/>
  <c r="CH68" i="1"/>
  <c r="CI68" i="1"/>
  <c r="CK68" i="1"/>
  <c r="CM68" i="1" s="1"/>
  <c r="CL68" i="1"/>
  <c r="CN68" i="1"/>
  <c r="CO68" i="1"/>
  <c r="CQ68" i="1"/>
  <c r="CR68" i="1"/>
  <c r="CS68" i="1" s="1"/>
  <c r="CT68" i="1"/>
  <c r="CU68" i="1"/>
  <c r="CW68" i="1"/>
  <c r="CY68" i="1" s="1"/>
  <c r="CX68" i="1"/>
  <c r="CZ68" i="1"/>
  <c r="DB68" i="1" s="1"/>
  <c r="DA68" i="1"/>
  <c r="DC68" i="1"/>
  <c r="DG68" i="1"/>
  <c r="DH68" i="1"/>
  <c r="DI68" i="1" s="1"/>
  <c r="DJ68" i="1"/>
  <c r="DK68" i="1"/>
  <c r="DM68" i="1"/>
  <c r="DN68" i="1"/>
  <c r="DP68" i="1"/>
  <c r="DQ68" i="1"/>
  <c r="DR68" i="1" s="1"/>
  <c r="DS68" i="1"/>
  <c r="DT68" i="1"/>
  <c r="DV68" i="1"/>
  <c r="DW68" i="1"/>
  <c r="DX68" i="1"/>
  <c r="DY68" i="1"/>
  <c r="DZ68" i="1"/>
  <c r="EF68" i="1"/>
  <c r="EG68" i="1"/>
  <c r="EH68" i="1" s="1"/>
  <c r="EI68" i="1"/>
  <c r="EJ68" i="1"/>
  <c r="EL68" i="1"/>
  <c r="EM68" i="1"/>
  <c r="EO68" i="1"/>
  <c r="EP68" i="1"/>
  <c r="ER68" i="1"/>
  <c r="ES68" i="1"/>
  <c r="ET68" i="1" s="1"/>
  <c r="EU68" i="1"/>
  <c r="EV68" i="1"/>
  <c r="EW68" i="1" s="1"/>
  <c r="EY68" i="1"/>
  <c r="FB68" i="1"/>
  <c r="FC68" i="1"/>
  <c r="FD68" i="1" s="1"/>
  <c r="FE68" i="1"/>
  <c r="FF68" i="1"/>
  <c r="FH68" i="1"/>
  <c r="FI68" i="1"/>
  <c r="FJ68" i="1"/>
  <c r="FK68" i="1"/>
  <c r="FL68" i="1"/>
  <c r="FN68" i="1"/>
  <c r="FO68" i="1"/>
  <c r="FU68" i="1"/>
  <c r="FW68" i="1" s="1"/>
  <c r="FV68" i="1"/>
  <c r="FX68" i="1"/>
  <c r="FZ68" i="1" s="1"/>
  <c r="FY68" i="1"/>
  <c r="GA68" i="1"/>
  <c r="GC68" i="1" s="1"/>
  <c r="GB68" i="1"/>
  <c r="GD68" i="1"/>
  <c r="GE68" i="1"/>
  <c r="GK68" i="1"/>
  <c r="GL68" i="1"/>
  <c r="GN68" i="1"/>
  <c r="GP68" i="1" s="1"/>
  <c r="GO68" i="1"/>
  <c r="GQ68" i="1"/>
  <c r="GR68" i="1"/>
  <c r="GS68" i="1" s="1"/>
  <c r="GX68" i="1"/>
  <c r="GZ68" i="1" s="1"/>
  <c r="GY68" i="1"/>
  <c r="HA68" i="1"/>
  <c r="HC68" i="1" s="1"/>
  <c r="HB68" i="1"/>
  <c r="HE68" i="1"/>
  <c r="HH68" i="1"/>
  <c r="HJ68" i="1" s="1"/>
  <c r="HI68" i="1"/>
  <c r="HL68" i="1"/>
  <c r="HO68" i="1"/>
  <c r="HT68" i="1"/>
  <c r="HV68" i="1"/>
  <c r="HZ68" i="1"/>
  <c r="IB68" i="1"/>
  <c r="IF68" i="1"/>
  <c r="IH68" i="1"/>
  <c r="IL68" i="1"/>
  <c r="IN68" i="1"/>
  <c r="IR68" i="1"/>
  <c r="IT68" i="1"/>
  <c r="L69" i="1"/>
  <c r="AV69" i="1" s="1"/>
  <c r="N69" i="1" s="1"/>
  <c r="N69" i="3" s="1"/>
  <c r="M69" i="1"/>
  <c r="AU69" i="1" s="1"/>
  <c r="AW69" i="1"/>
  <c r="O69" i="1" s="1"/>
  <c r="O69" i="3" s="1"/>
  <c r="AY69" i="1"/>
  <c r="AZ69" i="1"/>
  <c r="BA69" i="1"/>
  <c r="BC69" i="1"/>
  <c r="BE69" i="1" s="1"/>
  <c r="BD69" i="1"/>
  <c r="BF69" i="1"/>
  <c r="BG69" i="1"/>
  <c r="BI69" i="1"/>
  <c r="BK69" i="1" s="1"/>
  <c r="BJ69" i="1"/>
  <c r="BL69" i="1"/>
  <c r="BM69" i="1"/>
  <c r="BO69" i="1"/>
  <c r="BP69" i="1"/>
  <c r="BQ69" i="1"/>
  <c r="BR69" i="1"/>
  <c r="BS69" i="1"/>
  <c r="BT69" i="1" s="1"/>
  <c r="BU69" i="1"/>
  <c r="BW69" i="1" s="1"/>
  <c r="BV69" i="1"/>
  <c r="BX69" i="1"/>
  <c r="BY69" i="1"/>
  <c r="CE69" i="1"/>
  <c r="CF69" i="1"/>
  <c r="CH69" i="1"/>
  <c r="CJ69" i="1" s="1"/>
  <c r="CI69" i="1"/>
  <c r="CK69" i="1"/>
  <c r="CM69" i="1" s="1"/>
  <c r="CL69" i="1"/>
  <c r="CN69" i="1"/>
  <c r="CP69" i="1" s="1"/>
  <c r="CO69" i="1"/>
  <c r="CQ69" i="1"/>
  <c r="CR69" i="1"/>
  <c r="CT69" i="1"/>
  <c r="CU69" i="1"/>
  <c r="CV69" i="1"/>
  <c r="CW69" i="1"/>
  <c r="CX69" i="1"/>
  <c r="CZ69" i="1"/>
  <c r="DB69" i="1" s="1"/>
  <c r="DA69" i="1"/>
  <c r="DG69" i="1"/>
  <c r="DH69" i="1"/>
  <c r="DI69" i="1"/>
  <c r="DJ69" i="1"/>
  <c r="DK69" i="1"/>
  <c r="DM69" i="1"/>
  <c r="DN69" i="1"/>
  <c r="DP69" i="1"/>
  <c r="DQ69" i="1"/>
  <c r="DR69" i="1" s="1"/>
  <c r="DS69" i="1"/>
  <c r="DT69" i="1"/>
  <c r="DV69" i="1"/>
  <c r="DW69" i="1"/>
  <c r="DY69" i="1"/>
  <c r="EA69" i="1" s="1"/>
  <c r="DZ69" i="1"/>
  <c r="EF69" i="1"/>
  <c r="EH69" i="1" s="1"/>
  <c r="EG69" i="1"/>
  <c r="EI69" i="1"/>
  <c r="EK69" i="1" s="1"/>
  <c r="EJ69" i="1"/>
  <c r="EL69" i="1"/>
  <c r="EN69" i="1" s="1"/>
  <c r="EM69" i="1"/>
  <c r="EO69" i="1"/>
  <c r="EP69" i="1"/>
  <c r="EQ69" i="1" s="1"/>
  <c r="ER69" i="1"/>
  <c r="ES69" i="1"/>
  <c r="EU69" i="1"/>
  <c r="EV69" i="1"/>
  <c r="FB69" i="1"/>
  <c r="FC69" i="1"/>
  <c r="FE69" i="1"/>
  <c r="FG69" i="1" s="1"/>
  <c r="FF69" i="1"/>
  <c r="FH69" i="1"/>
  <c r="FI69" i="1"/>
  <c r="FK69" i="1"/>
  <c r="FM69" i="1" s="1"/>
  <c r="FL69" i="1"/>
  <c r="FN69" i="1"/>
  <c r="FO69" i="1"/>
  <c r="FP69" i="1" s="1"/>
  <c r="FU69" i="1"/>
  <c r="FW69" i="1" s="1"/>
  <c r="FV69" i="1"/>
  <c r="FX69" i="1"/>
  <c r="FZ69" i="1" s="1"/>
  <c r="FY69" i="1"/>
  <c r="GA69" i="1"/>
  <c r="GB69" i="1"/>
  <c r="GC69" i="1" s="1"/>
  <c r="GD69" i="1"/>
  <c r="GE69" i="1"/>
  <c r="GK69" i="1"/>
  <c r="GM69" i="1" s="1"/>
  <c r="GL69" i="1"/>
  <c r="GN69" i="1"/>
  <c r="GO69" i="1"/>
  <c r="GQ69" i="1"/>
  <c r="GS69" i="1" s="1"/>
  <c r="GR69" i="1"/>
  <c r="GX69" i="1"/>
  <c r="GY69" i="1"/>
  <c r="HA69" i="1"/>
  <c r="HB69" i="1"/>
  <c r="HC69" i="1" s="1"/>
  <c r="HH69" i="1"/>
  <c r="HJ69" i="1" s="1"/>
  <c r="HI69" i="1"/>
  <c r="HZ69" i="1"/>
  <c r="II69" i="1"/>
  <c r="IU69" i="1"/>
  <c r="L70" i="1"/>
  <c r="M70" i="1"/>
  <c r="HW70" i="1" s="1"/>
  <c r="AV70" i="1"/>
  <c r="N70" i="1" s="1"/>
  <c r="N70" i="3" s="1"/>
  <c r="AW70" i="1"/>
  <c r="O70" i="1" s="1"/>
  <c r="O70" i="3" s="1"/>
  <c r="AX70" i="1"/>
  <c r="AZ70" i="1"/>
  <c r="BB70" i="1" s="1"/>
  <c r="BA70" i="1"/>
  <c r="BC70" i="1"/>
  <c r="BE70" i="1" s="1"/>
  <c r="BD70" i="1"/>
  <c r="BF70" i="1"/>
  <c r="BH70" i="1" s="1"/>
  <c r="BG70" i="1"/>
  <c r="BI70" i="1"/>
  <c r="BK70" i="1" s="1"/>
  <c r="BJ70" i="1"/>
  <c r="BL70" i="1"/>
  <c r="BN70" i="1" s="1"/>
  <c r="BM70" i="1"/>
  <c r="BO70" i="1"/>
  <c r="BP70" i="1"/>
  <c r="BQ70" i="1" s="1"/>
  <c r="BR70" i="1"/>
  <c r="BS70" i="1"/>
  <c r="BU70" i="1"/>
  <c r="BV70" i="1"/>
  <c r="BX70" i="1"/>
  <c r="BY70" i="1"/>
  <c r="BZ70" i="1" s="1"/>
  <c r="CE70" i="1"/>
  <c r="CG70" i="1" s="1"/>
  <c r="CF70" i="1"/>
  <c r="CH70" i="1"/>
  <c r="CI70" i="1"/>
  <c r="CK70" i="1"/>
  <c r="CL70" i="1"/>
  <c r="CN70" i="1"/>
  <c r="CP70" i="1" s="1"/>
  <c r="CO70" i="1"/>
  <c r="CQ70" i="1"/>
  <c r="CR70" i="1"/>
  <c r="CS70" i="1"/>
  <c r="CT70" i="1"/>
  <c r="CU70" i="1"/>
  <c r="CW70" i="1"/>
  <c r="CY70" i="1" s="1"/>
  <c r="CX70" i="1"/>
  <c r="CZ70" i="1"/>
  <c r="DA70" i="1"/>
  <c r="DC70" i="1"/>
  <c r="DG70" i="1"/>
  <c r="DH70" i="1"/>
  <c r="DJ70" i="1"/>
  <c r="DK70" i="1"/>
  <c r="DM70" i="1"/>
  <c r="DN70" i="1"/>
  <c r="DO70" i="1" s="1"/>
  <c r="DP70" i="1"/>
  <c r="DR70" i="1" s="1"/>
  <c r="DQ70" i="1"/>
  <c r="DS70" i="1"/>
  <c r="DT70" i="1"/>
  <c r="DV70" i="1"/>
  <c r="DX70" i="1" s="1"/>
  <c r="DW70" i="1"/>
  <c r="DY70" i="1"/>
  <c r="DZ70" i="1"/>
  <c r="EA70" i="1"/>
  <c r="EF70" i="1"/>
  <c r="EG70" i="1"/>
  <c r="EI70" i="1"/>
  <c r="EJ70" i="1"/>
  <c r="EK70" i="1" s="1"/>
  <c r="EL70" i="1"/>
  <c r="EM70" i="1"/>
  <c r="EN70" i="1" s="1"/>
  <c r="EO70" i="1"/>
  <c r="EQ70" i="1" s="1"/>
  <c r="EP70" i="1"/>
  <c r="ER70" i="1"/>
  <c r="ET70" i="1" s="1"/>
  <c r="ES70" i="1"/>
  <c r="EU70" i="1"/>
  <c r="EW70" i="1" s="1"/>
  <c r="EV70" i="1"/>
  <c r="EY70" i="1"/>
  <c r="FB70" i="1"/>
  <c r="FD70" i="1" s="1"/>
  <c r="FC70" i="1"/>
  <c r="FE70" i="1"/>
  <c r="FG70" i="1" s="1"/>
  <c r="FF70" i="1"/>
  <c r="FH70" i="1"/>
  <c r="FJ70" i="1" s="1"/>
  <c r="FI70" i="1"/>
  <c r="FK70" i="1"/>
  <c r="FL70" i="1"/>
  <c r="FM70" i="1" s="1"/>
  <c r="FN70" i="1"/>
  <c r="FO70" i="1"/>
  <c r="FR70" i="1"/>
  <c r="FU70" i="1"/>
  <c r="FV70" i="1"/>
  <c r="FW70" i="1" s="1"/>
  <c r="FX70" i="1"/>
  <c r="FZ70" i="1" s="1"/>
  <c r="FY70" i="1"/>
  <c r="GA70" i="1"/>
  <c r="GC70" i="1" s="1"/>
  <c r="GB70" i="1"/>
  <c r="GD70" i="1"/>
  <c r="GF70" i="1" s="1"/>
  <c r="GE70" i="1"/>
  <c r="GG70" i="1"/>
  <c r="GK70" i="1"/>
  <c r="GL70" i="1"/>
  <c r="GM70" i="1" s="1"/>
  <c r="GN70" i="1"/>
  <c r="GO70" i="1"/>
  <c r="GP70" i="1" s="1"/>
  <c r="GQ70" i="1"/>
  <c r="GR70" i="1"/>
  <c r="GT70" i="1"/>
  <c r="GX70" i="1"/>
  <c r="GZ70" i="1" s="1"/>
  <c r="GY70" i="1"/>
  <c r="HA70" i="1"/>
  <c r="HC70" i="1" s="1"/>
  <c r="HB70" i="1"/>
  <c r="HD70" i="1"/>
  <c r="HH70" i="1"/>
  <c r="HJ70" i="1" s="1"/>
  <c r="HI70" i="1"/>
  <c r="HO70" i="1"/>
  <c r="HV70" i="1"/>
  <c r="HZ70" i="1"/>
  <c r="IE70" i="1"/>
  <c r="IH70" i="1"/>
  <c r="IQ70" i="1"/>
  <c r="IU70" i="1"/>
  <c r="L71" i="1"/>
  <c r="AW71" i="1" s="1"/>
  <c r="O71" i="1" s="1"/>
  <c r="O71" i="3" s="1"/>
  <c r="M71" i="1"/>
  <c r="CA71" i="1" s="1"/>
  <c r="AV71" i="1"/>
  <c r="N71" i="1" s="1"/>
  <c r="N71" i="3" s="1"/>
  <c r="AX71" i="1"/>
  <c r="AY71" i="1"/>
  <c r="AZ71" i="1"/>
  <c r="BB71" i="1" s="1"/>
  <c r="BA71" i="1"/>
  <c r="BC71" i="1"/>
  <c r="BD71" i="1"/>
  <c r="BF71" i="1"/>
  <c r="BG71" i="1"/>
  <c r="BI71" i="1"/>
  <c r="BJ71" i="1"/>
  <c r="BL71" i="1"/>
  <c r="BM71" i="1"/>
  <c r="BN71" i="1" s="1"/>
  <c r="BO71" i="1"/>
  <c r="BQ71" i="1" s="1"/>
  <c r="BP71" i="1"/>
  <c r="BR71" i="1"/>
  <c r="BS71" i="1"/>
  <c r="BU71" i="1"/>
  <c r="BW71" i="1" s="1"/>
  <c r="BV71" i="1"/>
  <c r="BX71" i="1"/>
  <c r="BY71" i="1"/>
  <c r="BZ71" i="1"/>
  <c r="CE71" i="1"/>
  <c r="CF71" i="1"/>
  <c r="CH71" i="1"/>
  <c r="CI71" i="1"/>
  <c r="CK71" i="1"/>
  <c r="CL71" i="1"/>
  <c r="CM71" i="1"/>
  <c r="CN71" i="1"/>
  <c r="CO71" i="1"/>
  <c r="CQ71" i="1"/>
  <c r="CR71" i="1"/>
  <c r="CT71" i="1"/>
  <c r="CU71" i="1"/>
  <c r="CW71" i="1"/>
  <c r="CX71" i="1"/>
  <c r="CY71" i="1" s="1"/>
  <c r="CZ71" i="1"/>
  <c r="DA71" i="1"/>
  <c r="DB71" i="1" s="1"/>
  <c r="DC71" i="1"/>
  <c r="DG71" i="1"/>
  <c r="DI71" i="1" s="1"/>
  <c r="DH71" i="1"/>
  <c r="DJ71" i="1"/>
  <c r="DL71" i="1" s="1"/>
  <c r="DK71" i="1"/>
  <c r="DM71" i="1"/>
  <c r="DO71" i="1" s="1"/>
  <c r="DN71" i="1"/>
  <c r="DP71" i="1"/>
  <c r="DR71" i="1" s="1"/>
  <c r="DQ71" i="1"/>
  <c r="DS71" i="1"/>
  <c r="DU71" i="1" s="1"/>
  <c r="DT71" i="1"/>
  <c r="DV71" i="1"/>
  <c r="DW71" i="1"/>
  <c r="DX71" i="1" s="1"/>
  <c r="DY71" i="1"/>
  <c r="DZ71" i="1"/>
  <c r="EC71" i="1"/>
  <c r="EF71" i="1"/>
  <c r="EG71" i="1"/>
  <c r="EH71" i="1" s="1"/>
  <c r="EI71" i="1"/>
  <c r="EK71" i="1" s="1"/>
  <c r="EJ71" i="1"/>
  <c r="EL71" i="1"/>
  <c r="EN71" i="1" s="1"/>
  <c r="EM71" i="1"/>
  <c r="EO71" i="1"/>
  <c r="EQ71" i="1" s="1"/>
  <c r="EP71" i="1"/>
  <c r="ER71" i="1"/>
  <c r="ET71" i="1" s="1"/>
  <c r="ES71" i="1"/>
  <c r="EU71" i="1"/>
  <c r="EV71" i="1"/>
  <c r="FB71" i="1"/>
  <c r="FC71" i="1"/>
  <c r="FE71" i="1"/>
  <c r="FF71" i="1"/>
  <c r="FG71" i="1" s="1"/>
  <c r="FH71" i="1"/>
  <c r="FI71" i="1"/>
  <c r="FK71" i="1"/>
  <c r="FM71" i="1" s="1"/>
  <c r="FL71" i="1"/>
  <c r="FN71" i="1"/>
  <c r="FO71" i="1"/>
  <c r="FU71" i="1"/>
  <c r="FW71" i="1" s="1"/>
  <c r="FV71" i="1"/>
  <c r="FX71" i="1"/>
  <c r="FY71" i="1"/>
  <c r="GA71" i="1"/>
  <c r="GB71" i="1"/>
  <c r="GD71" i="1"/>
  <c r="GE71" i="1"/>
  <c r="GK71" i="1"/>
  <c r="GL71" i="1"/>
  <c r="GM71" i="1"/>
  <c r="GN71" i="1"/>
  <c r="GO71" i="1"/>
  <c r="GQ71" i="1"/>
  <c r="GS71" i="1" s="1"/>
  <c r="GR71" i="1"/>
  <c r="GX71" i="1"/>
  <c r="GY71" i="1"/>
  <c r="HA71" i="1"/>
  <c r="HB71" i="1"/>
  <c r="HE71" i="1"/>
  <c r="HH71" i="1"/>
  <c r="HI71" i="1"/>
  <c r="HJ71" i="1" s="1"/>
  <c r="HO71" i="1"/>
  <c r="IC71" i="1"/>
  <c r="IK71" i="1"/>
  <c r="IR71" i="1"/>
  <c r="L72" i="1"/>
  <c r="AY72" i="1" s="1"/>
  <c r="AX72" i="1"/>
  <c r="AZ72" i="1"/>
  <c r="BB72" i="1" s="1"/>
  <c r="BA72" i="1"/>
  <c r="BC72" i="1"/>
  <c r="BE72" i="1" s="1"/>
  <c r="BD72" i="1"/>
  <c r="BF72" i="1"/>
  <c r="BH72" i="1" s="1"/>
  <c r="BG72" i="1"/>
  <c r="BI72" i="1"/>
  <c r="BJ72" i="1"/>
  <c r="BL72" i="1"/>
  <c r="BM72" i="1"/>
  <c r="BN72" i="1"/>
  <c r="BO72" i="1"/>
  <c r="BP72" i="1"/>
  <c r="BR72" i="1"/>
  <c r="BS72" i="1"/>
  <c r="BU72" i="1"/>
  <c r="BV72" i="1"/>
  <c r="BW72" i="1" s="1"/>
  <c r="BX72" i="1"/>
  <c r="BZ72" i="1" s="1"/>
  <c r="BY72" i="1"/>
  <c r="CE72" i="1"/>
  <c r="CG72" i="1" s="1"/>
  <c r="CF72" i="1"/>
  <c r="CH72" i="1"/>
  <c r="CI72" i="1"/>
  <c r="CK72" i="1"/>
  <c r="CM72" i="1" s="1"/>
  <c r="CL72" i="1"/>
  <c r="CN72" i="1"/>
  <c r="CO72" i="1"/>
  <c r="CQ72" i="1"/>
  <c r="CR72" i="1"/>
  <c r="CT72" i="1"/>
  <c r="CU72" i="1"/>
  <c r="CV72" i="1"/>
  <c r="CW72" i="1"/>
  <c r="CX72" i="1"/>
  <c r="CZ72" i="1"/>
  <c r="DA72" i="1"/>
  <c r="DG72" i="1"/>
  <c r="DH72" i="1"/>
  <c r="DI72" i="1" s="1"/>
  <c r="DJ72" i="1"/>
  <c r="DL72" i="1" s="1"/>
  <c r="DK72" i="1"/>
  <c r="DM72" i="1"/>
  <c r="DN72" i="1"/>
  <c r="DP72" i="1"/>
  <c r="DR72" i="1" s="1"/>
  <c r="DQ72" i="1"/>
  <c r="DS72" i="1"/>
  <c r="DT72" i="1"/>
  <c r="DU72" i="1"/>
  <c r="DV72" i="1"/>
  <c r="DW72" i="1"/>
  <c r="DX72" i="1" s="1"/>
  <c r="DY72" i="1"/>
  <c r="EA72" i="1" s="1"/>
  <c r="DZ72" i="1"/>
  <c r="EF72" i="1"/>
  <c r="EG72" i="1"/>
  <c r="EI72" i="1"/>
  <c r="EK72" i="1" s="1"/>
  <c r="EJ72" i="1"/>
  <c r="EL72" i="1"/>
  <c r="EM72" i="1"/>
  <c r="EO72" i="1"/>
  <c r="EP72" i="1"/>
  <c r="ER72" i="1"/>
  <c r="ES72" i="1"/>
  <c r="ET72" i="1"/>
  <c r="EU72" i="1"/>
  <c r="EV72" i="1"/>
  <c r="FB72" i="1"/>
  <c r="FC72" i="1"/>
  <c r="FE72" i="1"/>
  <c r="FF72" i="1"/>
  <c r="FG72" i="1" s="1"/>
  <c r="FH72" i="1"/>
  <c r="FJ72" i="1" s="1"/>
  <c r="FI72" i="1"/>
  <c r="FK72" i="1"/>
  <c r="FL72" i="1"/>
  <c r="FN72" i="1"/>
  <c r="FP72" i="1" s="1"/>
  <c r="FO72" i="1"/>
  <c r="FU72" i="1"/>
  <c r="FW72" i="1" s="1"/>
  <c r="FV72" i="1"/>
  <c r="FX72" i="1"/>
  <c r="FY72" i="1"/>
  <c r="GA72" i="1"/>
  <c r="GB72" i="1"/>
  <c r="GD72" i="1"/>
  <c r="GF72" i="1" s="1"/>
  <c r="GE72" i="1"/>
  <c r="GK72" i="1"/>
  <c r="GL72" i="1"/>
  <c r="GN72" i="1"/>
  <c r="GO72" i="1"/>
  <c r="GQ72" i="1"/>
  <c r="GS72" i="1" s="1"/>
  <c r="GR72" i="1"/>
  <c r="GX72" i="1"/>
  <c r="GY72" i="1"/>
  <c r="HA72" i="1"/>
  <c r="HB72" i="1"/>
  <c r="HH72" i="1"/>
  <c r="HI72" i="1"/>
  <c r="HJ72" i="1"/>
  <c r="L73" i="1"/>
  <c r="M73" i="1" s="1"/>
  <c r="AV73" i="1"/>
  <c r="N73" i="1" s="1"/>
  <c r="N73" i="3" s="1"/>
  <c r="AZ73" i="1"/>
  <c r="BA73" i="1"/>
  <c r="BC73" i="1"/>
  <c r="BD73" i="1"/>
  <c r="BF73" i="1"/>
  <c r="BH73" i="1" s="1"/>
  <c r="BG73" i="1"/>
  <c r="BI73" i="1"/>
  <c r="BJ73" i="1"/>
  <c r="BL73" i="1"/>
  <c r="BN73" i="1" s="1"/>
  <c r="BM73" i="1"/>
  <c r="BO73" i="1"/>
  <c r="BQ73" i="1" s="1"/>
  <c r="BP73" i="1"/>
  <c r="BR73" i="1"/>
  <c r="BT73" i="1" s="1"/>
  <c r="BS73" i="1"/>
  <c r="BU73" i="1"/>
  <c r="BV73" i="1"/>
  <c r="BW73" i="1" s="1"/>
  <c r="BX73" i="1"/>
  <c r="BY73" i="1"/>
  <c r="CE73" i="1"/>
  <c r="CG73" i="1" s="1"/>
  <c r="CF73" i="1"/>
  <c r="CH73" i="1"/>
  <c r="CI73" i="1"/>
  <c r="CK73" i="1"/>
  <c r="CM73" i="1" s="1"/>
  <c r="CL73" i="1"/>
  <c r="CN73" i="1"/>
  <c r="CP73" i="1" s="1"/>
  <c r="CO73" i="1"/>
  <c r="CQ73" i="1"/>
  <c r="CS73" i="1" s="1"/>
  <c r="CR73" i="1"/>
  <c r="CT73" i="1"/>
  <c r="CU73" i="1"/>
  <c r="CV73" i="1" s="1"/>
  <c r="CW73" i="1"/>
  <c r="CX73" i="1"/>
  <c r="CZ73" i="1"/>
  <c r="DA73" i="1"/>
  <c r="DG73" i="1"/>
  <c r="DH73" i="1"/>
  <c r="DI73" i="1" s="1"/>
  <c r="DJ73" i="1"/>
  <c r="DK73" i="1"/>
  <c r="DM73" i="1"/>
  <c r="DN73" i="1"/>
  <c r="DP73" i="1"/>
  <c r="DR73" i="1" s="1"/>
  <c r="DQ73" i="1"/>
  <c r="DS73" i="1"/>
  <c r="DT73" i="1"/>
  <c r="DV73" i="1"/>
  <c r="DX73" i="1" s="1"/>
  <c r="DW73" i="1"/>
  <c r="DY73" i="1"/>
  <c r="EA73" i="1" s="1"/>
  <c r="DZ73" i="1"/>
  <c r="EF73" i="1"/>
  <c r="EG73" i="1"/>
  <c r="EI73" i="1"/>
  <c r="EK73" i="1" s="1"/>
  <c r="EJ73" i="1"/>
  <c r="EL73" i="1"/>
  <c r="EN73" i="1" s="1"/>
  <c r="EM73" i="1"/>
  <c r="EO73" i="1"/>
  <c r="EP73" i="1"/>
  <c r="EQ73" i="1"/>
  <c r="ER73" i="1"/>
  <c r="ES73" i="1"/>
  <c r="ET73" i="1" s="1"/>
  <c r="EU73" i="1"/>
  <c r="EV73" i="1"/>
  <c r="FB73" i="1"/>
  <c r="FC73" i="1"/>
  <c r="FD73" i="1" s="1"/>
  <c r="FE73" i="1"/>
  <c r="FF73" i="1"/>
  <c r="FH73" i="1"/>
  <c r="FJ73" i="1" s="1"/>
  <c r="FI73" i="1"/>
  <c r="FK73" i="1"/>
  <c r="FM73" i="1" s="1"/>
  <c r="FL73" i="1"/>
  <c r="FN73" i="1"/>
  <c r="FO73" i="1"/>
  <c r="FP73" i="1"/>
  <c r="FU73" i="1"/>
  <c r="FV73" i="1"/>
  <c r="FX73" i="1"/>
  <c r="FY73" i="1"/>
  <c r="GA73" i="1"/>
  <c r="GB73" i="1"/>
  <c r="GC73" i="1" s="1"/>
  <c r="GD73" i="1"/>
  <c r="GE73" i="1"/>
  <c r="GK73" i="1"/>
  <c r="GM73" i="1" s="1"/>
  <c r="GL73" i="1"/>
  <c r="GN73" i="1"/>
  <c r="GP73" i="1" s="1"/>
  <c r="GO73" i="1"/>
  <c r="GQ73" i="1"/>
  <c r="GR73" i="1"/>
  <c r="GS73" i="1" s="1"/>
  <c r="GX73" i="1"/>
  <c r="GY73" i="1"/>
  <c r="HA73" i="1"/>
  <c r="HC73" i="1" s="1"/>
  <c r="HB73" i="1"/>
  <c r="HH73" i="1"/>
  <c r="HJ73" i="1" s="1"/>
  <c r="HI73" i="1"/>
  <c r="L74" i="1"/>
  <c r="M74" i="1" s="1"/>
  <c r="AY74" i="1"/>
  <c r="AZ74" i="1"/>
  <c r="BA74" i="1"/>
  <c r="BC74" i="1"/>
  <c r="BE74" i="1" s="1"/>
  <c r="BD74" i="1"/>
  <c r="BF74" i="1"/>
  <c r="BG74" i="1"/>
  <c r="BI74" i="1"/>
  <c r="BK74" i="1" s="1"/>
  <c r="BJ74" i="1"/>
  <c r="BL74" i="1"/>
  <c r="BN74" i="1" s="1"/>
  <c r="BM74" i="1"/>
  <c r="BO74" i="1"/>
  <c r="BQ74" i="1" s="1"/>
  <c r="BP74" i="1"/>
  <c r="BR74" i="1"/>
  <c r="BS74" i="1"/>
  <c r="BT74" i="1" s="1"/>
  <c r="BU74" i="1"/>
  <c r="BV74" i="1"/>
  <c r="BX74" i="1"/>
  <c r="BY74" i="1"/>
  <c r="CE74" i="1"/>
  <c r="CF74" i="1"/>
  <c r="CG74" i="1" s="1"/>
  <c r="CH74" i="1"/>
  <c r="CI74" i="1"/>
  <c r="CK74" i="1"/>
  <c r="CL74" i="1"/>
  <c r="CN74" i="1"/>
  <c r="CP74" i="1" s="1"/>
  <c r="CO74" i="1"/>
  <c r="CQ74" i="1"/>
  <c r="CR74" i="1"/>
  <c r="CT74" i="1"/>
  <c r="CV74" i="1" s="1"/>
  <c r="CU74" i="1"/>
  <c r="CW74" i="1"/>
  <c r="CY74" i="1" s="1"/>
  <c r="CX74" i="1"/>
  <c r="CZ74" i="1"/>
  <c r="DB74" i="1" s="1"/>
  <c r="DA74" i="1"/>
  <c r="DG74" i="1"/>
  <c r="DH74" i="1"/>
  <c r="DJ74" i="1"/>
  <c r="DK74" i="1"/>
  <c r="DM74" i="1"/>
  <c r="DO74" i="1" s="1"/>
  <c r="DN74" i="1"/>
  <c r="DP74" i="1"/>
  <c r="DQ74" i="1"/>
  <c r="DS74" i="1"/>
  <c r="DU74" i="1" s="1"/>
  <c r="DT74" i="1"/>
  <c r="DV74" i="1"/>
  <c r="DX74" i="1" s="1"/>
  <c r="DW74" i="1"/>
  <c r="DY74" i="1"/>
  <c r="EA74" i="1" s="1"/>
  <c r="DZ74" i="1"/>
  <c r="EF74" i="1"/>
  <c r="EG74" i="1"/>
  <c r="EI74" i="1"/>
  <c r="EJ74" i="1"/>
  <c r="EL74" i="1"/>
  <c r="EN74" i="1" s="1"/>
  <c r="EM74" i="1"/>
  <c r="EO74" i="1"/>
  <c r="EP74" i="1"/>
  <c r="ER74" i="1"/>
  <c r="ET74" i="1" s="1"/>
  <c r="ES74" i="1"/>
  <c r="EU74" i="1"/>
  <c r="EW74" i="1" s="1"/>
  <c r="EV74" i="1"/>
  <c r="FB74" i="1"/>
  <c r="FC74" i="1"/>
  <c r="FE74" i="1"/>
  <c r="FG74" i="1" s="1"/>
  <c r="FF74" i="1"/>
  <c r="FH74" i="1"/>
  <c r="FJ74" i="1" s="1"/>
  <c r="FI74" i="1"/>
  <c r="FK74" i="1"/>
  <c r="FL74" i="1"/>
  <c r="FM74" i="1"/>
  <c r="FN74" i="1"/>
  <c r="FO74" i="1"/>
  <c r="FP74" i="1" s="1"/>
  <c r="FU74" i="1"/>
  <c r="FW74" i="1" s="1"/>
  <c r="FV74" i="1"/>
  <c r="FX74" i="1"/>
  <c r="FY74" i="1"/>
  <c r="FZ74" i="1"/>
  <c r="GA74" i="1"/>
  <c r="GB74" i="1"/>
  <c r="GC74" i="1" s="1"/>
  <c r="GD74" i="1"/>
  <c r="GE74" i="1"/>
  <c r="GK74" i="1"/>
  <c r="GL74" i="1"/>
  <c r="GM74" i="1"/>
  <c r="GN74" i="1"/>
  <c r="GO74" i="1"/>
  <c r="GP74" i="1" s="1"/>
  <c r="GQ74" i="1"/>
  <c r="GR74" i="1"/>
  <c r="GX74" i="1"/>
  <c r="GY74" i="1"/>
  <c r="GZ74" i="1"/>
  <c r="HA74" i="1"/>
  <c r="HB74" i="1"/>
  <c r="HC74" i="1" s="1"/>
  <c r="HH74" i="1"/>
  <c r="HJ74" i="1" s="1"/>
  <c r="HI74" i="1"/>
  <c r="L75" i="1"/>
  <c r="M75" i="1" s="1"/>
  <c r="AZ75" i="1"/>
  <c r="BB75" i="1" s="1"/>
  <c r="BA75" i="1"/>
  <c r="BC75" i="1"/>
  <c r="BD75" i="1"/>
  <c r="BE75" i="1" s="1"/>
  <c r="BF75" i="1"/>
  <c r="BG75" i="1"/>
  <c r="BI75" i="1"/>
  <c r="BJ75" i="1"/>
  <c r="BL75" i="1"/>
  <c r="BM75" i="1"/>
  <c r="BN75" i="1" s="1"/>
  <c r="BO75" i="1"/>
  <c r="BP75" i="1"/>
  <c r="BR75" i="1"/>
  <c r="BT75" i="1" s="1"/>
  <c r="BS75" i="1"/>
  <c r="BU75" i="1"/>
  <c r="BW75" i="1" s="1"/>
  <c r="BV75" i="1"/>
  <c r="BX75" i="1"/>
  <c r="BY75" i="1"/>
  <c r="BZ75" i="1"/>
  <c r="CE75" i="1"/>
  <c r="CF75" i="1"/>
  <c r="CH75" i="1"/>
  <c r="CI75" i="1"/>
  <c r="CK75" i="1"/>
  <c r="CL75" i="1"/>
  <c r="CM75" i="1" s="1"/>
  <c r="CN75" i="1"/>
  <c r="CO75" i="1"/>
  <c r="CQ75" i="1"/>
  <c r="CS75" i="1" s="1"/>
  <c r="CR75" i="1"/>
  <c r="CT75" i="1"/>
  <c r="CV75" i="1" s="1"/>
  <c r="CU75" i="1"/>
  <c r="CW75" i="1"/>
  <c r="CX75" i="1"/>
  <c r="CY75" i="1"/>
  <c r="CZ75" i="1"/>
  <c r="DA75" i="1"/>
  <c r="DB75" i="1" s="1"/>
  <c r="DG75" i="1"/>
  <c r="DH75" i="1"/>
  <c r="DJ75" i="1"/>
  <c r="DK75" i="1"/>
  <c r="DL75" i="1" s="1"/>
  <c r="DM75" i="1"/>
  <c r="DN75" i="1"/>
  <c r="DP75" i="1"/>
  <c r="DR75" i="1" s="1"/>
  <c r="DQ75" i="1"/>
  <c r="DS75" i="1"/>
  <c r="DU75" i="1" s="1"/>
  <c r="DT75" i="1"/>
  <c r="DV75" i="1"/>
  <c r="DW75" i="1"/>
  <c r="DX75" i="1"/>
  <c r="DY75" i="1"/>
  <c r="DZ75" i="1"/>
  <c r="EA75" i="1" s="1"/>
  <c r="EF75" i="1"/>
  <c r="EG75" i="1"/>
  <c r="EI75" i="1"/>
  <c r="EJ75" i="1"/>
  <c r="EK75" i="1" s="1"/>
  <c r="EL75" i="1"/>
  <c r="EM75" i="1"/>
  <c r="EO75" i="1"/>
  <c r="EQ75" i="1" s="1"/>
  <c r="EP75" i="1"/>
  <c r="ER75" i="1"/>
  <c r="ET75" i="1" s="1"/>
  <c r="ES75" i="1"/>
  <c r="EU75" i="1"/>
  <c r="EV75" i="1"/>
  <c r="EW75" i="1"/>
  <c r="FB75" i="1"/>
  <c r="FC75" i="1"/>
  <c r="FE75" i="1"/>
  <c r="FF75" i="1"/>
  <c r="FH75" i="1"/>
  <c r="FI75" i="1"/>
  <c r="FJ75" i="1" s="1"/>
  <c r="FK75" i="1"/>
  <c r="FL75" i="1"/>
  <c r="FN75" i="1"/>
  <c r="FP75" i="1" s="1"/>
  <c r="FO75" i="1"/>
  <c r="FU75" i="1"/>
  <c r="FW75" i="1" s="1"/>
  <c r="FV75" i="1"/>
  <c r="FX75" i="1"/>
  <c r="FY75" i="1"/>
  <c r="FZ75" i="1" s="1"/>
  <c r="GA75" i="1"/>
  <c r="GB75" i="1"/>
  <c r="GD75" i="1"/>
  <c r="GE75" i="1"/>
  <c r="GK75" i="1"/>
  <c r="GL75" i="1"/>
  <c r="GM75" i="1" s="1"/>
  <c r="GN75" i="1"/>
  <c r="GO75" i="1"/>
  <c r="GQ75" i="1"/>
  <c r="GR75" i="1"/>
  <c r="GX75" i="1"/>
  <c r="GY75" i="1"/>
  <c r="GZ75" i="1" s="1"/>
  <c r="HA75" i="1"/>
  <c r="HB75" i="1"/>
  <c r="HH75" i="1"/>
  <c r="HJ75" i="1" s="1"/>
  <c r="HI75" i="1"/>
  <c r="L76" i="1"/>
  <c r="AX76" i="1" s="1"/>
  <c r="AW76" i="1"/>
  <c r="O76" i="1" s="1"/>
  <c r="O76" i="3" s="1"/>
  <c r="AY76" i="1"/>
  <c r="AZ76" i="1"/>
  <c r="BA76" i="1"/>
  <c r="BB76" i="1" s="1"/>
  <c r="BC76" i="1"/>
  <c r="BD76" i="1"/>
  <c r="BF76" i="1"/>
  <c r="BG76" i="1"/>
  <c r="BI76" i="1"/>
  <c r="BJ76" i="1"/>
  <c r="BK76" i="1" s="1"/>
  <c r="BL76" i="1"/>
  <c r="BM76" i="1"/>
  <c r="BO76" i="1"/>
  <c r="BQ76" i="1" s="1"/>
  <c r="BP76" i="1"/>
  <c r="BR76" i="1"/>
  <c r="BT76" i="1" s="1"/>
  <c r="BS76" i="1"/>
  <c r="BU76" i="1"/>
  <c r="BV76" i="1"/>
  <c r="BW76" i="1"/>
  <c r="BX76" i="1"/>
  <c r="BY76" i="1"/>
  <c r="BZ76" i="1" s="1"/>
  <c r="CE76" i="1"/>
  <c r="CG76" i="1" s="1"/>
  <c r="CF76" i="1"/>
  <c r="CH76" i="1"/>
  <c r="CI76" i="1"/>
  <c r="CJ76" i="1"/>
  <c r="CK76" i="1"/>
  <c r="CL76" i="1"/>
  <c r="CM76" i="1" s="1"/>
  <c r="CN76" i="1"/>
  <c r="CO76" i="1"/>
  <c r="CQ76" i="1"/>
  <c r="CR76" i="1"/>
  <c r="CT76" i="1"/>
  <c r="CV76" i="1" s="1"/>
  <c r="CU76" i="1"/>
  <c r="CW76" i="1"/>
  <c r="CX76" i="1"/>
  <c r="CZ76" i="1"/>
  <c r="DB76" i="1" s="1"/>
  <c r="DA76" i="1"/>
  <c r="DG76" i="1"/>
  <c r="DI76" i="1" s="1"/>
  <c r="DH76" i="1"/>
  <c r="DJ76" i="1"/>
  <c r="DK76" i="1"/>
  <c r="DL76" i="1" s="1"/>
  <c r="DM76" i="1"/>
  <c r="DN76" i="1"/>
  <c r="DP76" i="1"/>
  <c r="DQ76" i="1"/>
  <c r="DS76" i="1"/>
  <c r="DT76" i="1"/>
  <c r="DU76" i="1" s="1"/>
  <c r="DV76" i="1"/>
  <c r="DW76" i="1"/>
  <c r="DY76" i="1"/>
  <c r="EA76" i="1" s="1"/>
  <c r="DZ76" i="1"/>
  <c r="EF76" i="1"/>
  <c r="EG76" i="1"/>
  <c r="EH76" i="1"/>
  <c r="EI76" i="1"/>
  <c r="EJ76" i="1"/>
  <c r="EK76" i="1" s="1"/>
  <c r="EL76" i="1"/>
  <c r="EM76" i="1"/>
  <c r="EO76" i="1"/>
  <c r="EP76" i="1"/>
  <c r="ER76" i="1"/>
  <c r="ET76" i="1" s="1"/>
  <c r="ES76" i="1"/>
  <c r="EU76" i="1"/>
  <c r="EV76" i="1"/>
  <c r="FB76" i="1"/>
  <c r="FC76" i="1"/>
  <c r="FE76" i="1"/>
  <c r="FG76" i="1" s="1"/>
  <c r="FF76" i="1"/>
  <c r="FH76" i="1"/>
  <c r="FI76" i="1"/>
  <c r="FK76" i="1"/>
  <c r="FM76" i="1" s="1"/>
  <c r="FL76" i="1"/>
  <c r="FN76" i="1"/>
  <c r="FP76" i="1" s="1"/>
  <c r="FO76" i="1"/>
  <c r="FU76" i="1"/>
  <c r="FV76" i="1"/>
  <c r="FW76" i="1" s="1"/>
  <c r="FX76" i="1"/>
  <c r="FY76" i="1"/>
  <c r="GA76" i="1"/>
  <c r="GB76" i="1"/>
  <c r="GD76" i="1"/>
  <c r="GE76" i="1"/>
  <c r="GF76" i="1" s="1"/>
  <c r="GK76" i="1"/>
  <c r="GL76" i="1"/>
  <c r="GN76" i="1"/>
  <c r="GO76" i="1"/>
  <c r="GQ76" i="1"/>
  <c r="GR76" i="1"/>
  <c r="GS76" i="1" s="1"/>
  <c r="GX76" i="1"/>
  <c r="GY76" i="1"/>
  <c r="HA76" i="1"/>
  <c r="HB76" i="1"/>
  <c r="HH76" i="1"/>
  <c r="HI76" i="1"/>
  <c r="L77" i="1"/>
  <c r="AV77" i="1"/>
  <c r="N77" i="1" s="1"/>
  <c r="N77" i="3" s="1"/>
  <c r="AZ77" i="1"/>
  <c r="BA77" i="1"/>
  <c r="BC77" i="1"/>
  <c r="BD77" i="1"/>
  <c r="BF77" i="1"/>
  <c r="BG77" i="1"/>
  <c r="BH77" i="1" s="1"/>
  <c r="BI77" i="1"/>
  <c r="BJ77" i="1"/>
  <c r="BL77" i="1"/>
  <c r="BN77" i="1" s="1"/>
  <c r="BM77" i="1"/>
  <c r="BO77" i="1"/>
  <c r="BQ77" i="1" s="1"/>
  <c r="BP77" i="1"/>
  <c r="BR77" i="1"/>
  <c r="BS77" i="1"/>
  <c r="BT77" i="1"/>
  <c r="BU77" i="1"/>
  <c r="BV77" i="1"/>
  <c r="BW77" i="1" s="1"/>
  <c r="BX77" i="1"/>
  <c r="BY77" i="1"/>
  <c r="CE77" i="1"/>
  <c r="CF77" i="1"/>
  <c r="CG77" i="1" s="1"/>
  <c r="CH77" i="1"/>
  <c r="CI77" i="1"/>
  <c r="CK77" i="1"/>
  <c r="CM77" i="1" s="1"/>
  <c r="CL77" i="1"/>
  <c r="CN77" i="1"/>
  <c r="CP77" i="1" s="1"/>
  <c r="CO77" i="1"/>
  <c r="CQ77" i="1"/>
  <c r="CR77" i="1"/>
  <c r="CS77" i="1"/>
  <c r="CT77" i="1"/>
  <c r="CU77" i="1"/>
  <c r="CV77" i="1" s="1"/>
  <c r="CW77" i="1"/>
  <c r="CX77" i="1"/>
  <c r="CZ77" i="1"/>
  <c r="DA77" i="1"/>
  <c r="DG77" i="1"/>
  <c r="DH77" i="1"/>
  <c r="DI77" i="1" s="1"/>
  <c r="DJ77" i="1"/>
  <c r="DK77" i="1"/>
  <c r="DM77" i="1"/>
  <c r="DN77" i="1"/>
  <c r="DP77" i="1"/>
  <c r="DQ77" i="1"/>
  <c r="DR77" i="1" s="1"/>
  <c r="DS77" i="1"/>
  <c r="DT77" i="1"/>
  <c r="DV77" i="1"/>
  <c r="DX77" i="1" s="1"/>
  <c r="DW77" i="1"/>
  <c r="DY77" i="1"/>
  <c r="EA77" i="1" s="1"/>
  <c r="DZ77" i="1"/>
  <c r="EF77" i="1"/>
  <c r="EG77" i="1"/>
  <c r="EI77" i="1"/>
  <c r="EK77" i="1" s="1"/>
  <c r="EJ77" i="1"/>
  <c r="EL77" i="1"/>
  <c r="EN77" i="1" s="1"/>
  <c r="EM77" i="1"/>
  <c r="EO77" i="1"/>
  <c r="EQ77" i="1" s="1"/>
  <c r="EP77" i="1"/>
  <c r="ER77" i="1"/>
  <c r="ES77" i="1"/>
  <c r="ET77" i="1" s="1"/>
  <c r="EU77" i="1"/>
  <c r="EV77" i="1"/>
  <c r="FB77" i="1"/>
  <c r="FD77" i="1" s="1"/>
  <c r="FC77" i="1"/>
  <c r="FE77" i="1"/>
  <c r="FF77" i="1"/>
  <c r="FH77" i="1"/>
  <c r="FJ77" i="1" s="1"/>
  <c r="FI77" i="1"/>
  <c r="FK77" i="1"/>
  <c r="FM77" i="1" s="1"/>
  <c r="FL77" i="1"/>
  <c r="FN77" i="1"/>
  <c r="FP77" i="1" s="1"/>
  <c r="FO77" i="1"/>
  <c r="FU77" i="1"/>
  <c r="FV77" i="1"/>
  <c r="FX77" i="1"/>
  <c r="FY77" i="1"/>
  <c r="GA77" i="1"/>
  <c r="GC77" i="1" s="1"/>
  <c r="GB77" i="1"/>
  <c r="GD77" i="1"/>
  <c r="GE77" i="1"/>
  <c r="GK77" i="1"/>
  <c r="GM77" i="1" s="1"/>
  <c r="GL77" i="1"/>
  <c r="GN77" i="1"/>
  <c r="GO77" i="1"/>
  <c r="GP77" i="1"/>
  <c r="GQ77" i="1"/>
  <c r="GR77" i="1"/>
  <c r="GS77" i="1" s="1"/>
  <c r="GX77" i="1"/>
  <c r="GY77" i="1"/>
  <c r="HA77" i="1"/>
  <c r="HB77" i="1"/>
  <c r="HC77" i="1" s="1"/>
  <c r="HH77" i="1"/>
  <c r="HJ77" i="1" s="1"/>
  <c r="HI77" i="1"/>
  <c r="L78" i="1"/>
  <c r="AW78" i="1" s="1"/>
  <c r="O78" i="1" s="1"/>
  <c r="O78" i="3" s="1"/>
  <c r="AV78" i="1"/>
  <c r="N78" i="1" s="1"/>
  <c r="N78" i="3" s="1"/>
  <c r="AY78" i="1"/>
  <c r="AZ78" i="1"/>
  <c r="BA78" i="1"/>
  <c r="BC78" i="1"/>
  <c r="BD78" i="1"/>
  <c r="BE78" i="1" s="1"/>
  <c r="BF78" i="1"/>
  <c r="BG78" i="1"/>
  <c r="BI78" i="1"/>
  <c r="BK78" i="1" s="1"/>
  <c r="BJ78" i="1"/>
  <c r="BL78" i="1"/>
  <c r="BN78" i="1" s="1"/>
  <c r="BM78" i="1"/>
  <c r="BO78" i="1"/>
  <c r="BP78" i="1"/>
  <c r="BQ78" i="1"/>
  <c r="BR78" i="1"/>
  <c r="BS78" i="1"/>
  <c r="BT78" i="1" s="1"/>
  <c r="BU78" i="1"/>
  <c r="BV78" i="1"/>
  <c r="BX78" i="1"/>
  <c r="BY78" i="1"/>
  <c r="CE78" i="1"/>
  <c r="CF78" i="1"/>
  <c r="CG78" i="1" s="1"/>
  <c r="CH78" i="1"/>
  <c r="CI78" i="1"/>
  <c r="CK78" i="1"/>
  <c r="CL78" i="1"/>
  <c r="CN78" i="1"/>
  <c r="CO78" i="1"/>
  <c r="CP78" i="1" s="1"/>
  <c r="CQ78" i="1"/>
  <c r="CR78" i="1"/>
  <c r="CT78" i="1"/>
  <c r="CV78" i="1" s="1"/>
  <c r="CU78" i="1"/>
  <c r="CW78" i="1"/>
  <c r="CY78" i="1" s="1"/>
  <c r="CX78" i="1"/>
  <c r="CZ78" i="1"/>
  <c r="DA78" i="1"/>
  <c r="DB78" i="1"/>
  <c r="DG78" i="1"/>
  <c r="DH78" i="1"/>
  <c r="DJ78" i="1"/>
  <c r="DK78" i="1"/>
  <c r="DM78" i="1"/>
  <c r="DN78" i="1"/>
  <c r="DO78" i="1" s="1"/>
  <c r="DP78" i="1"/>
  <c r="DQ78" i="1"/>
  <c r="DS78" i="1"/>
  <c r="DU78" i="1" s="1"/>
  <c r="DT78" i="1"/>
  <c r="DV78" i="1"/>
  <c r="DX78" i="1" s="1"/>
  <c r="DW78" i="1"/>
  <c r="DY78" i="1"/>
  <c r="DZ78" i="1"/>
  <c r="EA78" i="1"/>
  <c r="EF78" i="1"/>
  <c r="EG78" i="1"/>
  <c r="EI78" i="1"/>
  <c r="EJ78" i="1"/>
  <c r="EL78" i="1"/>
  <c r="EM78" i="1"/>
  <c r="EN78" i="1" s="1"/>
  <c r="EO78" i="1"/>
  <c r="EP78" i="1"/>
  <c r="ER78" i="1"/>
  <c r="ET78" i="1" s="1"/>
  <c r="ES78" i="1"/>
  <c r="EU78" i="1"/>
  <c r="EW78" i="1" s="1"/>
  <c r="EV78" i="1"/>
  <c r="FB78" i="1"/>
  <c r="FC78" i="1"/>
  <c r="FE78" i="1"/>
  <c r="FG78" i="1" s="1"/>
  <c r="FF78" i="1"/>
  <c r="FH78" i="1"/>
  <c r="FJ78" i="1" s="1"/>
  <c r="FI78" i="1"/>
  <c r="FK78" i="1"/>
  <c r="FM78" i="1" s="1"/>
  <c r="FL78" i="1"/>
  <c r="FN78" i="1"/>
  <c r="FO78" i="1"/>
  <c r="FP78" i="1" s="1"/>
  <c r="FU78" i="1"/>
  <c r="FW78" i="1" s="1"/>
  <c r="FV78" i="1"/>
  <c r="FX78" i="1"/>
  <c r="FZ78" i="1" s="1"/>
  <c r="FY78" i="1"/>
  <c r="GA78" i="1"/>
  <c r="GB78" i="1"/>
  <c r="GC78" i="1" s="1"/>
  <c r="GD78" i="1"/>
  <c r="GE78" i="1"/>
  <c r="GK78" i="1"/>
  <c r="GM78" i="1" s="1"/>
  <c r="GL78" i="1"/>
  <c r="GN78" i="1"/>
  <c r="GO78" i="1"/>
  <c r="GP78" i="1" s="1"/>
  <c r="GQ78" i="1"/>
  <c r="GR78" i="1"/>
  <c r="GX78" i="1"/>
  <c r="GZ78" i="1" s="1"/>
  <c r="GY78" i="1"/>
  <c r="HA78" i="1"/>
  <c r="HB78" i="1"/>
  <c r="HC78" i="1" s="1"/>
  <c r="HH78" i="1"/>
  <c r="HJ78" i="1" s="1"/>
  <c r="HI78" i="1"/>
  <c r="L79" i="1"/>
  <c r="M79" i="1" s="1"/>
  <c r="AV79" i="1"/>
  <c r="N79" i="1" s="1"/>
  <c r="N79" i="3" s="1"/>
  <c r="AZ79" i="1"/>
  <c r="BA79" i="1"/>
  <c r="BB79" i="1"/>
  <c r="BC79" i="1"/>
  <c r="BD79" i="1"/>
  <c r="BE79" i="1" s="1"/>
  <c r="BF79" i="1"/>
  <c r="BG79" i="1"/>
  <c r="BI79" i="1"/>
  <c r="BJ79" i="1"/>
  <c r="BL79" i="1"/>
  <c r="BM79" i="1"/>
  <c r="BO79" i="1"/>
  <c r="BP79" i="1"/>
  <c r="BR79" i="1"/>
  <c r="BT79" i="1" s="1"/>
  <c r="BS79" i="1"/>
  <c r="BU79" i="1"/>
  <c r="BW79" i="1" s="1"/>
  <c r="BV79" i="1"/>
  <c r="BX79" i="1"/>
  <c r="BZ79" i="1" s="1"/>
  <c r="BY79" i="1"/>
  <c r="CE79" i="1"/>
  <c r="CF79" i="1"/>
  <c r="CH79" i="1"/>
  <c r="CI79" i="1"/>
  <c r="CK79" i="1"/>
  <c r="CL79" i="1"/>
  <c r="CN79" i="1"/>
  <c r="CO79" i="1"/>
  <c r="CQ79" i="1"/>
  <c r="CS79" i="1" s="1"/>
  <c r="CR79" i="1"/>
  <c r="CT79" i="1"/>
  <c r="CV79" i="1" s="1"/>
  <c r="CU79" i="1"/>
  <c r="CW79" i="1"/>
  <c r="CY79" i="1" s="1"/>
  <c r="CX79" i="1"/>
  <c r="CZ79" i="1"/>
  <c r="DA79" i="1"/>
  <c r="DB79" i="1" s="1"/>
  <c r="DG79" i="1"/>
  <c r="DH79" i="1"/>
  <c r="DJ79" i="1"/>
  <c r="DK79" i="1"/>
  <c r="DM79" i="1"/>
  <c r="DN79" i="1"/>
  <c r="DP79" i="1"/>
  <c r="DR79" i="1" s="1"/>
  <c r="DQ79" i="1"/>
  <c r="DS79" i="1"/>
  <c r="DU79" i="1" s="1"/>
  <c r="DT79" i="1"/>
  <c r="DV79" i="1"/>
  <c r="DX79" i="1" s="1"/>
  <c r="DW79" i="1"/>
  <c r="DY79" i="1"/>
  <c r="DZ79" i="1"/>
  <c r="EA79" i="1" s="1"/>
  <c r="EF79" i="1"/>
  <c r="EG79" i="1"/>
  <c r="EI79" i="1"/>
  <c r="EJ79" i="1"/>
  <c r="EL79" i="1"/>
  <c r="EM79" i="1"/>
  <c r="EO79" i="1"/>
  <c r="EQ79" i="1" s="1"/>
  <c r="EP79" i="1"/>
  <c r="ER79" i="1"/>
  <c r="ET79" i="1" s="1"/>
  <c r="ES79" i="1"/>
  <c r="EU79" i="1"/>
  <c r="EW79" i="1" s="1"/>
  <c r="EV79" i="1"/>
  <c r="FB79" i="1"/>
  <c r="FC79" i="1"/>
  <c r="FE79" i="1"/>
  <c r="FF79" i="1"/>
  <c r="FH79" i="1"/>
  <c r="FI79" i="1"/>
  <c r="FK79" i="1"/>
  <c r="FL79" i="1"/>
  <c r="FN79" i="1"/>
  <c r="FP79" i="1" s="1"/>
  <c r="FO79" i="1"/>
  <c r="FU79" i="1"/>
  <c r="FV79" i="1"/>
  <c r="FW79" i="1"/>
  <c r="FX79" i="1"/>
  <c r="FY79" i="1"/>
  <c r="FZ79" i="1" s="1"/>
  <c r="GA79" i="1"/>
  <c r="GB79" i="1"/>
  <c r="GD79" i="1"/>
  <c r="GE79" i="1"/>
  <c r="GK79" i="1"/>
  <c r="GL79" i="1"/>
  <c r="GM79" i="1" s="1"/>
  <c r="GN79" i="1"/>
  <c r="GO79" i="1"/>
  <c r="GQ79" i="1"/>
  <c r="GR79" i="1"/>
  <c r="GX79" i="1"/>
  <c r="GY79" i="1"/>
  <c r="GZ79" i="1" s="1"/>
  <c r="HA79" i="1"/>
  <c r="HB79" i="1"/>
  <c r="HH79" i="1"/>
  <c r="HI79" i="1"/>
  <c r="HJ79" i="1" s="1"/>
  <c r="L80" i="1"/>
  <c r="AY80" i="1"/>
  <c r="AZ80" i="1"/>
  <c r="BA80" i="1"/>
  <c r="BB80" i="1" s="1"/>
  <c r="BC80" i="1"/>
  <c r="BD80" i="1"/>
  <c r="BF80" i="1"/>
  <c r="BG80" i="1"/>
  <c r="BI80" i="1"/>
  <c r="BK80" i="1" s="1"/>
  <c r="BJ80" i="1"/>
  <c r="BL80" i="1"/>
  <c r="BM80" i="1"/>
  <c r="BO80" i="1"/>
  <c r="BQ80" i="1" s="1"/>
  <c r="BP80" i="1"/>
  <c r="BR80" i="1"/>
  <c r="BT80" i="1" s="1"/>
  <c r="BS80" i="1"/>
  <c r="BU80" i="1"/>
  <c r="BW80" i="1" s="1"/>
  <c r="BV80" i="1"/>
  <c r="BX80" i="1"/>
  <c r="BY80" i="1"/>
  <c r="BZ80" i="1" s="1"/>
  <c r="CE80" i="1"/>
  <c r="CG80" i="1" s="1"/>
  <c r="CF80" i="1"/>
  <c r="CH80" i="1"/>
  <c r="CJ80" i="1" s="1"/>
  <c r="CI80" i="1"/>
  <c r="CK80" i="1"/>
  <c r="CL80" i="1"/>
  <c r="CM80" i="1" s="1"/>
  <c r="CN80" i="1"/>
  <c r="CO80" i="1"/>
  <c r="CQ80" i="1"/>
  <c r="CR80" i="1"/>
  <c r="CT80" i="1"/>
  <c r="CU80" i="1"/>
  <c r="CV80" i="1" s="1"/>
  <c r="CW80" i="1"/>
  <c r="CX80" i="1"/>
  <c r="CZ80" i="1"/>
  <c r="DB80" i="1" s="1"/>
  <c r="DA80" i="1"/>
  <c r="DG80" i="1"/>
  <c r="DH80" i="1"/>
  <c r="DI80" i="1"/>
  <c r="DJ80" i="1"/>
  <c r="DK80" i="1"/>
  <c r="DL80" i="1" s="1"/>
  <c r="DM80" i="1"/>
  <c r="DN80" i="1"/>
  <c r="DP80" i="1"/>
  <c r="DQ80" i="1"/>
  <c r="DS80" i="1"/>
  <c r="DT80" i="1"/>
  <c r="DV80" i="1"/>
  <c r="DW80" i="1"/>
  <c r="DY80" i="1"/>
  <c r="EA80" i="1" s="1"/>
  <c r="DZ80" i="1"/>
  <c r="EF80" i="1"/>
  <c r="EH80" i="1" s="1"/>
  <c r="EG80" i="1"/>
  <c r="EI80" i="1"/>
  <c r="EJ80" i="1"/>
  <c r="EK80" i="1" s="1"/>
  <c r="EL80" i="1"/>
  <c r="EM80" i="1"/>
  <c r="EO80" i="1"/>
  <c r="EP80" i="1"/>
  <c r="ER80" i="1"/>
  <c r="ES80" i="1"/>
  <c r="ET80" i="1" s="1"/>
  <c r="EU80" i="1"/>
  <c r="EV80" i="1"/>
  <c r="FB80" i="1"/>
  <c r="FC80" i="1"/>
  <c r="FE80" i="1"/>
  <c r="FF80" i="1"/>
  <c r="FG80" i="1" s="1"/>
  <c r="FH80" i="1"/>
  <c r="FI80" i="1"/>
  <c r="FK80" i="1"/>
  <c r="FM80" i="1" s="1"/>
  <c r="FL80" i="1"/>
  <c r="FN80" i="1"/>
  <c r="FP80" i="1" s="1"/>
  <c r="FO80" i="1"/>
  <c r="FU80" i="1"/>
  <c r="FV80" i="1"/>
  <c r="FW80" i="1" s="1"/>
  <c r="FX80" i="1"/>
  <c r="FY80" i="1"/>
  <c r="GA80" i="1"/>
  <c r="GB80" i="1"/>
  <c r="GD80" i="1"/>
  <c r="GF80" i="1" s="1"/>
  <c r="GE80" i="1"/>
  <c r="GK80" i="1"/>
  <c r="GL80" i="1"/>
  <c r="GN80" i="1"/>
  <c r="GO80" i="1"/>
  <c r="GQ80" i="1"/>
  <c r="GR80" i="1"/>
  <c r="GX80" i="1"/>
  <c r="GY80" i="1"/>
  <c r="HA80" i="1"/>
  <c r="HB80" i="1"/>
  <c r="HH80" i="1"/>
  <c r="HI80" i="1"/>
  <c r="L81" i="1"/>
  <c r="AV81" i="1"/>
  <c r="N81" i="1" s="1"/>
  <c r="N81" i="3" s="1"/>
  <c r="AZ81" i="1"/>
  <c r="BA81" i="1"/>
  <c r="BC81" i="1"/>
  <c r="BD81" i="1"/>
  <c r="BF81" i="1"/>
  <c r="BH81" i="1" s="1"/>
  <c r="BG81" i="1"/>
  <c r="BI81" i="1"/>
  <c r="BJ81" i="1"/>
  <c r="BL81" i="1"/>
  <c r="BN81" i="1" s="1"/>
  <c r="BM81" i="1"/>
  <c r="BO81" i="1"/>
  <c r="BQ81" i="1" s="1"/>
  <c r="BP81" i="1"/>
  <c r="BR81" i="1"/>
  <c r="BT81" i="1" s="1"/>
  <c r="BS81" i="1"/>
  <c r="BU81" i="1"/>
  <c r="BV81" i="1"/>
  <c r="BW81" i="1" s="1"/>
  <c r="BX81" i="1"/>
  <c r="BY81" i="1"/>
  <c r="CE81" i="1"/>
  <c r="CF81" i="1"/>
  <c r="CH81" i="1"/>
  <c r="CI81" i="1"/>
  <c r="CK81" i="1"/>
  <c r="CM81" i="1" s="1"/>
  <c r="CL81" i="1"/>
  <c r="CN81" i="1"/>
  <c r="CP81" i="1" s="1"/>
  <c r="CO81" i="1"/>
  <c r="CQ81" i="1"/>
  <c r="CR81" i="1"/>
  <c r="CS81" i="1"/>
  <c r="CT81" i="1"/>
  <c r="CU81" i="1"/>
  <c r="CV81" i="1" s="1"/>
  <c r="CW81" i="1"/>
  <c r="CX81" i="1"/>
  <c r="CZ81" i="1"/>
  <c r="DA81" i="1"/>
  <c r="DG81" i="1"/>
  <c r="DH81" i="1"/>
  <c r="DI81" i="1" s="1"/>
  <c r="DJ81" i="1"/>
  <c r="DK81" i="1"/>
  <c r="DM81" i="1"/>
  <c r="DN81" i="1"/>
  <c r="DP81" i="1"/>
  <c r="DQ81" i="1"/>
  <c r="DS81" i="1"/>
  <c r="DT81" i="1"/>
  <c r="DV81" i="1"/>
  <c r="DX81" i="1" s="1"/>
  <c r="DW81" i="1"/>
  <c r="DY81" i="1"/>
  <c r="EA81" i="1" s="1"/>
  <c r="DZ81" i="1"/>
  <c r="EF81" i="1"/>
  <c r="EG81" i="1"/>
  <c r="EI81" i="1"/>
  <c r="EK81" i="1" s="1"/>
  <c r="EJ81" i="1"/>
  <c r="EL81" i="1"/>
  <c r="EN81" i="1" s="1"/>
  <c r="EM81" i="1"/>
  <c r="EO81" i="1"/>
  <c r="EQ81" i="1" s="1"/>
  <c r="EP81" i="1"/>
  <c r="ER81" i="1"/>
  <c r="ES81" i="1"/>
  <c r="ET81" i="1" s="1"/>
  <c r="EU81" i="1"/>
  <c r="EV81" i="1"/>
  <c r="FB81" i="1"/>
  <c r="FC81" i="1"/>
  <c r="FD81" i="1" s="1"/>
  <c r="FE81" i="1"/>
  <c r="FF81" i="1"/>
  <c r="FH81" i="1"/>
  <c r="FJ81" i="1" s="1"/>
  <c r="FI81" i="1"/>
  <c r="FK81" i="1"/>
  <c r="FM81" i="1" s="1"/>
  <c r="FL81" i="1"/>
  <c r="FN81" i="1"/>
  <c r="FO81" i="1"/>
  <c r="FP81" i="1"/>
  <c r="FU81" i="1"/>
  <c r="FV81" i="1"/>
  <c r="FX81" i="1"/>
  <c r="FY81" i="1"/>
  <c r="GA81" i="1"/>
  <c r="GB81" i="1"/>
  <c r="GC81" i="1" s="1"/>
  <c r="GD81" i="1"/>
  <c r="GE81" i="1"/>
  <c r="GK81" i="1"/>
  <c r="GM81" i="1" s="1"/>
  <c r="GL81" i="1"/>
  <c r="GN81" i="1"/>
  <c r="GP81" i="1" s="1"/>
  <c r="GO81" i="1"/>
  <c r="GQ81" i="1"/>
  <c r="GR81" i="1"/>
  <c r="GS81" i="1" s="1"/>
  <c r="GX81" i="1"/>
  <c r="GY81" i="1"/>
  <c r="HA81" i="1"/>
  <c r="HB81" i="1"/>
  <c r="HH81" i="1"/>
  <c r="HJ81" i="1" s="1"/>
  <c r="HI81" i="1"/>
  <c r="L82" i="1"/>
  <c r="AV82" i="1"/>
  <c r="N82" i="1" s="1"/>
  <c r="N82" i="3" s="1"/>
  <c r="AY82" i="1"/>
  <c r="AZ82" i="1"/>
  <c r="BA82" i="1"/>
  <c r="BC82" i="1"/>
  <c r="BE82" i="1" s="1"/>
  <c r="BD82" i="1"/>
  <c r="BF82" i="1"/>
  <c r="BG82" i="1"/>
  <c r="BI82" i="1"/>
  <c r="BK82" i="1" s="1"/>
  <c r="BJ82" i="1"/>
  <c r="BL82" i="1"/>
  <c r="BN82" i="1" s="1"/>
  <c r="BM82" i="1"/>
  <c r="BO82" i="1"/>
  <c r="BQ82" i="1" s="1"/>
  <c r="BP82" i="1"/>
  <c r="BR82" i="1"/>
  <c r="BS82" i="1"/>
  <c r="BT82" i="1" s="1"/>
  <c r="BU82" i="1"/>
  <c r="BV82" i="1"/>
  <c r="BX82" i="1"/>
  <c r="BY82" i="1"/>
  <c r="CE82" i="1"/>
  <c r="CF82" i="1"/>
  <c r="CG82" i="1" s="1"/>
  <c r="CH82" i="1"/>
  <c r="CI82" i="1"/>
  <c r="CK82" i="1"/>
  <c r="CL82" i="1"/>
  <c r="CN82" i="1"/>
  <c r="CO82" i="1"/>
  <c r="CQ82" i="1"/>
  <c r="CR82" i="1"/>
  <c r="CT82" i="1"/>
  <c r="CV82" i="1" s="1"/>
  <c r="CU82" i="1"/>
  <c r="CW82" i="1"/>
  <c r="CY82" i="1" s="1"/>
  <c r="CX82" i="1"/>
  <c r="CZ82" i="1"/>
  <c r="DA82" i="1"/>
  <c r="DB82" i="1"/>
  <c r="DG82" i="1"/>
  <c r="DH82" i="1"/>
  <c r="DJ82" i="1"/>
  <c r="DK82" i="1"/>
  <c r="DM82" i="1"/>
  <c r="DO82" i="1" s="1"/>
  <c r="DN82" i="1"/>
  <c r="DP82" i="1"/>
  <c r="DQ82" i="1"/>
  <c r="DS82" i="1"/>
  <c r="DU82" i="1" s="1"/>
  <c r="DT82" i="1"/>
  <c r="DV82" i="1"/>
  <c r="DX82" i="1" s="1"/>
  <c r="DW82" i="1"/>
  <c r="DY82" i="1"/>
  <c r="DZ82" i="1"/>
  <c r="EA82" i="1"/>
  <c r="EF82" i="1"/>
  <c r="EG82" i="1"/>
  <c r="EI82" i="1"/>
  <c r="EJ82" i="1"/>
  <c r="EL82" i="1"/>
  <c r="EM82" i="1"/>
  <c r="EO82" i="1"/>
  <c r="EP82" i="1"/>
  <c r="ER82" i="1"/>
  <c r="ET82" i="1" s="1"/>
  <c r="ES82" i="1"/>
  <c r="EU82" i="1"/>
  <c r="EW82" i="1" s="1"/>
  <c r="EV82" i="1"/>
  <c r="FB82" i="1"/>
  <c r="FC82" i="1"/>
  <c r="FE82" i="1"/>
  <c r="FG82" i="1" s="1"/>
  <c r="FF82" i="1"/>
  <c r="FH82" i="1"/>
  <c r="FJ82" i="1" s="1"/>
  <c r="FI82" i="1"/>
  <c r="FK82" i="1"/>
  <c r="FL82" i="1"/>
  <c r="FM82" i="1"/>
  <c r="FN82" i="1"/>
  <c r="FO82" i="1"/>
  <c r="FP82" i="1" s="1"/>
  <c r="FU82" i="1"/>
  <c r="FW82" i="1" s="1"/>
  <c r="FV82" i="1"/>
  <c r="FX82" i="1"/>
  <c r="FY82" i="1"/>
  <c r="FZ82" i="1"/>
  <c r="GA82" i="1"/>
  <c r="GB82" i="1"/>
  <c r="GC82" i="1" s="1"/>
  <c r="GD82" i="1"/>
  <c r="GE82" i="1"/>
  <c r="GK82" i="1"/>
  <c r="GM82" i="1" s="1"/>
  <c r="GL82" i="1"/>
  <c r="GN82" i="1"/>
  <c r="GO82" i="1"/>
  <c r="GP82" i="1" s="1"/>
  <c r="GQ82" i="1"/>
  <c r="GR82" i="1"/>
  <c r="GX82" i="1"/>
  <c r="GZ82" i="1" s="1"/>
  <c r="GY82" i="1"/>
  <c r="HA82" i="1"/>
  <c r="HB82" i="1"/>
  <c r="HC82" i="1" s="1"/>
  <c r="HH82" i="1"/>
  <c r="HJ82" i="1" s="1"/>
  <c r="HI82" i="1"/>
  <c r="L83" i="1"/>
  <c r="AV83" i="1" s="1"/>
  <c r="N83" i="1" s="1"/>
  <c r="AZ83" i="1"/>
  <c r="BB83" i="1" s="1"/>
  <c r="BA83" i="1"/>
  <c r="BC83" i="1"/>
  <c r="BD83" i="1"/>
  <c r="BE83" i="1" s="1"/>
  <c r="BF83" i="1"/>
  <c r="BG83" i="1"/>
  <c r="BI83" i="1"/>
  <c r="BJ83" i="1"/>
  <c r="BL83" i="1"/>
  <c r="BM83" i="1"/>
  <c r="BN83" i="1" s="1"/>
  <c r="BO83" i="1"/>
  <c r="BP83" i="1"/>
  <c r="BR83" i="1"/>
  <c r="BT83" i="1" s="1"/>
  <c r="BS83" i="1"/>
  <c r="BU83" i="1"/>
  <c r="BW83" i="1" s="1"/>
  <c r="BV83" i="1"/>
  <c r="BX83" i="1"/>
  <c r="BZ83" i="1" s="1"/>
  <c r="BY83" i="1"/>
  <c r="CE83" i="1"/>
  <c r="CF83" i="1"/>
  <c r="CH83" i="1"/>
  <c r="CI83" i="1"/>
  <c r="CK83" i="1"/>
  <c r="CL83" i="1"/>
  <c r="CM83" i="1" s="1"/>
  <c r="CN83" i="1"/>
  <c r="CO83" i="1"/>
  <c r="CQ83" i="1"/>
  <c r="CS83" i="1" s="1"/>
  <c r="CR83" i="1"/>
  <c r="CT83" i="1"/>
  <c r="CV83" i="1" s="1"/>
  <c r="CU83" i="1"/>
  <c r="CW83" i="1"/>
  <c r="CY83" i="1" s="1"/>
  <c r="CX83" i="1"/>
  <c r="CZ83" i="1"/>
  <c r="DA83" i="1"/>
  <c r="DB83" i="1" s="1"/>
  <c r="DG83" i="1"/>
  <c r="DH83" i="1"/>
  <c r="DJ83" i="1"/>
  <c r="DK83" i="1"/>
  <c r="DL83" i="1" s="1"/>
  <c r="DM83" i="1"/>
  <c r="DN83" i="1"/>
  <c r="DP83" i="1"/>
  <c r="DR83" i="1" s="1"/>
  <c r="DQ83" i="1"/>
  <c r="DS83" i="1"/>
  <c r="DU83" i="1" s="1"/>
  <c r="DT83" i="1"/>
  <c r="DV83" i="1"/>
  <c r="DW83" i="1"/>
  <c r="DX83" i="1"/>
  <c r="DY83" i="1"/>
  <c r="DZ83" i="1"/>
  <c r="EA83" i="1" s="1"/>
  <c r="EF83" i="1"/>
  <c r="EG83" i="1"/>
  <c r="EI83" i="1"/>
  <c r="EJ83" i="1"/>
  <c r="EK83" i="1" s="1"/>
  <c r="EL83" i="1"/>
  <c r="EM83" i="1"/>
  <c r="EO83" i="1"/>
  <c r="EQ83" i="1" s="1"/>
  <c r="EP83" i="1"/>
  <c r="ER83" i="1"/>
  <c r="ET83" i="1" s="1"/>
  <c r="ES83" i="1"/>
  <c r="EU83" i="1"/>
  <c r="EV83" i="1"/>
  <c r="EW83" i="1"/>
  <c r="FB83" i="1"/>
  <c r="FC83" i="1"/>
  <c r="FE83" i="1"/>
  <c r="FF83" i="1"/>
  <c r="FH83" i="1"/>
  <c r="FI83" i="1"/>
  <c r="FJ83" i="1" s="1"/>
  <c r="FK83" i="1"/>
  <c r="FL83" i="1"/>
  <c r="FN83" i="1"/>
  <c r="FP83" i="1" s="1"/>
  <c r="FO83" i="1"/>
  <c r="FU83" i="1"/>
  <c r="FV83" i="1"/>
  <c r="FW83" i="1"/>
  <c r="FX83" i="1"/>
  <c r="FY83" i="1"/>
  <c r="FZ83" i="1" s="1"/>
  <c r="GA83" i="1"/>
  <c r="GB83" i="1"/>
  <c r="GD83" i="1"/>
  <c r="GE83" i="1"/>
  <c r="GK83" i="1"/>
  <c r="GL83" i="1"/>
  <c r="GM83" i="1" s="1"/>
  <c r="GN83" i="1"/>
  <c r="GO83" i="1"/>
  <c r="GQ83" i="1"/>
  <c r="GR83" i="1"/>
  <c r="GX83" i="1"/>
  <c r="GY83" i="1"/>
  <c r="GZ83" i="1" s="1"/>
  <c r="HA83" i="1"/>
  <c r="HB83" i="1"/>
  <c r="HH83" i="1"/>
  <c r="HI83" i="1"/>
  <c r="L84" i="1"/>
  <c r="AY84" i="1"/>
  <c r="AZ84" i="1"/>
  <c r="BA84" i="1"/>
  <c r="BB84" i="1" s="1"/>
  <c r="BC84" i="1"/>
  <c r="BD84" i="1"/>
  <c r="BF84" i="1"/>
  <c r="BG84" i="1"/>
  <c r="BI84" i="1"/>
  <c r="BJ84" i="1"/>
  <c r="BK84" i="1" s="1"/>
  <c r="BL84" i="1"/>
  <c r="BM84" i="1"/>
  <c r="BO84" i="1"/>
  <c r="BQ84" i="1" s="1"/>
  <c r="BP84" i="1"/>
  <c r="BR84" i="1"/>
  <c r="BT84" i="1" s="1"/>
  <c r="BS84" i="1"/>
  <c r="BU84" i="1"/>
  <c r="BV84" i="1"/>
  <c r="BW84" i="1"/>
  <c r="BX84" i="1"/>
  <c r="BY84" i="1"/>
  <c r="BZ84" i="1" s="1"/>
  <c r="CE84" i="1"/>
  <c r="CG84" i="1" s="1"/>
  <c r="CF84" i="1"/>
  <c r="CH84" i="1"/>
  <c r="CI84" i="1"/>
  <c r="CJ84" i="1"/>
  <c r="CK84" i="1"/>
  <c r="CL84" i="1"/>
  <c r="CM84" i="1" s="1"/>
  <c r="CN84" i="1"/>
  <c r="CO84" i="1"/>
  <c r="CQ84" i="1"/>
  <c r="CR84" i="1"/>
  <c r="CT84" i="1"/>
  <c r="CU84" i="1"/>
  <c r="CW84" i="1"/>
  <c r="CX84" i="1"/>
  <c r="CZ84" i="1"/>
  <c r="DB84" i="1" s="1"/>
  <c r="DA84" i="1"/>
  <c r="DG84" i="1"/>
  <c r="DH84" i="1"/>
  <c r="DI84" i="1"/>
  <c r="DJ84" i="1"/>
  <c r="DK84" i="1"/>
  <c r="DL84" i="1" s="1"/>
  <c r="DM84" i="1"/>
  <c r="DN84" i="1"/>
  <c r="DP84" i="1"/>
  <c r="DQ84" i="1"/>
  <c r="DS84" i="1"/>
  <c r="DT84" i="1"/>
  <c r="DU84" i="1" s="1"/>
  <c r="DV84" i="1"/>
  <c r="DW84" i="1"/>
  <c r="DY84" i="1"/>
  <c r="EA84" i="1" s="1"/>
  <c r="DZ84" i="1"/>
  <c r="EF84" i="1"/>
  <c r="EG84" i="1"/>
  <c r="EH84" i="1"/>
  <c r="EI84" i="1"/>
  <c r="EJ84" i="1"/>
  <c r="EK84" i="1" s="1"/>
  <c r="EL84" i="1"/>
  <c r="EM84" i="1"/>
  <c r="EO84" i="1"/>
  <c r="EP84" i="1"/>
  <c r="ER84" i="1"/>
  <c r="ES84" i="1"/>
  <c r="EU84" i="1"/>
  <c r="EV84" i="1"/>
  <c r="FB84" i="1"/>
  <c r="FC84" i="1"/>
  <c r="FE84" i="1"/>
  <c r="FF84" i="1"/>
  <c r="FH84" i="1"/>
  <c r="FI84" i="1"/>
  <c r="FK84" i="1"/>
  <c r="FM84" i="1" s="1"/>
  <c r="FL84" i="1"/>
  <c r="FN84" i="1"/>
  <c r="FP84" i="1" s="1"/>
  <c r="FO84" i="1"/>
  <c r="FU84" i="1"/>
  <c r="FV84" i="1"/>
  <c r="FW84" i="1" s="1"/>
  <c r="FX84" i="1"/>
  <c r="FY84" i="1"/>
  <c r="GA84" i="1"/>
  <c r="GB84" i="1"/>
  <c r="GD84" i="1"/>
  <c r="GE84" i="1"/>
  <c r="GF84" i="1" s="1"/>
  <c r="GK84" i="1"/>
  <c r="GL84" i="1"/>
  <c r="GN84" i="1"/>
  <c r="GO84" i="1"/>
  <c r="GQ84" i="1"/>
  <c r="GR84" i="1"/>
  <c r="GS84" i="1" s="1"/>
  <c r="GX84" i="1"/>
  <c r="GY84" i="1"/>
  <c r="HA84" i="1"/>
  <c r="HB84" i="1"/>
  <c r="HH84" i="1"/>
  <c r="HI84" i="1"/>
  <c r="L85" i="1"/>
  <c r="AV85" i="1"/>
  <c r="N85" i="1" s="1"/>
  <c r="N85" i="3" s="1"/>
  <c r="AZ85" i="1"/>
  <c r="BA85" i="1"/>
  <c r="BC85" i="1"/>
  <c r="BD85" i="1"/>
  <c r="BF85" i="1"/>
  <c r="BG85" i="1"/>
  <c r="BH85" i="1" s="1"/>
  <c r="BI85" i="1"/>
  <c r="BJ85" i="1"/>
  <c r="BL85" i="1"/>
  <c r="BN85" i="1" s="1"/>
  <c r="BM85" i="1"/>
  <c r="BO85" i="1"/>
  <c r="BQ85" i="1" s="1"/>
  <c r="BP85" i="1"/>
  <c r="BR85" i="1"/>
  <c r="BT85" i="1" s="1"/>
  <c r="BS85" i="1"/>
  <c r="BU85" i="1"/>
  <c r="BV85" i="1"/>
  <c r="BW85" i="1" s="1"/>
  <c r="BX85" i="1"/>
  <c r="BY85" i="1"/>
  <c r="CE85" i="1"/>
  <c r="CF85" i="1"/>
  <c r="CG85" i="1" s="1"/>
  <c r="CH85" i="1"/>
  <c r="CI85" i="1"/>
  <c r="CK85" i="1"/>
  <c r="CM85" i="1" s="1"/>
  <c r="CL85" i="1"/>
  <c r="CN85" i="1"/>
  <c r="CP85" i="1" s="1"/>
  <c r="CO85" i="1"/>
  <c r="CQ85" i="1"/>
  <c r="CR85" i="1"/>
  <c r="CS85" i="1"/>
  <c r="CT85" i="1"/>
  <c r="CU85" i="1"/>
  <c r="CV85" i="1" s="1"/>
  <c r="CW85" i="1"/>
  <c r="CX85" i="1"/>
  <c r="CZ85" i="1"/>
  <c r="DA85" i="1"/>
  <c r="DG85" i="1"/>
  <c r="DH85" i="1"/>
  <c r="DI85" i="1" s="1"/>
  <c r="DJ85" i="1"/>
  <c r="DK85" i="1"/>
  <c r="DM85" i="1"/>
  <c r="DN85" i="1"/>
  <c r="DP85" i="1"/>
  <c r="DQ85" i="1"/>
  <c r="DR85" i="1" s="1"/>
  <c r="DS85" i="1"/>
  <c r="DT85" i="1"/>
  <c r="DV85" i="1"/>
  <c r="DX85" i="1" s="1"/>
  <c r="DW85" i="1"/>
  <c r="DY85" i="1"/>
  <c r="EA85" i="1" s="1"/>
  <c r="DZ85" i="1"/>
  <c r="EF85" i="1"/>
  <c r="EG85" i="1"/>
  <c r="EI85" i="1"/>
  <c r="EK85" i="1" s="1"/>
  <c r="EJ85" i="1"/>
  <c r="EL85" i="1"/>
  <c r="EN85" i="1" s="1"/>
  <c r="EM85" i="1"/>
  <c r="EO85" i="1"/>
  <c r="EQ85" i="1" s="1"/>
  <c r="EP85" i="1"/>
  <c r="ER85" i="1"/>
  <c r="ES85" i="1"/>
  <c r="ET85" i="1" s="1"/>
  <c r="EU85" i="1"/>
  <c r="EV85" i="1"/>
  <c r="FB85" i="1"/>
  <c r="FC85" i="1"/>
  <c r="FE85" i="1"/>
  <c r="FF85" i="1"/>
  <c r="FH85" i="1"/>
  <c r="FJ85" i="1" s="1"/>
  <c r="FI85" i="1"/>
  <c r="FK85" i="1"/>
  <c r="FM85" i="1" s="1"/>
  <c r="FL85" i="1"/>
  <c r="FN85" i="1"/>
  <c r="FO85" i="1"/>
  <c r="FP85" i="1"/>
  <c r="FU85" i="1"/>
  <c r="FV85" i="1"/>
  <c r="FX85" i="1"/>
  <c r="FY85" i="1"/>
  <c r="GA85" i="1"/>
  <c r="GB85" i="1"/>
  <c r="GD85" i="1"/>
  <c r="GE85" i="1"/>
  <c r="GK85" i="1"/>
  <c r="GM85" i="1" s="1"/>
  <c r="GL85" i="1"/>
  <c r="GN85" i="1"/>
  <c r="GP85" i="1" s="1"/>
  <c r="GO85" i="1"/>
  <c r="GQ85" i="1"/>
  <c r="GR85" i="1"/>
  <c r="GS85" i="1" s="1"/>
  <c r="GX85" i="1"/>
  <c r="GZ85" i="1" s="1"/>
  <c r="GY85" i="1"/>
  <c r="HA85" i="1"/>
  <c r="HB85" i="1"/>
  <c r="HC85" i="1" s="1"/>
  <c r="HH85" i="1"/>
  <c r="HJ85" i="1" s="1"/>
  <c r="HI85" i="1"/>
  <c r="L86" i="1"/>
  <c r="AW86" i="1" s="1"/>
  <c r="O86" i="1" s="1"/>
  <c r="O86" i="3" s="1"/>
  <c r="AZ86" i="1"/>
  <c r="BB86" i="1" s="1"/>
  <c r="BA86" i="1"/>
  <c r="BC86" i="1"/>
  <c r="BD86" i="1"/>
  <c r="BE86" i="1"/>
  <c r="BF86" i="1"/>
  <c r="BG86" i="1"/>
  <c r="BI86" i="1"/>
  <c r="BJ86" i="1"/>
  <c r="BL86" i="1"/>
  <c r="BN86" i="1" s="1"/>
  <c r="BM86" i="1"/>
  <c r="BO86" i="1"/>
  <c r="BP86" i="1"/>
  <c r="BQ86" i="1" s="1"/>
  <c r="BR86" i="1"/>
  <c r="BS86" i="1"/>
  <c r="BT86" i="1" s="1"/>
  <c r="BU86" i="1"/>
  <c r="BW86" i="1" s="1"/>
  <c r="BV86" i="1"/>
  <c r="BX86" i="1"/>
  <c r="BY86" i="1"/>
  <c r="CE86" i="1"/>
  <c r="CF86" i="1"/>
  <c r="CH86" i="1"/>
  <c r="CI86" i="1"/>
  <c r="CK86" i="1"/>
  <c r="CM86" i="1" s="1"/>
  <c r="CL86" i="1"/>
  <c r="CN86" i="1"/>
  <c r="CO86" i="1"/>
  <c r="CP86" i="1"/>
  <c r="CQ86" i="1"/>
  <c r="CR86" i="1"/>
  <c r="CT86" i="1"/>
  <c r="CU86" i="1"/>
  <c r="CW86" i="1"/>
  <c r="CY86" i="1" s="1"/>
  <c r="CX86" i="1"/>
  <c r="CZ86" i="1"/>
  <c r="DA86" i="1"/>
  <c r="DB86" i="1" s="1"/>
  <c r="DG86" i="1"/>
  <c r="DH86" i="1"/>
  <c r="DJ86" i="1"/>
  <c r="DL86" i="1" s="1"/>
  <c r="DK86" i="1"/>
  <c r="DM86" i="1"/>
  <c r="DN86" i="1"/>
  <c r="DO86" i="1"/>
  <c r="DP86" i="1"/>
  <c r="DQ86" i="1"/>
  <c r="DS86" i="1"/>
  <c r="DT86" i="1"/>
  <c r="DV86" i="1"/>
  <c r="DX86" i="1" s="1"/>
  <c r="DW86" i="1"/>
  <c r="DY86" i="1"/>
  <c r="DZ86" i="1"/>
  <c r="EA86" i="1" s="1"/>
  <c r="EF86" i="1"/>
  <c r="EG86" i="1"/>
  <c r="EI86" i="1"/>
  <c r="EK86" i="1" s="1"/>
  <c r="EJ86" i="1"/>
  <c r="EL86" i="1"/>
  <c r="EM86" i="1"/>
  <c r="EN86" i="1"/>
  <c r="EO86" i="1"/>
  <c r="EP86" i="1"/>
  <c r="ER86" i="1"/>
  <c r="ES86" i="1"/>
  <c r="EU86" i="1"/>
  <c r="EW86" i="1" s="1"/>
  <c r="EV86" i="1"/>
  <c r="FB86" i="1"/>
  <c r="FC86" i="1"/>
  <c r="FD86" i="1" s="1"/>
  <c r="FE86" i="1"/>
  <c r="FG86" i="1" s="1"/>
  <c r="FF86" i="1"/>
  <c r="FH86" i="1"/>
  <c r="FI86" i="1"/>
  <c r="FK86" i="1"/>
  <c r="FM86" i="1" s="1"/>
  <c r="FL86" i="1"/>
  <c r="FN86" i="1"/>
  <c r="FO86" i="1"/>
  <c r="FU86" i="1"/>
  <c r="FV86" i="1"/>
  <c r="FX86" i="1"/>
  <c r="FZ86" i="1" s="1"/>
  <c r="FY86" i="1"/>
  <c r="GA86" i="1"/>
  <c r="GB86" i="1"/>
  <c r="GD86" i="1"/>
  <c r="GE86" i="1"/>
  <c r="GK86" i="1"/>
  <c r="GM86" i="1" s="1"/>
  <c r="GL86" i="1"/>
  <c r="GN86" i="1"/>
  <c r="GO86" i="1"/>
  <c r="GQ86" i="1"/>
  <c r="GR86" i="1"/>
  <c r="GX86" i="1"/>
  <c r="GZ86" i="1" s="1"/>
  <c r="GY86" i="1"/>
  <c r="HA86" i="1"/>
  <c r="HB86" i="1"/>
  <c r="HH86" i="1"/>
  <c r="HI86" i="1"/>
  <c r="L87" i="1"/>
  <c r="M87" i="1" s="1"/>
  <c r="N87" i="1"/>
  <c r="N87" i="3" s="1"/>
  <c r="AV87" i="1"/>
  <c r="AX87" i="1"/>
  <c r="AZ87" i="1"/>
  <c r="BB87" i="1" s="1"/>
  <c r="BA87" i="1"/>
  <c r="BC87" i="1"/>
  <c r="BD87" i="1"/>
  <c r="BE87" i="1" s="1"/>
  <c r="BF87" i="1"/>
  <c r="BH87" i="1" s="1"/>
  <c r="BG87" i="1"/>
  <c r="BI87" i="1"/>
  <c r="BJ87" i="1"/>
  <c r="BL87" i="1"/>
  <c r="BN87" i="1" s="1"/>
  <c r="BM87" i="1"/>
  <c r="BO87" i="1"/>
  <c r="BP87" i="1"/>
  <c r="BR87" i="1"/>
  <c r="BS87" i="1"/>
  <c r="BU87" i="1"/>
  <c r="BW87" i="1" s="1"/>
  <c r="BV87" i="1"/>
  <c r="BX87" i="1"/>
  <c r="BY87" i="1"/>
  <c r="BZ87" i="1"/>
  <c r="CE87" i="1"/>
  <c r="CG87" i="1" s="1"/>
  <c r="CF87" i="1"/>
  <c r="CH87" i="1"/>
  <c r="CI87" i="1"/>
  <c r="CK87" i="1"/>
  <c r="CM87" i="1" s="1"/>
  <c r="CL87" i="1"/>
  <c r="CN87" i="1"/>
  <c r="CO87" i="1"/>
  <c r="CQ87" i="1"/>
  <c r="CR87" i="1"/>
  <c r="CT87" i="1"/>
  <c r="CV87" i="1" s="1"/>
  <c r="CU87" i="1"/>
  <c r="CW87" i="1"/>
  <c r="CX87" i="1"/>
  <c r="CY87" i="1"/>
  <c r="CZ87" i="1"/>
  <c r="DA87" i="1"/>
  <c r="DG87" i="1"/>
  <c r="DH87" i="1"/>
  <c r="DJ87" i="1"/>
  <c r="DL87" i="1" s="1"/>
  <c r="DK87" i="1"/>
  <c r="DM87" i="1"/>
  <c r="DN87" i="1"/>
  <c r="DP87" i="1"/>
  <c r="DQ87" i="1"/>
  <c r="DS87" i="1"/>
  <c r="DU87" i="1" s="1"/>
  <c r="DT87" i="1"/>
  <c r="DV87" i="1"/>
  <c r="DW87" i="1"/>
  <c r="DX87" i="1"/>
  <c r="DY87" i="1"/>
  <c r="DZ87" i="1"/>
  <c r="EF87" i="1"/>
  <c r="EG87" i="1"/>
  <c r="EI87" i="1"/>
  <c r="EK87" i="1" s="1"/>
  <c r="EJ87" i="1"/>
  <c r="EL87" i="1"/>
  <c r="EM87" i="1"/>
  <c r="EO87" i="1"/>
  <c r="EP87" i="1"/>
  <c r="ER87" i="1"/>
  <c r="ET87" i="1" s="1"/>
  <c r="ES87" i="1"/>
  <c r="EU87" i="1"/>
  <c r="EV87" i="1"/>
  <c r="EW87" i="1"/>
  <c r="FB87" i="1"/>
  <c r="FD87" i="1" s="1"/>
  <c r="FC87" i="1"/>
  <c r="FE87" i="1"/>
  <c r="FF87" i="1"/>
  <c r="FH87" i="1"/>
  <c r="FJ87" i="1" s="1"/>
  <c r="FI87" i="1"/>
  <c r="FK87" i="1"/>
  <c r="FL87" i="1"/>
  <c r="FN87" i="1"/>
  <c r="FO87" i="1"/>
  <c r="FU87" i="1"/>
  <c r="FW87" i="1" s="1"/>
  <c r="FV87" i="1"/>
  <c r="FX87" i="1"/>
  <c r="FY87" i="1"/>
  <c r="FZ87" i="1" s="1"/>
  <c r="GA87" i="1"/>
  <c r="GC87" i="1" s="1"/>
  <c r="GB87" i="1"/>
  <c r="GD87" i="1"/>
  <c r="GE87" i="1"/>
  <c r="GK87" i="1"/>
  <c r="GL87" i="1"/>
  <c r="GN87" i="1"/>
  <c r="GO87" i="1"/>
  <c r="GQ87" i="1"/>
  <c r="GS87" i="1" s="1"/>
  <c r="GR87" i="1"/>
  <c r="GX87" i="1"/>
  <c r="GY87" i="1"/>
  <c r="GZ87" i="1" s="1"/>
  <c r="HA87" i="1"/>
  <c r="HC87" i="1" s="1"/>
  <c r="HB87" i="1"/>
  <c r="HH87" i="1"/>
  <c r="HI87" i="1"/>
  <c r="HJ87" i="1" s="1"/>
  <c r="L88" i="1"/>
  <c r="M88" i="1"/>
  <c r="M88" i="3" s="1"/>
  <c r="N88" i="1"/>
  <c r="N88" i="3" s="1"/>
  <c r="AV88" i="1"/>
  <c r="AW88" i="1"/>
  <c r="O88" i="1" s="1"/>
  <c r="AX88" i="1"/>
  <c r="AY88" i="1"/>
  <c r="AZ88" i="1"/>
  <c r="BA88" i="1"/>
  <c r="BB88" i="1" s="1"/>
  <c r="BC88" i="1"/>
  <c r="BE88" i="1" s="1"/>
  <c r="BD88" i="1"/>
  <c r="BF88" i="1"/>
  <c r="BG88" i="1"/>
  <c r="BI88" i="1"/>
  <c r="BK88" i="1" s="1"/>
  <c r="BJ88" i="1"/>
  <c r="BL88" i="1"/>
  <c r="BM88" i="1"/>
  <c r="BO88" i="1"/>
  <c r="BP88" i="1"/>
  <c r="BR88" i="1"/>
  <c r="BT88" i="1" s="1"/>
  <c r="BS88" i="1"/>
  <c r="BU88" i="1"/>
  <c r="BV88" i="1"/>
  <c r="BW88" i="1"/>
  <c r="BX88" i="1"/>
  <c r="BY88" i="1"/>
  <c r="CA88" i="1"/>
  <c r="CE88" i="1"/>
  <c r="CG88" i="1" s="1"/>
  <c r="CF88" i="1"/>
  <c r="CH88" i="1"/>
  <c r="CI88" i="1"/>
  <c r="CJ88" i="1"/>
  <c r="CK88" i="1"/>
  <c r="CL88" i="1"/>
  <c r="CN88" i="1"/>
  <c r="CO88" i="1"/>
  <c r="CQ88" i="1"/>
  <c r="CS88" i="1" s="1"/>
  <c r="CR88" i="1"/>
  <c r="CT88" i="1"/>
  <c r="CU88" i="1"/>
  <c r="CV88" i="1" s="1"/>
  <c r="CW88" i="1"/>
  <c r="CX88" i="1"/>
  <c r="CY88" i="1" s="1"/>
  <c r="CZ88" i="1"/>
  <c r="DB88" i="1" s="1"/>
  <c r="DA88" i="1"/>
  <c r="DD88" i="1"/>
  <c r="DG88" i="1"/>
  <c r="DI88" i="1" s="1"/>
  <c r="DH88" i="1"/>
  <c r="DJ88" i="1"/>
  <c r="DK88" i="1"/>
  <c r="DL88" i="1" s="1"/>
  <c r="DM88" i="1"/>
  <c r="DO88" i="1" s="1"/>
  <c r="DN88" i="1"/>
  <c r="DP88" i="1"/>
  <c r="DQ88" i="1"/>
  <c r="DS88" i="1"/>
  <c r="DU88" i="1" s="1"/>
  <c r="DT88" i="1"/>
  <c r="DV88" i="1"/>
  <c r="DX88" i="1" s="1"/>
  <c r="DW88" i="1"/>
  <c r="DY88" i="1"/>
  <c r="DZ88" i="1"/>
  <c r="EB88" i="1"/>
  <c r="EF88" i="1"/>
  <c r="EG88" i="1"/>
  <c r="EH88" i="1" s="1"/>
  <c r="EI88" i="1"/>
  <c r="EJ88" i="1"/>
  <c r="EK88" i="1"/>
  <c r="EL88" i="1"/>
  <c r="EN88" i="1" s="1"/>
  <c r="EM88" i="1"/>
  <c r="EO88" i="1"/>
  <c r="EP88" i="1"/>
  <c r="ER88" i="1"/>
  <c r="ET88" i="1" s="1"/>
  <c r="ES88" i="1"/>
  <c r="EU88" i="1"/>
  <c r="EW88" i="1" s="1"/>
  <c r="EV88" i="1"/>
  <c r="EX88" i="1"/>
  <c r="FB88" i="1"/>
  <c r="FD88" i="1" s="1"/>
  <c r="FC88" i="1"/>
  <c r="FE88" i="1"/>
  <c r="FF88" i="1"/>
  <c r="FG88" i="1"/>
  <c r="FH88" i="1"/>
  <c r="FJ88" i="1" s="1"/>
  <c r="FI88" i="1"/>
  <c r="FK88" i="1"/>
  <c r="FM88" i="1" s="1"/>
  <c r="FL88" i="1"/>
  <c r="FN88" i="1"/>
  <c r="FO88" i="1"/>
  <c r="FQ88" i="1"/>
  <c r="FS88" i="1" s="1"/>
  <c r="FR88" i="1"/>
  <c r="FU88" i="1"/>
  <c r="FV88" i="1"/>
  <c r="FW88" i="1" s="1"/>
  <c r="FX88" i="1"/>
  <c r="FY88" i="1"/>
  <c r="GA88" i="1"/>
  <c r="GC88" i="1" s="1"/>
  <c r="GB88" i="1"/>
  <c r="GD88" i="1"/>
  <c r="GE88" i="1"/>
  <c r="GF88" i="1"/>
  <c r="GH88" i="1"/>
  <c r="GK88" i="1"/>
  <c r="GL88" i="1"/>
  <c r="GN88" i="1"/>
  <c r="GP88" i="1" s="1"/>
  <c r="GO88" i="1"/>
  <c r="GQ88" i="1"/>
  <c r="GR88" i="1"/>
  <c r="GS88" i="1"/>
  <c r="GU88" i="1"/>
  <c r="GX88" i="1"/>
  <c r="GY88" i="1"/>
  <c r="HA88" i="1"/>
  <c r="HC88" i="1" s="1"/>
  <c r="HB88" i="1"/>
  <c r="HD88" i="1"/>
  <c r="HE88" i="1"/>
  <c r="HF88" i="1"/>
  <c r="HH88" i="1"/>
  <c r="HJ88" i="1" s="1"/>
  <c r="HI88" i="1"/>
  <c r="HK88" i="1"/>
  <c r="HO88" i="1"/>
  <c r="HQ88" i="1" s="1"/>
  <c r="HP88" i="1"/>
  <c r="HS88" i="1"/>
  <c r="HT88" i="1"/>
  <c r="HU88" i="1" s="1"/>
  <c r="HW88" i="1"/>
  <c r="HY88" i="1"/>
  <c r="IB88" i="1"/>
  <c r="ID88" i="1" s="1"/>
  <c r="IC88" i="1"/>
  <c r="IE88" i="1"/>
  <c r="IF88" i="1"/>
  <c r="IG88" i="1"/>
  <c r="II88" i="1"/>
  <c r="IK88" i="1"/>
  <c r="IN88" i="1"/>
  <c r="IO88" i="1"/>
  <c r="IQ88" i="1"/>
  <c r="IS88" i="1" s="1"/>
  <c r="IR88" i="1"/>
  <c r="IU88" i="1"/>
  <c r="L89" i="1"/>
  <c r="AV89" i="1" s="1"/>
  <c r="N89" i="1" s="1"/>
  <c r="AZ89" i="1"/>
  <c r="BA89" i="1"/>
  <c r="BC89" i="1"/>
  <c r="BE89" i="1" s="1"/>
  <c r="BD89" i="1"/>
  <c r="BF89" i="1"/>
  <c r="BG89" i="1"/>
  <c r="BH89" i="1" s="1"/>
  <c r="BI89" i="1"/>
  <c r="BJ89" i="1"/>
  <c r="BK89" i="1"/>
  <c r="BL89" i="1"/>
  <c r="BN89" i="1" s="1"/>
  <c r="BM89" i="1"/>
  <c r="BO89" i="1"/>
  <c r="BP89" i="1"/>
  <c r="BR89" i="1"/>
  <c r="BT89" i="1" s="1"/>
  <c r="BS89" i="1"/>
  <c r="BU89" i="1"/>
  <c r="BW89" i="1" s="1"/>
  <c r="BV89" i="1"/>
  <c r="BX89" i="1"/>
  <c r="BY89" i="1"/>
  <c r="CE89" i="1"/>
  <c r="CG89" i="1" s="1"/>
  <c r="CF89" i="1"/>
  <c r="CH89" i="1"/>
  <c r="CJ89" i="1" s="1"/>
  <c r="CI89" i="1"/>
  <c r="CK89" i="1"/>
  <c r="CL89" i="1"/>
  <c r="CN89" i="1"/>
  <c r="CP89" i="1" s="1"/>
  <c r="CO89" i="1"/>
  <c r="CQ89" i="1"/>
  <c r="CR89" i="1"/>
  <c r="CS89" i="1" s="1"/>
  <c r="CT89" i="1"/>
  <c r="CU89" i="1"/>
  <c r="CV89" i="1"/>
  <c r="CW89" i="1"/>
  <c r="CY89" i="1" s="1"/>
  <c r="CX89" i="1"/>
  <c r="CZ89" i="1"/>
  <c r="DA89" i="1"/>
  <c r="DG89" i="1"/>
  <c r="DI89" i="1" s="1"/>
  <c r="DH89" i="1"/>
  <c r="DJ89" i="1"/>
  <c r="DL89" i="1" s="1"/>
  <c r="DK89" i="1"/>
  <c r="DM89" i="1"/>
  <c r="DN89" i="1"/>
  <c r="DP89" i="1"/>
  <c r="DR89" i="1" s="1"/>
  <c r="DQ89" i="1"/>
  <c r="DS89" i="1"/>
  <c r="DT89" i="1"/>
  <c r="DU89" i="1" s="1"/>
  <c r="DV89" i="1"/>
  <c r="DW89" i="1"/>
  <c r="DY89" i="1"/>
  <c r="EA89" i="1" s="1"/>
  <c r="DZ89" i="1"/>
  <c r="EF89" i="1"/>
  <c r="EG89" i="1"/>
  <c r="EH89" i="1"/>
  <c r="EI89" i="1"/>
  <c r="EK89" i="1" s="1"/>
  <c r="EJ89" i="1"/>
  <c r="EL89" i="1"/>
  <c r="EM89" i="1"/>
  <c r="EO89" i="1"/>
  <c r="EQ89" i="1" s="1"/>
  <c r="EP89" i="1"/>
  <c r="ER89" i="1"/>
  <c r="ET89" i="1" s="1"/>
  <c r="ES89" i="1"/>
  <c r="EU89" i="1"/>
  <c r="EV89" i="1"/>
  <c r="FB89" i="1"/>
  <c r="FD89" i="1" s="1"/>
  <c r="FC89" i="1"/>
  <c r="FE89" i="1"/>
  <c r="FG89" i="1" s="1"/>
  <c r="FF89" i="1"/>
  <c r="FH89" i="1"/>
  <c r="FI89" i="1"/>
  <c r="FK89" i="1"/>
  <c r="FM89" i="1" s="1"/>
  <c r="FL89" i="1"/>
  <c r="FN89" i="1"/>
  <c r="FO89" i="1"/>
  <c r="FP89" i="1" s="1"/>
  <c r="FU89" i="1"/>
  <c r="FV89" i="1"/>
  <c r="FX89" i="1"/>
  <c r="FZ89" i="1" s="1"/>
  <c r="FY89" i="1"/>
  <c r="GA89" i="1"/>
  <c r="GB89" i="1"/>
  <c r="GC89" i="1"/>
  <c r="GD89" i="1"/>
  <c r="GF89" i="1" s="1"/>
  <c r="GE89" i="1"/>
  <c r="GK89" i="1"/>
  <c r="GM89" i="1" s="1"/>
  <c r="GL89" i="1"/>
  <c r="GN89" i="1"/>
  <c r="GO89" i="1"/>
  <c r="GP89" i="1"/>
  <c r="GQ89" i="1"/>
  <c r="GS89" i="1" s="1"/>
  <c r="GR89" i="1"/>
  <c r="GX89" i="1"/>
  <c r="GZ89" i="1" s="1"/>
  <c r="GY89" i="1"/>
  <c r="HA89" i="1"/>
  <c r="HB89" i="1"/>
  <c r="HC89" i="1"/>
  <c r="HH89" i="1"/>
  <c r="HJ89" i="1" s="1"/>
  <c r="HI89" i="1"/>
  <c r="L90" i="1"/>
  <c r="AW90" i="1" s="1"/>
  <c r="O90" i="1" s="1"/>
  <c r="M90" i="1"/>
  <c r="M90" i="3" s="1"/>
  <c r="AV90" i="1"/>
  <c r="N90" i="1" s="1"/>
  <c r="N90" i="3" s="1"/>
  <c r="AZ90" i="1"/>
  <c r="BA90" i="1"/>
  <c r="BC90" i="1"/>
  <c r="BE90" i="1" s="1"/>
  <c r="BD90" i="1"/>
  <c r="BF90" i="1"/>
  <c r="BH90" i="1" s="1"/>
  <c r="BG90" i="1"/>
  <c r="BI90" i="1"/>
  <c r="BJ90" i="1"/>
  <c r="BL90" i="1"/>
  <c r="BN90" i="1" s="1"/>
  <c r="BM90" i="1"/>
  <c r="BO90" i="1"/>
  <c r="BP90" i="1"/>
  <c r="BQ90" i="1" s="1"/>
  <c r="BR90" i="1"/>
  <c r="BS90" i="1"/>
  <c r="BT90" i="1"/>
  <c r="BU90" i="1"/>
  <c r="BW90" i="1" s="1"/>
  <c r="BV90" i="1"/>
  <c r="BX90" i="1"/>
  <c r="BY90" i="1"/>
  <c r="CE90" i="1"/>
  <c r="CG90" i="1" s="1"/>
  <c r="CF90" i="1"/>
  <c r="CH90" i="1"/>
  <c r="CJ90" i="1" s="1"/>
  <c r="CI90" i="1"/>
  <c r="CK90" i="1"/>
  <c r="CL90" i="1"/>
  <c r="CN90" i="1"/>
  <c r="CP90" i="1" s="1"/>
  <c r="CO90" i="1"/>
  <c r="CQ90" i="1"/>
  <c r="CR90" i="1"/>
  <c r="CS90" i="1" s="1"/>
  <c r="CT90" i="1"/>
  <c r="CU90" i="1"/>
  <c r="CW90" i="1"/>
  <c r="CY90" i="1" s="1"/>
  <c r="CX90" i="1"/>
  <c r="CZ90" i="1"/>
  <c r="DA90" i="1"/>
  <c r="DB90" i="1"/>
  <c r="DG90" i="1"/>
  <c r="DI90" i="1" s="1"/>
  <c r="DH90" i="1"/>
  <c r="DJ90" i="1"/>
  <c r="DK90" i="1"/>
  <c r="DM90" i="1"/>
  <c r="DO90" i="1" s="1"/>
  <c r="DN90" i="1"/>
  <c r="DP90" i="1"/>
  <c r="DR90" i="1" s="1"/>
  <c r="DQ90" i="1"/>
  <c r="DS90" i="1"/>
  <c r="DT90" i="1"/>
  <c r="DV90" i="1"/>
  <c r="DX90" i="1" s="1"/>
  <c r="DW90" i="1"/>
  <c r="DY90" i="1"/>
  <c r="DZ90" i="1"/>
  <c r="EA90" i="1" s="1"/>
  <c r="EF90" i="1"/>
  <c r="EG90" i="1"/>
  <c r="EI90" i="1"/>
  <c r="EK90" i="1" s="1"/>
  <c r="EJ90" i="1"/>
  <c r="EL90" i="1"/>
  <c r="EM90" i="1"/>
  <c r="EN90" i="1"/>
  <c r="EO90" i="1"/>
  <c r="EQ90" i="1" s="1"/>
  <c r="EP90" i="1"/>
  <c r="ER90" i="1"/>
  <c r="ET90" i="1" s="1"/>
  <c r="ES90" i="1"/>
  <c r="EU90" i="1"/>
  <c r="EV90" i="1"/>
  <c r="FB90" i="1"/>
  <c r="FD90" i="1" s="1"/>
  <c r="FC90" i="1"/>
  <c r="FE90" i="1"/>
  <c r="FF90" i="1"/>
  <c r="FH90" i="1"/>
  <c r="FJ90" i="1" s="1"/>
  <c r="FI90" i="1"/>
  <c r="FK90" i="1"/>
  <c r="FL90" i="1"/>
  <c r="FM90" i="1" s="1"/>
  <c r="FN90" i="1"/>
  <c r="FO90" i="1"/>
  <c r="FP90" i="1"/>
  <c r="FU90" i="1"/>
  <c r="FV90" i="1"/>
  <c r="FX90" i="1"/>
  <c r="FZ90" i="1" s="1"/>
  <c r="FY90" i="1"/>
  <c r="GA90" i="1"/>
  <c r="GB90" i="1"/>
  <c r="GC90" i="1" s="1"/>
  <c r="GD90" i="1"/>
  <c r="GE90" i="1"/>
  <c r="GH90" i="1"/>
  <c r="GK90" i="1"/>
  <c r="GM90" i="1" s="1"/>
  <c r="GL90" i="1"/>
  <c r="GN90" i="1"/>
  <c r="GP90" i="1" s="1"/>
  <c r="GO90" i="1"/>
  <c r="GQ90" i="1"/>
  <c r="GR90" i="1"/>
  <c r="GX90" i="1"/>
  <c r="GY90" i="1"/>
  <c r="GZ90" i="1"/>
  <c r="HA90" i="1"/>
  <c r="HC90" i="1" s="1"/>
  <c r="HB90" i="1"/>
  <c r="HD90" i="1"/>
  <c r="HH90" i="1"/>
  <c r="HJ90" i="1" s="1"/>
  <c r="HI90" i="1"/>
  <c r="HW90" i="1"/>
  <c r="IU90" i="1"/>
  <c r="L91" i="1"/>
  <c r="M91" i="1" s="1"/>
  <c r="AV91" i="1"/>
  <c r="N91" i="1" s="1"/>
  <c r="AW91" i="1"/>
  <c r="O91" i="1" s="1"/>
  <c r="O91" i="3" s="1"/>
  <c r="AZ91" i="1"/>
  <c r="BA91" i="1"/>
  <c r="BB91" i="1" s="1"/>
  <c r="BC91" i="1"/>
  <c r="BD91" i="1"/>
  <c r="BE91" i="1"/>
  <c r="BF91" i="1"/>
  <c r="BH91" i="1" s="1"/>
  <c r="BG91" i="1"/>
  <c r="BI91" i="1"/>
  <c r="BJ91" i="1"/>
  <c r="BL91" i="1"/>
  <c r="BN91" i="1" s="1"/>
  <c r="BM91" i="1"/>
  <c r="BO91" i="1"/>
  <c r="BQ91" i="1" s="1"/>
  <c r="BP91" i="1"/>
  <c r="BR91" i="1"/>
  <c r="BS91" i="1"/>
  <c r="BU91" i="1"/>
  <c r="BW91" i="1" s="1"/>
  <c r="BV91" i="1"/>
  <c r="BX91" i="1"/>
  <c r="BY91" i="1"/>
  <c r="BZ91" i="1" s="1"/>
  <c r="CE91" i="1"/>
  <c r="CF91" i="1"/>
  <c r="CH91" i="1"/>
  <c r="CJ91" i="1" s="1"/>
  <c r="CI91" i="1"/>
  <c r="CK91" i="1"/>
  <c r="CL91" i="1"/>
  <c r="CM91" i="1"/>
  <c r="CN91" i="1"/>
  <c r="CP91" i="1" s="1"/>
  <c r="CO91" i="1"/>
  <c r="CQ91" i="1"/>
  <c r="CS91" i="1" s="1"/>
  <c r="CR91" i="1"/>
  <c r="CT91" i="1"/>
  <c r="CU91" i="1"/>
  <c r="CW91" i="1"/>
  <c r="CY91" i="1" s="1"/>
  <c r="CX91" i="1"/>
  <c r="CZ91" i="1"/>
  <c r="DA91" i="1"/>
  <c r="DB91" i="1" s="1"/>
  <c r="DG91" i="1"/>
  <c r="DH91" i="1"/>
  <c r="DJ91" i="1"/>
  <c r="DL91" i="1" s="1"/>
  <c r="DK91" i="1"/>
  <c r="DM91" i="1"/>
  <c r="DO91" i="1" s="1"/>
  <c r="DN91" i="1"/>
  <c r="DP91" i="1"/>
  <c r="DQ91" i="1"/>
  <c r="DS91" i="1"/>
  <c r="DU91" i="1" s="1"/>
  <c r="DT91" i="1"/>
  <c r="DV91" i="1"/>
  <c r="DW91" i="1"/>
  <c r="DX91" i="1" s="1"/>
  <c r="DY91" i="1"/>
  <c r="DZ91" i="1"/>
  <c r="EA91" i="1"/>
  <c r="EF91" i="1"/>
  <c r="EG91" i="1"/>
  <c r="EI91" i="1"/>
  <c r="EK91" i="1" s="1"/>
  <c r="EJ91" i="1"/>
  <c r="EL91" i="1"/>
  <c r="EM91" i="1"/>
  <c r="EN91" i="1" s="1"/>
  <c r="EO91" i="1"/>
  <c r="EP91" i="1"/>
  <c r="ER91" i="1"/>
  <c r="ET91" i="1" s="1"/>
  <c r="ES91" i="1"/>
  <c r="EU91" i="1"/>
  <c r="EV91" i="1"/>
  <c r="EW91" i="1"/>
  <c r="FB91" i="1"/>
  <c r="FD91" i="1" s="1"/>
  <c r="FC91" i="1"/>
  <c r="FE91" i="1"/>
  <c r="FF91" i="1"/>
  <c r="FH91" i="1"/>
  <c r="FJ91" i="1" s="1"/>
  <c r="FI91" i="1"/>
  <c r="FK91" i="1"/>
  <c r="FM91" i="1" s="1"/>
  <c r="FL91" i="1"/>
  <c r="FN91" i="1"/>
  <c r="FO91" i="1"/>
  <c r="FU91" i="1"/>
  <c r="FV91" i="1"/>
  <c r="FW91" i="1" s="1"/>
  <c r="FX91" i="1"/>
  <c r="FY91" i="1"/>
  <c r="FZ91" i="1"/>
  <c r="GA91" i="1"/>
  <c r="GC91" i="1" s="1"/>
  <c r="GB91" i="1"/>
  <c r="GD91" i="1"/>
  <c r="GE91" i="1"/>
  <c r="GK91" i="1"/>
  <c r="GL91" i="1"/>
  <c r="GM91" i="1"/>
  <c r="GN91" i="1"/>
  <c r="GP91" i="1" s="1"/>
  <c r="GO91" i="1"/>
  <c r="GQ91" i="1"/>
  <c r="GR91" i="1"/>
  <c r="GX91" i="1"/>
  <c r="GY91" i="1"/>
  <c r="GZ91" i="1"/>
  <c r="HA91" i="1"/>
  <c r="HC91" i="1" s="1"/>
  <c r="HB91" i="1"/>
  <c r="HH91" i="1"/>
  <c r="HJ91" i="1" s="1"/>
  <c r="HI91" i="1"/>
  <c r="L92" i="1"/>
  <c r="M92" i="1" s="1"/>
  <c r="AX92" i="1"/>
  <c r="AY92" i="1"/>
  <c r="AZ92" i="1"/>
  <c r="BA92" i="1"/>
  <c r="BB92" i="1"/>
  <c r="BC92" i="1"/>
  <c r="BE92" i="1" s="1"/>
  <c r="BD92" i="1"/>
  <c r="BF92" i="1"/>
  <c r="BG92" i="1"/>
  <c r="BI92" i="1"/>
  <c r="BK92" i="1" s="1"/>
  <c r="BJ92" i="1"/>
  <c r="BL92" i="1"/>
  <c r="BN92" i="1" s="1"/>
  <c r="BM92" i="1"/>
  <c r="BO92" i="1"/>
  <c r="BP92" i="1"/>
  <c r="BR92" i="1"/>
  <c r="BT92" i="1" s="1"/>
  <c r="BS92" i="1"/>
  <c r="BU92" i="1"/>
  <c r="BV92" i="1"/>
  <c r="BW92" i="1" s="1"/>
  <c r="BX92" i="1"/>
  <c r="BY92" i="1"/>
  <c r="BZ92" i="1"/>
  <c r="CE92" i="1"/>
  <c r="CF92" i="1"/>
  <c r="CH92" i="1"/>
  <c r="CJ92" i="1" s="1"/>
  <c r="CI92" i="1"/>
  <c r="CK92" i="1"/>
  <c r="CL92" i="1"/>
  <c r="CM92" i="1" s="1"/>
  <c r="CN92" i="1"/>
  <c r="CO92" i="1"/>
  <c r="CQ92" i="1"/>
  <c r="CS92" i="1" s="1"/>
  <c r="CR92" i="1"/>
  <c r="CT92" i="1"/>
  <c r="CU92" i="1"/>
  <c r="CV92" i="1"/>
  <c r="CW92" i="1"/>
  <c r="CY92" i="1" s="1"/>
  <c r="CX92" i="1"/>
  <c r="CZ92" i="1"/>
  <c r="DB92" i="1" s="1"/>
  <c r="DA92" i="1"/>
  <c r="DG92" i="1"/>
  <c r="DI92" i="1" s="1"/>
  <c r="DH92" i="1"/>
  <c r="DJ92" i="1"/>
  <c r="DK92" i="1"/>
  <c r="DL92" i="1" s="1"/>
  <c r="DM92" i="1"/>
  <c r="DN92" i="1"/>
  <c r="DP92" i="1"/>
  <c r="DR92" i="1" s="1"/>
  <c r="DQ92" i="1"/>
  <c r="DS92" i="1"/>
  <c r="DT92" i="1"/>
  <c r="DU92" i="1"/>
  <c r="DV92" i="1"/>
  <c r="DX92" i="1" s="1"/>
  <c r="DW92" i="1"/>
  <c r="DY92" i="1"/>
  <c r="EA92" i="1" s="1"/>
  <c r="DZ92" i="1"/>
  <c r="EF92" i="1"/>
  <c r="EH92" i="1" s="1"/>
  <c r="EG92" i="1"/>
  <c r="EI92" i="1"/>
  <c r="EJ92" i="1"/>
  <c r="EK92" i="1" s="1"/>
  <c r="EL92" i="1"/>
  <c r="EM92" i="1"/>
  <c r="EO92" i="1"/>
  <c r="EQ92" i="1" s="1"/>
  <c r="EP92" i="1"/>
  <c r="ER92" i="1"/>
  <c r="ES92" i="1"/>
  <c r="ET92" i="1"/>
  <c r="EU92" i="1"/>
  <c r="EW92" i="1" s="1"/>
  <c r="EV92" i="1"/>
  <c r="FB92" i="1"/>
  <c r="FD92" i="1" s="1"/>
  <c r="FC92" i="1"/>
  <c r="FE92" i="1"/>
  <c r="FF92" i="1"/>
  <c r="FG92" i="1" s="1"/>
  <c r="FH92" i="1"/>
  <c r="FI92" i="1"/>
  <c r="FJ92" i="1"/>
  <c r="FK92" i="1"/>
  <c r="FM92" i="1" s="1"/>
  <c r="FL92" i="1"/>
  <c r="FN92" i="1"/>
  <c r="FO92" i="1"/>
  <c r="FU92" i="1"/>
  <c r="FW92" i="1" s="1"/>
  <c r="FV92" i="1"/>
  <c r="FX92" i="1"/>
  <c r="FY92" i="1"/>
  <c r="GA92" i="1"/>
  <c r="GC92" i="1" s="1"/>
  <c r="GB92" i="1"/>
  <c r="GD92" i="1"/>
  <c r="GE92" i="1"/>
  <c r="GF92" i="1" s="1"/>
  <c r="GK92" i="1"/>
  <c r="GL92" i="1"/>
  <c r="GN92" i="1"/>
  <c r="GP92" i="1" s="1"/>
  <c r="GO92" i="1"/>
  <c r="GQ92" i="1"/>
  <c r="GR92" i="1"/>
  <c r="GS92" i="1" s="1"/>
  <c r="GX92" i="1"/>
  <c r="GY92" i="1"/>
  <c r="HA92" i="1"/>
  <c r="HC92" i="1" s="1"/>
  <c r="HB92" i="1"/>
  <c r="HH92" i="1"/>
  <c r="HI92" i="1"/>
  <c r="HJ92" i="1"/>
  <c r="L93" i="1"/>
  <c r="AV93" i="1"/>
  <c r="N93" i="1" s="1"/>
  <c r="N93" i="3" s="1"/>
  <c r="AZ93" i="1"/>
  <c r="BB93" i="1" s="1"/>
  <c r="BA93" i="1"/>
  <c r="BC93" i="1"/>
  <c r="BD93" i="1"/>
  <c r="BF93" i="1"/>
  <c r="BH93" i="1" s="1"/>
  <c r="BG93" i="1"/>
  <c r="BI93" i="1"/>
  <c r="BJ93" i="1"/>
  <c r="BK93" i="1" s="1"/>
  <c r="BL93" i="1"/>
  <c r="BM93" i="1"/>
  <c r="BO93" i="1"/>
  <c r="BQ93" i="1" s="1"/>
  <c r="BP93" i="1"/>
  <c r="BR93" i="1"/>
  <c r="BS93" i="1"/>
  <c r="BT93" i="1"/>
  <c r="BU93" i="1"/>
  <c r="BW93" i="1" s="1"/>
  <c r="BV93" i="1"/>
  <c r="BX93" i="1"/>
  <c r="BZ93" i="1" s="1"/>
  <c r="BY93" i="1"/>
  <c r="CE93" i="1"/>
  <c r="CF93" i="1"/>
  <c r="CG93" i="1"/>
  <c r="CH93" i="1"/>
  <c r="CJ93" i="1" s="1"/>
  <c r="CI93" i="1"/>
  <c r="CK93" i="1"/>
  <c r="CM93" i="1" s="1"/>
  <c r="CL93" i="1"/>
  <c r="CN93" i="1"/>
  <c r="CO93" i="1"/>
  <c r="CQ93" i="1"/>
  <c r="CS93" i="1" s="1"/>
  <c r="CR93" i="1"/>
  <c r="CT93" i="1"/>
  <c r="CU93" i="1"/>
  <c r="CV93" i="1" s="1"/>
  <c r="CW93" i="1"/>
  <c r="CX93" i="1"/>
  <c r="CZ93" i="1"/>
  <c r="DB93" i="1" s="1"/>
  <c r="DA93" i="1"/>
  <c r="DG93" i="1"/>
  <c r="DH93" i="1"/>
  <c r="DI93" i="1"/>
  <c r="DJ93" i="1"/>
  <c r="DL93" i="1" s="1"/>
  <c r="DK93" i="1"/>
  <c r="DM93" i="1"/>
  <c r="DN93" i="1"/>
  <c r="DP93" i="1"/>
  <c r="DR93" i="1" s="1"/>
  <c r="DQ93" i="1"/>
  <c r="DS93" i="1"/>
  <c r="DU93" i="1" s="1"/>
  <c r="DT93" i="1"/>
  <c r="DV93" i="1"/>
  <c r="DW93" i="1"/>
  <c r="DY93" i="1"/>
  <c r="EA93" i="1" s="1"/>
  <c r="DZ93" i="1"/>
  <c r="EF93" i="1"/>
  <c r="EG93" i="1"/>
  <c r="EH93" i="1" s="1"/>
  <c r="EI93" i="1"/>
  <c r="EJ93" i="1"/>
  <c r="EL93" i="1"/>
  <c r="EN93" i="1" s="1"/>
  <c r="EM93" i="1"/>
  <c r="EO93" i="1"/>
  <c r="EP93" i="1"/>
  <c r="EQ93" i="1"/>
  <c r="ER93" i="1"/>
  <c r="ET93" i="1" s="1"/>
  <c r="ES93" i="1"/>
  <c r="EU93" i="1"/>
  <c r="EW93" i="1" s="1"/>
  <c r="EV93" i="1"/>
  <c r="FB93" i="1"/>
  <c r="FC93" i="1"/>
  <c r="FD93" i="1"/>
  <c r="FE93" i="1"/>
  <c r="FG93" i="1" s="1"/>
  <c r="FF93" i="1"/>
  <c r="FH93" i="1"/>
  <c r="FJ93" i="1" s="1"/>
  <c r="FI93" i="1"/>
  <c r="FK93" i="1"/>
  <c r="FL93" i="1"/>
  <c r="FN93" i="1"/>
  <c r="FP93" i="1" s="1"/>
  <c r="FO93" i="1"/>
  <c r="FU93" i="1"/>
  <c r="FV93" i="1"/>
  <c r="FX93" i="1"/>
  <c r="FZ93" i="1" s="1"/>
  <c r="FY93" i="1"/>
  <c r="GA93" i="1"/>
  <c r="GB93" i="1"/>
  <c r="GC93" i="1" s="1"/>
  <c r="GD93" i="1"/>
  <c r="GE93" i="1"/>
  <c r="GF93" i="1"/>
  <c r="GK93" i="1"/>
  <c r="GM93" i="1" s="1"/>
  <c r="GL93" i="1"/>
  <c r="GN93" i="1"/>
  <c r="GO93" i="1"/>
  <c r="GP93" i="1" s="1"/>
  <c r="GQ93" i="1"/>
  <c r="GR93" i="1"/>
  <c r="GS93" i="1"/>
  <c r="GX93" i="1"/>
  <c r="GZ93" i="1" s="1"/>
  <c r="GY93" i="1"/>
  <c r="HA93" i="1"/>
  <c r="HB93" i="1"/>
  <c r="HC93" i="1" s="1"/>
  <c r="HH93" i="1"/>
  <c r="HI93" i="1"/>
  <c r="L94" i="1"/>
  <c r="AV94" i="1" s="1"/>
  <c r="N94" i="1" s="1"/>
  <c r="AZ94" i="1"/>
  <c r="BB94" i="1" s="1"/>
  <c r="BA94" i="1"/>
  <c r="BC94" i="1"/>
  <c r="BD94" i="1"/>
  <c r="BE94" i="1"/>
  <c r="BF94" i="1"/>
  <c r="BH94" i="1" s="1"/>
  <c r="BG94" i="1"/>
  <c r="BI94" i="1"/>
  <c r="BK94" i="1" s="1"/>
  <c r="BJ94" i="1"/>
  <c r="BL94" i="1"/>
  <c r="BM94" i="1"/>
  <c r="BO94" i="1"/>
  <c r="BQ94" i="1" s="1"/>
  <c r="BP94" i="1"/>
  <c r="BR94" i="1"/>
  <c r="BS94" i="1"/>
  <c r="BT94" i="1" s="1"/>
  <c r="BU94" i="1"/>
  <c r="BV94" i="1"/>
  <c r="BX94" i="1"/>
  <c r="BZ94" i="1" s="1"/>
  <c r="BY94" i="1"/>
  <c r="CE94" i="1"/>
  <c r="CF94" i="1"/>
  <c r="CG94" i="1"/>
  <c r="CH94" i="1"/>
  <c r="CJ94" i="1" s="1"/>
  <c r="CI94" i="1"/>
  <c r="CK94" i="1"/>
  <c r="CL94" i="1"/>
  <c r="CN94" i="1"/>
  <c r="CP94" i="1" s="1"/>
  <c r="CO94" i="1"/>
  <c r="CQ94" i="1"/>
  <c r="CS94" i="1" s="1"/>
  <c r="CR94" i="1"/>
  <c r="CT94" i="1"/>
  <c r="CU94" i="1"/>
  <c r="CW94" i="1"/>
  <c r="CY94" i="1" s="1"/>
  <c r="CX94" i="1"/>
  <c r="CZ94" i="1"/>
  <c r="DA94" i="1"/>
  <c r="DB94" i="1" s="1"/>
  <c r="DG94" i="1"/>
  <c r="DH94" i="1"/>
  <c r="DJ94" i="1"/>
  <c r="DL94" i="1" s="1"/>
  <c r="DK94" i="1"/>
  <c r="DM94" i="1"/>
  <c r="DN94" i="1"/>
  <c r="DO94" i="1"/>
  <c r="DP94" i="1"/>
  <c r="DR94" i="1" s="1"/>
  <c r="DQ94" i="1"/>
  <c r="DS94" i="1"/>
  <c r="DU94" i="1" s="1"/>
  <c r="DT94" i="1"/>
  <c r="DV94" i="1"/>
  <c r="DW94" i="1"/>
  <c r="DY94" i="1"/>
  <c r="EA94" i="1" s="1"/>
  <c r="DZ94" i="1"/>
  <c r="EF94" i="1"/>
  <c r="EG94" i="1"/>
  <c r="EI94" i="1"/>
  <c r="EK94" i="1" s="1"/>
  <c r="EJ94" i="1"/>
  <c r="EL94" i="1"/>
  <c r="EM94" i="1"/>
  <c r="EN94" i="1" s="1"/>
  <c r="EO94" i="1"/>
  <c r="EP94" i="1"/>
  <c r="EQ94" i="1"/>
  <c r="ER94" i="1"/>
  <c r="ET94" i="1" s="1"/>
  <c r="ES94" i="1"/>
  <c r="EU94" i="1"/>
  <c r="EV94" i="1"/>
  <c r="FB94" i="1"/>
  <c r="FD94" i="1" s="1"/>
  <c r="FC94" i="1"/>
  <c r="FE94" i="1"/>
  <c r="FG94" i="1" s="1"/>
  <c r="FF94" i="1"/>
  <c r="FH94" i="1"/>
  <c r="FI94" i="1"/>
  <c r="FK94" i="1"/>
  <c r="FM94" i="1" s="1"/>
  <c r="FL94" i="1"/>
  <c r="FN94" i="1"/>
  <c r="FO94" i="1"/>
  <c r="FP94" i="1" s="1"/>
  <c r="FU94" i="1"/>
  <c r="FV94" i="1"/>
  <c r="FX94" i="1"/>
  <c r="FZ94" i="1" s="1"/>
  <c r="FY94" i="1"/>
  <c r="GA94" i="1"/>
  <c r="GC94" i="1" s="1"/>
  <c r="GB94" i="1"/>
  <c r="GD94" i="1"/>
  <c r="GE94" i="1"/>
  <c r="GK94" i="1"/>
  <c r="GL94" i="1"/>
  <c r="GM94" i="1"/>
  <c r="GN94" i="1"/>
  <c r="GP94" i="1" s="1"/>
  <c r="GO94" i="1"/>
  <c r="GQ94" i="1"/>
  <c r="GS94" i="1" s="1"/>
  <c r="GR94" i="1"/>
  <c r="GX94" i="1"/>
  <c r="GY94" i="1"/>
  <c r="GZ94" i="1" s="1"/>
  <c r="HA94" i="1"/>
  <c r="HB94" i="1"/>
  <c r="HC94" i="1"/>
  <c r="HH94" i="1"/>
  <c r="HI94" i="1"/>
  <c r="L95" i="1"/>
  <c r="M95" i="1"/>
  <c r="M95" i="3" s="1"/>
  <c r="N95" i="1"/>
  <c r="N95" i="3" s="1"/>
  <c r="AV95" i="1"/>
  <c r="AW95" i="1"/>
  <c r="O95" i="1" s="1"/>
  <c r="O95" i="3" s="1"/>
  <c r="AX95" i="1"/>
  <c r="AZ95" i="1"/>
  <c r="BB95" i="1" s="1"/>
  <c r="BA95" i="1"/>
  <c r="BC95" i="1"/>
  <c r="BD95" i="1"/>
  <c r="BE95" i="1" s="1"/>
  <c r="BF95" i="1"/>
  <c r="BG95" i="1"/>
  <c r="BI95" i="1"/>
  <c r="BK95" i="1" s="1"/>
  <c r="BJ95" i="1"/>
  <c r="BL95" i="1"/>
  <c r="BM95" i="1"/>
  <c r="BN95" i="1"/>
  <c r="BO95" i="1"/>
  <c r="BQ95" i="1" s="1"/>
  <c r="BP95" i="1"/>
  <c r="BR95" i="1"/>
  <c r="BS95" i="1"/>
  <c r="BU95" i="1"/>
  <c r="BV95" i="1"/>
  <c r="BX95" i="1"/>
  <c r="BZ95" i="1" s="1"/>
  <c r="BY95" i="1"/>
  <c r="CE95" i="1"/>
  <c r="CF95" i="1"/>
  <c r="CH95" i="1"/>
  <c r="CI95" i="1"/>
  <c r="CK95" i="1"/>
  <c r="CL95" i="1"/>
  <c r="CM95" i="1" s="1"/>
  <c r="CN95" i="1"/>
  <c r="CO95" i="1"/>
  <c r="CP95" i="1"/>
  <c r="CQ95" i="1"/>
  <c r="CR95" i="1"/>
  <c r="CT95" i="1"/>
  <c r="CU95" i="1"/>
  <c r="CW95" i="1"/>
  <c r="CY95" i="1" s="1"/>
  <c r="CX95" i="1"/>
  <c r="CZ95" i="1"/>
  <c r="DB95" i="1" s="1"/>
  <c r="DA95" i="1"/>
  <c r="DC95" i="1"/>
  <c r="DG95" i="1"/>
  <c r="DI95" i="1" s="1"/>
  <c r="DH95" i="1"/>
  <c r="DJ95" i="1"/>
  <c r="DK95" i="1"/>
  <c r="DL95" i="1"/>
  <c r="DM95" i="1"/>
  <c r="DO95" i="1" s="1"/>
  <c r="DN95" i="1"/>
  <c r="DP95" i="1"/>
  <c r="DQ95" i="1"/>
  <c r="DS95" i="1"/>
  <c r="DT95" i="1"/>
  <c r="DV95" i="1"/>
  <c r="DX95" i="1" s="1"/>
  <c r="DW95" i="1"/>
  <c r="DY95" i="1"/>
  <c r="DZ95" i="1"/>
  <c r="EA95" i="1" s="1"/>
  <c r="EF95" i="1"/>
  <c r="EG95" i="1"/>
  <c r="EI95" i="1"/>
  <c r="EK95" i="1" s="1"/>
  <c r="EJ95" i="1"/>
  <c r="EL95" i="1"/>
  <c r="EN95" i="1" s="1"/>
  <c r="EM95" i="1"/>
  <c r="EO95" i="1"/>
  <c r="EP95" i="1"/>
  <c r="ER95" i="1"/>
  <c r="ES95" i="1"/>
  <c r="EU95" i="1"/>
  <c r="EV95" i="1"/>
  <c r="EW95" i="1" s="1"/>
  <c r="FB95" i="1"/>
  <c r="FC95" i="1"/>
  <c r="FE95" i="1"/>
  <c r="FF95" i="1"/>
  <c r="FH95" i="1"/>
  <c r="FI95" i="1"/>
  <c r="FJ95" i="1"/>
  <c r="FK95" i="1"/>
  <c r="FM95" i="1" s="1"/>
  <c r="FL95" i="1"/>
  <c r="FN95" i="1"/>
  <c r="FP95" i="1" s="1"/>
  <c r="FO95" i="1"/>
  <c r="FQ95" i="1"/>
  <c r="FR95" i="1"/>
  <c r="FU95" i="1"/>
  <c r="FW95" i="1" s="1"/>
  <c r="FV95" i="1"/>
  <c r="FX95" i="1"/>
  <c r="FY95" i="1"/>
  <c r="FZ95" i="1" s="1"/>
  <c r="GA95" i="1"/>
  <c r="GB95" i="1"/>
  <c r="GD95" i="1"/>
  <c r="GF95" i="1" s="1"/>
  <c r="GE95" i="1"/>
  <c r="GH95" i="1"/>
  <c r="GK95" i="1"/>
  <c r="GL95" i="1"/>
  <c r="GM95" i="1" s="1"/>
  <c r="GN95" i="1"/>
  <c r="GO95" i="1"/>
  <c r="GQ95" i="1"/>
  <c r="GR95" i="1"/>
  <c r="GU95" i="1"/>
  <c r="GX95" i="1"/>
  <c r="GY95" i="1"/>
  <c r="GZ95" i="1" s="1"/>
  <c r="HA95" i="1"/>
  <c r="HB95" i="1"/>
  <c r="HD95" i="1"/>
  <c r="HF95" i="1" s="1"/>
  <c r="HE95" i="1"/>
  <c r="HH95" i="1"/>
  <c r="HI95" i="1"/>
  <c r="HJ95" i="1"/>
  <c r="HO95" i="1"/>
  <c r="HS95" i="1"/>
  <c r="HT95" i="1"/>
  <c r="HW95" i="1"/>
  <c r="IB95" i="1"/>
  <c r="IE95" i="1"/>
  <c r="IF95" i="1"/>
  <c r="II95" i="1"/>
  <c r="IN95" i="1"/>
  <c r="IQ95" i="1"/>
  <c r="IR95" i="1"/>
  <c r="IU95" i="1"/>
  <c r="L96" i="1"/>
  <c r="M96" i="1" s="1"/>
  <c r="AV96" i="1"/>
  <c r="N96" i="1" s="1"/>
  <c r="AW96" i="1"/>
  <c r="O96" i="1" s="1"/>
  <c r="O96" i="3" s="1"/>
  <c r="AZ96" i="1"/>
  <c r="BB96" i="1" s="1"/>
  <c r="BA96" i="1"/>
  <c r="BC96" i="1"/>
  <c r="BD96" i="1"/>
  <c r="BF96" i="1"/>
  <c r="BH96" i="1" s="1"/>
  <c r="BG96" i="1"/>
  <c r="BI96" i="1"/>
  <c r="BJ96" i="1"/>
  <c r="BK96" i="1" s="1"/>
  <c r="BL96" i="1"/>
  <c r="BM96" i="1"/>
  <c r="BN96" i="1"/>
  <c r="BO96" i="1"/>
  <c r="BQ96" i="1" s="1"/>
  <c r="BP96" i="1"/>
  <c r="BR96" i="1"/>
  <c r="BS96" i="1"/>
  <c r="BU96" i="1"/>
  <c r="BW96" i="1" s="1"/>
  <c r="BV96" i="1"/>
  <c r="BX96" i="1"/>
  <c r="BZ96" i="1" s="1"/>
  <c r="BY96" i="1"/>
  <c r="CE96" i="1"/>
  <c r="CG96" i="1" s="1"/>
  <c r="CF96" i="1"/>
  <c r="CH96" i="1"/>
  <c r="CI96" i="1"/>
  <c r="CJ96" i="1"/>
  <c r="CK96" i="1"/>
  <c r="CM96" i="1" s="1"/>
  <c r="CL96" i="1"/>
  <c r="CN96" i="1"/>
  <c r="CP96" i="1" s="1"/>
  <c r="CO96" i="1"/>
  <c r="CQ96" i="1"/>
  <c r="CR96" i="1"/>
  <c r="CT96" i="1"/>
  <c r="CV96" i="1" s="1"/>
  <c r="CU96" i="1"/>
  <c r="CW96" i="1"/>
  <c r="CX96" i="1"/>
  <c r="CY96" i="1" s="1"/>
  <c r="CZ96" i="1"/>
  <c r="DA96" i="1"/>
  <c r="DG96" i="1"/>
  <c r="DH96" i="1"/>
  <c r="DI96" i="1"/>
  <c r="DJ96" i="1"/>
  <c r="DL96" i="1" s="1"/>
  <c r="DK96" i="1"/>
  <c r="DM96" i="1"/>
  <c r="DO96" i="1" s="1"/>
  <c r="DN96" i="1"/>
  <c r="DP96" i="1"/>
  <c r="DQ96" i="1"/>
  <c r="DS96" i="1"/>
  <c r="DU96" i="1" s="1"/>
  <c r="DT96" i="1"/>
  <c r="DV96" i="1"/>
  <c r="DW96" i="1"/>
  <c r="DX96" i="1" s="1"/>
  <c r="DY96" i="1"/>
  <c r="DZ96" i="1"/>
  <c r="EF96" i="1"/>
  <c r="EG96" i="1"/>
  <c r="EH96" i="1"/>
  <c r="EI96" i="1"/>
  <c r="EK96" i="1" s="1"/>
  <c r="EJ96" i="1"/>
  <c r="EL96" i="1"/>
  <c r="EN96" i="1" s="1"/>
  <c r="EM96" i="1"/>
  <c r="EO96" i="1"/>
  <c r="EP96" i="1"/>
  <c r="ER96" i="1"/>
  <c r="ET96" i="1" s="1"/>
  <c r="ES96" i="1"/>
  <c r="EU96" i="1"/>
  <c r="EV96" i="1"/>
  <c r="EW96" i="1" s="1"/>
  <c r="FB96" i="1"/>
  <c r="FC96" i="1"/>
  <c r="FE96" i="1"/>
  <c r="FG96" i="1" s="1"/>
  <c r="FF96" i="1"/>
  <c r="FH96" i="1"/>
  <c r="FJ96" i="1" s="1"/>
  <c r="FI96" i="1"/>
  <c r="FK96" i="1"/>
  <c r="FL96" i="1"/>
  <c r="FN96" i="1"/>
  <c r="FO96" i="1"/>
  <c r="FU96" i="1"/>
  <c r="FV96" i="1"/>
  <c r="FW96" i="1"/>
  <c r="FX96" i="1"/>
  <c r="FZ96" i="1" s="1"/>
  <c r="FY96" i="1"/>
  <c r="GA96" i="1"/>
  <c r="GB96" i="1"/>
  <c r="GD96" i="1"/>
  <c r="GF96" i="1" s="1"/>
  <c r="GE96" i="1"/>
  <c r="GK96" i="1"/>
  <c r="GM96" i="1" s="1"/>
  <c r="GL96" i="1"/>
  <c r="GN96" i="1"/>
  <c r="GO96" i="1"/>
  <c r="GQ96" i="1"/>
  <c r="GS96" i="1" s="1"/>
  <c r="GR96" i="1"/>
  <c r="GX96" i="1"/>
  <c r="GZ96" i="1" s="1"/>
  <c r="GY96" i="1"/>
  <c r="HA96" i="1"/>
  <c r="HB96" i="1"/>
  <c r="HH96" i="1"/>
  <c r="HJ96" i="1" s="1"/>
  <c r="HI96" i="1"/>
  <c r="L97" i="1"/>
  <c r="AZ97" i="1"/>
  <c r="BB97" i="1" s="1"/>
  <c r="BA97" i="1"/>
  <c r="BC97" i="1"/>
  <c r="BD97" i="1"/>
  <c r="BF97" i="1"/>
  <c r="BH97" i="1" s="1"/>
  <c r="BG97" i="1"/>
  <c r="BI97" i="1"/>
  <c r="BK97" i="1" s="1"/>
  <c r="BJ97" i="1"/>
  <c r="BL97" i="1"/>
  <c r="BM97" i="1"/>
  <c r="BO97" i="1"/>
  <c r="BQ97" i="1" s="1"/>
  <c r="BP97" i="1"/>
  <c r="BR97" i="1"/>
  <c r="BS97" i="1"/>
  <c r="BT97" i="1" s="1"/>
  <c r="BU97" i="1"/>
  <c r="BV97" i="1"/>
  <c r="BW97" i="1"/>
  <c r="BX97" i="1"/>
  <c r="BZ97" i="1" s="1"/>
  <c r="BY97" i="1"/>
  <c r="CE97" i="1"/>
  <c r="CF97" i="1"/>
  <c r="CG97" i="1" s="1"/>
  <c r="CH97" i="1"/>
  <c r="CI97" i="1"/>
  <c r="CJ97" i="1"/>
  <c r="CK97" i="1"/>
  <c r="CM97" i="1" s="1"/>
  <c r="CL97" i="1"/>
  <c r="CN97" i="1"/>
  <c r="CO97" i="1"/>
  <c r="CQ97" i="1"/>
  <c r="CS97" i="1" s="1"/>
  <c r="CR97" i="1"/>
  <c r="CT97" i="1"/>
  <c r="CV97" i="1" s="1"/>
  <c r="CU97" i="1"/>
  <c r="CW97" i="1"/>
  <c r="CX97" i="1"/>
  <c r="CZ97" i="1"/>
  <c r="DA97" i="1"/>
  <c r="DG97" i="1"/>
  <c r="DH97" i="1"/>
  <c r="DI97" i="1" s="1"/>
  <c r="DJ97" i="1"/>
  <c r="DK97" i="1"/>
  <c r="DM97" i="1"/>
  <c r="DN97" i="1"/>
  <c r="DP97" i="1"/>
  <c r="DQ97" i="1"/>
  <c r="DR97" i="1"/>
  <c r="DS97" i="1"/>
  <c r="DU97" i="1" s="1"/>
  <c r="DT97" i="1"/>
  <c r="DV97" i="1"/>
  <c r="DX97" i="1" s="1"/>
  <c r="DW97" i="1"/>
  <c r="DY97" i="1"/>
  <c r="DZ97" i="1"/>
  <c r="EF97" i="1"/>
  <c r="EH97" i="1" s="1"/>
  <c r="EG97" i="1"/>
  <c r="EI97" i="1"/>
  <c r="EJ97" i="1"/>
  <c r="EL97" i="1"/>
  <c r="EN97" i="1" s="1"/>
  <c r="EM97" i="1"/>
  <c r="EO97" i="1"/>
  <c r="EP97" i="1"/>
  <c r="EQ97" i="1" s="1"/>
  <c r="ER97" i="1"/>
  <c r="ES97" i="1"/>
  <c r="ET97" i="1"/>
  <c r="EU97" i="1"/>
  <c r="EW97" i="1" s="1"/>
  <c r="EV97" i="1"/>
  <c r="FB97" i="1"/>
  <c r="FC97" i="1"/>
  <c r="FD97" i="1" s="1"/>
  <c r="FE97" i="1"/>
  <c r="FF97" i="1"/>
  <c r="FG97" i="1"/>
  <c r="FH97" i="1"/>
  <c r="FJ97" i="1" s="1"/>
  <c r="FI97" i="1"/>
  <c r="FK97" i="1"/>
  <c r="FL97" i="1"/>
  <c r="FN97" i="1"/>
  <c r="FP97" i="1" s="1"/>
  <c r="FO97" i="1"/>
  <c r="FU97" i="1"/>
  <c r="FW97" i="1" s="1"/>
  <c r="FV97" i="1"/>
  <c r="FX97" i="1"/>
  <c r="FY97" i="1"/>
  <c r="GA97" i="1"/>
  <c r="GC97" i="1" s="1"/>
  <c r="GB97" i="1"/>
  <c r="GD97" i="1"/>
  <c r="GE97" i="1"/>
  <c r="GF97" i="1" s="1"/>
  <c r="GK97" i="1"/>
  <c r="GL97" i="1"/>
  <c r="GN97" i="1"/>
  <c r="GP97" i="1" s="1"/>
  <c r="GO97" i="1"/>
  <c r="GQ97" i="1"/>
  <c r="GR97" i="1"/>
  <c r="GS97" i="1" s="1"/>
  <c r="GX97" i="1"/>
  <c r="GY97" i="1"/>
  <c r="HA97" i="1"/>
  <c r="HC97" i="1" s="1"/>
  <c r="HB97" i="1"/>
  <c r="HH97" i="1"/>
  <c r="HI97" i="1"/>
  <c r="L98" i="1"/>
  <c r="M98" i="1" s="1"/>
  <c r="AV98" i="1"/>
  <c r="N98" i="1" s="1"/>
  <c r="N98" i="3" s="1"/>
  <c r="AZ98" i="1"/>
  <c r="BA98" i="1"/>
  <c r="BC98" i="1"/>
  <c r="BE98" i="1" s="1"/>
  <c r="BD98" i="1"/>
  <c r="BF98" i="1"/>
  <c r="BH98" i="1" s="1"/>
  <c r="BG98" i="1"/>
  <c r="BI98" i="1"/>
  <c r="BJ98" i="1"/>
  <c r="BL98" i="1"/>
  <c r="BM98" i="1"/>
  <c r="BO98" i="1"/>
  <c r="BP98" i="1"/>
  <c r="BQ98" i="1" s="1"/>
  <c r="BR98" i="1"/>
  <c r="BS98" i="1"/>
  <c r="BT98" i="1"/>
  <c r="BU98" i="1"/>
  <c r="BW98" i="1" s="1"/>
  <c r="BV98" i="1"/>
  <c r="BX98" i="1"/>
  <c r="BY98" i="1"/>
  <c r="CE98" i="1"/>
  <c r="CG98" i="1" s="1"/>
  <c r="CF98" i="1"/>
  <c r="CH98" i="1"/>
  <c r="CJ98" i="1" s="1"/>
  <c r="CI98" i="1"/>
  <c r="CK98" i="1"/>
  <c r="CL98" i="1"/>
  <c r="CN98" i="1"/>
  <c r="CP98" i="1" s="1"/>
  <c r="CO98" i="1"/>
  <c r="CQ98" i="1"/>
  <c r="CR98" i="1"/>
  <c r="CS98" i="1" s="1"/>
  <c r="CT98" i="1"/>
  <c r="CU98" i="1"/>
  <c r="CW98" i="1"/>
  <c r="CX98" i="1"/>
  <c r="CZ98" i="1"/>
  <c r="DA98" i="1"/>
  <c r="DB98" i="1"/>
  <c r="DG98" i="1"/>
  <c r="DI98" i="1" s="1"/>
  <c r="DH98" i="1"/>
  <c r="DJ98" i="1"/>
  <c r="DK98" i="1"/>
  <c r="DM98" i="1"/>
  <c r="DO98" i="1" s="1"/>
  <c r="DN98" i="1"/>
  <c r="DP98" i="1"/>
  <c r="DR98" i="1" s="1"/>
  <c r="DQ98" i="1"/>
  <c r="DS98" i="1"/>
  <c r="DT98" i="1"/>
  <c r="DV98" i="1"/>
  <c r="DW98" i="1"/>
  <c r="DY98" i="1"/>
  <c r="DZ98" i="1"/>
  <c r="EA98" i="1" s="1"/>
  <c r="EF98" i="1"/>
  <c r="EG98" i="1"/>
  <c r="EI98" i="1"/>
  <c r="EJ98" i="1"/>
  <c r="EL98" i="1"/>
  <c r="EM98" i="1"/>
  <c r="EN98" i="1"/>
  <c r="EO98" i="1"/>
  <c r="EQ98" i="1" s="1"/>
  <c r="EP98" i="1"/>
  <c r="ER98" i="1"/>
  <c r="ET98" i="1" s="1"/>
  <c r="ES98" i="1"/>
  <c r="EU98" i="1"/>
  <c r="EV98" i="1"/>
  <c r="FB98" i="1"/>
  <c r="FD98" i="1" s="1"/>
  <c r="FC98" i="1"/>
  <c r="FE98" i="1"/>
  <c r="FF98" i="1"/>
  <c r="FH98" i="1"/>
  <c r="FJ98" i="1" s="1"/>
  <c r="FI98" i="1"/>
  <c r="FK98" i="1"/>
  <c r="FL98" i="1"/>
  <c r="FM98" i="1" s="1"/>
  <c r="FN98" i="1"/>
  <c r="FO98" i="1"/>
  <c r="FP98" i="1"/>
  <c r="FU98" i="1"/>
  <c r="FV98" i="1"/>
  <c r="FX98" i="1"/>
  <c r="FZ98" i="1" s="1"/>
  <c r="FY98" i="1"/>
  <c r="GA98" i="1"/>
  <c r="GB98" i="1"/>
  <c r="GC98" i="1" s="1"/>
  <c r="GD98" i="1"/>
  <c r="GE98" i="1"/>
  <c r="GK98" i="1"/>
  <c r="GM98" i="1" s="1"/>
  <c r="GL98" i="1"/>
  <c r="GN98" i="1"/>
  <c r="GP98" i="1" s="1"/>
  <c r="GO98" i="1"/>
  <c r="GQ98" i="1"/>
  <c r="GR98" i="1"/>
  <c r="GX98" i="1"/>
  <c r="GY98" i="1"/>
  <c r="GZ98" i="1"/>
  <c r="HA98" i="1"/>
  <c r="HC98" i="1" s="1"/>
  <c r="HB98" i="1"/>
  <c r="HH98" i="1"/>
  <c r="HJ98" i="1" s="1"/>
  <c r="HI98" i="1"/>
  <c r="L99" i="1"/>
  <c r="M99" i="1" s="1"/>
  <c r="AV99" i="1"/>
  <c r="N99" i="1" s="1"/>
  <c r="AW99" i="1"/>
  <c r="O99" i="1" s="1"/>
  <c r="O99" i="3" s="1"/>
  <c r="AZ99" i="1"/>
  <c r="BA99" i="1"/>
  <c r="BB99" i="1" s="1"/>
  <c r="BC99" i="1"/>
  <c r="BD99" i="1"/>
  <c r="BE99" i="1"/>
  <c r="BF99" i="1"/>
  <c r="BH99" i="1" s="1"/>
  <c r="BG99" i="1"/>
  <c r="BI99" i="1"/>
  <c r="BJ99" i="1"/>
  <c r="BL99" i="1"/>
  <c r="BN99" i="1" s="1"/>
  <c r="BM99" i="1"/>
  <c r="BO99" i="1"/>
  <c r="BQ99" i="1" s="1"/>
  <c r="BP99" i="1"/>
  <c r="BR99" i="1"/>
  <c r="BS99" i="1"/>
  <c r="BU99" i="1"/>
  <c r="BV99" i="1"/>
  <c r="BX99" i="1"/>
  <c r="BY99" i="1"/>
  <c r="BZ99" i="1" s="1"/>
  <c r="CE99" i="1"/>
  <c r="CF99" i="1"/>
  <c r="CH99" i="1"/>
  <c r="CI99" i="1"/>
  <c r="CK99" i="1"/>
  <c r="CL99" i="1"/>
  <c r="CM99" i="1"/>
  <c r="CN99" i="1"/>
  <c r="CP99" i="1" s="1"/>
  <c r="CO99" i="1"/>
  <c r="CQ99" i="1"/>
  <c r="CS99" i="1" s="1"/>
  <c r="CR99" i="1"/>
  <c r="CT99" i="1"/>
  <c r="CU99" i="1"/>
  <c r="CW99" i="1"/>
  <c r="CY99" i="1" s="1"/>
  <c r="CX99" i="1"/>
  <c r="CZ99" i="1"/>
  <c r="DA99" i="1"/>
  <c r="DB99" i="1" s="1"/>
  <c r="DG99" i="1"/>
  <c r="DH99" i="1"/>
  <c r="DJ99" i="1"/>
  <c r="DL99" i="1" s="1"/>
  <c r="DK99" i="1"/>
  <c r="DM99" i="1"/>
  <c r="DO99" i="1" s="1"/>
  <c r="DN99" i="1"/>
  <c r="DP99" i="1"/>
  <c r="DQ99" i="1"/>
  <c r="DS99" i="1"/>
  <c r="DT99" i="1"/>
  <c r="DV99" i="1"/>
  <c r="DW99" i="1"/>
  <c r="DX99" i="1" s="1"/>
  <c r="DY99" i="1"/>
  <c r="DZ99" i="1"/>
  <c r="EA99" i="1"/>
  <c r="EF99" i="1"/>
  <c r="EG99" i="1"/>
  <c r="EI99" i="1"/>
  <c r="EK99" i="1" s="1"/>
  <c r="EJ99" i="1"/>
  <c r="EL99" i="1"/>
  <c r="EM99" i="1"/>
  <c r="EN99" i="1" s="1"/>
  <c r="EO99" i="1"/>
  <c r="EP99" i="1"/>
  <c r="ER99" i="1"/>
  <c r="ES99" i="1"/>
  <c r="EU99" i="1"/>
  <c r="EV99" i="1"/>
  <c r="EW99" i="1"/>
  <c r="FB99" i="1"/>
  <c r="FD99" i="1" s="1"/>
  <c r="FC99" i="1"/>
  <c r="FE99" i="1"/>
  <c r="FF99" i="1"/>
  <c r="FH99" i="1"/>
  <c r="FJ99" i="1" s="1"/>
  <c r="FI99" i="1"/>
  <c r="FK99" i="1"/>
  <c r="FM99" i="1" s="1"/>
  <c r="FL99" i="1"/>
  <c r="FN99" i="1"/>
  <c r="FO99" i="1"/>
  <c r="FU99" i="1"/>
  <c r="FV99" i="1"/>
  <c r="FW99" i="1" s="1"/>
  <c r="FX99" i="1"/>
  <c r="FY99" i="1"/>
  <c r="FZ99" i="1"/>
  <c r="GA99" i="1"/>
  <c r="GC99" i="1" s="1"/>
  <c r="GB99" i="1"/>
  <c r="GD99" i="1"/>
  <c r="GE99" i="1"/>
  <c r="GK99" i="1"/>
  <c r="GL99" i="1"/>
  <c r="GM99" i="1"/>
  <c r="GN99" i="1"/>
  <c r="GP99" i="1" s="1"/>
  <c r="GO99" i="1"/>
  <c r="GQ99" i="1"/>
  <c r="GR99" i="1"/>
  <c r="GX99" i="1"/>
  <c r="GY99" i="1"/>
  <c r="GZ99" i="1"/>
  <c r="HA99" i="1"/>
  <c r="HC99" i="1" s="1"/>
  <c r="HB99" i="1"/>
  <c r="HH99" i="1"/>
  <c r="HJ99" i="1" s="1"/>
  <c r="HI99" i="1"/>
  <c r="L100" i="1"/>
  <c r="AY100" i="1" s="1"/>
  <c r="H101" i="5" s="1"/>
  <c r="AW100" i="1"/>
  <c r="O100" i="1" s="1"/>
  <c r="AZ100" i="1"/>
  <c r="BA100" i="1"/>
  <c r="BB100" i="1" s="1"/>
  <c r="BC100" i="1"/>
  <c r="BD100" i="1"/>
  <c r="BF100" i="1"/>
  <c r="BH100" i="1" s="1"/>
  <c r="BG100" i="1"/>
  <c r="BI100" i="1"/>
  <c r="BJ100" i="1"/>
  <c r="BK100" i="1"/>
  <c r="BL100" i="1"/>
  <c r="BN100" i="1" s="1"/>
  <c r="BM100" i="1"/>
  <c r="BO100" i="1"/>
  <c r="BQ100" i="1" s="1"/>
  <c r="BP100" i="1"/>
  <c r="BR100" i="1"/>
  <c r="BS100" i="1"/>
  <c r="BU100" i="1"/>
  <c r="BW100" i="1" s="1"/>
  <c r="BV100" i="1"/>
  <c r="BX100" i="1"/>
  <c r="BY100" i="1"/>
  <c r="BZ100" i="1" s="1"/>
  <c r="CE100" i="1"/>
  <c r="CF100" i="1"/>
  <c r="CH100" i="1"/>
  <c r="CJ100" i="1" s="1"/>
  <c r="CI100" i="1"/>
  <c r="CK100" i="1"/>
  <c r="CM100" i="1" s="1"/>
  <c r="CL100" i="1"/>
  <c r="CN100" i="1"/>
  <c r="CO100" i="1"/>
  <c r="CQ100" i="1"/>
  <c r="CR100" i="1"/>
  <c r="CT100" i="1"/>
  <c r="CU100" i="1"/>
  <c r="CV100" i="1" s="1"/>
  <c r="CW100" i="1"/>
  <c r="CY100" i="1" s="1"/>
  <c r="CX100" i="1"/>
  <c r="CZ100" i="1"/>
  <c r="DB100" i="1" s="1"/>
  <c r="DA100" i="1"/>
  <c r="DG100" i="1"/>
  <c r="DI100" i="1" s="1"/>
  <c r="DH100" i="1"/>
  <c r="DJ100" i="1"/>
  <c r="DK100" i="1"/>
  <c r="DL100" i="1" s="1"/>
  <c r="DM100" i="1"/>
  <c r="DN100" i="1"/>
  <c r="DP100" i="1"/>
  <c r="DQ100" i="1"/>
  <c r="DS100" i="1"/>
  <c r="DT100" i="1"/>
  <c r="DU100" i="1" s="1"/>
  <c r="DV100" i="1"/>
  <c r="DX100" i="1" s="1"/>
  <c r="DW100" i="1"/>
  <c r="DY100" i="1"/>
  <c r="DZ100" i="1"/>
  <c r="EF100" i="1"/>
  <c r="EG100" i="1"/>
  <c r="EH100" i="1" s="1"/>
  <c r="EI100" i="1"/>
  <c r="EJ100" i="1"/>
  <c r="EK100" i="1"/>
  <c r="EL100" i="1"/>
  <c r="EN100" i="1" s="1"/>
  <c r="EM100" i="1"/>
  <c r="EO100" i="1"/>
  <c r="EP100" i="1"/>
  <c r="ER100" i="1"/>
  <c r="ES100" i="1"/>
  <c r="EU100" i="1"/>
  <c r="EV100" i="1"/>
  <c r="EW100" i="1" s="1"/>
  <c r="FB100" i="1"/>
  <c r="FC100" i="1"/>
  <c r="FE100" i="1"/>
  <c r="FF100" i="1"/>
  <c r="FH100" i="1"/>
  <c r="FI100" i="1"/>
  <c r="FJ100" i="1" s="1"/>
  <c r="FK100" i="1"/>
  <c r="FL100" i="1"/>
  <c r="FN100" i="1"/>
  <c r="FP100" i="1" s="1"/>
  <c r="FO100" i="1"/>
  <c r="FU100" i="1"/>
  <c r="FW100" i="1" s="1"/>
  <c r="FV100" i="1"/>
  <c r="FX100" i="1"/>
  <c r="FZ100" i="1" s="1"/>
  <c r="FY100" i="1"/>
  <c r="GA100" i="1"/>
  <c r="GB100" i="1"/>
  <c r="GD100" i="1"/>
  <c r="GF100" i="1" s="1"/>
  <c r="GE100" i="1"/>
  <c r="GK100" i="1"/>
  <c r="GM100" i="1" s="1"/>
  <c r="GL100" i="1"/>
  <c r="GN100" i="1"/>
  <c r="GO100" i="1"/>
  <c r="GQ100" i="1"/>
  <c r="GS100" i="1" s="1"/>
  <c r="GR100" i="1"/>
  <c r="GX100" i="1"/>
  <c r="GZ100" i="1" s="1"/>
  <c r="GY100" i="1"/>
  <c r="HA100" i="1"/>
  <c r="HB100" i="1"/>
  <c r="HH100" i="1"/>
  <c r="HI100" i="1"/>
  <c r="HJ100" i="1" s="1"/>
  <c r="L101" i="1"/>
  <c r="AZ101" i="1"/>
  <c r="BA101" i="1"/>
  <c r="BC101" i="1"/>
  <c r="BD101" i="1"/>
  <c r="BF101" i="1"/>
  <c r="BG101" i="1"/>
  <c r="BH101" i="1" s="1"/>
  <c r="BI101" i="1"/>
  <c r="BK101" i="1" s="1"/>
  <c r="BJ101" i="1"/>
  <c r="BL101" i="1"/>
  <c r="BM101" i="1"/>
  <c r="BO101" i="1"/>
  <c r="BQ101" i="1" s="1"/>
  <c r="BP101" i="1"/>
  <c r="BR101" i="1"/>
  <c r="BS101" i="1"/>
  <c r="BT101" i="1" s="1"/>
  <c r="BU101" i="1"/>
  <c r="BV101" i="1"/>
  <c r="BW101" i="1"/>
  <c r="BX101" i="1"/>
  <c r="BZ101" i="1" s="1"/>
  <c r="BY101" i="1"/>
  <c r="CE101" i="1"/>
  <c r="CF101" i="1"/>
  <c r="CG101" i="1" s="1"/>
  <c r="CH101" i="1"/>
  <c r="CJ101" i="1" s="1"/>
  <c r="CI101" i="1"/>
  <c r="CK101" i="1"/>
  <c r="CM101" i="1" s="1"/>
  <c r="CL101" i="1"/>
  <c r="CN101" i="1"/>
  <c r="CO101" i="1"/>
  <c r="CQ101" i="1"/>
  <c r="CS101" i="1" s="1"/>
  <c r="CR101" i="1"/>
  <c r="CT101" i="1"/>
  <c r="CU101" i="1"/>
  <c r="CV101" i="1" s="1"/>
  <c r="CW101" i="1"/>
  <c r="CX101" i="1"/>
  <c r="CZ101" i="1"/>
  <c r="DA101" i="1"/>
  <c r="DG101" i="1"/>
  <c r="DH101" i="1"/>
  <c r="DI101" i="1"/>
  <c r="DJ101" i="1"/>
  <c r="DL101" i="1" s="1"/>
  <c r="DK101" i="1"/>
  <c r="DM101" i="1"/>
  <c r="DN101" i="1"/>
  <c r="DP101" i="1"/>
  <c r="DR101" i="1" s="1"/>
  <c r="DQ101" i="1"/>
  <c r="DS101" i="1"/>
  <c r="DU101" i="1" s="1"/>
  <c r="DT101" i="1"/>
  <c r="DV101" i="1"/>
  <c r="DW101" i="1"/>
  <c r="DY101" i="1"/>
  <c r="EA101" i="1" s="1"/>
  <c r="DZ101" i="1"/>
  <c r="EF101" i="1"/>
  <c r="EG101" i="1"/>
  <c r="EH101" i="1" s="1"/>
  <c r="EI101" i="1"/>
  <c r="EJ101" i="1"/>
  <c r="EL101" i="1"/>
  <c r="EM101" i="1"/>
  <c r="EO101" i="1"/>
  <c r="EP101" i="1"/>
  <c r="EQ101" i="1" s="1"/>
  <c r="ER101" i="1"/>
  <c r="ET101" i="1" s="1"/>
  <c r="ES101" i="1"/>
  <c r="EU101" i="1"/>
  <c r="EV101" i="1"/>
  <c r="FB101" i="1"/>
  <c r="FD101" i="1" s="1"/>
  <c r="FC101" i="1"/>
  <c r="FE101" i="1"/>
  <c r="FG101" i="1" s="1"/>
  <c r="FF101" i="1"/>
  <c r="FH101" i="1"/>
  <c r="FI101" i="1"/>
  <c r="FK101" i="1"/>
  <c r="FL101" i="1"/>
  <c r="FN101" i="1"/>
  <c r="FO101" i="1"/>
  <c r="FP101" i="1" s="1"/>
  <c r="FU101" i="1"/>
  <c r="FW101" i="1" s="1"/>
  <c r="FV101" i="1"/>
  <c r="FX101" i="1"/>
  <c r="FY101" i="1"/>
  <c r="GA101" i="1"/>
  <c r="GB101" i="1"/>
  <c r="GD101" i="1"/>
  <c r="GE101" i="1"/>
  <c r="GF101" i="1" s="1"/>
  <c r="GK101" i="1"/>
  <c r="GL101" i="1"/>
  <c r="GN101" i="1"/>
  <c r="GP101" i="1" s="1"/>
  <c r="GO101" i="1"/>
  <c r="GQ101" i="1"/>
  <c r="GR101" i="1"/>
  <c r="GS101" i="1" s="1"/>
  <c r="GX101" i="1"/>
  <c r="GY101" i="1"/>
  <c r="HA101" i="1"/>
  <c r="HC101" i="1" s="1"/>
  <c r="HB101" i="1"/>
  <c r="HH101" i="1"/>
  <c r="HI101" i="1"/>
  <c r="L102" i="1"/>
  <c r="M102" i="1" s="1"/>
  <c r="AZ102" i="1"/>
  <c r="BA102" i="1"/>
  <c r="BC102" i="1"/>
  <c r="BE102" i="1" s="1"/>
  <c r="BD102" i="1"/>
  <c r="BF102" i="1"/>
  <c r="BH102" i="1" s="1"/>
  <c r="BG102" i="1"/>
  <c r="BI102" i="1"/>
  <c r="BJ102" i="1"/>
  <c r="BL102" i="1"/>
  <c r="BN102" i="1" s="1"/>
  <c r="BM102" i="1"/>
  <c r="BO102" i="1"/>
  <c r="BP102" i="1"/>
  <c r="BQ102" i="1" s="1"/>
  <c r="BR102" i="1"/>
  <c r="BS102" i="1"/>
  <c r="BT102" i="1"/>
  <c r="BU102" i="1"/>
  <c r="BW102" i="1" s="1"/>
  <c r="BV102" i="1"/>
  <c r="BX102" i="1"/>
  <c r="BY102" i="1"/>
  <c r="CE102" i="1"/>
  <c r="CF102" i="1"/>
  <c r="CG102" i="1"/>
  <c r="CH102" i="1"/>
  <c r="CJ102" i="1" s="1"/>
  <c r="CI102" i="1"/>
  <c r="CK102" i="1"/>
  <c r="CL102" i="1"/>
  <c r="CN102" i="1"/>
  <c r="CP102" i="1" s="1"/>
  <c r="CO102" i="1"/>
  <c r="CQ102" i="1"/>
  <c r="CS102" i="1" s="1"/>
  <c r="CR102" i="1"/>
  <c r="CT102" i="1"/>
  <c r="CU102" i="1"/>
  <c r="CW102" i="1"/>
  <c r="CX102" i="1"/>
  <c r="CZ102" i="1"/>
  <c r="DA102" i="1"/>
  <c r="DB102" i="1" s="1"/>
  <c r="DG102" i="1"/>
  <c r="DI102" i="1" s="1"/>
  <c r="DH102" i="1"/>
  <c r="DJ102" i="1"/>
  <c r="DK102" i="1"/>
  <c r="DM102" i="1"/>
  <c r="DN102" i="1"/>
  <c r="DP102" i="1"/>
  <c r="DQ102" i="1"/>
  <c r="DS102" i="1"/>
  <c r="DT102" i="1"/>
  <c r="DV102" i="1"/>
  <c r="DW102" i="1"/>
  <c r="DY102" i="1"/>
  <c r="DZ102" i="1"/>
  <c r="EA102" i="1"/>
  <c r="EF102" i="1"/>
  <c r="EH102" i="1" s="1"/>
  <c r="EG102" i="1"/>
  <c r="EI102" i="1"/>
  <c r="EJ102" i="1"/>
  <c r="EJ109" i="1" s="1"/>
  <c r="EL102" i="1"/>
  <c r="EN102" i="1" s="1"/>
  <c r="EM102" i="1"/>
  <c r="EO102" i="1"/>
  <c r="EQ102" i="1" s="1"/>
  <c r="EP102" i="1"/>
  <c r="ER102" i="1"/>
  <c r="ES102" i="1"/>
  <c r="EU102" i="1"/>
  <c r="EV102" i="1"/>
  <c r="FB102" i="1"/>
  <c r="FD102" i="1" s="1"/>
  <c r="FC102" i="1"/>
  <c r="FE102" i="1"/>
  <c r="FF102" i="1"/>
  <c r="FH102" i="1"/>
  <c r="FI102" i="1"/>
  <c r="FK102" i="1"/>
  <c r="FL102" i="1"/>
  <c r="FL109" i="1" s="1"/>
  <c r="FN102" i="1"/>
  <c r="FO102" i="1"/>
  <c r="FP102" i="1"/>
  <c r="FU102" i="1"/>
  <c r="FV102" i="1"/>
  <c r="FX102" i="1"/>
  <c r="FZ102" i="1" s="1"/>
  <c r="FY102" i="1"/>
  <c r="GA102" i="1"/>
  <c r="GB102" i="1"/>
  <c r="GC102" i="1" s="1"/>
  <c r="GD102" i="1"/>
  <c r="GE102" i="1"/>
  <c r="GK102" i="1"/>
  <c r="GL102" i="1"/>
  <c r="GM102" i="1" s="1"/>
  <c r="GN102" i="1"/>
  <c r="GP102" i="1" s="1"/>
  <c r="GO102" i="1"/>
  <c r="GQ102" i="1"/>
  <c r="GR102" i="1"/>
  <c r="GX102" i="1"/>
  <c r="GY102" i="1"/>
  <c r="GZ102" i="1" s="1"/>
  <c r="HA102" i="1"/>
  <c r="HB102" i="1"/>
  <c r="HC102" i="1"/>
  <c r="HH102" i="1"/>
  <c r="HI102" i="1"/>
  <c r="L103" i="1"/>
  <c r="AW103" i="1" s="1"/>
  <c r="O103" i="1" s="1"/>
  <c r="AZ103" i="1"/>
  <c r="BB103" i="1" s="1"/>
  <c r="BA103" i="1"/>
  <c r="BC103" i="1"/>
  <c r="BD103" i="1"/>
  <c r="BF103" i="1"/>
  <c r="BG103" i="1"/>
  <c r="BI103" i="1"/>
  <c r="BJ103" i="1"/>
  <c r="BL103" i="1"/>
  <c r="BM103" i="1"/>
  <c r="BN103" i="1"/>
  <c r="BO103" i="1"/>
  <c r="BQ103" i="1" s="1"/>
  <c r="BP103" i="1"/>
  <c r="BR103" i="1"/>
  <c r="BT103" i="1" s="1"/>
  <c r="BS103" i="1"/>
  <c r="BU103" i="1"/>
  <c r="BV103" i="1"/>
  <c r="BX103" i="1"/>
  <c r="BZ103" i="1" s="1"/>
  <c r="BY103" i="1"/>
  <c r="CE103" i="1"/>
  <c r="CF103" i="1"/>
  <c r="CH103" i="1"/>
  <c r="CJ103" i="1" s="1"/>
  <c r="CI103" i="1"/>
  <c r="CK103" i="1"/>
  <c r="CL103" i="1"/>
  <c r="CM103" i="1" s="1"/>
  <c r="CN103" i="1"/>
  <c r="CO103" i="1"/>
  <c r="CP103" i="1"/>
  <c r="CQ103" i="1"/>
  <c r="CS103" i="1" s="1"/>
  <c r="CR103" i="1"/>
  <c r="CT103" i="1"/>
  <c r="CU103" i="1"/>
  <c r="CW103" i="1"/>
  <c r="CY103" i="1" s="1"/>
  <c r="CX103" i="1"/>
  <c r="CZ103" i="1"/>
  <c r="DB103" i="1" s="1"/>
  <c r="DA103" i="1"/>
  <c r="DG103" i="1"/>
  <c r="DH103" i="1"/>
  <c r="DJ103" i="1"/>
  <c r="DK103" i="1"/>
  <c r="DL103" i="1"/>
  <c r="DM103" i="1"/>
  <c r="DO103" i="1" s="1"/>
  <c r="DN103" i="1"/>
  <c r="DP103" i="1"/>
  <c r="DR103" i="1" s="1"/>
  <c r="DQ103" i="1"/>
  <c r="DS103" i="1"/>
  <c r="DT103" i="1"/>
  <c r="DV103" i="1"/>
  <c r="DW103" i="1"/>
  <c r="DY103" i="1"/>
  <c r="DZ103" i="1"/>
  <c r="EA103" i="1"/>
  <c r="EF103" i="1"/>
  <c r="EG103" i="1"/>
  <c r="EI103" i="1"/>
  <c r="EK103" i="1" s="1"/>
  <c r="EJ103" i="1"/>
  <c r="EL103" i="1"/>
  <c r="EM103" i="1"/>
  <c r="EN103" i="1" s="1"/>
  <c r="EO103" i="1"/>
  <c r="EP103" i="1"/>
  <c r="ER103" i="1"/>
  <c r="ET103" i="1" s="1"/>
  <c r="ES103" i="1"/>
  <c r="EU103" i="1"/>
  <c r="EV103" i="1"/>
  <c r="EW103" i="1"/>
  <c r="FB103" i="1"/>
  <c r="FD103" i="1" s="1"/>
  <c r="FC103" i="1"/>
  <c r="FE103" i="1"/>
  <c r="FF103" i="1"/>
  <c r="FH103" i="1"/>
  <c r="FJ103" i="1" s="1"/>
  <c r="FI103" i="1"/>
  <c r="FK103" i="1"/>
  <c r="FM103" i="1" s="1"/>
  <c r="FL103" i="1"/>
  <c r="FN103" i="1"/>
  <c r="FO103" i="1"/>
  <c r="FU103" i="1"/>
  <c r="FV103" i="1"/>
  <c r="FX103" i="1"/>
  <c r="FY103" i="1"/>
  <c r="FZ103" i="1"/>
  <c r="GA103" i="1"/>
  <c r="GC103" i="1" s="1"/>
  <c r="GB103" i="1"/>
  <c r="GD103" i="1"/>
  <c r="GE103" i="1"/>
  <c r="GK103" i="1"/>
  <c r="GL103" i="1"/>
  <c r="GM103" i="1"/>
  <c r="GN103" i="1"/>
  <c r="GP103" i="1" s="1"/>
  <c r="GO103" i="1"/>
  <c r="GQ103" i="1"/>
  <c r="GR103" i="1"/>
  <c r="GX103" i="1"/>
  <c r="GY103" i="1"/>
  <c r="GZ103" i="1"/>
  <c r="HA103" i="1"/>
  <c r="HC103" i="1" s="1"/>
  <c r="HB103" i="1"/>
  <c r="HH103" i="1"/>
  <c r="HJ103" i="1" s="1"/>
  <c r="HI103" i="1"/>
  <c r="L104" i="1"/>
  <c r="AI104" i="1" s="1"/>
  <c r="AY104" i="1"/>
  <c r="AZ104" i="1"/>
  <c r="BB104" i="1" s="1"/>
  <c r="BA104" i="1"/>
  <c r="BC104" i="1"/>
  <c r="BE104" i="1" s="1"/>
  <c r="BD104" i="1"/>
  <c r="BF104" i="1"/>
  <c r="BG104" i="1"/>
  <c r="BI104" i="1"/>
  <c r="BK104" i="1" s="1"/>
  <c r="BJ104" i="1"/>
  <c r="BL104" i="1"/>
  <c r="BM104" i="1"/>
  <c r="BM110" i="1" s="1"/>
  <c r="BO104" i="1"/>
  <c r="BP104" i="1"/>
  <c r="BR104" i="1"/>
  <c r="BS104" i="1"/>
  <c r="BU104" i="1"/>
  <c r="BV104" i="1"/>
  <c r="BW104" i="1"/>
  <c r="BX104" i="1"/>
  <c r="BZ104" i="1" s="1"/>
  <c r="BY104" i="1"/>
  <c r="CE104" i="1"/>
  <c r="CF104" i="1"/>
  <c r="CH104" i="1"/>
  <c r="CI104" i="1"/>
  <c r="CK104" i="1"/>
  <c r="CL104" i="1"/>
  <c r="CM104" i="1"/>
  <c r="CN104" i="1"/>
  <c r="CP104" i="1" s="1"/>
  <c r="CO104" i="1"/>
  <c r="CQ104" i="1"/>
  <c r="CR104" i="1"/>
  <c r="CT104" i="1"/>
  <c r="CU104" i="1"/>
  <c r="CW104" i="1"/>
  <c r="CX104" i="1"/>
  <c r="CX109" i="1" s="1"/>
  <c r="CZ104" i="1"/>
  <c r="DA104" i="1"/>
  <c r="DG104" i="1"/>
  <c r="DH104" i="1"/>
  <c r="DI104" i="1"/>
  <c r="DJ104" i="1"/>
  <c r="DL104" i="1" s="1"/>
  <c r="DK104" i="1"/>
  <c r="DM104" i="1"/>
  <c r="DO104" i="1" s="1"/>
  <c r="DN104" i="1"/>
  <c r="DP104" i="1"/>
  <c r="DQ104" i="1"/>
  <c r="DS104" i="1"/>
  <c r="DT104" i="1"/>
  <c r="DV104" i="1"/>
  <c r="DW104" i="1"/>
  <c r="DX104" i="1"/>
  <c r="DY104" i="1"/>
  <c r="EA104" i="1" s="1"/>
  <c r="DZ104" i="1"/>
  <c r="EF104" i="1"/>
  <c r="EH104" i="1" s="1"/>
  <c r="EG104" i="1"/>
  <c r="EI104" i="1"/>
  <c r="EK104" i="1" s="1"/>
  <c r="EJ104" i="1"/>
  <c r="EL104" i="1"/>
  <c r="EM104" i="1"/>
  <c r="EM110" i="1" s="1"/>
  <c r="EO104" i="1"/>
  <c r="EP104" i="1"/>
  <c r="ER104" i="1"/>
  <c r="ES104" i="1"/>
  <c r="ES110" i="1" s="1"/>
  <c r="EU104" i="1"/>
  <c r="EV104" i="1"/>
  <c r="FB104" i="1"/>
  <c r="FD104" i="1" s="1"/>
  <c r="FC104" i="1"/>
  <c r="FE104" i="1"/>
  <c r="FF104" i="1"/>
  <c r="FG104" i="1"/>
  <c r="FH104" i="1"/>
  <c r="FJ104" i="1" s="1"/>
  <c r="FI104" i="1"/>
  <c r="FK104" i="1"/>
  <c r="FM104" i="1" s="1"/>
  <c r="FL104" i="1"/>
  <c r="FN104" i="1"/>
  <c r="FO104" i="1"/>
  <c r="FU104" i="1"/>
  <c r="FV104" i="1"/>
  <c r="FW104" i="1" s="1"/>
  <c r="FX104" i="1"/>
  <c r="FY104" i="1"/>
  <c r="GA104" i="1"/>
  <c r="GB104" i="1"/>
  <c r="GD104" i="1"/>
  <c r="GE104" i="1"/>
  <c r="GK104" i="1"/>
  <c r="GM104" i="1" s="1"/>
  <c r="GL104" i="1"/>
  <c r="GN104" i="1"/>
  <c r="GP104" i="1" s="1"/>
  <c r="GO104" i="1"/>
  <c r="GQ104" i="1"/>
  <c r="GR104" i="1"/>
  <c r="GS104" i="1"/>
  <c r="GX104" i="1"/>
  <c r="GY104" i="1"/>
  <c r="HA104" i="1"/>
  <c r="HB104" i="1"/>
  <c r="HH104" i="1"/>
  <c r="HI104" i="1"/>
  <c r="L105" i="1"/>
  <c r="AV105" i="1"/>
  <c r="N105" i="1" s="1"/>
  <c r="AX105" i="1"/>
  <c r="AZ105" i="1"/>
  <c r="BA105" i="1"/>
  <c r="BA110" i="1" s="1"/>
  <c r="BC105" i="1"/>
  <c r="BD105" i="1"/>
  <c r="BF105" i="1"/>
  <c r="BG105" i="1"/>
  <c r="BG109" i="1" s="1"/>
  <c r="BI105" i="1"/>
  <c r="BJ105" i="1"/>
  <c r="BL105" i="1"/>
  <c r="BM105" i="1"/>
  <c r="BN105" i="1" s="1"/>
  <c r="BO105" i="1"/>
  <c r="BP105" i="1"/>
  <c r="BR105" i="1"/>
  <c r="BT105" i="1" s="1"/>
  <c r="BS105" i="1"/>
  <c r="BU105" i="1"/>
  <c r="BV105" i="1"/>
  <c r="BW105" i="1"/>
  <c r="BX105" i="1"/>
  <c r="BZ105" i="1" s="1"/>
  <c r="BY105" i="1"/>
  <c r="CE105" i="1"/>
  <c r="CG105" i="1" s="1"/>
  <c r="CF105" i="1"/>
  <c r="CH105" i="1"/>
  <c r="CI105" i="1"/>
  <c r="CJ105" i="1" s="1"/>
  <c r="CK105" i="1"/>
  <c r="CL105" i="1"/>
  <c r="CN105" i="1"/>
  <c r="CN110" i="1" s="1"/>
  <c r="CO105" i="1"/>
  <c r="CQ105" i="1"/>
  <c r="CR105" i="1"/>
  <c r="CS105" i="1"/>
  <c r="CT105" i="1"/>
  <c r="CV105" i="1" s="1"/>
  <c r="CU105" i="1"/>
  <c r="CW105" i="1"/>
  <c r="CY105" i="1" s="1"/>
  <c r="CX105" i="1"/>
  <c r="CZ105" i="1"/>
  <c r="DA105" i="1"/>
  <c r="DG105" i="1"/>
  <c r="DH105" i="1"/>
  <c r="DJ105" i="1"/>
  <c r="DK105" i="1"/>
  <c r="DL105" i="1"/>
  <c r="DM105" i="1"/>
  <c r="DN105" i="1"/>
  <c r="DP105" i="1"/>
  <c r="DQ105" i="1"/>
  <c r="DS105" i="1"/>
  <c r="DU105" i="1" s="1"/>
  <c r="DT105" i="1"/>
  <c r="DV105" i="1"/>
  <c r="DX105" i="1" s="1"/>
  <c r="DW105" i="1"/>
  <c r="DY105" i="1"/>
  <c r="DZ105" i="1"/>
  <c r="EF105" i="1"/>
  <c r="EG105" i="1"/>
  <c r="EI105" i="1"/>
  <c r="EK105" i="1" s="1"/>
  <c r="EJ105" i="1"/>
  <c r="EL105" i="1"/>
  <c r="EM105" i="1"/>
  <c r="EO105" i="1"/>
  <c r="EQ105" i="1" s="1"/>
  <c r="EP105" i="1"/>
  <c r="ER105" i="1"/>
  <c r="ES105" i="1"/>
  <c r="ET105" i="1" s="1"/>
  <c r="EU105" i="1"/>
  <c r="EV105" i="1"/>
  <c r="FB105" i="1"/>
  <c r="FD105" i="1" s="1"/>
  <c r="FC105" i="1"/>
  <c r="FE105" i="1"/>
  <c r="FF105" i="1"/>
  <c r="FG105" i="1" s="1"/>
  <c r="FH105" i="1"/>
  <c r="FJ105" i="1" s="1"/>
  <c r="FI105" i="1"/>
  <c r="FK105" i="1"/>
  <c r="FL105" i="1"/>
  <c r="FN105" i="1"/>
  <c r="FP105" i="1" s="1"/>
  <c r="FO105" i="1"/>
  <c r="FU105" i="1"/>
  <c r="FV105" i="1"/>
  <c r="FX105" i="1"/>
  <c r="FY105" i="1"/>
  <c r="GA105" i="1"/>
  <c r="GB105" i="1"/>
  <c r="GC105" i="1" s="1"/>
  <c r="GD105" i="1"/>
  <c r="GE105" i="1"/>
  <c r="GF105" i="1"/>
  <c r="GK105" i="1"/>
  <c r="GL105" i="1"/>
  <c r="GN105" i="1"/>
  <c r="GO105" i="1"/>
  <c r="GQ105" i="1"/>
  <c r="GS105" i="1" s="1"/>
  <c r="GR105" i="1"/>
  <c r="GX105" i="1"/>
  <c r="GY105" i="1"/>
  <c r="HA105" i="1"/>
  <c r="HB105" i="1"/>
  <c r="HC105" i="1"/>
  <c r="HH105" i="1"/>
  <c r="HJ105" i="1" s="1"/>
  <c r="HI105" i="1"/>
  <c r="AU106" i="1"/>
  <c r="AW106" i="1"/>
  <c r="B109" i="1"/>
  <c r="C109" i="1"/>
  <c r="T102" i="1" s="1"/>
  <c r="D109" i="1"/>
  <c r="X105" i="1" s="1"/>
  <c r="E109" i="1"/>
  <c r="Z95" i="1" s="1"/>
  <c r="F109" i="1"/>
  <c r="G109" i="1"/>
  <c r="AH95" i="1" s="1"/>
  <c r="H109" i="1"/>
  <c r="I109" i="1"/>
  <c r="AM96" i="1" s="1"/>
  <c r="J109" i="1"/>
  <c r="K109" i="1"/>
  <c r="AR102" i="1" s="1"/>
  <c r="BL109" i="1"/>
  <c r="BU109" i="1"/>
  <c r="CK109" i="1"/>
  <c r="CR109" i="1"/>
  <c r="CR112" i="1" s="1"/>
  <c r="CZ109" i="1"/>
  <c r="DK109" i="1"/>
  <c r="DK112" i="1" s="1"/>
  <c r="DN109" i="1"/>
  <c r="DN111" i="1" s="1"/>
  <c r="EG109" i="1"/>
  <c r="EV109" i="1"/>
  <c r="EV112" i="1" s="1"/>
  <c r="FN109" i="1"/>
  <c r="FY109" i="1"/>
  <c r="GL109" i="1"/>
  <c r="GL112" i="1" s="1"/>
  <c r="GR109" i="1"/>
  <c r="GX109" i="1"/>
  <c r="GX111" i="1" s="1"/>
  <c r="B110" i="1"/>
  <c r="E110" i="1"/>
  <c r="F110" i="1"/>
  <c r="H110" i="1"/>
  <c r="I110" i="1"/>
  <c r="J110" i="1"/>
  <c r="BI110" i="1"/>
  <c r="BP110" i="1"/>
  <c r="BX110" i="1"/>
  <c r="CH110" i="1"/>
  <c r="CQ110" i="1"/>
  <c r="CR110" i="1"/>
  <c r="CW110" i="1"/>
  <c r="CX110" i="1"/>
  <c r="DG110" i="1"/>
  <c r="DK110" i="1"/>
  <c r="DM110" i="1"/>
  <c r="DT110" i="1"/>
  <c r="EG110" i="1"/>
  <c r="EO110" i="1"/>
  <c r="EV110" i="1"/>
  <c r="FI110" i="1"/>
  <c r="FU110" i="1"/>
  <c r="GD110" i="1"/>
  <c r="GL110" i="1"/>
  <c r="GO110" i="1"/>
  <c r="GR110" i="1"/>
  <c r="GY110" i="1"/>
  <c r="B111" i="1"/>
  <c r="B10" i="4" s="1"/>
  <c r="E111" i="1"/>
  <c r="F111" i="1"/>
  <c r="H111" i="1"/>
  <c r="H10" i="4" s="1"/>
  <c r="I111" i="1"/>
  <c r="J111" i="1"/>
  <c r="BU111" i="1"/>
  <c r="CR111" i="1"/>
  <c r="DK111" i="1"/>
  <c r="EV111" i="1"/>
  <c r="GL111" i="1"/>
  <c r="GR111" i="1"/>
  <c r="B112" i="1"/>
  <c r="C112" i="1"/>
  <c r="C11" i="4" s="1"/>
  <c r="E112" i="1"/>
  <c r="F112" i="1"/>
  <c r="G112" i="1"/>
  <c r="G11" i="4" s="1"/>
  <c r="I112" i="1"/>
  <c r="I11" i="4" s="1"/>
  <c r="J112" i="1"/>
  <c r="K112" i="1"/>
  <c r="K11" i="4" s="1"/>
  <c r="DN112" i="1"/>
  <c r="GR112" i="1"/>
  <c r="GX112" i="1"/>
  <c r="B113" i="1"/>
  <c r="E113" i="1"/>
  <c r="E12" i="4" s="1"/>
  <c r="F113" i="1"/>
  <c r="I113" i="1"/>
  <c r="J113" i="1"/>
  <c r="J12" i="4" s="1"/>
  <c r="CR113" i="1"/>
  <c r="DK113" i="1"/>
  <c r="EV113" i="1"/>
  <c r="GL113" i="1"/>
  <c r="GR113" i="1"/>
  <c r="B114" i="1"/>
  <c r="B115" i="1" s="1"/>
  <c r="B14" i="4" s="1"/>
  <c r="E114" i="1"/>
  <c r="F114" i="1"/>
  <c r="H114" i="1"/>
  <c r="I114" i="1"/>
  <c r="J114" i="1"/>
  <c r="E115" i="1"/>
  <c r="E14" i="4" s="1"/>
  <c r="F115" i="1"/>
  <c r="F14" i="4" s="1"/>
  <c r="I115" i="1"/>
  <c r="J115" i="1"/>
  <c r="J14" i="4" s="1"/>
  <c r="B118" i="1"/>
  <c r="C118" i="1"/>
  <c r="D118" i="1"/>
  <c r="D145" i="1" s="1"/>
  <c r="D47" i="4" s="1"/>
  <c r="E118" i="1"/>
  <c r="E145" i="1" s="1"/>
  <c r="E47" i="4" s="1"/>
  <c r="F118" i="1"/>
  <c r="F145" i="1" s="1"/>
  <c r="F47" i="4" s="1"/>
  <c r="G118" i="1"/>
  <c r="H118" i="1"/>
  <c r="H145" i="1" s="1"/>
  <c r="H47" i="4" s="1"/>
  <c r="I118" i="1"/>
  <c r="I145" i="1" s="1"/>
  <c r="I47" i="4" s="1"/>
  <c r="J118" i="1"/>
  <c r="K118" i="1"/>
  <c r="AV136" i="1"/>
  <c r="P34" i="1" s="1"/>
  <c r="P34" i="3" s="1"/>
  <c r="AW136" i="1"/>
  <c r="AV137" i="1"/>
  <c r="P35" i="1" s="1"/>
  <c r="P35" i="3" s="1"/>
  <c r="AW137" i="1"/>
  <c r="I36" i="5" s="1"/>
  <c r="AV138" i="1"/>
  <c r="P36" i="1" s="1"/>
  <c r="P36" i="3" s="1"/>
  <c r="AW138" i="1"/>
  <c r="AV139" i="1"/>
  <c r="P37" i="1" s="1"/>
  <c r="P37" i="3" s="1"/>
  <c r="AW139" i="1"/>
  <c r="I38" i="5" s="1"/>
  <c r="AV140" i="1"/>
  <c r="P38" i="1" s="1"/>
  <c r="P38" i="3" s="1"/>
  <c r="AW140" i="1"/>
  <c r="AV141" i="1"/>
  <c r="P39" i="1" s="1"/>
  <c r="P39" i="3" s="1"/>
  <c r="AW141" i="1"/>
  <c r="AV142" i="1"/>
  <c r="P40" i="1" s="1"/>
  <c r="P40" i="3" s="1"/>
  <c r="AW142" i="1"/>
  <c r="AV143" i="1"/>
  <c r="P41" i="1" s="1"/>
  <c r="P41" i="3" s="1"/>
  <c r="AW143" i="1"/>
  <c r="AV144" i="1"/>
  <c r="P42" i="1" s="1"/>
  <c r="P42" i="3" s="1"/>
  <c r="AW144" i="1"/>
  <c r="B145" i="1"/>
  <c r="B47" i="4" s="1"/>
  <c r="C145" i="1"/>
  <c r="G145" i="1"/>
  <c r="J145" i="1"/>
  <c r="J47" i="4" s="1"/>
  <c r="K145" i="1"/>
  <c r="AV145" i="1"/>
  <c r="P43" i="1" s="1"/>
  <c r="P43" i="3" s="1"/>
  <c r="AW145" i="1"/>
  <c r="AV146" i="1"/>
  <c r="P44" i="1" s="1"/>
  <c r="P44" i="3" s="1"/>
  <c r="AW146" i="1"/>
  <c r="AV147" i="1"/>
  <c r="P45" i="1" s="1"/>
  <c r="P45" i="3" s="1"/>
  <c r="AW147" i="1"/>
  <c r="AV148" i="1"/>
  <c r="P46" i="1" s="1"/>
  <c r="P46" i="3" s="1"/>
  <c r="AW148" i="1"/>
  <c r="AV149" i="1"/>
  <c r="P47" i="1" s="1"/>
  <c r="P47" i="3" s="1"/>
  <c r="AW149" i="1"/>
  <c r="AV150" i="1"/>
  <c r="P48" i="1" s="1"/>
  <c r="P48" i="3" s="1"/>
  <c r="AW150" i="1"/>
  <c r="AV151" i="1"/>
  <c r="P49" i="1" s="1"/>
  <c r="P49" i="3" s="1"/>
  <c r="AW151" i="1"/>
  <c r="AV152" i="1"/>
  <c r="P50" i="1" s="1"/>
  <c r="P50" i="3" s="1"/>
  <c r="AW152" i="1"/>
  <c r="AV153" i="1"/>
  <c r="P51" i="1" s="1"/>
  <c r="P51" i="3" s="1"/>
  <c r="AW153" i="1"/>
  <c r="AV154" i="1"/>
  <c r="P52" i="1" s="1"/>
  <c r="P52" i="3" s="1"/>
  <c r="AW154" i="1"/>
  <c r="AV155" i="1"/>
  <c r="P53" i="1" s="1"/>
  <c r="P53" i="3" s="1"/>
  <c r="AW155" i="1"/>
  <c r="AV156" i="1"/>
  <c r="P54" i="1" s="1"/>
  <c r="P54" i="3" s="1"/>
  <c r="AW156" i="1"/>
  <c r="AV157" i="1"/>
  <c r="P55" i="1" s="1"/>
  <c r="P55" i="3" s="1"/>
  <c r="AW157" i="1"/>
  <c r="AV158" i="1"/>
  <c r="P56" i="1" s="1"/>
  <c r="P56" i="3" s="1"/>
  <c r="AW158" i="1"/>
  <c r="AV159" i="1"/>
  <c r="P57" i="1" s="1"/>
  <c r="P57" i="3" s="1"/>
  <c r="AW159" i="1"/>
  <c r="AV160" i="1"/>
  <c r="P58" i="1" s="1"/>
  <c r="P58" i="3" s="1"/>
  <c r="AW160" i="1"/>
  <c r="AV161" i="1"/>
  <c r="P59" i="1" s="1"/>
  <c r="P59" i="3" s="1"/>
  <c r="AW161" i="1"/>
  <c r="AV162" i="1"/>
  <c r="P60" i="1" s="1"/>
  <c r="P60" i="3" s="1"/>
  <c r="AW162" i="1"/>
  <c r="AV163" i="1"/>
  <c r="P61" i="1" s="1"/>
  <c r="P61" i="3" s="1"/>
  <c r="AW163" i="1"/>
  <c r="AV164" i="1"/>
  <c r="P62" i="1" s="1"/>
  <c r="P62" i="3" s="1"/>
  <c r="AW164" i="1"/>
  <c r="AV165" i="1"/>
  <c r="P63" i="1" s="1"/>
  <c r="P63" i="3" s="1"/>
  <c r="AW165" i="1"/>
  <c r="AV166" i="1"/>
  <c r="P64" i="1" s="1"/>
  <c r="P64" i="3" s="1"/>
  <c r="AW166" i="1"/>
  <c r="AV167" i="1"/>
  <c r="P65" i="1" s="1"/>
  <c r="P65" i="3" s="1"/>
  <c r="AW167" i="1"/>
  <c r="AV168" i="1"/>
  <c r="P66" i="1" s="1"/>
  <c r="P66" i="3" s="1"/>
  <c r="AW168" i="1"/>
  <c r="AV169" i="1"/>
  <c r="P67" i="1" s="1"/>
  <c r="P67" i="3" s="1"/>
  <c r="AW169" i="1"/>
  <c r="AV170" i="1"/>
  <c r="P68" i="1" s="1"/>
  <c r="P68" i="3" s="1"/>
  <c r="AW170" i="1"/>
  <c r="AV171" i="1"/>
  <c r="P69" i="1" s="1"/>
  <c r="P69" i="3" s="1"/>
  <c r="AW171" i="1"/>
  <c r="AV172" i="1"/>
  <c r="P70" i="1" s="1"/>
  <c r="P70" i="3" s="1"/>
  <c r="AW172" i="1"/>
  <c r="AV173" i="1"/>
  <c r="P71" i="1" s="1"/>
  <c r="P71" i="3" s="1"/>
  <c r="AW173" i="1"/>
  <c r="AV174" i="1"/>
  <c r="P72" i="1" s="1"/>
  <c r="P72" i="3" s="1"/>
  <c r="AW174" i="1"/>
  <c r="AV175" i="1"/>
  <c r="P73" i="1" s="1"/>
  <c r="P73" i="3" s="1"/>
  <c r="AW175" i="1"/>
  <c r="AV176" i="1"/>
  <c r="P74" i="1" s="1"/>
  <c r="P74" i="3" s="1"/>
  <c r="AW176" i="1"/>
  <c r="AV177" i="1"/>
  <c r="P75" i="1" s="1"/>
  <c r="P75" i="3" s="1"/>
  <c r="AW177" i="1"/>
  <c r="AV178" i="1"/>
  <c r="P76" i="1" s="1"/>
  <c r="P76" i="3" s="1"/>
  <c r="AW178" i="1"/>
  <c r="AV179" i="1"/>
  <c r="P77" i="1" s="1"/>
  <c r="P77" i="3" s="1"/>
  <c r="AW179" i="1"/>
  <c r="AV180" i="1"/>
  <c r="P78" i="1" s="1"/>
  <c r="P78" i="3" s="1"/>
  <c r="AW180" i="1"/>
  <c r="AV181" i="1"/>
  <c r="P79" i="1" s="1"/>
  <c r="P79" i="3" s="1"/>
  <c r="AW181" i="1"/>
  <c r="AV182" i="1"/>
  <c r="P80" i="1" s="1"/>
  <c r="P80" i="3" s="1"/>
  <c r="AW182" i="1"/>
  <c r="AV183" i="1"/>
  <c r="P81" i="1" s="1"/>
  <c r="P81" i="3" s="1"/>
  <c r="AW183" i="1"/>
  <c r="AV184" i="1"/>
  <c r="P82" i="1" s="1"/>
  <c r="P82" i="3" s="1"/>
  <c r="AW184" i="1"/>
  <c r="AV185" i="1"/>
  <c r="P83" i="1" s="1"/>
  <c r="P83" i="3" s="1"/>
  <c r="AW185" i="1"/>
  <c r="AV186" i="1"/>
  <c r="P84" i="1" s="1"/>
  <c r="P84" i="3" s="1"/>
  <c r="AW186" i="1"/>
  <c r="AV187" i="1"/>
  <c r="P85" i="1" s="1"/>
  <c r="P85" i="3" s="1"/>
  <c r="AW187" i="1"/>
  <c r="AV188" i="1"/>
  <c r="P86" i="1" s="1"/>
  <c r="P86" i="3" s="1"/>
  <c r="AW188" i="1"/>
  <c r="AV189" i="1"/>
  <c r="P87" i="1" s="1"/>
  <c r="P87" i="3" s="1"/>
  <c r="AW189" i="1"/>
  <c r="AV190" i="1"/>
  <c r="P88" i="1" s="1"/>
  <c r="P88" i="3" s="1"/>
  <c r="AW190" i="1"/>
  <c r="AV191" i="1"/>
  <c r="P89" i="1" s="1"/>
  <c r="P89" i="3" s="1"/>
  <c r="AW191" i="1"/>
  <c r="AV192" i="1"/>
  <c r="P90" i="1" s="1"/>
  <c r="P90" i="3" s="1"/>
  <c r="AW192" i="1"/>
  <c r="AV193" i="1"/>
  <c r="P91" i="1" s="1"/>
  <c r="P91" i="3" s="1"/>
  <c r="AW193" i="1"/>
  <c r="AV194" i="1"/>
  <c r="P92" i="1" s="1"/>
  <c r="P92" i="3" s="1"/>
  <c r="AW194" i="1"/>
  <c r="AV195" i="1"/>
  <c r="P93" i="1" s="1"/>
  <c r="P93" i="3" s="1"/>
  <c r="AW195" i="1"/>
  <c r="AV196" i="1"/>
  <c r="P94" i="1" s="1"/>
  <c r="P94" i="3" s="1"/>
  <c r="AW196" i="1"/>
  <c r="AV197" i="1"/>
  <c r="P95" i="1" s="1"/>
  <c r="P95" i="3" s="1"/>
  <c r="AW197" i="1"/>
  <c r="P198" i="1"/>
  <c r="AV198" i="1"/>
  <c r="P96" i="1" s="1"/>
  <c r="P96" i="3" s="1"/>
  <c r="AW198" i="1"/>
  <c r="I97" i="5" s="1"/>
  <c r="P199" i="1"/>
  <c r="AV199" i="1"/>
  <c r="P97" i="1" s="1"/>
  <c r="AW199" i="1"/>
  <c r="P200" i="1"/>
  <c r="AV200" i="1"/>
  <c r="P98" i="1" s="1"/>
  <c r="P98" i="3" s="1"/>
  <c r="AW200" i="1"/>
  <c r="P201" i="1"/>
  <c r="AV201" i="1"/>
  <c r="P99" i="1" s="1"/>
  <c r="P99" i="3" s="1"/>
  <c r="AW201" i="1"/>
  <c r="P202" i="1"/>
  <c r="AV202" i="1"/>
  <c r="P100" i="1" s="1"/>
  <c r="P100" i="3" s="1"/>
  <c r="AW202" i="1"/>
  <c r="I101" i="5" s="1"/>
  <c r="P203" i="1"/>
  <c r="AV203" i="1"/>
  <c r="P101" i="1" s="1"/>
  <c r="AW203" i="1"/>
  <c r="P204" i="1"/>
  <c r="AV204" i="1"/>
  <c r="P102" i="1" s="1"/>
  <c r="AW204" i="1"/>
  <c r="P205" i="1"/>
  <c r="AV205" i="1"/>
  <c r="P103" i="1" s="1"/>
  <c r="P103" i="3" s="1"/>
  <c r="AW205" i="1"/>
  <c r="P206" i="1"/>
  <c r="AV206" i="1"/>
  <c r="P104" i="1" s="1"/>
  <c r="P104" i="3" s="1"/>
  <c r="AW206" i="1"/>
  <c r="I105" i="5" s="1"/>
  <c r="P207" i="1"/>
  <c r="AV207" i="1"/>
  <c r="P105" i="1" s="1"/>
  <c r="AW207" i="1"/>
  <c r="F20" i="2"/>
  <c r="F22" i="2"/>
  <c r="F24" i="2"/>
  <c r="F28" i="2"/>
  <c r="B6" i="4"/>
  <c r="C6" i="4"/>
  <c r="D6" i="4"/>
  <c r="E6" i="4"/>
  <c r="F6" i="4"/>
  <c r="G6" i="4"/>
  <c r="H6" i="4"/>
  <c r="I6" i="4"/>
  <c r="J6" i="4"/>
  <c r="K6" i="4"/>
  <c r="M6" i="4"/>
  <c r="N6" i="4"/>
  <c r="O6" i="4"/>
  <c r="P6" i="4"/>
  <c r="Q6" i="4"/>
  <c r="R6" i="4"/>
  <c r="S6" i="4"/>
  <c r="T6" i="4"/>
  <c r="U6" i="4"/>
  <c r="V6" i="4"/>
  <c r="B8" i="4"/>
  <c r="C8" i="4"/>
  <c r="E8" i="4"/>
  <c r="F8" i="4"/>
  <c r="F17" i="4" s="1"/>
  <c r="G8" i="4"/>
  <c r="I8" i="4"/>
  <c r="J8" i="4"/>
  <c r="J17" i="4" s="1"/>
  <c r="K8" i="4"/>
  <c r="M8" i="4"/>
  <c r="M15" i="4" s="1"/>
  <c r="N8" i="4"/>
  <c r="O8" i="4"/>
  <c r="O17" i="4" s="1"/>
  <c r="P8" i="4"/>
  <c r="P16" i="4" s="1"/>
  <c r="Q8" i="4"/>
  <c r="R8" i="4"/>
  <c r="S8" i="4"/>
  <c r="S17" i="4" s="1"/>
  <c r="T8" i="4"/>
  <c r="T17" i="4" s="1"/>
  <c r="U8" i="4"/>
  <c r="U17" i="4" s="1"/>
  <c r="V8" i="4"/>
  <c r="B9" i="4"/>
  <c r="E9" i="4"/>
  <c r="F9" i="4"/>
  <c r="H9" i="4"/>
  <c r="I9" i="4"/>
  <c r="J9" i="4"/>
  <c r="O9" i="4"/>
  <c r="S9" i="4"/>
  <c r="E10" i="4"/>
  <c r="F10" i="4"/>
  <c r="I10" i="4"/>
  <c r="J10" i="4"/>
  <c r="N10" i="4"/>
  <c r="O10" i="4"/>
  <c r="R10" i="4"/>
  <c r="S10" i="4"/>
  <c r="T10" i="4"/>
  <c r="V10" i="4"/>
  <c r="B11" i="4"/>
  <c r="E11" i="4"/>
  <c r="F11" i="4"/>
  <c r="J11" i="4"/>
  <c r="N11" i="4"/>
  <c r="O11" i="4"/>
  <c r="R11" i="4"/>
  <c r="S11" i="4"/>
  <c r="T11" i="4"/>
  <c r="V11" i="4"/>
  <c r="B12" i="4"/>
  <c r="F12" i="4"/>
  <c r="I12" i="4"/>
  <c r="I16" i="4" s="1"/>
  <c r="M12" i="4"/>
  <c r="N12" i="4"/>
  <c r="O12" i="4"/>
  <c r="P12" i="4"/>
  <c r="Q12" i="4"/>
  <c r="R12" i="4"/>
  <c r="S12" i="4"/>
  <c r="T12" i="4"/>
  <c r="U12" i="4"/>
  <c r="V12" i="4"/>
  <c r="B13" i="4"/>
  <c r="E13" i="4"/>
  <c r="E17" i="4" s="1"/>
  <c r="F13" i="4"/>
  <c r="H13" i="4"/>
  <c r="I13" i="4"/>
  <c r="J13" i="4"/>
  <c r="M13" i="4"/>
  <c r="N13" i="4"/>
  <c r="O13" i="4"/>
  <c r="Q13" i="4"/>
  <c r="R13" i="4"/>
  <c r="S13" i="4"/>
  <c r="U13" i="4"/>
  <c r="V13" i="4"/>
  <c r="I14" i="4"/>
  <c r="M14" i="4"/>
  <c r="N14" i="4"/>
  <c r="O14" i="4"/>
  <c r="Q14" i="4"/>
  <c r="R14" i="4"/>
  <c r="S14" i="4"/>
  <c r="U14" i="4"/>
  <c r="V14" i="4"/>
  <c r="I15" i="4"/>
  <c r="N15" i="4"/>
  <c r="P15" i="4"/>
  <c r="Q15" i="4"/>
  <c r="R15" i="4"/>
  <c r="U15" i="4"/>
  <c r="V15" i="4"/>
  <c r="E16" i="4"/>
  <c r="M16" i="4"/>
  <c r="N16" i="4"/>
  <c r="Q16" i="4"/>
  <c r="R16" i="4"/>
  <c r="U16" i="4"/>
  <c r="V16" i="4"/>
  <c r="I17" i="4"/>
  <c r="M17" i="4"/>
  <c r="N17" i="4"/>
  <c r="Q17" i="4"/>
  <c r="R17" i="4"/>
  <c r="V17" i="4"/>
  <c r="C22" i="4"/>
  <c r="D22" i="4"/>
  <c r="E22" i="4"/>
  <c r="F22" i="4"/>
  <c r="G22" i="4"/>
  <c r="H22" i="4"/>
  <c r="I22" i="4"/>
  <c r="J22" i="4"/>
  <c r="K22" i="4"/>
  <c r="N22" i="4"/>
  <c r="O22" i="4"/>
  <c r="P22" i="4"/>
  <c r="Q22" i="4"/>
  <c r="R22" i="4"/>
  <c r="S22" i="4"/>
  <c r="T22" i="4"/>
  <c r="U22" i="4"/>
  <c r="V22" i="4"/>
  <c r="C23" i="4"/>
  <c r="D23" i="4"/>
  <c r="E23" i="4"/>
  <c r="F23" i="4"/>
  <c r="G23" i="4"/>
  <c r="H23" i="4"/>
  <c r="I23" i="4"/>
  <c r="J23" i="4"/>
  <c r="K23" i="4"/>
  <c r="N23" i="4"/>
  <c r="O23" i="4"/>
  <c r="P23" i="4"/>
  <c r="Q23" i="4"/>
  <c r="R23" i="4"/>
  <c r="S23" i="4"/>
  <c r="T23" i="4"/>
  <c r="U23" i="4"/>
  <c r="V23" i="4"/>
  <c r="D24" i="4"/>
  <c r="E24" i="4"/>
  <c r="F24" i="4"/>
  <c r="G24" i="4"/>
  <c r="H24" i="4"/>
  <c r="I24" i="4"/>
  <c r="J24" i="4"/>
  <c r="K24" i="4"/>
  <c r="O24" i="4"/>
  <c r="P24" i="4"/>
  <c r="Q24" i="4"/>
  <c r="R24" i="4"/>
  <c r="S24" i="4"/>
  <c r="T24" i="4"/>
  <c r="U24" i="4"/>
  <c r="V24" i="4"/>
  <c r="D25" i="4"/>
  <c r="E25" i="4"/>
  <c r="F25" i="4"/>
  <c r="G25" i="4"/>
  <c r="H25" i="4"/>
  <c r="I25" i="4"/>
  <c r="J25" i="4"/>
  <c r="K25" i="4"/>
  <c r="O25" i="4"/>
  <c r="P25" i="4"/>
  <c r="Q25" i="4"/>
  <c r="R25" i="4"/>
  <c r="S25" i="4"/>
  <c r="T25" i="4"/>
  <c r="U25" i="4"/>
  <c r="V25" i="4"/>
  <c r="E26" i="4"/>
  <c r="F26" i="4"/>
  <c r="G26" i="4"/>
  <c r="H26" i="4"/>
  <c r="I26" i="4"/>
  <c r="J26" i="4"/>
  <c r="K26" i="4"/>
  <c r="P26" i="4"/>
  <c r="Q26" i="4"/>
  <c r="R26" i="4"/>
  <c r="S26" i="4"/>
  <c r="T26" i="4"/>
  <c r="U26" i="4"/>
  <c r="V26" i="4"/>
  <c r="E27" i="4"/>
  <c r="F27" i="4"/>
  <c r="G27" i="4"/>
  <c r="H27" i="4"/>
  <c r="I27" i="4"/>
  <c r="J27" i="4"/>
  <c r="K27" i="4"/>
  <c r="P27" i="4"/>
  <c r="Q27" i="4"/>
  <c r="R27" i="4"/>
  <c r="S27" i="4"/>
  <c r="T27" i="4"/>
  <c r="U27" i="4"/>
  <c r="V27" i="4"/>
  <c r="F28" i="4"/>
  <c r="G28" i="4"/>
  <c r="H28" i="4"/>
  <c r="I28" i="4"/>
  <c r="J28" i="4"/>
  <c r="K28" i="4"/>
  <c r="Q28" i="4"/>
  <c r="R28" i="4"/>
  <c r="S28" i="4"/>
  <c r="T28" i="4"/>
  <c r="U28" i="4"/>
  <c r="V28" i="4"/>
  <c r="F29" i="4"/>
  <c r="G29" i="4"/>
  <c r="H29" i="4"/>
  <c r="I29" i="4"/>
  <c r="J29" i="4"/>
  <c r="K29" i="4"/>
  <c r="Q29" i="4"/>
  <c r="R29" i="4"/>
  <c r="S29" i="4"/>
  <c r="T29" i="4"/>
  <c r="U29" i="4"/>
  <c r="V29" i="4"/>
  <c r="G30" i="4"/>
  <c r="H30" i="4"/>
  <c r="I30" i="4"/>
  <c r="J30" i="4"/>
  <c r="K30" i="4"/>
  <c r="R30" i="4"/>
  <c r="S30" i="4"/>
  <c r="T30" i="4"/>
  <c r="U30" i="4"/>
  <c r="V30" i="4"/>
  <c r="G31" i="4"/>
  <c r="H31" i="4"/>
  <c r="I31" i="4"/>
  <c r="J31" i="4"/>
  <c r="K31" i="4"/>
  <c r="R31" i="4"/>
  <c r="S31" i="4"/>
  <c r="T31" i="4"/>
  <c r="U31" i="4"/>
  <c r="V31" i="4"/>
  <c r="H32" i="4"/>
  <c r="I32" i="4"/>
  <c r="J32" i="4"/>
  <c r="K32" i="4"/>
  <c r="S32" i="4"/>
  <c r="T32" i="4"/>
  <c r="U32" i="4"/>
  <c r="V32" i="4"/>
  <c r="H33" i="4"/>
  <c r="I33" i="4"/>
  <c r="J33" i="4"/>
  <c r="K33" i="4"/>
  <c r="S33" i="4"/>
  <c r="T33" i="4"/>
  <c r="U33" i="4"/>
  <c r="V33" i="4"/>
  <c r="I34" i="4"/>
  <c r="J34" i="4"/>
  <c r="K34" i="4"/>
  <c r="T34" i="4"/>
  <c r="U34" i="4"/>
  <c r="V34" i="4"/>
  <c r="I35" i="4"/>
  <c r="J35" i="4"/>
  <c r="K35" i="4"/>
  <c r="T35" i="4"/>
  <c r="U35" i="4"/>
  <c r="V35" i="4"/>
  <c r="J36" i="4"/>
  <c r="K36" i="4"/>
  <c r="U36" i="4"/>
  <c r="V36" i="4"/>
  <c r="J37" i="4"/>
  <c r="K37" i="4"/>
  <c r="U37" i="4"/>
  <c r="V37" i="4"/>
  <c r="K38" i="4"/>
  <c r="V38" i="4"/>
  <c r="K39" i="4"/>
  <c r="V39" i="4"/>
  <c r="C47" i="4"/>
  <c r="G47" i="4"/>
  <c r="K47" i="4"/>
  <c r="M47" i="4"/>
  <c r="N47" i="4"/>
  <c r="O47" i="4"/>
  <c r="P47" i="4"/>
  <c r="Q47" i="4"/>
  <c r="R47" i="4"/>
  <c r="S47" i="4"/>
  <c r="T47" i="4"/>
  <c r="U47" i="4"/>
  <c r="V47" i="4"/>
  <c r="M48" i="4"/>
  <c r="N48" i="4"/>
  <c r="O48" i="4"/>
  <c r="P48" i="4"/>
  <c r="Q48" i="4"/>
  <c r="R48" i="4"/>
  <c r="S48" i="4"/>
  <c r="T48" i="4"/>
  <c r="U48" i="4"/>
  <c r="V48" i="4"/>
  <c r="B49" i="4"/>
  <c r="C49" i="4"/>
  <c r="D49" i="4"/>
  <c r="E49" i="4"/>
  <c r="F49" i="4"/>
  <c r="G49" i="4"/>
  <c r="H49" i="4"/>
  <c r="I49" i="4"/>
  <c r="J49" i="4"/>
  <c r="K49" i="4"/>
  <c r="M49" i="4"/>
  <c r="N49" i="4"/>
  <c r="O49" i="4"/>
  <c r="P49" i="4"/>
  <c r="Q49" i="4"/>
  <c r="R49" i="4"/>
  <c r="S49" i="4"/>
  <c r="T49" i="4"/>
  <c r="U49" i="4"/>
  <c r="V49" i="4"/>
  <c r="B50" i="4"/>
  <c r="C50" i="4"/>
  <c r="D50" i="4"/>
  <c r="E50" i="4"/>
  <c r="F50" i="4"/>
  <c r="G50" i="4"/>
  <c r="H50" i="4"/>
  <c r="I50" i="4"/>
  <c r="J50" i="4"/>
  <c r="K50" i="4"/>
  <c r="M50" i="4"/>
  <c r="N50" i="4"/>
  <c r="O50" i="4"/>
  <c r="P50" i="4"/>
  <c r="Q50" i="4"/>
  <c r="R50" i="4"/>
  <c r="S50" i="4"/>
  <c r="T50" i="4"/>
  <c r="U50" i="4"/>
  <c r="V50" i="4"/>
  <c r="M58" i="4"/>
  <c r="N58" i="4"/>
  <c r="O58" i="4"/>
  <c r="Q58" i="4"/>
  <c r="R58" i="4"/>
  <c r="S58" i="4"/>
  <c r="U58" i="4"/>
  <c r="V58" i="4"/>
  <c r="B6" i="5"/>
  <c r="C6" i="5"/>
  <c r="D6" i="5"/>
  <c r="G6" i="5" s="1"/>
  <c r="E6" i="5"/>
  <c r="H6" i="5" s="1"/>
  <c r="F6" i="5"/>
  <c r="I6" i="5" s="1"/>
  <c r="B7" i="5"/>
  <c r="C7" i="5"/>
  <c r="B8" i="5"/>
  <c r="C8" i="5"/>
  <c r="B9" i="5"/>
  <c r="B10" i="5"/>
  <c r="B11" i="5"/>
  <c r="B12" i="5"/>
  <c r="B13" i="5"/>
  <c r="B15" i="5"/>
  <c r="B16" i="5"/>
  <c r="B17" i="5"/>
  <c r="B18" i="5"/>
  <c r="B19" i="5"/>
  <c r="B20" i="5"/>
  <c r="B21" i="5"/>
  <c r="B22" i="5"/>
  <c r="C22" i="5"/>
  <c r="B23" i="5"/>
  <c r="B24" i="5"/>
  <c r="B25" i="5"/>
  <c r="B26" i="5"/>
  <c r="B27" i="5"/>
  <c r="B28" i="5"/>
  <c r="C28" i="5"/>
  <c r="B29" i="5"/>
  <c r="B30" i="5"/>
  <c r="C30" i="5"/>
  <c r="B31" i="5"/>
  <c r="B32" i="5"/>
  <c r="C32" i="5"/>
  <c r="B33" i="5"/>
  <c r="B34" i="5"/>
  <c r="B35" i="5"/>
  <c r="C35" i="5"/>
  <c r="E35" i="5"/>
  <c r="F35" i="5"/>
  <c r="H35" i="5"/>
  <c r="I35" i="5"/>
  <c r="B36" i="5"/>
  <c r="C36" i="5"/>
  <c r="E36" i="5"/>
  <c r="H36" i="5"/>
  <c r="B37" i="5"/>
  <c r="F37" i="5"/>
  <c r="I37" i="5"/>
  <c r="B38" i="5"/>
  <c r="F38" i="5"/>
  <c r="B39" i="5"/>
  <c r="F39" i="5"/>
  <c r="I39" i="5"/>
  <c r="B40" i="5"/>
  <c r="C40" i="5"/>
  <c r="D40" i="5"/>
  <c r="E40" i="5"/>
  <c r="F40" i="5"/>
  <c r="G40" i="5"/>
  <c r="H40" i="5"/>
  <c r="I40" i="5"/>
  <c r="B41" i="5"/>
  <c r="F41" i="5"/>
  <c r="I41" i="5"/>
  <c r="B42" i="5"/>
  <c r="C42" i="5"/>
  <c r="I42" i="5"/>
  <c r="B43" i="5"/>
  <c r="C43" i="5"/>
  <c r="D43" i="5"/>
  <c r="E43" i="5"/>
  <c r="F43" i="5"/>
  <c r="I43" i="5"/>
  <c r="B44" i="5"/>
  <c r="C44" i="5"/>
  <c r="D44" i="5"/>
  <c r="E44" i="5"/>
  <c r="F44" i="5"/>
  <c r="G44" i="5"/>
  <c r="H44" i="5"/>
  <c r="I44" i="5"/>
  <c r="B45" i="5"/>
  <c r="I45" i="5"/>
  <c r="B46" i="5"/>
  <c r="C46" i="5"/>
  <c r="F46" i="5"/>
  <c r="I46" i="5"/>
  <c r="B47" i="5"/>
  <c r="C47" i="5"/>
  <c r="D47" i="5"/>
  <c r="E47" i="5"/>
  <c r="F47" i="5"/>
  <c r="G47" i="5"/>
  <c r="I47" i="5"/>
  <c r="B48" i="5"/>
  <c r="C48" i="5"/>
  <c r="D48" i="5"/>
  <c r="E48" i="5"/>
  <c r="F48" i="5"/>
  <c r="G48" i="5"/>
  <c r="H48" i="5"/>
  <c r="I48" i="5"/>
  <c r="B49" i="5"/>
  <c r="C49" i="5"/>
  <c r="D49" i="5"/>
  <c r="G49" i="5"/>
  <c r="I49" i="5"/>
  <c r="B50" i="5"/>
  <c r="C50" i="5"/>
  <c r="D50" i="5"/>
  <c r="F50" i="5"/>
  <c r="I50" i="5"/>
  <c r="B51" i="5"/>
  <c r="D51" i="5"/>
  <c r="F51" i="5"/>
  <c r="I51" i="5"/>
  <c r="B52" i="5"/>
  <c r="C52" i="5"/>
  <c r="E52" i="5"/>
  <c r="F52" i="5"/>
  <c r="G52" i="5"/>
  <c r="H52" i="5"/>
  <c r="I52" i="5"/>
  <c r="B53" i="5"/>
  <c r="C53" i="5"/>
  <c r="D53" i="5"/>
  <c r="F53" i="5"/>
  <c r="G53" i="5"/>
  <c r="I53" i="5"/>
  <c r="B54" i="5"/>
  <c r="C54" i="5"/>
  <c r="D54" i="5"/>
  <c r="E54" i="5"/>
  <c r="H54" i="5"/>
  <c r="I54" i="5"/>
  <c r="B55" i="5"/>
  <c r="D55" i="5"/>
  <c r="F55" i="5"/>
  <c r="I55" i="5"/>
  <c r="B56" i="5"/>
  <c r="C56" i="5"/>
  <c r="D56" i="5"/>
  <c r="E56" i="5"/>
  <c r="G56" i="5"/>
  <c r="H56" i="5"/>
  <c r="I56" i="5"/>
  <c r="B57" i="5"/>
  <c r="F57" i="5"/>
  <c r="I57" i="5"/>
  <c r="B58" i="5"/>
  <c r="C58" i="5"/>
  <c r="D58" i="5"/>
  <c r="E58" i="5"/>
  <c r="H58" i="5"/>
  <c r="I58" i="5"/>
  <c r="B59" i="5"/>
  <c r="D59" i="5"/>
  <c r="F59" i="5"/>
  <c r="I59" i="5"/>
  <c r="B60" i="5"/>
  <c r="D60" i="5"/>
  <c r="I60" i="5"/>
  <c r="B61" i="5"/>
  <c r="D61" i="5"/>
  <c r="F61" i="5"/>
  <c r="I61" i="5"/>
  <c r="B62" i="5"/>
  <c r="H62" i="5"/>
  <c r="I62" i="5"/>
  <c r="B63" i="5"/>
  <c r="F63" i="5"/>
  <c r="I63" i="5"/>
  <c r="B64" i="5"/>
  <c r="D64" i="5"/>
  <c r="G64" i="5"/>
  <c r="I64" i="5"/>
  <c r="B65" i="5"/>
  <c r="C65" i="5"/>
  <c r="D65" i="5"/>
  <c r="F65" i="5"/>
  <c r="I65" i="5"/>
  <c r="B66" i="5"/>
  <c r="C66" i="5"/>
  <c r="D66" i="5"/>
  <c r="F66" i="5"/>
  <c r="H66" i="5"/>
  <c r="I66" i="5"/>
  <c r="B67" i="5"/>
  <c r="D67" i="5"/>
  <c r="F67" i="5"/>
  <c r="I67" i="5"/>
  <c r="B68" i="5"/>
  <c r="C68" i="5"/>
  <c r="D68" i="5"/>
  <c r="E68" i="5"/>
  <c r="G68" i="5"/>
  <c r="H68" i="5"/>
  <c r="I68" i="5"/>
  <c r="B69" i="5"/>
  <c r="C69" i="5"/>
  <c r="F69" i="5"/>
  <c r="G69" i="5"/>
  <c r="I69" i="5"/>
  <c r="B70" i="5"/>
  <c r="C70" i="5"/>
  <c r="D70" i="5"/>
  <c r="E70" i="5"/>
  <c r="F70" i="5"/>
  <c r="H70" i="5"/>
  <c r="I70" i="5"/>
  <c r="B71" i="5"/>
  <c r="C71" i="5"/>
  <c r="D71" i="5"/>
  <c r="E71" i="5"/>
  <c r="F71" i="5"/>
  <c r="G71" i="5"/>
  <c r="I71" i="5"/>
  <c r="B72" i="5"/>
  <c r="C72" i="5"/>
  <c r="D72" i="5"/>
  <c r="E72" i="5"/>
  <c r="G72" i="5"/>
  <c r="H72" i="5"/>
  <c r="I72" i="5"/>
  <c r="B73" i="5"/>
  <c r="F73" i="5"/>
  <c r="G73" i="5"/>
  <c r="H73" i="5"/>
  <c r="I73" i="5"/>
  <c r="B74" i="5"/>
  <c r="C74" i="5"/>
  <c r="D74" i="5"/>
  <c r="I74" i="5"/>
  <c r="B75" i="5"/>
  <c r="C75" i="5"/>
  <c r="F75" i="5"/>
  <c r="H75" i="5"/>
  <c r="I75" i="5"/>
  <c r="B76" i="5"/>
  <c r="C76" i="5"/>
  <c r="I76" i="5"/>
  <c r="B77" i="5"/>
  <c r="E77" i="5"/>
  <c r="F77" i="5"/>
  <c r="G77" i="5"/>
  <c r="H77" i="5"/>
  <c r="I77" i="5"/>
  <c r="B78" i="5"/>
  <c r="D78" i="5"/>
  <c r="I78" i="5"/>
  <c r="B79" i="5"/>
  <c r="D79" i="5"/>
  <c r="E79" i="5"/>
  <c r="F79" i="5"/>
  <c r="H79" i="5"/>
  <c r="I79" i="5"/>
  <c r="B80" i="5"/>
  <c r="C80" i="5"/>
  <c r="D80" i="5"/>
  <c r="F80" i="5"/>
  <c r="I80" i="5"/>
  <c r="B81" i="5"/>
  <c r="F81" i="5"/>
  <c r="H81" i="5"/>
  <c r="I81" i="5"/>
  <c r="B82" i="5"/>
  <c r="D82" i="5"/>
  <c r="F82" i="5"/>
  <c r="I82" i="5"/>
  <c r="B83" i="5"/>
  <c r="D83" i="5"/>
  <c r="F83" i="5"/>
  <c r="H83" i="5"/>
  <c r="I83" i="5"/>
  <c r="B84" i="5"/>
  <c r="F84" i="5"/>
  <c r="I84" i="5"/>
  <c r="B85" i="5"/>
  <c r="F85" i="5"/>
  <c r="H85" i="5"/>
  <c r="I85" i="5"/>
  <c r="B86" i="5"/>
  <c r="D86" i="5"/>
  <c r="F86" i="5"/>
  <c r="I86" i="5"/>
  <c r="B87" i="5"/>
  <c r="E87" i="5"/>
  <c r="F87" i="5"/>
  <c r="I87" i="5"/>
  <c r="B88" i="5"/>
  <c r="C88" i="5"/>
  <c r="D88" i="5"/>
  <c r="G88" i="5"/>
  <c r="I88" i="5"/>
  <c r="B89" i="5"/>
  <c r="C89" i="5"/>
  <c r="D89" i="5"/>
  <c r="F89" i="5"/>
  <c r="G89" i="5"/>
  <c r="H89" i="5"/>
  <c r="I89" i="5"/>
  <c r="B90" i="5"/>
  <c r="F90" i="5"/>
  <c r="I90" i="5"/>
  <c r="B91" i="5"/>
  <c r="C91" i="5"/>
  <c r="D91" i="5"/>
  <c r="F91" i="5"/>
  <c r="I91" i="5"/>
  <c r="B92" i="5"/>
  <c r="E92" i="5"/>
  <c r="I92" i="5"/>
  <c r="B93" i="5"/>
  <c r="F93" i="5"/>
  <c r="G93" i="5"/>
  <c r="H93" i="5"/>
  <c r="I93" i="5"/>
  <c r="B94" i="5"/>
  <c r="D94" i="5"/>
  <c r="I94" i="5"/>
  <c r="B95" i="5"/>
  <c r="F95" i="5"/>
  <c r="I95" i="5"/>
  <c r="B96" i="5"/>
  <c r="C96" i="5"/>
  <c r="D96" i="5"/>
  <c r="E96" i="5"/>
  <c r="G96" i="5"/>
  <c r="I96" i="5"/>
  <c r="B97" i="5"/>
  <c r="E97" i="5"/>
  <c r="F97" i="5"/>
  <c r="B98" i="5"/>
  <c r="I98" i="5"/>
  <c r="B99" i="5"/>
  <c r="D99" i="5"/>
  <c r="F99" i="5"/>
  <c r="I99" i="5"/>
  <c r="B100" i="5"/>
  <c r="E100" i="5"/>
  <c r="I100" i="5"/>
  <c r="B101" i="5"/>
  <c r="F101" i="5"/>
  <c r="B102" i="5"/>
  <c r="I102" i="5"/>
  <c r="B103" i="5"/>
  <c r="I103" i="5"/>
  <c r="B104" i="5"/>
  <c r="F104" i="5"/>
  <c r="I104" i="5"/>
  <c r="B105" i="5"/>
  <c r="F105" i="5"/>
  <c r="H105" i="5"/>
  <c r="B106" i="5"/>
  <c r="G106" i="5"/>
  <c r="I106" i="5"/>
  <c r="GX113" i="1" l="1"/>
  <c r="FY111" i="1"/>
  <c r="FY112" i="1"/>
  <c r="FY113" i="1" s="1"/>
  <c r="CK111" i="1"/>
  <c r="CK112" i="1"/>
  <c r="CK113" i="1" s="1"/>
  <c r="DB32" i="1"/>
  <c r="CZ110" i="1"/>
  <c r="BW31" i="1"/>
  <c r="BU110" i="1"/>
  <c r="BQ31" i="1"/>
  <c r="BO109" i="1"/>
  <c r="BO110" i="1"/>
  <c r="M30" i="1"/>
  <c r="C31" i="5" s="1"/>
  <c r="FQ29" i="1"/>
  <c r="HW29" i="1"/>
  <c r="IQ29" i="1"/>
  <c r="FG28" i="1"/>
  <c r="FF109" i="1"/>
  <c r="FF110" i="1"/>
  <c r="DR28" i="1"/>
  <c r="DP110" i="1"/>
  <c r="DL28" i="1"/>
  <c r="DJ109" i="1"/>
  <c r="DJ110" i="1"/>
  <c r="DA109" i="1"/>
  <c r="DA110" i="1"/>
  <c r="CU110" i="1"/>
  <c r="CO110" i="1"/>
  <c r="CG28" i="1"/>
  <c r="CE110" i="1"/>
  <c r="HB109" i="1"/>
  <c r="HB110" i="1"/>
  <c r="BY109" i="1"/>
  <c r="BY110" i="1"/>
  <c r="BI109" i="1"/>
  <c r="BC110" i="1"/>
  <c r="GZ22" i="1"/>
  <c r="GX110" i="1"/>
  <c r="GS13" i="1"/>
  <c r="GQ110" i="1"/>
  <c r="GQ109" i="1"/>
  <c r="GM13" i="1"/>
  <c r="GK110" i="1"/>
  <c r="GK109" i="1"/>
  <c r="BE13" i="1"/>
  <c r="BD110" i="1"/>
  <c r="B14" i="5"/>
  <c r="HA110" i="1"/>
  <c r="DY109" i="1"/>
  <c r="DY110" i="1"/>
  <c r="DU12" i="1"/>
  <c r="DS109" i="1"/>
  <c r="DS110" i="1"/>
  <c r="FG11" i="1"/>
  <c r="FE109" i="1"/>
  <c r="FE110" i="1"/>
  <c r="EU109" i="1"/>
  <c r="EU110" i="1"/>
  <c r="EK11" i="1"/>
  <c r="EI110" i="1"/>
  <c r="FO109" i="1"/>
  <c r="FP109" i="1" s="1"/>
  <c r="FO110" i="1"/>
  <c r="FI109" i="1"/>
  <c r="FC110" i="1"/>
  <c r="B17" i="4"/>
  <c r="FN112" i="1"/>
  <c r="BU112" i="1"/>
  <c r="BU113" i="1" s="1"/>
  <c r="AJ101" i="1"/>
  <c r="ER109" i="1"/>
  <c r="ER110" i="1"/>
  <c r="EQ32" i="1"/>
  <c r="GO111" i="1"/>
  <c r="GO113" i="1"/>
  <c r="GO112" i="1"/>
  <c r="GY109" i="1"/>
  <c r="GC28" i="1"/>
  <c r="GA110" i="1"/>
  <c r="FW28" i="1"/>
  <c r="FU109" i="1"/>
  <c r="FK110" i="1"/>
  <c r="M26" i="1"/>
  <c r="CL109" i="1"/>
  <c r="CL110" i="1"/>
  <c r="BS110" i="1"/>
  <c r="BS109" i="1"/>
  <c r="BA113" i="1"/>
  <c r="BA112" i="1"/>
  <c r="GB112" i="1"/>
  <c r="GB113" i="1" s="1"/>
  <c r="GB111" i="1"/>
  <c r="BV110" i="1"/>
  <c r="BP109" i="1"/>
  <c r="E15" i="4"/>
  <c r="DB109" i="1"/>
  <c r="CZ111" i="1"/>
  <c r="BL111" i="1"/>
  <c r="BL112" i="1"/>
  <c r="BL113" i="1"/>
  <c r="GF32" i="1"/>
  <c r="GD109" i="1"/>
  <c r="FZ30" i="1"/>
  <c r="FX110" i="1"/>
  <c r="FX109" i="1"/>
  <c r="FN110" i="1"/>
  <c r="GZ29" i="1"/>
  <c r="EL109" i="1"/>
  <c r="EN29" i="1"/>
  <c r="EL110" i="1"/>
  <c r="EH29" i="1"/>
  <c r="EF110" i="1"/>
  <c r="DR29" i="1"/>
  <c r="EG111" i="1"/>
  <c r="EG112" i="1"/>
  <c r="EG113" i="1" s="1"/>
  <c r="AI71" i="1"/>
  <c r="H113" i="1"/>
  <c r="H12" i="4" s="1"/>
  <c r="H8" i="4"/>
  <c r="H112" i="1"/>
  <c r="H11" i="4" s="1"/>
  <c r="H115" i="1"/>
  <c r="H14" i="4" s="1"/>
  <c r="Y63" i="1"/>
  <c r="W104" i="1"/>
  <c r="D110" i="1"/>
  <c r="D9" i="4" s="1"/>
  <c r="D111" i="1"/>
  <c r="D10" i="4" s="1"/>
  <c r="D114" i="1"/>
  <c r="D13" i="4" s="1"/>
  <c r="D8" i="4"/>
  <c r="D112" i="1"/>
  <c r="D11" i="4" s="1"/>
  <c r="D113" i="1"/>
  <c r="D12" i="4" s="1"/>
  <c r="DN110" i="1"/>
  <c r="DN113" i="1" s="1"/>
  <c r="CT110" i="1"/>
  <c r="CT109" i="1"/>
  <c r="CH109" i="1"/>
  <c r="CG29" i="1"/>
  <c r="CF109" i="1"/>
  <c r="CF110" i="1"/>
  <c r="BJ110" i="1"/>
  <c r="CB27" i="1"/>
  <c r="HP27" i="1"/>
  <c r="HZ27" i="1"/>
  <c r="IO27" i="1"/>
  <c r="EY27" i="1"/>
  <c r="FQ27" i="1"/>
  <c r="GT27" i="1"/>
  <c r="GV27" i="1" s="1"/>
  <c r="HS27" i="1"/>
  <c r="IB27" i="1"/>
  <c r="IQ27" i="1"/>
  <c r="HE27" i="1"/>
  <c r="HK27" i="1"/>
  <c r="IK27" i="1"/>
  <c r="DC27" i="1"/>
  <c r="EB27" i="1"/>
  <c r="HV27" i="1"/>
  <c r="IT27" i="1"/>
  <c r="HW27" i="1"/>
  <c r="IU27" i="1"/>
  <c r="HI109" i="1"/>
  <c r="HI110" i="1"/>
  <c r="EQ21" i="1"/>
  <c r="EP110" i="1"/>
  <c r="EJ110" i="1"/>
  <c r="DZ109" i="1"/>
  <c r="BH21" i="1"/>
  <c r="BF110" i="1"/>
  <c r="FC109" i="1"/>
  <c r="DW109" i="1"/>
  <c r="DQ110" i="1"/>
  <c r="V105" i="1"/>
  <c r="HA109" i="1"/>
  <c r="BR110" i="1"/>
  <c r="GM33" i="1"/>
  <c r="EN33" i="1"/>
  <c r="CP33" i="1"/>
  <c r="BW33" i="1"/>
  <c r="BQ33" i="1"/>
  <c r="BK33" i="1"/>
  <c r="HC32" i="1"/>
  <c r="FP32" i="1"/>
  <c r="FJ32" i="1"/>
  <c r="ET32" i="1"/>
  <c r="EK32" i="1"/>
  <c r="DU32" i="1"/>
  <c r="BZ32" i="1"/>
  <c r="GZ31" i="1"/>
  <c r="FJ31" i="1"/>
  <c r="EW31" i="1"/>
  <c r="DB31" i="1"/>
  <c r="CV31" i="1"/>
  <c r="CP31" i="1"/>
  <c r="BN31" i="1"/>
  <c r="BE31" i="1"/>
  <c r="FW30" i="1"/>
  <c r="FJ30" i="1"/>
  <c r="DX30" i="1"/>
  <c r="BN30" i="1"/>
  <c r="HC29" i="1"/>
  <c r="GP29" i="1"/>
  <c r="EW29" i="1"/>
  <c r="CM29" i="1"/>
  <c r="BQ29" i="1"/>
  <c r="BK29" i="1"/>
  <c r="GZ28" i="1"/>
  <c r="DB28" i="1"/>
  <c r="CV28" i="1"/>
  <c r="FJ27" i="1"/>
  <c r="CJ27" i="1"/>
  <c r="FD24" i="1"/>
  <c r="BT24" i="1"/>
  <c r="EF109" i="1"/>
  <c r="GA109" i="1"/>
  <c r="FV109" i="1"/>
  <c r="DG109" i="1"/>
  <c r="BM109" i="1"/>
  <c r="DR25" i="1"/>
  <c r="CG24" i="1"/>
  <c r="FV110" i="1"/>
  <c r="FL110" i="1"/>
  <c r="EP109" i="1"/>
  <c r="DZ110" i="1"/>
  <c r="CO109" i="1"/>
  <c r="HH110" i="1"/>
  <c r="CI110" i="1"/>
  <c r="GE109" i="1"/>
  <c r="BD109" i="1"/>
  <c r="DQ109" i="1"/>
  <c r="HJ33" i="1"/>
  <c r="FZ33" i="1"/>
  <c r="FD33" i="1"/>
  <c r="EA33" i="1"/>
  <c r="DU33" i="1"/>
  <c r="BZ33" i="1"/>
  <c r="BT33" i="1"/>
  <c r="BN33" i="1"/>
  <c r="HJ32" i="1"/>
  <c r="GC32" i="1"/>
  <c r="EN32" i="1"/>
  <c r="EH32" i="1"/>
  <c r="CJ32" i="1"/>
  <c r="HC31" i="1"/>
  <c r="GS31" i="1"/>
  <c r="GM31" i="1"/>
  <c r="FD31" i="1"/>
  <c r="ET31" i="1"/>
  <c r="EN31" i="1"/>
  <c r="DL31" i="1"/>
  <c r="CY31" i="1"/>
  <c r="BB31" i="1"/>
  <c r="EW30" i="1"/>
  <c r="EQ30" i="1"/>
  <c r="DL30" i="1"/>
  <c r="BZ30" i="1"/>
  <c r="BE30" i="1"/>
  <c r="FD29" i="1"/>
  <c r="ET29" i="1"/>
  <c r="CJ29" i="1"/>
  <c r="FD28" i="1"/>
  <c r="BT28" i="1"/>
  <c r="BH28" i="1"/>
  <c r="BB28" i="1"/>
  <c r="FW27" i="1"/>
  <c r="EK27" i="1"/>
  <c r="FJ23" i="1"/>
  <c r="HJ26" i="1"/>
  <c r="GZ26" i="1"/>
  <c r="GC26" i="1"/>
  <c r="FG26" i="1"/>
  <c r="EW26" i="1"/>
  <c r="EQ26" i="1"/>
  <c r="DI26" i="1"/>
  <c r="GZ24" i="1"/>
  <c r="GC24" i="1"/>
  <c r="EA24" i="1"/>
  <c r="DU24" i="1"/>
  <c r="DB24" i="1"/>
  <c r="CV24" i="1"/>
  <c r="BH24" i="1"/>
  <c r="BB24" i="1"/>
  <c r="FW23" i="1"/>
  <c r="EW23" i="1"/>
  <c r="DI23" i="1"/>
  <c r="BW23" i="1"/>
  <c r="BQ23" i="1"/>
  <c r="M18" i="1"/>
  <c r="HC27" i="1"/>
  <c r="FM27" i="1"/>
  <c r="ET27" i="1"/>
  <c r="EN27" i="1"/>
  <c r="FP26" i="1"/>
  <c r="DR26" i="1"/>
  <c r="CP26" i="1"/>
  <c r="BK26" i="1"/>
  <c r="BE26" i="1"/>
  <c r="HJ25" i="1"/>
  <c r="EK25" i="1"/>
  <c r="EA25" i="1"/>
  <c r="DU25" i="1"/>
  <c r="BQ25" i="1"/>
  <c r="BK25" i="1"/>
  <c r="BB25" i="1"/>
  <c r="FM23" i="1"/>
  <c r="DX23" i="1"/>
  <c r="CY23" i="1"/>
  <c r="FP22" i="1"/>
  <c r="DB22" i="1"/>
  <c r="M19" i="1"/>
  <c r="M17" i="1"/>
  <c r="BT29" i="1"/>
  <c r="BH29" i="1"/>
  <c r="FZ28" i="1"/>
  <c r="FP28" i="1"/>
  <c r="FJ28" i="1"/>
  <c r="EW28" i="1"/>
  <c r="EN28" i="1"/>
  <c r="EH28" i="1"/>
  <c r="DX28" i="1"/>
  <c r="CS28" i="1"/>
  <c r="CM28" i="1"/>
  <c r="BZ28" i="1"/>
  <c r="BQ28" i="1"/>
  <c r="BK28" i="1"/>
  <c r="DU27" i="1"/>
  <c r="DO27" i="1"/>
  <c r="DI27" i="1"/>
  <c r="CV27" i="1"/>
  <c r="CP27" i="1"/>
  <c r="BW27" i="1"/>
  <c r="BQ27" i="1"/>
  <c r="BK27" i="1"/>
  <c r="HC26" i="1"/>
  <c r="GF26" i="1"/>
  <c r="FZ26" i="1"/>
  <c r="FJ26" i="1"/>
  <c r="FD26" i="1"/>
  <c r="EA26" i="1"/>
  <c r="BT26" i="1"/>
  <c r="GC25" i="1"/>
  <c r="ET25" i="1"/>
  <c r="CJ25" i="1"/>
  <c r="HC24" i="1"/>
  <c r="FZ24" i="1"/>
  <c r="FP24" i="1"/>
  <c r="FJ24" i="1"/>
  <c r="EW24" i="1"/>
  <c r="EN24" i="1"/>
  <c r="EH24" i="1"/>
  <c r="CS24" i="1"/>
  <c r="CM24" i="1"/>
  <c r="BZ24" i="1"/>
  <c r="BQ24" i="1"/>
  <c r="BK24" i="1"/>
  <c r="ET23" i="1"/>
  <c r="EN23" i="1"/>
  <c r="M23" i="1"/>
  <c r="M22" i="1"/>
  <c r="GF22" i="1"/>
  <c r="FZ22" i="1"/>
  <c r="FJ22" i="1"/>
  <c r="DR22" i="1"/>
  <c r="CP22" i="1"/>
  <c r="BK22" i="1"/>
  <c r="BE22" i="1"/>
  <c r="HJ21" i="1"/>
  <c r="FP21" i="1"/>
  <c r="EK21" i="1"/>
  <c r="EA21" i="1"/>
  <c r="DU21" i="1"/>
  <c r="DB21" i="1"/>
  <c r="BQ21" i="1"/>
  <c r="BK21" i="1"/>
  <c r="BB21" i="1"/>
  <c r="GP20" i="1"/>
  <c r="FM19" i="1"/>
  <c r="DX19" i="1"/>
  <c r="BW19" i="1"/>
  <c r="BQ19" i="1"/>
  <c r="BB19" i="1"/>
  <c r="FP18" i="1"/>
  <c r="DI18" i="1"/>
  <c r="FM17" i="1"/>
  <c r="DR17" i="1"/>
  <c r="CY17" i="1"/>
  <c r="CS17" i="1"/>
  <c r="BN17" i="1"/>
  <c r="BH17" i="1"/>
  <c r="FG16" i="1"/>
  <c r="GS15" i="1"/>
  <c r="GM15" i="1"/>
  <c r="ET15" i="1"/>
  <c r="BZ23" i="1"/>
  <c r="GM22" i="1"/>
  <c r="EA22" i="1"/>
  <c r="DL22" i="1"/>
  <c r="BT22" i="1"/>
  <c r="GC21" i="1"/>
  <c r="ET21" i="1"/>
  <c r="CJ21" i="1"/>
  <c r="HC20" i="1"/>
  <c r="FZ20" i="1"/>
  <c r="FP20" i="1"/>
  <c r="FJ20" i="1"/>
  <c r="EW20" i="1"/>
  <c r="EN20" i="1"/>
  <c r="EH20" i="1"/>
  <c r="CS20" i="1"/>
  <c r="CM20" i="1"/>
  <c r="BZ20" i="1"/>
  <c r="BK20" i="1"/>
  <c r="ET19" i="1"/>
  <c r="EN19" i="1"/>
  <c r="CY19" i="1"/>
  <c r="GF18" i="1"/>
  <c r="FZ18" i="1"/>
  <c r="FJ18" i="1"/>
  <c r="DR18" i="1"/>
  <c r="CP18" i="1"/>
  <c r="BK18" i="1"/>
  <c r="BE18" i="1"/>
  <c r="HC17" i="1"/>
  <c r="GP17" i="1"/>
  <c r="FZ17" i="1"/>
  <c r="BW17" i="1"/>
  <c r="DR16" i="1"/>
  <c r="DL16" i="1"/>
  <c r="CS16" i="1"/>
  <c r="FG15" i="1"/>
  <c r="DB15" i="1"/>
  <c r="BW15" i="1"/>
  <c r="BZ15" i="1"/>
  <c r="M7" i="3"/>
  <c r="DD7" i="1"/>
  <c r="EC7" i="1"/>
  <c r="HP7" i="1"/>
  <c r="HZ7" i="1"/>
  <c r="IH7" i="1"/>
  <c r="IO7" i="1"/>
  <c r="FR7" i="1"/>
  <c r="HT7" i="1"/>
  <c r="IC7" i="1"/>
  <c r="II7" i="1"/>
  <c r="IR7" i="1"/>
  <c r="CB7" i="1"/>
  <c r="EY7" i="1"/>
  <c r="GT7" i="1"/>
  <c r="HL7" i="1"/>
  <c r="HV7" i="1"/>
  <c r="IE7" i="1"/>
  <c r="IG7" i="1" s="1"/>
  <c r="IL7" i="1"/>
  <c r="IT7" i="1"/>
  <c r="BQ15" i="1"/>
  <c r="BK15" i="1"/>
  <c r="BE15" i="1"/>
  <c r="DL14" i="1"/>
  <c r="CS14" i="1"/>
  <c r="HJ13" i="1"/>
  <c r="GZ13" i="1"/>
  <c r="FM13" i="1"/>
  <c r="FG13" i="1"/>
  <c r="CP13" i="1"/>
  <c r="BT13" i="1"/>
  <c r="GC12" i="1"/>
  <c r="ET12" i="1"/>
  <c r="EH12" i="1"/>
  <c r="CY12" i="1"/>
  <c r="CS12" i="1"/>
  <c r="CM12" i="1"/>
  <c r="BN12" i="1"/>
  <c r="BH12" i="1"/>
  <c r="BB12" i="1"/>
  <c r="FZ11" i="1"/>
  <c r="FJ11" i="1"/>
  <c r="EA11" i="1"/>
  <c r="DU11" i="1"/>
  <c r="DO11" i="1"/>
  <c r="CY11" i="1"/>
  <c r="BN11" i="1"/>
  <c r="BB11" i="1"/>
  <c r="HJ10" i="1"/>
  <c r="DX10" i="1"/>
  <c r="DL10" i="1"/>
  <c r="BB10" i="1"/>
  <c r="M10" i="1"/>
  <c r="FW9" i="1"/>
  <c r="DX9" i="1"/>
  <c r="DL9" i="1"/>
  <c r="DB9" i="1"/>
  <c r="CP9" i="1"/>
  <c r="BK9" i="1"/>
  <c r="BE9" i="1"/>
  <c r="HC8" i="1"/>
  <c r="GS8" i="1"/>
  <c r="GC8" i="1"/>
  <c r="FG8" i="1"/>
  <c r="CV8" i="1"/>
  <c r="CJ8" i="1"/>
  <c r="BE8" i="1"/>
  <c r="ET7" i="1"/>
  <c r="DU7" i="1"/>
  <c r="CV7" i="1"/>
  <c r="BW7" i="1"/>
  <c r="GM6" i="1"/>
  <c r="FP6" i="1"/>
  <c r="FJ6" i="1"/>
  <c r="FD6" i="1"/>
  <c r="EN6" i="1"/>
  <c r="DU6" i="1"/>
  <c r="BB6" i="1"/>
  <c r="FM6" i="1"/>
  <c r="CS6" i="1"/>
  <c r="CM6" i="1"/>
  <c r="BK6" i="1"/>
  <c r="FJ14" i="1"/>
  <c r="BN14" i="1"/>
  <c r="FZ13" i="1"/>
  <c r="FJ13" i="1"/>
  <c r="FD13" i="1"/>
  <c r="EN13" i="1"/>
  <c r="DI13" i="1"/>
  <c r="CS13" i="1"/>
  <c r="BB13" i="1"/>
  <c r="HC12" i="1"/>
  <c r="EW12" i="1"/>
  <c r="DB12" i="1"/>
  <c r="CP12" i="1"/>
  <c r="CJ12" i="1"/>
  <c r="FM11" i="1"/>
  <c r="EW11" i="1"/>
  <c r="DL11" i="1"/>
  <c r="BW11" i="1"/>
  <c r="BQ11" i="1"/>
  <c r="FJ10" i="1"/>
  <c r="EA10" i="1"/>
  <c r="DB10" i="1"/>
  <c r="CP10" i="1"/>
  <c r="BE10" i="1"/>
  <c r="GM9" i="1"/>
  <c r="FP9" i="1"/>
  <c r="FD9" i="1"/>
  <c r="DU9" i="1"/>
  <c r="DO9" i="1"/>
  <c r="DI9" i="1"/>
  <c r="HJ8" i="1"/>
  <c r="GP8" i="1"/>
  <c r="GF8" i="1"/>
  <c r="ET8" i="1"/>
  <c r="DI8" i="1"/>
  <c r="CY8" i="1"/>
  <c r="BW8" i="1"/>
  <c r="BB8" i="1"/>
  <c r="HJ7" i="1"/>
  <c r="CP6" i="1"/>
  <c r="BZ6" i="1"/>
  <c r="F96" i="5"/>
  <c r="F76" i="5"/>
  <c r="F68" i="5"/>
  <c r="F54" i="5"/>
  <c r="F100" i="5"/>
  <c r="F45" i="5"/>
  <c r="F36" i="5"/>
  <c r="F94" i="5"/>
  <c r="F74" i="5"/>
  <c r="F72" i="5"/>
  <c r="F60" i="5"/>
  <c r="F56" i="5"/>
  <c r="F49" i="5"/>
  <c r="F92" i="5"/>
  <c r="F88" i="5"/>
  <c r="F78" i="5"/>
  <c r="F64" i="5"/>
  <c r="F62" i="5"/>
  <c r="F58" i="5"/>
  <c r="F42" i="5"/>
  <c r="N94" i="3"/>
  <c r="D95" i="5"/>
  <c r="N83" i="3"/>
  <c r="D84" i="5"/>
  <c r="EP112" i="1"/>
  <c r="EP113" i="1"/>
  <c r="EP111" i="1"/>
  <c r="BD112" i="1"/>
  <c r="BD113" i="1" s="1"/>
  <c r="BD111" i="1"/>
  <c r="II98" i="1"/>
  <c r="C99" i="5"/>
  <c r="HS98" i="1"/>
  <c r="IQ98" i="1"/>
  <c r="GH98" i="1"/>
  <c r="HD98" i="1"/>
  <c r="HW98" i="1"/>
  <c r="IU98" i="1"/>
  <c r="FQ98" i="1"/>
  <c r="GU98" i="1"/>
  <c r="IE98" i="1"/>
  <c r="BG112" i="1"/>
  <c r="BG111" i="1"/>
  <c r="CX112" i="1"/>
  <c r="CX113" i="1" s="1"/>
  <c r="CX111" i="1"/>
  <c r="FL112" i="1"/>
  <c r="FL113" i="1" s="1"/>
  <c r="FL111" i="1"/>
  <c r="EJ112" i="1"/>
  <c r="EJ113" i="1" s="1"/>
  <c r="EJ111" i="1"/>
  <c r="N96" i="3"/>
  <c r="D97" i="5"/>
  <c r="O90" i="3"/>
  <c r="E91" i="5"/>
  <c r="O103" i="3"/>
  <c r="E104" i="5"/>
  <c r="GU102" i="1"/>
  <c r="HV102" i="1"/>
  <c r="IH102" i="1"/>
  <c r="IT102" i="1"/>
  <c r="C103" i="5"/>
  <c r="EY102" i="1"/>
  <c r="HW102" i="1"/>
  <c r="II102" i="1"/>
  <c r="IU102" i="1"/>
  <c r="GG102" i="1"/>
  <c r="HL102" i="1"/>
  <c r="HZ102" i="1"/>
  <c r="IL102" i="1"/>
  <c r="CB102" i="1"/>
  <c r="FQ102" i="1"/>
  <c r="GH102" i="1"/>
  <c r="GT102" i="1"/>
  <c r="HD102" i="1"/>
  <c r="HS102" i="1"/>
  <c r="IE102" i="1"/>
  <c r="IQ102" i="1"/>
  <c r="FC111" i="1"/>
  <c r="FC113" i="1"/>
  <c r="FC112" i="1"/>
  <c r="DW111" i="1"/>
  <c r="DW112" i="1"/>
  <c r="DW113" i="1" s="1"/>
  <c r="HC109" i="1"/>
  <c r="HA112" i="1"/>
  <c r="HA113" i="1" s="1"/>
  <c r="HA111" i="1"/>
  <c r="O100" i="3"/>
  <c r="E101" i="5"/>
  <c r="N99" i="3"/>
  <c r="D100" i="5"/>
  <c r="N91" i="3"/>
  <c r="D92" i="5"/>
  <c r="N89" i="3"/>
  <c r="D90" i="5"/>
  <c r="CO112" i="1"/>
  <c r="CO113" i="1"/>
  <c r="CO111" i="1"/>
  <c r="GE111" i="1"/>
  <c r="GE112" i="1"/>
  <c r="GE113" i="1" s="1"/>
  <c r="DQ112" i="1"/>
  <c r="DQ113" i="1" s="1"/>
  <c r="DQ111" i="1"/>
  <c r="GF109" i="1"/>
  <c r="EF113" i="1"/>
  <c r="EH109" i="1"/>
  <c r="EF112" i="1"/>
  <c r="EF111" i="1"/>
  <c r="GC109" i="1"/>
  <c r="GA112" i="1"/>
  <c r="GA111" i="1"/>
  <c r="GA113" i="1"/>
  <c r="FV112" i="1"/>
  <c r="FV113" i="1"/>
  <c r="FW109" i="1"/>
  <c r="FV111" i="1"/>
  <c r="DG111" i="1"/>
  <c r="DG113" i="1"/>
  <c r="DG112" i="1"/>
  <c r="BM112" i="1"/>
  <c r="BM113" i="1" s="1"/>
  <c r="BM111" i="1"/>
  <c r="M99" i="3"/>
  <c r="DC99" i="1"/>
  <c r="FR99" i="1"/>
  <c r="HT99" i="1"/>
  <c r="IF99" i="1"/>
  <c r="IR99" i="1"/>
  <c r="HD99" i="1"/>
  <c r="HW99" i="1"/>
  <c r="II99" i="1"/>
  <c r="IU99" i="1"/>
  <c r="HE99" i="1"/>
  <c r="HO99" i="1"/>
  <c r="IB99" i="1"/>
  <c r="IN99" i="1"/>
  <c r="EB99" i="1"/>
  <c r="FQ99" i="1"/>
  <c r="GH99" i="1"/>
  <c r="GU99" i="1"/>
  <c r="HS99" i="1"/>
  <c r="HU99" i="1" s="1"/>
  <c r="IE99" i="1"/>
  <c r="IQ99" i="1"/>
  <c r="C100" i="5"/>
  <c r="M96" i="3"/>
  <c r="EX96" i="1"/>
  <c r="HE96" i="1"/>
  <c r="HS96" i="1"/>
  <c r="HY96" i="1"/>
  <c r="IF96" i="1"/>
  <c r="IN96" i="1"/>
  <c r="AU96" i="1"/>
  <c r="CA96" i="1"/>
  <c r="FQ96" i="1"/>
  <c r="HK96" i="1"/>
  <c r="HT96" i="1"/>
  <c r="IB96" i="1"/>
  <c r="IO96" i="1"/>
  <c r="IU96" i="1"/>
  <c r="DC96" i="1"/>
  <c r="DE96" i="1" s="1"/>
  <c r="EB96" i="1"/>
  <c r="FR96" i="1"/>
  <c r="GH96" i="1"/>
  <c r="GU96" i="1"/>
  <c r="HO96" i="1"/>
  <c r="IC96" i="1"/>
  <c r="II96" i="1"/>
  <c r="IQ96" i="1"/>
  <c r="DD96" i="1"/>
  <c r="EC96" i="1"/>
  <c r="HD96" i="1"/>
  <c r="HF96" i="1" s="1"/>
  <c r="HP96" i="1"/>
  <c r="HW96" i="1"/>
  <c r="IE96" i="1"/>
  <c r="IG96" i="1" s="1"/>
  <c r="IK96" i="1"/>
  <c r="IR96" i="1"/>
  <c r="C97" i="5"/>
  <c r="M92" i="3"/>
  <c r="DC92" i="1"/>
  <c r="DE92" i="1" s="1"/>
  <c r="EB92" i="1"/>
  <c r="ED92" i="1" s="1"/>
  <c r="FR92" i="1"/>
  <c r="GH92" i="1"/>
  <c r="GU92" i="1"/>
  <c r="HO92" i="1"/>
  <c r="IC92" i="1"/>
  <c r="II92" i="1"/>
  <c r="IQ92" i="1"/>
  <c r="DD92" i="1"/>
  <c r="EC92" i="1"/>
  <c r="HD92" i="1"/>
  <c r="HP92" i="1"/>
  <c r="HW92" i="1"/>
  <c r="IE92" i="1"/>
  <c r="IK92" i="1"/>
  <c r="IR92" i="1"/>
  <c r="EX92" i="1"/>
  <c r="HE92" i="1"/>
  <c r="HS92" i="1"/>
  <c r="HY92" i="1"/>
  <c r="IF92" i="1"/>
  <c r="IN92" i="1"/>
  <c r="C93" i="5"/>
  <c r="AU92" i="1"/>
  <c r="CA92" i="1"/>
  <c r="FQ92" i="1"/>
  <c r="FS92" i="1" s="1"/>
  <c r="HK92" i="1"/>
  <c r="HT92" i="1"/>
  <c r="IB92" i="1"/>
  <c r="ID92" i="1" s="1"/>
  <c r="IO92" i="1"/>
  <c r="IU92" i="1"/>
  <c r="M91" i="3"/>
  <c r="DC91" i="1"/>
  <c r="FR91" i="1"/>
  <c r="HS91" i="1"/>
  <c r="IF91" i="1"/>
  <c r="IL91" i="1"/>
  <c r="IT91" i="1"/>
  <c r="HD91" i="1"/>
  <c r="HT91" i="1"/>
  <c r="HZ91" i="1"/>
  <c r="IH91" i="1"/>
  <c r="IN91" i="1"/>
  <c r="IU91" i="1"/>
  <c r="HE91" i="1"/>
  <c r="HL91" i="1"/>
  <c r="HV91" i="1"/>
  <c r="IB91" i="1"/>
  <c r="II91" i="1"/>
  <c r="IQ91" i="1"/>
  <c r="EB91" i="1"/>
  <c r="FQ91" i="1"/>
  <c r="FS91" i="1" s="1"/>
  <c r="GH91" i="1"/>
  <c r="GU91" i="1"/>
  <c r="HO91" i="1"/>
  <c r="HW91" i="1"/>
  <c r="IE91" i="1"/>
  <c r="IR91" i="1"/>
  <c r="C92" i="5"/>
  <c r="O88" i="3"/>
  <c r="E89" i="5"/>
  <c r="K15" i="4"/>
  <c r="HI112" i="1"/>
  <c r="GY112" i="1"/>
  <c r="FI112" i="1"/>
  <c r="FN111" i="1"/>
  <c r="ER111" i="1"/>
  <c r="CL111" i="1"/>
  <c r="BY111" i="1"/>
  <c r="BP111" i="1"/>
  <c r="BI111" i="1"/>
  <c r="BA111" i="1"/>
  <c r="K111" i="1"/>
  <c r="K10" i="4" s="1"/>
  <c r="G111" i="1"/>
  <c r="G10" i="4" s="1"/>
  <c r="C111" i="1"/>
  <c r="C10" i="4" s="1"/>
  <c r="GB110" i="1"/>
  <c r="EW109" i="1"/>
  <c r="ES109" i="1"/>
  <c r="EM109" i="1"/>
  <c r="EI109" i="1"/>
  <c r="EA109" i="1"/>
  <c r="DV109" i="1"/>
  <c r="DM109" i="1"/>
  <c r="CN109" i="1"/>
  <c r="BC109" i="1"/>
  <c r="W106" i="1"/>
  <c r="DI105" i="1"/>
  <c r="AF105" i="1"/>
  <c r="HJ104" i="1"/>
  <c r="DU104" i="1"/>
  <c r="CY104" i="1"/>
  <c r="CJ104" i="1"/>
  <c r="BN104" i="1"/>
  <c r="AV104" i="1"/>
  <c r="N104" i="1" s="1"/>
  <c r="Y104" i="1"/>
  <c r="M104" i="1"/>
  <c r="FW103" i="1"/>
  <c r="DX103" i="1"/>
  <c r="BE103" i="1"/>
  <c r="AV103" i="1"/>
  <c r="N103" i="1" s="1"/>
  <c r="M103" i="1"/>
  <c r="FM102" i="1"/>
  <c r="DR102" i="1"/>
  <c r="AK102" i="1"/>
  <c r="AX100" i="1"/>
  <c r="G101" i="5" s="1"/>
  <c r="AI100" i="1"/>
  <c r="M100" i="1"/>
  <c r="W96" i="1"/>
  <c r="M94" i="1"/>
  <c r="IE90" i="1"/>
  <c r="GU90" i="1"/>
  <c r="FQ90" i="1"/>
  <c r="BN88" i="1"/>
  <c r="FM87" i="1"/>
  <c r="EN87" i="1"/>
  <c r="DO87" i="1"/>
  <c r="CP87" i="1"/>
  <c r="BQ87" i="1"/>
  <c r="HC86" i="1"/>
  <c r="GP86" i="1"/>
  <c r="GC86" i="1"/>
  <c r="FP86" i="1"/>
  <c r="CG86" i="1"/>
  <c r="M86" i="1"/>
  <c r="GF85" i="1"/>
  <c r="EN82" i="1"/>
  <c r="M74" i="3"/>
  <c r="IE74" i="1"/>
  <c r="GH74" i="1"/>
  <c r="GU74" i="1"/>
  <c r="II74" i="1"/>
  <c r="HS74" i="1"/>
  <c r="IQ74" i="1"/>
  <c r="FQ74" i="1"/>
  <c r="HD74" i="1"/>
  <c r="HW74" i="1"/>
  <c r="IU74" i="1"/>
  <c r="EN109" i="1"/>
  <c r="V106" i="1"/>
  <c r="AK103" i="1"/>
  <c r="AJ102" i="1"/>
  <c r="W100" i="1"/>
  <c r="AK98" i="1"/>
  <c r="AF97" i="1"/>
  <c r="AX84" i="1"/>
  <c r="G85" i="5" s="1"/>
  <c r="M84" i="1"/>
  <c r="AV84" i="1"/>
  <c r="N84" i="1" s="1"/>
  <c r="FJ79" i="1"/>
  <c r="DL79" i="1"/>
  <c r="BN79" i="1"/>
  <c r="P17" i="4"/>
  <c r="T16" i="4"/>
  <c r="C16" i="4"/>
  <c r="T15" i="4"/>
  <c r="H15" i="4"/>
  <c r="K114" i="1"/>
  <c r="G114" i="1"/>
  <c r="C114" i="1"/>
  <c r="K113" i="1"/>
  <c r="K12" i="4" s="1"/>
  <c r="K16" i="4" s="1"/>
  <c r="G113" i="1"/>
  <c r="G12" i="4" s="1"/>
  <c r="G16" i="4" s="1"/>
  <c r="C113" i="1"/>
  <c r="C12" i="4" s="1"/>
  <c r="CZ112" i="1"/>
  <c r="CZ113" i="1" s="1"/>
  <c r="GQ111" i="1"/>
  <c r="GK111" i="1"/>
  <c r="FE111" i="1"/>
  <c r="BG110" i="1"/>
  <c r="BG113" i="1" s="1"/>
  <c r="K110" i="1"/>
  <c r="K9" i="4" s="1"/>
  <c r="G110" i="1"/>
  <c r="G9" i="4" s="1"/>
  <c r="G15" i="4" s="1"/>
  <c r="C110" i="1"/>
  <c r="C9" i="4" s="1"/>
  <c r="C15" i="4" s="1"/>
  <c r="HH109" i="1"/>
  <c r="GZ109" i="1"/>
  <c r="FH109" i="1"/>
  <c r="CM109" i="1"/>
  <c r="BX109" i="1"/>
  <c r="BQ109" i="1"/>
  <c r="AZ109" i="1"/>
  <c r="GP105" i="1"/>
  <c r="FW105" i="1"/>
  <c r="EH105" i="1"/>
  <c r="EA105" i="1"/>
  <c r="DR105" i="1"/>
  <c r="BH105" i="1"/>
  <c r="BB105" i="1"/>
  <c r="AJ105" i="1"/>
  <c r="W105" i="1"/>
  <c r="ET104" i="1"/>
  <c r="EN104" i="1"/>
  <c r="AX104" i="1"/>
  <c r="G105" i="5" s="1"/>
  <c r="AK104" i="1"/>
  <c r="GF103" i="1"/>
  <c r="FP103" i="1"/>
  <c r="FG103" i="1"/>
  <c r="CG103" i="1"/>
  <c r="AX103" i="1"/>
  <c r="G104" i="5" s="1"/>
  <c r="Y103" i="1"/>
  <c r="GS102" i="1"/>
  <c r="FG102" i="1"/>
  <c r="ET102" i="1"/>
  <c r="CV102" i="1"/>
  <c r="BK102" i="1"/>
  <c r="X102" i="1"/>
  <c r="HJ101" i="1"/>
  <c r="FJ101" i="1"/>
  <c r="EW101" i="1"/>
  <c r="DX101" i="1"/>
  <c r="BN101" i="1"/>
  <c r="EA100" i="1"/>
  <c r="CP100" i="1"/>
  <c r="AV100" i="1"/>
  <c r="N100" i="1" s="1"/>
  <c r="GF99" i="1"/>
  <c r="FP99" i="1"/>
  <c r="DR99" i="1"/>
  <c r="BT99" i="1"/>
  <c r="GS98" i="1"/>
  <c r="FG98" i="1"/>
  <c r="DU98" i="1"/>
  <c r="BZ98" i="1"/>
  <c r="BK98" i="1"/>
  <c r="BB98" i="1"/>
  <c r="Y98" i="1"/>
  <c r="HJ97" i="1"/>
  <c r="FM97" i="1"/>
  <c r="EK97" i="1"/>
  <c r="CY97" i="1"/>
  <c r="BN97" i="1"/>
  <c r="BE97" i="1"/>
  <c r="FM96" i="1"/>
  <c r="BE96" i="1"/>
  <c r="AY96" i="1"/>
  <c r="H97" i="5" s="1"/>
  <c r="EQ95" i="1"/>
  <c r="CV95" i="1"/>
  <c r="GF94" i="1"/>
  <c r="FW94" i="1"/>
  <c r="EW94" i="1"/>
  <c r="EH94" i="1"/>
  <c r="CV94" i="1"/>
  <c r="CM94" i="1"/>
  <c r="AW94" i="1"/>
  <c r="O94" i="1" s="1"/>
  <c r="FW93" i="1"/>
  <c r="DX93" i="1"/>
  <c r="DO93" i="1"/>
  <c r="GZ92" i="1"/>
  <c r="GM92" i="1"/>
  <c r="FZ92" i="1"/>
  <c r="FP92" i="1"/>
  <c r="BQ92" i="1"/>
  <c r="BH92" i="1"/>
  <c r="AW92" i="1"/>
  <c r="O92" i="1" s="1"/>
  <c r="GS91" i="1"/>
  <c r="GF91" i="1"/>
  <c r="FP91" i="1"/>
  <c r="FG91" i="1"/>
  <c r="DR91" i="1"/>
  <c r="DI91" i="1"/>
  <c r="BT91" i="1"/>
  <c r="BK91" i="1"/>
  <c r="IQ90" i="1"/>
  <c r="HS90" i="1"/>
  <c r="GS90" i="1"/>
  <c r="FG90" i="1"/>
  <c r="DU90" i="1"/>
  <c r="DL90" i="1"/>
  <c r="BZ90" i="1"/>
  <c r="BK90" i="1"/>
  <c r="BB90" i="1"/>
  <c r="FJ89" i="1"/>
  <c r="EW89" i="1"/>
  <c r="EN89" i="1"/>
  <c r="DB89" i="1"/>
  <c r="CM89" i="1"/>
  <c r="BZ89" i="1"/>
  <c r="BQ89" i="1"/>
  <c r="BB89" i="1"/>
  <c r="IP88" i="1"/>
  <c r="EQ88" i="1"/>
  <c r="EA88" i="1"/>
  <c r="DR88" i="1"/>
  <c r="CP88" i="1"/>
  <c r="BH88" i="1"/>
  <c r="GP87" i="1"/>
  <c r="GF87" i="1"/>
  <c r="FG87" i="1"/>
  <c r="EH87" i="1"/>
  <c r="DI87" i="1"/>
  <c r="CJ87" i="1"/>
  <c r="BK87" i="1"/>
  <c r="HJ86" i="1"/>
  <c r="FW86" i="1"/>
  <c r="FJ86" i="1"/>
  <c r="ET86" i="1"/>
  <c r="DU86" i="1"/>
  <c r="CV86" i="1"/>
  <c r="BK86" i="1"/>
  <c r="AY86" i="1"/>
  <c r="H87" i="5" s="1"/>
  <c r="FD85" i="1"/>
  <c r="ET84" i="1"/>
  <c r="CV84" i="1"/>
  <c r="AW84" i="1"/>
  <c r="O84" i="1" s="1"/>
  <c r="CP82" i="1"/>
  <c r="M82" i="1"/>
  <c r="AW82" i="1"/>
  <c r="O82" i="1" s="1"/>
  <c r="HC81" i="1"/>
  <c r="CG81" i="1"/>
  <c r="GS80" i="1"/>
  <c r="M80" i="1"/>
  <c r="AV80" i="1"/>
  <c r="N80" i="1" s="1"/>
  <c r="AW80" i="1"/>
  <c r="O80" i="1" s="1"/>
  <c r="AX80" i="1"/>
  <c r="G81" i="5" s="1"/>
  <c r="M65" i="3"/>
  <c r="DD65" i="1"/>
  <c r="EX65" i="1"/>
  <c r="FQ65" i="1"/>
  <c r="HS65" i="1"/>
  <c r="IE65" i="1"/>
  <c r="IQ65" i="1"/>
  <c r="AU65" i="1"/>
  <c r="CA65" i="1"/>
  <c r="EC65" i="1"/>
  <c r="HW65" i="1"/>
  <c r="II65" i="1"/>
  <c r="IU65" i="1"/>
  <c r="GH65" i="1"/>
  <c r="GU65" i="1"/>
  <c r="HK65" i="1"/>
  <c r="HY65" i="1"/>
  <c r="IK65" i="1"/>
  <c r="HD65" i="1"/>
  <c r="HP65" i="1"/>
  <c r="IC65" i="1"/>
  <c r="IO65" i="1"/>
  <c r="S16" i="4"/>
  <c r="O16" i="4"/>
  <c r="J16" i="4"/>
  <c r="F16" i="4"/>
  <c r="B16" i="4"/>
  <c r="GQ112" i="1"/>
  <c r="GK112" i="1"/>
  <c r="FE112" i="1"/>
  <c r="GN110" i="1"/>
  <c r="FH110" i="1"/>
  <c r="FB110" i="1"/>
  <c r="DV110" i="1"/>
  <c r="AZ110" i="1"/>
  <c r="GN109" i="1"/>
  <c r="FK109" i="1"/>
  <c r="FB109" i="1"/>
  <c r="EO109" i="1"/>
  <c r="CW109" i="1"/>
  <c r="Y106" i="1"/>
  <c r="EW105" i="1"/>
  <c r="CM105" i="1"/>
  <c r="BK105" i="1"/>
  <c r="AY105" i="1"/>
  <c r="H106" i="5" s="1"/>
  <c r="AI105" i="1"/>
  <c r="GZ104" i="1"/>
  <c r="GF104" i="1"/>
  <c r="FZ104" i="1"/>
  <c r="EW104" i="1"/>
  <c r="DB104" i="1"/>
  <c r="CV104" i="1"/>
  <c r="BQ104" i="1"/>
  <c r="BH104" i="1"/>
  <c r="AW104" i="1"/>
  <c r="O104" i="1" s="1"/>
  <c r="EQ103" i="1"/>
  <c r="BW103" i="1"/>
  <c r="BH103" i="1"/>
  <c r="HJ102" i="1"/>
  <c r="GF102" i="1"/>
  <c r="DU102" i="1"/>
  <c r="DO102" i="1"/>
  <c r="AV102" i="1"/>
  <c r="N102" i="1" s="1"/>
  <c r="GZ101" i="1"/>
  <c r="GC101" i="1"/>
  <c r="EK101" i="1"/>
  <c r="CY101" i="1"/>
  <c r="CP101" i="1"/>
  <c r="BB101" i="1"/>
  <c r="HC100" i="1"/>
  <c r="FM100" i="1"/>
  <c r="FG100" i="1"/>
  <c r="ET100" i="1"/>
  <c r="DO100" i="1"/>
  <c r="BE100" i="1"/>
  <c r="EQ99" i="1"/>
  <c r="EH99" i="1"/>
  <c r="CV99" i="1"/>
  <c r="CG99" i="1"/>
  <c r="AX99" i="1"/>
  <c r="G100" i="5" s="1"/>
  <c r="GF98" i="1"/>
  <c r="EW98" i="1"/>
  <c r="EH98" i="1"/>
  <c r="CV98" i="1"/>
  <c r="CM98" i="1"/>
  <c r="AW98" i="1"/>
  <c r="O98" i="1" s="1"/>
  <c r="GZ97" i="1"/>
  <c r="GM97" i="1"/>
  <c r="EA97" i="1"/>
  <c r="DL97" i="1"/>
  <c r="EQ96" i="1"/>
  <c r="EA96" i="1"/>
  <c r="DR96" i="1"/>
  <c r="DB96" i="1"/>
  <c r="AX96" i="1"/>
  <c r="G97" i="5" s="1"/>
  <c r="AI96" i="1"/>
  <c r="IS95" i="1"/>
  <c r="HU95" i="1"/>
  <c r="HC95" i="1"/>
  <c r="GP95" i="1"/>
  <c r="GC95" i="1"/>
  <c r="FS95" i="1"/>
  <c r="FD95" i="1"/>
  <c r="EB95" i="1"/>
  <c r="DU95" i="1"/>
  <c r="BW95" i="1"/>
  <c r="HJ94" i="1"/>
  <c r="FJ94" i="1"/>
  <c r="DX94" i="1"/>
  <c r="DI94" i="1"/>
  <c r="BW94" i="1"/>
  <c r="BN94" i="1"/>
  <c r="HJ93" i="1"/>
  <c r="FM93" i="1"/>
  <c r="EK93" i="1"/>
  <c r="CY93" i="1"/>
  <c r="CP93" i="1"/>
  <c r="BN93" i="1"/>
  <c r="BE93" i="1"/>
  <c r="EN92" i="1"/>
  <c r="DO92" i="1"/>
  <c r="CP92" i="1"/>
  <c r="CG92" i="1"/>
  <c r="AV92" i="1"/>
  <c r="N92" i="1" s="1"/>
  <c r="EQ91" i="1"/>
  <c r="EH91" i="1"/>
  <c r="CV91" i="1"/>
  <c r="CG91" i="1"/>
  <c r="AX91" i="1"/>
  <c r="G92" i="5" s="1"/>
  <c r="II90" i="1"/>
  <c r="GF90" i="1"/>
  <c r="FW90" i="1"/>
  <c r="EW90" i="1"/>
  <c r="EH90" i="1"/>
  <c r="CV90" i="1"/>
  <c r="CM90" i="1"/>
  <c r="FW89" i="1"/>
  <c r="DX89" i="1"/>
  <c r="DO89" i="1"/>
  <c r="GZ88" i="1"/>
  <c r="GM88" i="1"/>
  <c r="FZ88" i="1"/>
  <c r="FP88" i="1"/>
  <c r="EC88" i="1"/>
  <c r="ED88" i="1" s="1"/>
  <c r="DC88" i="1"/>
  <c r="DE88" i="1" s="1"/>
  <c r="CM88" i="1"/>
  <c r="BZ88" i="1"/>
  <c r="BQ88" i="1"/>
  <c r="AU88" i="1"/>
  <c r="GM87" i="1"/>
  <c r="FP87" i="1"/>
  <c r="EQ87" i="1"/>
  <c r="EA87" i="1"/>
  <c r="DR87" i="1"/>
  <c r="DB87" i="1"/>
  <c r="CS87" i="1"/>
  <c r="BT87" i="1"/>
  <c r="AW87" i="1"/>
  <c r="O87" i="1" s="1"/>
  <c r="GS86" i="1"/>
  <c r="GF86" i="1"/>
  <c r="AV86" i="1"/>
  <c r="N86" i="1" s="1"/>
  <c r="GC85" i="1"/>
  <c r="FW85" i="1"/>
  <c r="FG84" i="1"/>
  <c r="HJ83" i="1"/>
  <c r="M83" i="1"/>
  <c r="C84" i="5" s="1"/>
  <c r="AX83" i="1"/>
  <c r="G84" i="5" s="1"/>
  <c r="DR81" i="1"/>
  <c r="DU80" i="1"/>
  <c r="EK79" i="1"/>
  <c r="CM79" i="1"/>
  <c r="FG85" i="1"/>
  <c r="EH85" i="1"/>
  <c r="DO85" i="1"/>
  <c r="CY85" i="1"/>
  <c r="BZ85" i="1"/>
  <c r="BE85" i="1"/>
  <c r="HC84" i="1"/>
  <c r="GP84" i="1"/>
  <c r="GC84" i="1"/>
  <c r="FJ84" i="1"/>
  <c r="EW84" i="1"/>
  <c r="EN84" i="1"/>
  <c r="DR84" i="1"/>
  <c r="CY84" i="1"/>
  <c r="CP84" i="1"/>
  <c r="BH84" i="1"/>
  <c r="GP83" i="1"/>
  <c r="GF83" i="1"/>
  <c r="FG83" i="1"/>
  <c r="EH83" i="1"/>
  <c r="DI83" i="1"/>
  <c r="CJ83" i="1"/>
  <c r="BK83" i="1"/>
  <c r="GS82" i="1"/>
  <c r="GF82" i="1"/>
  <c r="EQ82" i="1"/>
  <c r="EH82" i="1"/>
  <c r="DR82" i="1"/>
  <c r="DI82" i="1"/>
  <c r="CS82" i="1"/>
  <c r="CJ82" i="1"/>
  <c r="BZ82" i="1"/>
  <c r="BH82" i="1"/>
  <c r="FZ81" i="1"/>
  <c r="EW81" i="1"/>
  <c r="DU81" i="1"/>
  <c r="DL81" i="1"/>
  <c r="DB81" i="1"/>
  <c r="CJ81" i="1"/>
  <c r="BK81" i="1"/>
  <c r="BB81" i="1"/>
  <c r="HJ80" i="1"/>
  <c r="GZ80" i="1"/>
  <c r="GM80" i="1"/>
  <c r="FZ80" i="1"/>
  <c r="FD80" i="1"/>
  <c r="EQ80" i="1"/>
  <c r="DX80" i="1"/>
  <c r="DO80" i="1"/>
  <c r="CS80" i="1"/>
  <c r="BN80" i="1"/>
  <c r="BE80" i="1"/>
  <c r="HC79" i="1"/>
  <c r="GS79" i="1"/>
  <c r="GC79" i="1"/>
  <c r="FM79" i="1"/>
  <c r="FD79" i="1"/>
  <c r="EN79" i="1"/>
  <c r="DO79" i="1"/>
  <c r="CP79" i="1"/>
  <c r="CG79" i="1"/>
  <c r="BQ79" i="1"/>
  <c r="BH79" i="1"/>
  <c r="FD78" i="1"/>
  <c r="EK78" i="1"/>
  <c r="DL78" i="1"/>
  <c r="CM78" i="1"/>
  <c r="BW78" i="1"/>
  <c r="BB78" i="1"/>
  <c r="M78" i="1"/>
  <c r="GZ77" i="1"/>
  <c r="GF77" i="1"/>
  <c r="FW77" i="1"/>
  <c r="FG77" i="1"/>
  <c r="EH77" i="1"/>
  <c r="DO77" i="1"/>
  <c r="CY77" i="1"/>
  <c r="BZ77" i="1"/>
  <c r="BE77" i="1"/>
  <c r="HC76" i="1"/>
  <c r="GP76" i="1"/>
  <c r="GC76" i="1"/>
  <c r="FJ76" i="1"/>
  <c r="EW76" i="1"/>
  <c r="EN76" i="1"/>
  <c r="DR76" i="1"/>
  <c r="CY76" i="1"/>
  <c r="CP76" i="1"/>
  <c r="BH76" i="1"/>
  <c r="AV76" i="1"/>
  <c r="N76" i="1" s="1"/>
  <c r="M76" i="1"/>
  <c r="GP75" i="1"/>
  <c r="GF75" i="1"/>
  <c r="FG75" i="1"/>
  <c r="EH75" i="1"/>
  <c r="DI75" i="1"/>
  <c r="CJ75" i="1"/>
  <c r="BK75" i="1"/>
  <c r="AX75" i="1"/>
  <c r="G76" i="5" s="1"/>
  <c r="GS74" i="1"/>
  <c r="GF74" i="1"/>
  <c r="EQ74" i="1"/>
  <c r="EH74" i="1"/>
  <c r="DR74" i="1"/>
  <c r="DI74" i="1"/>
  <c r="CS74" i="1"/>
  <c r="CJ74" i="1"/>
  <c r="BZ74" i="1"/>
  <c r="BH74" i="1"/>
  <c r="AW74" i="1"/>
  <c r="O74" i="1" s="1"/>
  <c r="FZ73" i="1"/>
  <c r="EW73" i="1"/>
  <c r="DU73" i="1"/>
  <c r="DL73" i="1"/>
  <c r="DB73" i="1"/>
  <c r="CJ73" i="1"/>
  <c r="BK73" i="1"/>
  <c r="BB73" i="1"/>
  <c r="GC72" i="1"/>
  <c r="FD72" i="1"/>
  <c r="EH72" i="1"/>
  <c r="DB72" i="1"/>
  <c r="CJ72" i="1"/>
  <c r="BT72" i="1"/>
  <c r="AV72" i="1"/>
  <c r="N72" i="1" s="1"/>
  <c r="IQ71" i="1"/>
  <c r="IS71" i="1" s="1"/>
  <c r="II71" i="1"/>
  <c r="IB71" i="1"/>
  <c r="HT71" i="1"/>
  <c r="HK71" i="1"/>
  <c r="HD71" i="1"/>
  <c r="HF71" i="1" s="1"/>
  <c r="GZ71" i="1"/>
  <c r="GF71" i="1"/>
  <c r="FZ71" i="1"/>
  <c r="FR71" i="1"/>
  <c r="FD71" i="1"/>
  <c r="EB71" i="1"/>
  <c r="CS71" i="1"/>
  <c r="BK71" i="1"/>
  <c r="BE71" i="1"/>
  <c r="AU71" i="1"/>
  <c r="IL70" i="1"/>
  <c r="IB70" i="1"/>
  <c r="HT70" i="1"/>
  <c r="GU70" i="1"/>
  <c r="GV70" i="1" s="1"/>
  <c r="FQ70" i="1"/>
  <c r="DL70" i="1"/>
  <c r="DB70" i="1"/>
  <c r="CB70" i="1"/>
  <c r="IT69" i="1"/>
  <c r="IH69" i="1"/>
  <c r="IJ69" i="1" s="1"/>
  <c r="HY69" i="1"/>
  <c r="IA69" i="1" s="1"/>
  <c r="HL69" i="1"/>
  <c r="HD69" i="1"/>
  <c r="GZ69" i="1"/>
  <c r="GP69" i="1"/>
  <c r="GH69" i="1"/>
  <c r="FD69" i="1"/>
  <c r="EW69" i="1"/>
  <c r="DU69" i="1"/>
  <c r="DO69" i="1"/>
  <c r="FP68" i="1"/>
  <c r="EN68" i="1"/>
  <c r="CP68" i="1"/>
  <c r="CJ68" i="1"/>
  <c r="BQ68" i="1"/>
  <c r="BK68" i="1"/>
  <c r="IE67" i="1"/>
  <c r="FD67" i="1"/>
  <c r="ET67" i="1"/>
  <c r="DU67" i="1"/>
  <c r="CV67" i="1"/>
  <c r="BZ67" i="1"/>
  <c r="BK67" i="1"/>
  <c r="HJ66" i="1"/>
  <c r="GZ66" i="1"/>
  <c r="FJ66" i="1"/>
  <c r="EK66" i="1"/>
  <c r="DU66" i="1"/>
  <c r="DO66" i="1"/>
  <c r="CJ66" i="1"/>
  <c r="BK66" i="1"/>
  <c r="BE66" i="1"/>
  <c r="GZ65" i="1"/>
  <c r="GM65" i="1"/>
  <c r="FZ65" i="1"/>
  <c r="FP65" i="1"/>
  <c r="EN65" i="1"/>
  <c r="EA65" i="1"/>
  <c r="CM65" i="1"/>
  <c r="CG65" i="1"/>
  <c r="BZ65" i="1"/>
  <c r="BT65" i="1"/>
  <c r="BE65" i="1"/>
  <c r="AW65" i="1"/>
  <c r="O65" i="1" s="1"/>
  <c r="GS64" i="1"/>
  <c r="DO64" i="1"/>
  <c r="DI64" i="1"/>
  <c r="DB64" i="1"/>
  <c r="CV64" i="1"/>
  <c r="CG64" i="1"/>
  <c r="BW64" i="1"/>
  <c r="BH64" i="1"/>
  <c r="HJ63" i="1"/>
  <c r="HC63" i="1"/>
  <c r="GP63" i="1"/>
  <c r="GC63" i="1"/>
  <c r="FW63" i="1"/>
  <c r="FP63" i="1"/>
  <c r="FJ63" i="1"/>
  <c r="CG63" i="1"/>
  <c r="BW63" i="1"/>
  <c r="AY63" i="1"/>
  <c r="H64" i="5" s="1"/>
  <c r="M63" i="1"/>
  <c r="FG62" i="1"/>
  <c r="HJ61" i="1"/>
  <c r="M56" i="1"/>
  <c r="C57" i="5" s="1"/>
  <c r="AV56" i="1"/>
  <c r="N56" i="1" s="1"/>
  <c r="AX56" i="1"/>
  <c r="G57" i="5" s="1"/>
  <c r="GH42" i="1"/>
  <c r="HO42" i="1"/>
  <c r="IF42" i="1"/>
  <c r="IR42" i="1"/>
  <c r="HD42" i="1"/>
  <c r="HS42" i="1"/>
  <c r="HU42" i="1" s="1"/>
  <c r="II42" i="1"/>
  <c r="FQ42" i="1"/>
  <c r="HT42" i="1"/>
  <c r="IN42" i="1"/>
  <c r="EB42" i="1"/>
  <c r="IB42" i="1"/>
  <c r="IQ42" i="1"/>
  <c r="IS42" i="1" s="1"/>
  <c r="AV75" i="1"/>
  <c r="N75" i="1" s="1"/>
  <c r="AV74" i="1"/>
  <c r="N74" i="1" s="1"/>
  <c r="IO71" i="1"/>
  <c r="IF71" i="1"/>
  <c r="HY71" i="1"/>
  <c r="HS71" i="1"/>
  <c r="GU71" i="1"/>
  <c r="FQ71" i="1"/>
  <c r="EX71" i="1"/>
  <c r="IO69" i="1"/>
  <c r="IE69" i="1"/>
  <c r="HW69" i="1"/>
  <c r="HK69" i="1"/>
  <c r="GU69" i="1"/>
  <c r="EC69" i="1"/>
  <c r="DI61" i="1"/>
  <c r="BQ61" i="1"/>
  <c r="M61" i="1"/>
  <c r="AW61" i="1"/>
  <c r="O61" i="1" s="1"/>
  <c r="FJ60" i="1"/>
  <c r="FD60" i="1"/>
  <c r="DO60" i="1"/>
  <c r="BN60" i="1"/>
  <c r="BH60" i="1"/>
  <c r="M60" i="1"/>
  <c r="C61" i="5" s="1"/>
  <c r="AX60" i="1"/>
  <c r="G61" i="5" s="1"/>
  <c r="HC59" i="1"/>
  <c r="GP59" i="1"/>
  <c r="GC59" i="1"/>
  <c r="FD59" i="1"/>
  <c r="ET59" i="1"/>
  <c r="DU59" i="1"/>
  <c r="CV59" i="1"/>
  <c r="AW59" i="1"/>
  <c r="O59" i="1" s="1"/>
  <c r="EQ86" i="1"/>
  <c r="EH86" i="1"/>
  <c r="DR86" i="1"/>
  <c r="DI86" i="1"/>
  <c r="CS86" i="1"/>
  <c r="CJ86" i="1"/>
  <c r="BZ86" i="1"/>
  <c r="BH86" i="1"/>
  <c r="FZ85" i="1"/>
  <c r="EW85" i="1"/>
  <c r="DU85" i="1"/>
  <c r="DL85" i="1"/>
  <c r="DB85" i="1"/>
  <c r="CJ85" i="1"/>
  <c r="BK85" i="1"/>
  <c r="BB85" i="1"/>
  <c r="HJ84" i="1"/>
  <c r="GZ84" i="1"/>
  <c r="GM84" i="1"/>
  <c r="FZ84" i="1"/>
  <c r="FD84" i="1"/>
  <c r="EQ84" i="1"/>
  <c r="DX84" i="1"/>
  <c r="DO84" i="1"/>
  <c r="CS84" i="1"/>
  <c r="BN84" i="1"/>
  <c r="BE84" i="1"/>
  <c r="HC83" i="1"/>
  <c r="GS83" i="1"/>
  <c r="GC83" i="1"/>
  <c r="FM83" i="1"/>
  <c r="FD83" i="1"/>
  <c r="EN83" i="1"/>
  <c r="DO83" i="1"/>
  <c r="CP83" i="1"/>
  <c r="CG83" i="1"/>
  <c r="BQ83" i="1"/>
  <c r="BH83" i="1"/>
  <c r="FD82" i="1"/>
  <c r="EK82" i="1"/>
  <c r="DL82" i="1"/>
  <c r="CM82" i="1"/>
  <c r="BW82" i="1"/>
  <c r="BB82" i="1"/>
  <c r="GZ81" i="1"/>
  <c r="GF81" i="1"/>
  <c r="FW81" i="1"/>
  <c r="FG81" i="1"/>
  <c r="EH81" i="1"/>
  <c r="DO81" i="1"/>
  <c r="CY81" i="1"/>
  <c r="BZ81" i="1"/>
  <c r="BE81" i="1"/>
  <c r="HC80" i="1"/>
  <c r="GP80" i="1"/>
  <c r="GC80" i="1"/>
  <c r="FJ80" i="1"/>
  <c r="EW80" i="1"/>
  <c r="EN80" i="1"/>
  <c r="DR80" i="1"/>
  <c r="CY80" i="1"/>
  <c r="CP80" i="1"/>
  <c r="BH80" i="1"/>
  <c r="GP79" i="1"/>
  <c r="GF79" i="1"/>
  <c r="FG79" i="1"/>
  <c r="EH79" i="1"/>
  <c r="DI79" i="1"/>
  <c r="CJ79" i="1"/>
  <c r="BK79" i="1"/>
  <c r="AX79" i="1"/>
  <c r="G80" i="5" s="1"/>
  <c r="GS78" i="1"/>
  <c r="GF78" i="1"/>
  <c r="EQ78" i="1"/>
  <c r="EH78" i="1"/>
  <c r="DR78" i="1"/>
  <c r="DI78" i="1"/>
  <c r="CS78" i="1"/>
  <c r="CJ78" i="1"/>
  <c r="BZ78" i="1"/>
  <c r="BH78" i="1"/>
  <c r="FZ77" i="1"/>
  <c r="EW77" i="1"/>
  <c r="DU77" i="1"/>
  <c r="DL77" i="1"/>
  <c r="DB77" i="1"/>
  <c r="CJ77" i="1"/>
  <c r="BK77" i="1"/>
  <c r="BB77" i="1"/>
  <c r="HJ76" i="1"/>
  <c r="GZ76" i="1"/>
  <c r="GM76" i="1"/>
  <c r="FZ76" i="1"/>
  <c r="FD76" i="1"/>
  <c r="EQ76" i="1"/>
  <c r="DX76" i="1"/>
  <c r="DO76" i="1"/>
  <c r="CS76" i="1"/>
  <c r="BN76" i="1"/>
  <c r="BE76" i="1"/>
  <c r="HC75" i="1"/>
  <c r="GS75" i="1"/>
  <c r="GC75" i="1"/>
  <c r="FM75" i="1"/>
  <c r="FD75" i="1"/>
  <c r="EN75" i="1"/>
  <c r="DO75" i="1"/>
  <c r="CP75" i="1"/>
  <c r="CG75" i="1"/>
  <c r="BQ75" i="1"/>
  <c r="BH75" i="1"/>
  <c r="FD74" i="1"/>
  <c r="EK74" i="1"/>
  <c r="DL74" i="1"/>
  <c r="CM74" i="1"/>
  <c r="BW74" i="1"/>
  <c r="BB74" i="1"/>
  <c r="GZ73" i="1"/>
  <c r="GF73" i="1"/>
  <c r="FW73" i="1"/>
  <c r="FG73" i="1"/>
  <c r="EH73" i="1"/>
  <c r="DO73" i="1"/>
  <c r="CY73" i="1"/>
  <c r="BZ73" i="1"/>
  <c r="BE73" i="1"/>
  <c r="HC72" i="1"/>
  <c r="GP72" i="1"/>
  <c r="EW72" i="1"/>
  <c r="EQ72" i="1"/>
  <c r="CY72" i="1"/>
  <c r="CS72" i="1"/>
  <c r="BK72" i="1"/>
  <c r="IU71" i="1"/>
  <c r="IN71" i="1"/>
  <c r="IP71" i="1" s="1"/>
  <c r="IE71" i="1"/>
  <c r="IG71" i="1" s="1"/>
  <c r="HW71" i="1"/>
  <c r="HP71" i="1"/>
  <c r="HC71" i="1"/>
  <c r="GP71" i="1"/>
  <c r="GH71" i="1"/>
  <c r="GC71" i="1"/>
  <c r="FJ71" i="1"/>
  <c r="EW71" i="1"/>
  <c r="EA71" i="1"/>
  <c r="DD71" i="1"/>
  <c r="CV71" i="1"/>
  <c r="CP71" i="1"/>
  <c r="CJ71" i="1"/>
  <c r="BH71" i="1"/>
  <c r="IR70" i="1"/>
  <c r="IF70" i="1"/>
  <c r="FP70" i="1"/>
  <c r="DI70" i="1"/>
  <c r="CV70" i="1"/>
  <c r="CM70" i="1"/>
  <c r="BT70" i="1"/>
  <c r="IK69" i="1"/>
  <c r="IC69" i="1"/>
  <c r="HS69" i="1"/>
  <c r="GF69" i="1"/>
  <c r="FQ69" i="1"/>
  <c r="EX69" i="1"/>
  <c r="ET69" i="1"/>
  <c r="CY69" i="1"/>
  <c r="CS69" i="1"/>
  <c r="CG69" i="1"/>
  <c r="BH69" i="1"/>
  <c r="GT68" i="1"/>
  <c r="GF68" i="1"/>
  <c r="FG68" i="1"/>
  <c r="EQ68" i="1"/>
  <c r="EK68" i="1"/>
  <c r="DU68" i="1"/>
  <c r="DL68" i="1"/>
  <c r="CV68" i="1"/>
  <c r="BT68" i="1"/>
  <c r="AV68" i="1"/>
  <c r="N68" i="1" s="1"/>
  <c r="IQ67" i="1"/>
  <c r="FG67" i="1"/>
  <c r="EQ67" i="1"/>
  <c r="EK67" i="1"/>
  <c r="DR67" i="1"/>
  <c r="DL67" i="1"/>
  <c r="CS67" i="1"/>
  <c r="CM67" i="1"/>
  <c r="BH67" i="1"/>
  <c r="BB67" i="1"/>
  <c r="GF66" i="1"/>
  <c r="FZ66" i="1"/>
  <c r="FG66" i="1"/>
  <c r="EH66" i="1"/>
  <c r="DX66" i="1"/>
  <c r="DB66" i="1"/>
  <c r="CM66" i="1"/>
  <c r="BN66" i="1"/>
  <c r="FW65" i="1"/>
  <c r="EK65" i="1"/>
  <c r="DX65" i="1"/>
  <c r="DR65" i="1"/>
  <c r="CP65" i="1"/>
  <c r="BB65" i="1"/>
  <c r="IR64" i="1"/>
  <c r="HT64" i="1"/>
  <c r="GF64" i="1"/>
  <c r="FD64" i="1"/>
  <c r="ET64" i="1"/>
  <c r="DR64" i="1"/>
  <c r="BE64" i="1"/>
  <c r="AX64" i="1"/>
  <c r="G65" i="5" s="1"/>
  <c r="GS63" i="1"/>
  <c r="GF63" i="1"/>
  <c r="EW63" i="1"/>
  <c r="EH63" i="1"/>
  <c r="DX63" i="1"/>
  <c r="DI63" i="1"/>
  <c r="CY63" i="1"/>
  <c r="CJ63" i="1"/>
  <c r="BT63" i="1"/>
  <c r="BN63" i="1"/>
  <c r="AW63" i="1"/>
  <c r="O63" i="1" s="1"/>
  <c r="FD62" i="1"/>
  <c r="ET62" i="1"/>
  <c r="EN62" i="1"/>
  <c r="DI62" i="1"/>
  <c r="CY62" i="1"/>
  <c r="BZ62" i="1"/>
  <c r="FW61" i="1"/>
  <c r="EK61" i="1"/>
  <c r="DX61" i="1"/>
  <c r="DR61" i="1"/>
  <c r="CY61" i="1"/>
  <c r="AV61" i="1"/>
  <c r="N61" i="1" s="1"/>
  <c r="HC60" i="1"/>
  <c r="GM60" i="1"/>
  <c r="GC60" i="1"/>
  <c r="EN60" i="1"/>
  <c r="CM60" i="1"/>
  <c r="CG60" i="1"/>
  <c r="BW60" i="1"/>
  <c r="HJ59" i="1"/>
  <c r="HQ71" i="1"/>
  <c r="IG70" i="1"/>
  <c r="HX70" i="1"/>
  <c r="BH61" i="1"/>
  <c r="CV60" i="1"/>
  <c r="EK59" i="1"/>
  <c r="DL59" i="1"/>
  <c r="CM59" i="1"/>
  <c r="BB59" i="1"/>
  <c r="M59" i="1"/>
  <c r="AX59" i="1"/>
  <c r="G60" i="5" s="1"/>
  <c r="AY59" i="1"/>
  <c r="H60" i="5" s="1"/>
  <c r="M49" i="3"/>
  <c r="HD49" i="1"/>
  <c r="HP49" i="1"/>
  <c r="IC49" i="1"/>
  <c r="IO49" i="1"/>
  <c r="DD49" i="1"/>
  <c r="EX49" i="1"/>
  <c r="FQ49" i="1"/>
  <c r="HS49" i="1"/>
  <c r="IE49" i="1"/>
  <c r="IQ49" i="1"/>
  <c r="AU49" i="1"/>
  <c r="CA49" i="1"/>
  <c r="EC49" i="1"/>
  <c r="HW49" i="1"/>
  <c r="II49" i="1"/>
  <c r="IU49" i="1"/>
  <c r="GH49" i="1"/>
  <c r="GU49" i="1"/>
  <c r="HK49" i="1"/>
  <c r="HY49" i="1"/>
  <c r="IK49" i="1"/>
  <c r="M35" i="3"/>
  <c r="AU35" i="1"/>
  <c r="CA35" i="1"/>
  <c r="CC35" i="1" s="1"/>
  <c r="FR35" i="1"/>
  <c r="FS35" i="1" s="1"/>
  <c r="GU35" i="1"/>
  <c r="HL35" i="1"/>
  <c r="HT35" i="1"/>
  <c r="HU35" i="1" s="1"/>
  <c r="HY35" i="1"/>
  <c r="IE35" i="1"/>
  <c r="IO35" i="1"/>
  <c r="IU35" i="1"/>
  <c r="CB35" i="1"/>
  <c r="HO35" i="1"/>
  <c r="HV35" i="1"/>
  <c r="HX35" i="1" s="1"/>
  <c r="HZ35" i="1"/>
  <c r="IF35" i="1"/>
  <c r="IG35" i="1" s="1"/>
  <c r="IK35" i="1"/>
  <c r="IM35" i="1" s="1"/>
  <c r="IQ35" i="1"/>
  <c r="DC35" i="1"/>
  <c r="DE35" i="1" s="1"/>
  <c r="EB35" i="1"/>
  <c r="EX35" i="1"/>
  <c r="DD35" i="1"/>
  <c r="EC35" i="1"/>
  <c r="EY35" i="1"/>
  <c r="FQ35" i="1"/>
  <c r="GH35" i="1"/>
  <c r="GT35" i="1"/>
  <c r="GV35" i="1" s="1"/>
  <c r="HE35" i="1"/>
  <c r="HF35" i="1" s="1"/>
  <c r="HK35" i="1"/>
  <c r="HM35" i="1" s="1"/>
  <c r="HS35" i="1"/>
  <c r="IC35" i="1"/>
  <c r="ID35" i="1" s="1"/>
  <c r="II35" i="1"/>
  <c r="IN35" i="1"/>
  <c r="IT35" i="1"/>
  <c r="BK59" i="1"/>
  <c r="HJ58" i="1"/>
  <c r="FJ58" i="1"/>
  <c r="EK58" i="1"/>
  <c r="DU58" i="1"/>
  <c r="CJ58" i="1"/>
  <c r="BK58" i="1"/>
  <c r="GZ57" i="1"/>
  <c r="GM57" i="1"/>
  <c r="FZ57" i="1"/>
  <c r="EN57" i="1"/>
  <c r="EA57" i="1"/>
  <c r="CM57" i="1"/>
  <c r="BZ57" i="1"/>
  <c r="BE57" i="1"/>
  <c r="GZ56" i="1"/>
  <c r="GP56" i="1"/>
  <c r="FZ56" i="1"/>
  <c r="BE56" i="1"/>
  <c r="GS55" i="1"/>
  <c r="GF55" i="1"/>
  <c r="EH55" i="1"/>
  <c r="DI55" i="1"/>
  <c r="CJ55" i="1"/>
  <c r="BT55" i="1"/>
  <c r="FW54" i="1"/>
  <c r="ET54" i="1"/>
  <c r="DI54" i="1"/>
  <c r="CY54" i="1"/>
  <c r="BZ54" i="1"/>
  <c r="IK53" i="1"/>
  <c r="HY53" i="1"/>
  <c r="HK53" i="1"/>
  <c r="GU53" i="1"/>
  <c r="GH53" i="1"/>
  <c r="FJ53" i="1"/>
  <c r="EW53" i="1"/>
  <c r="DO53" i="1"/>
  <c r="DB53" i="1"/>
  <c r="BN53" i="1"/>
  <c r="FP52" i="1"/>
  <c r="EQ52" i="1"/>
  <c r="DR52" i="1"/>
  <c r="CS52" i="1"/>
  <c r="BT52" i="1"/>
  <c r="IQ51" i="1"/>
  <c r="HS51" i="1"/>
  <c r="FG51" i="1"/>
  <c r="EQ51" i="1"/>
  <c r="DR51" i="1"/>
  <c r="CS51" i="1"/>
  <c r="BH51" i="1"/>
  <c r="GF50" i="1"/>
  <c r="FG50" i="1"/>
  <c r="EH50" i="1"/>
  <c r="DX50" i="1"/>
  <c r="CM50" i="1"/>
  <c r="BN50" i="1"/>
  <c r="FW49" i="1"/>
  <c r="EK49" i="1"/>
  <c r="DX49" i="1"/>
  <c r="CP49" i="1"/>
  <c r="BB49" i="1"/>
  <c r="HC48" i="1"/>
  <c r="GM48" i="1"/>
  <c r="GC48" i="1"/>
  <c r="FD48" i="1"/>
  <c r="EA48" i="1"/>
  <c r="DB48" i="1"/>
  <c r="CG48" i="1"/>
  <c r="BH48" i="1"/>
  <c r="GS47" i="1"/>
  <c r="GF47" i="1"/>
  <c r="EH47" i="1"/>
  <c r="DI47" i="1"/>
  <c r="CJ47" i="1"/>
  <c r="BT47" i="1"/>
  <c r="HC46" i="1"/>
  <c r="ET46" i="1"/>
  <c r="DR46" i="1"/>
  <c r="CV46" i="1"/>
  <c r="CG46" i="1"/>
  <c r="FJ45" i="1"/>
  <c r="DU45" i="1"/>
  <c r="CJ45" i="1"/>
  <c r="FM44" i="1"/>
  <c r="EK44" i="1"/>
  <c r="DL44" i="1"/>
  <c r="IM43" i="1"/>
  <c r="ID43" i="1"/>
  <c r="HM43" i="1"/>
  <c r="HC43" i="1"/>
  <c r="GM43" i="1"/>
  <c r="GC43" i="1"/>
  <c r="FM43" i="1"/>
  <c r="EA43" i="1"/>
  <c r="DR43" i="1"/>
  <c r="CG43" i="1"/>
  <c r="BQ43" i="1"/>
  <c r="GS42" i="1"/>
  <c r="GF42" i="1"/>
  <c r="FD42" i="1"/>
  <c r="DR42" i="1"/>
  <c r="CS42" i="1"/>
  <c r="CJ42" i="1"/>
  <c r="BK42" i="1"/>
  <c r="HJ41" i="1"/>
  <c r="FJ41" i="1"/>
  <c r="DU41" i="1"/>
  <c r="CJ41" i="1"/>
  <c r="BB41" i="1"/>
  <c r="FZ40" i="1"/>
  <c r="FJ40" i="1"/>
  <c r="EW40" i="1"/>
  <c r="DX40" i="1"/>
  <c r="CY40" i="1"/>
  <c r="BB40" i="1"/>
  <c r="IA39" i="1"/>
  <c r="GC39" i="1"/>
  <c r="FM39" i="1"/>
  <c r="EA39" i="1"/>
  <c r="DL39" i="1"/>
  <c r="DE39" i="1"/>
  <c r="CC39" i="1"/>
  <c r="FZ38" i="1"/>
  <c r="DX38" i="1"/>
  <c r="BB38" i="1"/>
  <c r="AV38" i="1"/>
  <c r="N38" i="1" s="1"/>
  <c r="M38" i="1"/>
  <c r="AX38" i="1"/>
  <c r="G39" i="5" s="1"/>
  <c r="HC37" i="1"/>
  <c r="CG37" i="1"/>
  <c r="BH36" i="1"/>
  <c r="IJ35" i="1"/>
  <c r="M30" i="3"/>
  <c r="HE30" i="1"/>
  <c r="HO30" i="1"/>
  <c r="IB30" i="1"/>
  <c r="IN30" i="1"/>
  <c r="EB30" i="1"/>
  <c r="FQ30" i="1"/>
  <c r="GH30" i="1"/>
  <c r="GU30" i="1"/>
  <c r="HS30" i="1"/>
  <c r="IE30" i="1"/>
  <c r="IQ30" i="1"/>
  <c r="DC30" i="1"/>
  <c r="FR30" i="1"/>
  <c r="HT30" i="1"/>
  <c r="IF30" i="1"/>
  <c r="IR30" i="1"/>
  <c r="HD30" i="1"/>
  <c r="HF30" i="1" s="1"/>
  <c r="HW30" i="1"/>
  <c r="II30" i="1"/>
  <c r="IU30" i="1"/>
  <c r="GS62" i="1"/>
  <c r="GM62" i="1"/>
  <c r="EW62" i="1"/>
  <c r="EA62" i="1"/>
  <c r="DL62" i="1"/>
  <c r="CV62" i="1"/>
  <c r="CP62" i="1"/>
  <c r="BW62" i="1"/>
  <c r="BQ62" i="1"/>
  <c r="BB62" i="1"/>
  <c r="GZ61" i="1"/>
  <c r="GM61" i="1"/>
  <c r="FZ61" i="1"/>
  <c r="FP61" i="1"/>
  <c r="EN61" i="1"/>
  <c r="EA61" i="1"/>
  <c r="CM61" i="1"/>
  <c r="CG61" i="1"/>
  <c r="BZ61" i="1"/>
  <c r="BT61" i="1"/>
  <c r="BE61" i="1"/>
  <c r="GZ60" i="1"/>
  <c r="GP60" i="1"/>
  <c r="FZ60" i="1"/>
  <c r="BE60" i="1"/>
  <c r="GS59" i="1"/>
  <c r="GF59" i="1"/>
  <c r="EW59" i="1"/>
  <c r="EH59" i="1"/>
  <c r="DX59" i="1"/>
  <c r="DI59" i="1"/>
  <c r="CY59" i="1"/>
  <c r="CJ59" i="1"/>
  <c r="BT59" i="1"/>
  <c r="BN59" i="1"/>
  <c r="FW58" i="1"/>
  <c r="FM58" i="1"/>
  <c r="ET58" i="1"/>
  <c r="EN58" i="1"/>
  <c r="DI58" i="1"/>
  <c r="CY58" i="1"/>
  <c r="BZ58" i="1"/>
  <c r="IK57" i="1"/>
  <c r="HY57" i="1"/>
  <c r="HK57" i="1"/>
  <c r="HC57" i="1"/>
  <c r="GU57" i="1"/>
  <c r="GP57" i="1"/>
  <c r="GH57" i="1"/>
  <c r="GC57" i="1"/>
  <c r="FJ57" i="1"/>
  <c r="FD57" i="1"/>
  <c r="EW57" i="1"/>
  <c r="EQ57" i="1"/>
  <c r="DO57" i="1"/>
  <c r="DB57" i="1"/>
  <c r="BN57" i="1"/>
  <c r="BH57" i="1"/>
  <c r="GS56" i="1"/>
  <c r="FP56" i="1"/>
  <c r="EQ56" i="1"/>
  <c r="DR56" i="1"/>
  <c r="CS56" i="1"/>
  <c r="BT56" i="1"/>
  <c r="IQ55" i="1"/>
  <c r="HS55" i="1"/>
  <c r="FG55" i="1"/>
  <c r="EQ55" i="1"/>
  <c r="EK55" i="1"/>
  <c r="DR55" i="1"/>
  <c r="DL55" i="1"/>
  <c r="CS55" i="1"/>
  <c r="CM55" i="1"/>
  <c r="BH55" i="1"/>
  <c r="BB55" i="1"/>
  <c r="GF54" i="1"/>
  <c r="FZ54" i="1"/>
  <c r="FG54" i="1"/>
  <c r="EH54" i="1"/>
  <c r="DX54" i="1"/>
  <c r="DB54" i="1"/>
  <c r="CM54" i="1"/>
  <c r="BN54" i="1"/>
  <c r="IU53" i="1"/>
  <c r="II53" i="1"/>
  <c r="HW53" i="1"/>
  <c r="FW53" i="1"/>
  <c r="EK53" i="1"/>
  <c r="EC53" i="1"/>
  <c r="DX53" i="1"/>
  <c r="DR53" i="1"/>
  <c r="CP53" i="1"/>
  <c r="CA53" i="1"/>
  <c r="BB53" i="1"/>
  <c r="AU53" i="1"/>
  <c r="HC52" i="1"/>
  <c r="GM52" i="1"/>
  <c r="GC52" i="1"/>
  <c r="FD52" i="1"/>
  <c r="ET52" i="1"/>
  <c r="EA52" i="1"/>
  <c r="DU52" i="1"/>
  <c r="DB52" i="1"/>
  <c r="CV52" i="1"/>
  <c r="CG52" i="1"/>
  <c r="BW52" i="1"/>
  <c r="BH52" i="1"/>
  <c r="II51" i="1"/>
  <c r="HJ51" i="1"/>
  <c r="HC51" i="1"/>
  <c r="GU51" i="1"/>
  <c r="GP51" i="1"/>
  <c r="GH51" i="1"/>
  <c r="GC51" i="1"/>
  <c r="FW51" i="1"/>
  <c r="FP51" i="1"/>
  <c r="FJ51" i="1"/>
  <c r="CG51" i="1"/>
  <c r="BW51" i="1"/>
  <c r="AV51" i="1"/>
  <c r="N51" i="1" s="1"/>
  <c r="GS50" i="1"/>
  <c r="GM50" i="1"/>
  <c r="EW50" i="1"/>
  <c r="EA50" i="1"/>
  <c r="DL50" i="1"/>
  <c r="CV50" i="1"/>
  <c r="CP50" i="1"/>
  <c r="BW50" i="1"/>
  <c r="BQ50" i="1"/>
  <c r="BB50" i="1"/>
  <c r="HJ49" i="1"/>
  <c r="FM49" i="1"/>
  <c r="DL49" i="1"/>
  <c r="CY49" i="1"/>
  <c r="CS49" i="1"/>
  <c r="BQ49" i="1"/>
  <c r="AY49" i="1"/>
  <c r="H50" i="5" s="1"/>
  <c r="GF48" i="1"/>
  <c r="FM48" i="1"/>
  <c r="FG48" i="1"/>
  <c r="EN48" i="1"/>
  <c r="EH48" i="1"/>
  <c r="DO48" i="1"/>
  <c r="DI48" i="1"/>
  <c r="CP48" i="1"/>
  <c r="CJ48" i="1"/>
  <c r="BQ48" i="1"/>
  <c r="BK48" i="1"/>
  <c r="IK47" i="1"/>
  <c r="HY47" i="1"/>
  <c r="HK47" i="1"/>
  <c r="FG47" i="1"/>
  <c r="EQ47" i="1"/>
  <c r="EK47" i="1"/>
  <c r="DR47" i="1"/>
  <c r="DL47" i="1"/>
  <c r="CS47" i="1"/>
  <c r="CM47" i="1"/>
  <c r="BH47" i="1"/>
  <c r="BB47" i="1"/>
  <c r="IS46" i="1"/>
  <c r="IJ46" i="1"/>
  <c r="HU46" i="1"/>
  <c r="HJ46" i="1"/>
  <c r="GZ46" i="1"/>
  <c r="GS46" i="1"/>
  <c r="FP46" i="1"/>
  <c r="FG46" i="1"/>
  <c r="BW46" i="1"/>
  <c r="BH46" i="1"/>
  <c r="GF45" i="1"/>
  <c r="FZ45" i="1"/>
  <c r="ET45" i="1"/>
  <c r="EN45" i="1"/>
  <c r="DI45" i="1"/>
  <c r="BZ45" i="1"/>
  <c r="BK45" i="1"/>
  <c r="BB45" i="1"/>
  <c r="HJ44" i="1"/>
  <c r="FZ44" i="1"/>
  <c r="DB44" i="1"/>
  <c r="CM44" i="1"/>
  <c r="BZ44" i="1"/>
  <c r="BQ44" i="1"/>
  <c r="BB44" i="1"/>
  <c r="EZ43" i="1"/>
  <c r="EQ43" i="1"/>
  <c r="DE43" i="1"/>
  <c r="CP43" i="1"/>
  <c r="CJ43" i="1"/>
  <c r="CB43" i="1"/>
  <c r="BE43" i="1"/>
  <c r="AU43" i="1"/>
  <c r="ET42" i="1"/>
  <c r="BT42" i="1"/>
  <c r="BN42" i="1"/>
  <c r="AX42" i="1"/>
  <c r="G43" i="5" s="1"/>
  <c r="FM41" i="1"/>
  <c r="ET41" i="1"/>
  <c r="EN41" i="1"/>
  <c r="DI41" i="1"/>
  <c r="CY41" i="1"/>
  <c r="BZ41" i="1"/>
  <c r="BK41" i="1"/>
  <c r="BE41" i="1"/>
  <c r="AW41" i="1"/>
  <c r="O41" i="1" s="1"/>
  <c r="HJ40" i="1"/>
  <c r="GC40" i="1"/>
  <c r="EK40" i="1"/>
  <c r="DL40" i="1"/>
  <c r="BZ40" i="1"/>
  <c r="HC39" i="1"/>
  <c r="GM39" i="1"/>
  <c r="GF39" i="1"/>
  <c r="EZ39" i="1"/>
  <c r="BK39" i="1"/>
  <c r="GM38" i="1"/>
  <c r="BQ38" i="1"/>
  <c r="AY38" i="1"/>
  <c r="H39" i="5" s="1"/>
  <c r="FD37" i="1"/>
  <c r="DI36" i="1"/>
  <c r="BW36" i="1"/>
  <c r="AY36" i="1"/>
  <c r="H37" i="5" s="1"/>
  <c r="AV36" i="1"/>
  <c r="N36" i="1" s="1"/>
  <c r="M34" i="3"/>
  <c r="HE34" i="1"/>
  <c r="HO34" i="1"/>
  <c r="IB34" i="1"/>
  <c r="IN34" i="1"/>
  <c r="EB34" i="1"/>
  <c r="FQ34" i="1"/>
  <c r="FS34" i="1" s="1"/>
  <c r="GH34" i="1"/>
  <c r="GU34" i="1"/>
  <c r="HS34" i="1"/>
  <c r="IE34" i="1"/>
  <c r="IQ34" i="1"/>
  <c r="DC34" i="1"/>
  <c r="FR34" i="1"/>
  <c r="HT34" i="1"/>
  <c r="IF34" i="1"/>
  <c r="IR34" i="1"/>
  <c r="HD34" i="1"/>
  <c r="HF34" i="1" s="1"/>
  <c r="HW34" i="1"/>
  <c r="II34" i="1"/>
  <c r="IU34" i="1"/>
  <c r="FZ58" i="1"/>
  <c r="DB58" i="1"/>
  <c r="DR57" i="1"/>
  <c r="ET56" i="1"/>
  <c r="DU56" i="1"/>
  <c r="CV56" i="1"/>
  <c r="BW56" i="1"/>
  <c r="HJ55" i="1"/>
  <c r="FW55" i="1"/>
  <c r="FJ55" i="1"/>
  <c r="GM54" i="1"/>
  <c r="EA54" i="1"/>
  <c r="CP54" i="1"/>
  <c r="BQ54" i="1"/>
  <c r="IQ53" i="1"/>
  <c r="IE53" i="1"/>
  <c r="HS53" i="1"/>
  <c r="FQ53" i="1"/>
  <c r="EX53" i="1"/>
  <c r="DD53" i="1"/>
  <c r="CS53" i="1"/>
  <c r="GF52" i="1"/>
  <c r="FG52" i="1"/>
  <c r="EH52" i="1"/>
  <c r="DI52" i="1"/>
  <c r="CJ52" i="1"/>
  <c r="BK52" i="1"/>
  <c r="IE51" i="1"/>
  <c r="BZ51" i="1"/>
  <c r="GZ50" i="1"/>
  <c r="DO50" i="1"/>
  <c r="BE50" i="1"/>
  <c r="FP49" i="1"/>
  <c r="CG49" i="1"/>
  <c r="BT49" i="1"/>
  <c r="AW49" i="1"/>
  <c r="O49" i="1" s="1"/>
  <c r="HJ47" i="1"/>
  <c r="FW47" i="1"/>
  <c r="FJ47" i="1"/>
  <c r="GM45" i="1"/>
  <c r="DB45" i="1"/>
  <c r="AV45" i="1"/>
  <c r="N45" i="1" s="1"/>
  <c r="GP44" i="1"/>
  <c r="DI43" i="1"/>
  <c r="CC43" i="1"/>
  <c r="FW42" i="1"/>
  <c r="FZ41" i="1"/>
  <c r="DB41" i="1"/>
  <c r="AV41" i="1"/>
  <c r="N41" i="1" s="1"/>
  <c r="GP40" i="1"/>
  <c r="CG40" i="1"/>
  <c r="HF39" i="1"/>
  <c r="M39" i="3"/>
  <c r="AU39" i="1"/>
  <c r="AW38" i="1"/>
  <c r="O38" i="1" s="1"/>
  <c r="DB37" i="1"/>
  <c r="BH37" i="1"/>
  <c r="FP36" i="1"/>
  <c r="IS35" i="1"/>
  <c r="GI35" i="1"/>
  <c r="FW35" i="1"/>
  <c r="M31" i="3"/>
  <c r="AU31" i="1"/>
  <c r="CA31" i="1"/>
  <c r="CC31" i="1" s="1"/>
  <c r="EX31" i="1"/>
  <c r="GH31" i="1"/>
  <c r="HD31" i="1"/>
  <c r="HO31" i="1"/>
  <c r="HY31" i="1"/>
  <c r="IE31" i="1"/>
  <c r="II31" i="1"/>
  <c r="IN31" i="1"/>
  <c r="CB31" i="1"/>
  <c r="EY31" i="1"/>
  <c r="GT31" i="1"/>
  <c r="HE31" i="1"/>
  <c r="HP31" i="1"/>
  <c r="HV31" i="1"/>
  <c r="HX31" i="1" s="1"/>
  <c r="HZ31" i="1"/>
  <c r="IF31" i="1"/>
  <c r="IO31" i="1"/>
  <c r="IT31" i="1"/>
  <c r="IV31" i="1" s="1"/>
  <c r="DC31" i="1"/>
  <c r="EB31" i="1"/>
  <c r="ED31" i="1" s="1"/>
  <c r="FQ31" i="1"/>
  <c r="GU31" i="1"/>
  <c r="HK31" i="1"/>
  <c r="HS31" i="1"/>
  <c r="HU31" i="1" s="1"/>
  <c r="HW31" i="1"/>
  <c r="IB31" i="1"/>
  <c r="IK31" i="1"/>
  <c r="IQ31" i="1"/>
  <c r="IS31" i="1" s="1"/>
  <c r="IU31" i="1"/>
  <c r="DD31" i="1"/>
  <c r="EC31" i="1"/>
  <c r="FR31" i="1"/>
  <c r="GG31" i="1"/>
  <c r="HL31" i="1"/>
  <c r="HT31" i="1"/>
  <c r="IC31" i="1"/>
  <c r="IH31" i="1"/>
  <c r="IJ31" i="1" s="1"/>
  <c r="IL31" i="1"/>
  <c r="IR31" i="1"/>
  <c r="DB39" i="1"/>
  <c r="BH39" i="1"/>
  <c r="HJ38" i="1"/>
  <c r="HC38" i="1"/>
  <c r="EQ38" i="1"/>
  <c r="EK38" i="1"/>
  <c r="DU38" i="1"/>
  <c r="CV38" i="1"/>
  <c r="CG38" i="1"/>
  <c r="BH38" i="1"/>
  <c r="EA37" i="1"/>
  <c r="BZ37" i="1"/>
  <c r="FM36" i="1"/>
  <c r="DB36" i="1"/>
  <c r="BN36" i="1"/>
  <c r="BE36" i="1"/>
  <c r="FM35" i="1"/>
  <c r="FG35" i="1"/>
  <c r="AX35" i="1"/>
  <c r="G36" i="5" s="1"/>
  <c r="GF34" i="1"/>
  <c r="FP34" i="1"/>
  <c r="FG34" i="1"/>
  <c r="DR34" i="1"/>
  <c r="DI34" i="1"/>
  <c r="BT34" i="1"/>
  <c r="BK34" i="1"/>
  <c r="AV34" i="1"/>
  <c r="N34" i="1" s="1"/>
  <c r="ET33" i="1"/>
  <c r="EK33" i="1"/>
  <c r="CY33" i="1"/>
  <c r="CJ33" i="1"/>
  <c r="M33" i="1"/>
  <c r="GZ32" i="1"/>
  <c r="FZ32" i="1"/>
  <c r="EA32" i="1"/>
  <c r="DL32" i="1"/>
  <c r="GF30" i="1"/>
  <c r="FP30" i="1"/>
  <c r="FG30" i="1"/>
  <c r="DR30" i="1"/>
  <c r="DI30" i="1"/>
  <c r="BT30" i="1"/>
  <c r="BK30" i="1"/>
  <c r="IU29" i="1"/>
  <c r="GU29" i="1"/>
  <c r="GC29" i="1"/>
  <c r="CS29" i="1"/>
  <c r="BZ29" i="1"/>
  <c r="DO28" i="1"/>
  <c r="DX27" i="1"/>
  <c r="BB27" i="1"/>
  <c r="GP26" i="1"/>
  <c r="BW26" i="1"/>
  <c r="M25" i="1"/>
  <c r="BT25" i="1"/>
  <c r="IQ21" i="1"/>
  <c r="GU21" i="1"/>
  <c r="IU21" i="1"/>
  <c r="FQ21" i="1"/>
  <c r="HW21" i="1"/>
  <c r="IE21" i="1"/>
  <c r="DR38" i="1"/>
  <c r="DL38" i="1"/>
  <c r="CS38" i="1"/>
  <c r="BK38" i="1"/>
  <c r="GS37" i="1"/>
  <c r="GF37" i="1"/>
  <c r="FZ37" i="1"/>
  <c r="ET37" i="1"/>
  <c r="EN37" i="1"/>
  <c r="CV37" i="1"/>
  <c r="CP37" i="1"/>
  <c r="BW37" i="1"/>
  <c r="BQ37" i="1"/>
  <c r="HJ36" i="1"/>
  <c r="GP36" i="1"/>
  <c r="FJ36" i="1"/>
  <c r="FD36" i="1"/>
  <c r="DX36" i="1"/>
  <c r="DR36" i="1"/>
  <c r="CY36" i="1"/>
  <c r="CS36" i="1"/>
  <c r="BB36" i="1"/>
  <c r="GM35" i="1"/>
  <c r="GF35" i="1"/>
  <c r="EN35" i="1"/>
  <c r="EH35" i="1"/>
  <c r="AV35" i="1"/>
  <c r="N35" i="1" s="1"/>
  <c r="HC34" i="1"/>
  <c r="GP34" i="1"/>
  <c r="GC34" i="1"/>
  <c r="FD34" i="1"/>
  <c r="DU34" i="1"/>
  <c r="BW34" i="1"/>
  <c r="BH34" i="1"/>
  <c r="AX34" i="1"/>
  <c r="G35" i="5" s="1"/>
  <c r="GS33" i="1"/>
  <c r="GF33" i="1"/>
  <c r="FW33" i="1"/>
  <c r="EW33" i="1"/>
  <c r="EH33" i="1"/>
  <c r="CV33" i="1"/>
  <c r="CM33" i="1"/>
  <c r="FW32" i="1"/>
  <c r="DX32" i="1"/>
  <c r="DO32" i="1"/>
  <c r="HC30" i="1"/>
  <c r="GP30" i="1"/>
  <c r="GC30" i="1"/>
  <c r="FD30" i="1"/>
  <c r="DU30" i="1"/>
  <c r="BW30" i="1"/>
  <c r="BH30" i="1"/>
  <c r="IE29" i="1"/>
  <c r="GS29" i="1"/>
  <c r="GF29" i="1"/>
  <c r="FM29" i="1"/>
  <c r="FG29" i="1"/>
  <c r="CV29" i="1"/>
  <c r="BZ27" i="1"/>
  <c r="M27" i="3"/>
  <c r="DD27" i="1"/>
  <c r="EC27" i="1"/>
  <c r="FR27" i="1"/>
  <c r="FS27" i="1" s="1"/>
  <c r="GG27" i="1"/>
  <c r="HL27" i="1"/>
  <c r="HM27" i="1" s="1"/>
  <c r="HT27" i="1"/>
  <c r="HU27" i="1" s="1"/>
  <c r="IC27" i="1"/>
  <c r="ID27" i="1" s="1"/>
  <c r="IH27" i="1"/>
  <c r="IL27" i="1"/>
  <c r="IM27" i="1" s="1"/>
  <c r="IR27" i="1"/>
  <c r="IS27" i="1" s="1"/>
  <c r="AU27" i="1"/>
  <c r="CA27" i="1"/>
  <c r="CC27" i="1" s="1"/>
  <c r="EX27" i="1"/>
  <c r="EZ27" i="1" s="1"/>
  <c r="GH27" i="1"/>
  <c r="HD27" i="1"/>
  <c r="HF27" i="1" s="1"/>
  <c r="HO27" i="1"/>
  <c r="HY27" i="1"/>
  <c r="IA27" i="1" s="1"/>
  <c r="IE27" i="1"/>
  <c r="IG27" i="1" s="1"/>
  <c r="II27" i="1"/>
  <c r="IN27" i="1"/>
  <c r="DL26" i="1"/>
  <c r="M26" i="3"/>
  <c r="HD26" i="1"/>
  <c r="HW26" i="1"/>
  <c r="II26" i="1"/>
  <c r="IU26" i="1"/>
  <c r="HE26" i="1"/>
  <c r="HO26" i="1"/>
  <c r="IB26" i="1"/>
  <c r="IN26" i="1"/>
  <c r="DU26" i="1"/>
  <c r="BN26" i="1"/>
  <c r="BH26" i="1"/>
  <c r="GS25" i="1"/>
  <c r="FP25" i="1"/>
  <c r="DB25" i="1"/>
  <c r="GP24" i="1"/>
  <c r="GF25" i="1"/>
  <c r="EW25" i="1"/>
  <c r="EH25" i="1"/>
  <c r="CV25" i="1"/>
  <c r="CM25" i="1"/>
  <c r="FW24" i="1"/>
  <c r="DX24" i="1"/>
  <c r="DO24" i="1"/>
  <c r="HC22" i="1"/>
  <c r="GP22" i="1"/>
  <c r="GC22" i="1"/>
  <c r="FD22" i="1"/>
  <c r="DU22" i="1"/>
  <c r="BW22" i="1"/>
  <c r="BH22" i="1"/>
  <c r="GS21" i="1"/>
  <c r="GF21" i="1"/>
  <c r="EW21" i="1"/>
  <c r="EH21" i="1"/>
  <c r="CV21" i="1"/>
  <c r="CM21" i="1"/>
  <c r="FW20" i="1"/>
  <c r="DX20" i="1"/>
  <c r="DO20" i="1"/>
  <c r="HC18" i="1"/>
  <c r="GP18" i="1"/>
  <c r="GC18" i="1"/>
  <c r="FD18" i="1"/>
  <c r="DU18" i="1"/>
  <c r="BW18" i="1"/>
  <c r="BH18" i="1"/>
  <c r="HJ17" i="1"/>
  <c r="FG17" i="1"/>
  <c r="DU17" i="1"/>
  <c r="BZ17" i="1"/>
  <c r="BK17" i="1"/>
  <c r="BB17" i="1"/>
  <c r="FJ16" i="1"/>
  <c r="EW16" i="1"/>
  <c r="EN16" i="1"/>
  <c r="DB16" i="1"/>
  <c r="CM16" i="1"/>
  <c r="BZ16" i="1"/>
  <c r="BB16" i="1"/>
  <c r="HJ15" i="1"/>
  <c r="FJ15" i="1"/>
  <c r="EN15" i="1"/>
  <c r="CM15" i="1"/>
  <c r="DX14" i="1"/>
  <c r="BZ14" i="1"/>
  <c r="DS112" i="3"/>
  <c r="DS113" i="3"/>
  <c r="DS111" i="3"/>
  <c r="FJ29" i="1"/>
  <c r="DI29" i="1"/>
  <c r="BW29" i="1"/>
  <c r="BN29" i="1"/>
  <c r="HJ28" i="1"/>
  <c r="EK28" i="1"/>
  <c r="CY28" i="1"/>
  <c r="CP28" i="1"/>
  <c r="BN28" i="1"/>
  <c r="GZ27" i="1"/>
  <c r="FZ27" i="1"/>
  <c r="EA27" i="1"/>
  <c r="DB27" i="1"/>
  <c r="BE27" i="1"/>
  <c r="CS26" i="1"/>
  <c r="FJ25" i="1"/>
  <c r="DI25" i="1"/>
  <c r="BW25" i="1"/>
  <c r="BN25" i="1"/>
  <c r="HJ24" i="1"/>
  <c r="EK24" i="1"/>
  <c r="CY24" i="1"/>
  <c r="CP24" i="1"/>
  <c r="BN24" i="1"/>
  <c r="IN23" i="1"/>
  <c r="II23" i="1"/>
  <c r="IE23" i="1"/>
  <c r="HY23" i="1"/>
  <c r="HO23" i="1"/>
  <c r="HD23" i="1"/>
  <c r="GZ23" i="1"/>
  <c r="GH23" i="1"/>
  <c r="FZ23" i="1"/>
  <c r="EX23" i="1"/>
  <c r="EA23" i="1"/>
  <c r="DB23" i="1"/>
  <c r="CA23" i="1"/>
  <c r="BE23" i="1"/>
  <c r="AU23" i="1"/>
  <c r="IN22" i="1"/>
  <c r="IB22" i="1"/>
  <c r="HO22" i="1"/>
  <c r="HE22" i="1"/>
  <c r="CS22" i="1"/>
  <c r="FJ21" i="1"/>
  <c r="DI21" i="1"/>
  <c r="BW21" i="1"/>
  <c r="BN21" i="1"/>
  <c r="HJ20" i="1"/>
  <c r="EK20" i="1"/>
  <c r="CY20" i="1"/>
  <c r="CP20" i="1"/>
  <c r="BN20" i="1"/>
  <c r="IN19" i="1"/>
  <c r="II19" i="1"/>
  <c r="IE19" i="1"/>
  <c r="HY19" i="1"/>
  <c r="HO19" i="1"/>
  <c r="HD19" i="1"/>
  <c r="GZ19" i="1"/>
  <c r="GH19" i="1"/>
  <c r="FZ19" i="1"/>
  <c r="EX19" i="1"/>
  <c r="EA19" i="1"/>
  <c r="DB19" i="1"/>
  <c r="CA19" i="1"/>
  <c r="BE19" i="1"/>
  <c r="AU19" i="1"/>
  <c r="IN18" i="1"/>
  <c r="IB18" i="1"/>
  <c r="HO18" i="1"/>
  <c r="HE18" i="1"/>
  <c r="CS18" i="1"/>
  <c r="IE17" i="1"/>
  <c r="GS17" i="1"/>
  <c r="GF17" i="1"/>
  <c r="EW17" i="1"/>
  <c r="EH17" i="1"/>
  <c r="CV17" i="1"/>
  <c r="CM17" i="1"/>
  <c r="FW16" i="1"/>
  <c r="DX16" i="1"/>
  <c r="DO16" i="1"/>
  <c r="DL15" i="1"/>
  <c r="BN15" i="1"/>
  <c r="FW14" i="1"/>
  <c r="GP13" i="1"/>
  <c r="IR23" i="1"/>
  <c r="IL23" i="1"/>
  <c r="IH23" i="1"/>
  <c r="IJ23" i="1" s="1"/>
  <c r="IC23" i="1"/>
  <c r="HT23" i="1"/>
  <c r="HL23" i="1"/>
  <c r="GG23" i="1"/>
  <c r="GI23" i="1" s="1"/>
  <c r="FR23" i="1"/>
  <c r="EC23" i="1"/>
  <c r="DD23" i="1"/>
  <c r="IU22" i="1"/>
  <c r="II22" i="1"/>
  <c r="HW22" i="1"/>
  <c r="HD22" i="1"/>
  <c r="HF22" i="1" s="1"/>
  <c r="IR19" i="1"/>
  <c r="IL19" i="1"/>
  <c r="IH19" i="1"/>
  <c r="IJ19" i="1" s="1"/>
  <c r="IC19" i="1"/>
  <c r="HT19" i="1"/>
  <c r="HL19" i="1"/>
  <c r="GG19" i="1"/>
  <c r="GI19" i="1" s="1"/>
  <c r="FR19" i="1"/>
  <c r="EC19" i="1"/>
  <c r="DD19" i="1"/>
  <c r="IU17" i="1"/>
  <c r="HW17" i="1"/>
  <c r="HJ16" i="1"/>
  <c r="EK16" i="1"/>
  <c r="CY16" i="1"/>
  <c r="CP16" i="1"/>
  <c r="BN16" i="1"/>
  <c r="FM15" i="1"/>
  <c r="EK15" i="1"/>
  <c r="EN14" i="1"/>
  <c r="DB14" i="1"/>
  <c r="BB14" i="1"/>
  <c r="M14" i="1"/>
  <c r="M13" i="1"/>
  <c r="EE113" i="3"/>
  <c r="EE112" i="3"/>
  <c r="BH112" i="3"/>
  <c r="BH113" i="3"/>
  <c r="M15" i="1"/>
  <c r="M6" i="3"/>
  <c r="CA6" i="1"/>
  <c r="DD6" i="1"/>
  <c r="EC6" i="1"/>
  <c r="EX6" i="1"/>
  <c r="FR6" i="1"/>
  <c r="GH6" i="1"/>
  <c r="HT6" i="1"/>
  <c r="HY6" i="1"/>
  <c r="IC6" i="1"/>
  <c r="II6" i="1"/>
  <c r="IR6" i="1"/>
  <c r="CB6" i="1"/>
  <c r="EY6" i="1"/>
  <c r="GT6" i="1"/>
  <c r="HD6" i="1"/>
  <c r="HO6" i="1"/>
  <c r="HV6" i="1"/>
  <c r="HZ6" i="1"/>
  <c r="IE6" i="1"/>
  <c r="IN6" i="1"/>
  <c r="IT6" i="1"/>
  <c r="AU6" i="1"/>
  <c r="GU6" i="1"/>
  <c r="HE6" i="1"/>
  <c r="HK6" i="1"/>
  <c r="HP6" i="1"/>
  <c r="HW6" i="1"/>
  <c r="IF6" i="1"/>
  <c r="IK6" i="1"/>
  <c r="IO6" i="1"/>
  <c r="IU6" i="1"/>
  <c r="DC6" i="1"/>
  <c r="DE6" i="1" s="1"/>
  <c r="EB6" i="1"/>
  <c r="ED6" i="1" s="1"/>
  <c r="FQ6" i="1"/>
  <c r="GG6" i="1"/>
  <c r="GI6" i="1" s="1"/>
  <c r="HL6" i="1"/>
  <c r="HS6" i="1"/>
  <c r="HU6" i="1" s="1"/>
  <c r="IB6" i="1"/>
  <c r="IH6" i="1"/>
  <c r="IJ6" i="1" s="1"/>
  <c r="IL6" i="1"/>
  <c r="IQ6" i="1"/>
  <c r="IS6" i="1" s="1"/>
  <c r="CS113" i="3"/>
  <c r="CS112" i="3"/>
  <c r="Z105" i="3"/>
  <c r="BO109" i="3"/>
  <c r="Y101" i="3"/>
  <c r="AA99" i="3"/>
  <c r="AA201" i="3" s="1"/>
  <c r="AJ95" i="3"/>
  <c r="AJ93" i="3"/>
  <c r="AJ195" i="3" s="1"/>
  <c r="FF87" i="3"/>
  <c r="DH87" i="3"/>
  <c r="BJ87" i="3"/>
  <c r="FY84" i="3"/>
  <c r="EG83" i="3"/>
  <c r="CI83" i="3"/>
  <c r="HC14" i="1"/>
  <c r="GP14" i="1"/>
  <c r="GC14" i="1"/>
  <c r="FD14" i="1"/>
  <c r="DU14" i="1"/>
  <c r="BW14" i="1"/>
  <c r="BH14" i="1"/>
  <c r="GF13" i="1"/>
  <c r="EW13" i="1"/>
  <c r="EH13" i="1"/>
  <c r="CV13" i="1"/>
  <c r="CM13" i="1"/>
  <c r="FW12" i="1"/>
  <c r="DX12" i="1"/>
  <c r="DO12" i="1"/>
  <c r="M11" i="1"/>
  <c r="IQ10" i="1"/>
  <c r="IE10" i="1"/>
  <c r="HS10" i="1"/>
  <c r="HC10" i="1"/>
  <c r="GU10" i="1"/>
  <c r="GP10" i="1"/>
  <c r="GH10" i="1"/>
  <c r="GC10" i="1"/>
  <c r="FQ10" i="1"/>
  <c r="FD10" i="1"/>
  <c r="EB10" i="1"/>
  <c r="DU10" i="1"/>
  <c r="BW10" i="1"/>
  <c r="BH10" i="1"/>
  <c r="ET9" i="1"/>
  <c r="CJ9" i="1"/>
  <c r="M9" i="1"/>
  <c r="GM8" i="1"/>
  <c r="DL8" i="1"/>
  <c r="IU7" i="1"/>
  <c r="IV7" i="1" s="1"/>
  <c r="IQ7" i="1"/>
  <c r="IS7" i="1" s="1"/>
  <c r="IK7" i="1"/>
  <c r="IM7" i="1" s="1"/>
  <c r="IB7" i="1"/>
  <c r="ID7" i="1" s="1"/>
  <c r="HW7" i="1"/>
  <c r="HX7" i="1" s="1"/>
  <c r="HS7" i="1"/>
  <c r="HU7" i="1" s="1"/>
  <c r="HK7" i="1"/>
  <c r="HM7" i="1" s="1"/>
  <c r="HC7" i="1"/>
  <c r="GU7" i="1"/>
  <c r="GV7" i="1" s="1"/>
  <c r="GM7" i="1"/>
  <c r="GC7" i="1"/>
  <c r="FQ7" i="1"/>
  <c r="FS7" i="1" s="1"/>
  <c r="FM7" i="1"/>
  <c r="FD7" i="1"/>
  <c r="EN7" i="1"/>
  <c r="EB7" i="1"/>
  <c r="ED7" i="1" s="1"/>
  <c r="DO7" i="1"/>
  <c r="DC7" i="1"/>
  <c r="DE7" i="1" s="1"/>
  <c r="CP7" i="1"/>
  <c r="CG7" i="1"/>
  <c r="BQ7" i="1"/>
  <c r="BH7" i="1"/>
  <c r="BE6" i="1"/>
  <c r="I115" i="3"/>
  <c r="T14" i="4" s="1"/>
  <c r="E115" i="3"/>
  <c r="P14" i="4" s="1"/>
  <c r="ER112" i="3"/>
  <c r="E112" i="3"/>
  <c r="P11" i="4" s="1"/>
  <c r="FZ111" i="3"/>
  <c r="ER111" i="3"/>
  <c r="E111" i="3"/>
  <c r="P10" i="4" s="1"/>
  <c r="I110" i="3"/>
  <c r="T9" i="4" s="1"/>
  <c r="FD109" i="3"/>
  <c r="EQ109" i="3"/>
  <c r="DO109" i="3"/>
  <c r="CW109" i="3"/>
  <c r="CW113" i="3" s="1"/>
  <c r="GL105" i="3"/>
  <c r="BP105" i="3"/>
  <c r="BJ105" i="3"/>
  <c r="Y105" i="3"/>
  <c r="FF104" i="3"/>
  <c r="DT104" i="3"/>
  <c r="DK104" i="3"/>
  <c r="BY104" i="3"/>
  <c r="BJ104" i="3"/>
  <c r="BA104" i="3"/>
  <c r="GL103" i="3"/>
  <c r="EM103" i="3"/>
  <c r="DZ103" i="3"/>
  <c r="DQ103" i="3"/>
  <c r="CO103" i="3"/>
  <c r="BD103" i="3"/>
  <c r="AL103" i="3"/>
  <c r="FF102" i="3"/>
  <c r="DT102" i="3"/>
  <c r="BY102" i="3"/>
  <c r="BJ102" i="3"/>
  <c r="BA102" i="3"/>
  <c r="GL101" i="3"/>
  <c r="EM101" i="3"/>
  <c r="DQ101" i="3"/>
  <c r="BD101" i="3"/>
  <c r="AL101" i="3"/>
  <c r="FF100" i="3"/>
  <c r="DT100" i="3"/>
  <c r="BY100" i="3"/>
  <c r="BJ100" i="3"/>
  <c r="BA100" i="3"/>
  <c r="HB98" i="3"/>
  <c r="GE98" i="3"/>
  <c r="FY98" i="3"/>
  <c r="FO98" i="3"/>
  <c r="FI98" i="3"/>
  <c r="BP98" i="3"/>
  <c r="HB97" i="3"/>
  <c r="GE97" i="3"/>
  <c r="FY97" i="3"/>
  <c r="DT97" i="3"/>
  <c r="DN97" i="3"/>
  <c r="DH97" i="3"/>
  <c r="CX97" i="3"/>
  <c r="CR97" i="3"/>
  <c r="BM97" i="3"/>
  <c r="FL96" i="3"/>
  <c r="EV96" i="3"/>
  <c r="EJ96" i="3"/>
  <c r="CO96" i="3"/>
  <c r="CI96" i="3"/>
  <c r="BS96" i="3"/>
  <c r="DT95" i="3"/>
  <c r="DN95" i="3"/>
  <c r="DH95" i="3"/>
  <c r="BJ95" i="3"/>
  <c r="BD95" i="3"/>
  <c r="AB95" i="3"/>
  <c r="EG94" i="3"/>
  <c r="CO94" i="3"/>
  <c r="CI94" i="3"/>
  <c r="DT93" i="3"/>
  <c r="DH93" i="3"/>
  <c r="BJ93" i="3"/>
  <c r="BD93" i="3"/>
  <c r="AB93" i="3"/>
  <c r="EG92" i="3"/>
  <c r="CO92" i="3"/>
  <c r="CI92" i="3"/>
  <c r="DT91" i="3"/>
  <c r="DN91" i="3"/>
  <c r="DH91" i="3"/>
  <c r="BJ91" i="3"/>
  <c r="BD91" i="3"/>
  <c r="EG89" i="3"/>
  <c r="CI89" i="3"/>
  <c r="FF85" i="3"/>
  <c r="DH85" i="3"/>
  <c r="BJ85" i="3"/>
  <c r="FY82" i="3"/>
  <c r="EM81" i="3"/>
  <c r="DT80" i="3"/>
  <c r="DZ79" i="3"/>
  <c r="GY77" i="3"/>
  <c r="BP77" i="3"/>
  <c r="EP76" i="3"/>
  <c r="CF76" i="3"/>
  <c r="FV75" i="3"/>
  <c r="ES74" i="3"/>
  <c r="FY73" i="3"/>
  <c r="CL73" i="3"/>
  <c r="IN10" i="1"/>
  <c r="IB10" i="1"/>
  <c r="HO10" i="1"/>
  <c r="HE10" i="1"/>
  <c r="FE113" i="3"/>
  <c r="EF113" i="3"/>
  <c r="DR113" i="3"/>
  <c r="FE112" i="3"/>
  <c r="DJ109" i="3"/>
  <c r="DJ113" i="3" s="1"/>
  <c r="BU109" i="3"/>
  <c r="AB106" i="3"/>
  <c r="CU105" i="3"/>
  <c r="AL105" i="3"/>
  <c r="AB104" i="3"/>
  <c r="AK103" i="3"/>
  <c r="AB102" i="3"/>
  <c r="AK101" i="3"/>
  <c r="BC109" i="3"/>
  <c r="AB100" i="3"/>
  <c r="T98" i="3"/>
  <c r="AJ97" i="3"/>
  <c r="AJ96" i="3"/>
  <c r="AJ94" i="3"/>
  <c r="AJ92" i="3"/>
  <c r="BY75" i="3"/>
  <c r="GF14" i="1"/>
  <c r="FP14" i="1"/>
  <c r="FG14" i="1"/>
  <c r="DR14" i="1"/>
  <c r="DI14" i="1"/>
  <c r="BT14" i="1"/>
  <c r="BK14" i="1"/>
  <c r="ET13" i="1"/>
  <c r="EK13" i="1"/>
  <c r="CY13" i="1"/>
  <c r="CJ13" i="1"/>
  <c r="GZ12" i="1"/>
  <c r="FZ12" i="1"/>
  <c r="EA12" i="1"/>
  <c r="DL12" i="1"/>
  <c r="IU10" i="1"/>
  <c r="II10" i="1"/>
  <c r="HW10" i="1"/>
  <c r="HD10" i="1"/>
  <c r="GF10" i="1"/>
  <c r="FP10" i="1"/>
  <c r="FG10" i="1"/>
  <c r="DR10" i="1"/>
  <c r="DI10" i="1"/>
  <c r="BT10" i="1"/>
  <c r="BK10" i="1"/>
  <c r="GS9" i="1"/>
  <c r="EH9" i="1"/>
  <c r="CV9" i="1"/>
  <c r="FW8" i="1"/>
  <c r="DX8" i="1"/>
  <c r="IP7" i="1"/>
  <c r="IA7" i="1"/>
  <c r="HQ7" i="1"/>
  <c r="HD7" i="1"/>
  <c r="HF7" i="1" s="1"/>
  <c r="GZ7" i="1"/>
  <c r="GP7" i="1"/>
  <c r="GH7" i="1"/>
  <c r="GI7" i="1" s="1"/>
  <c r="FZ7" i="1"/>
  <c r="FP7" i="1"/>
  <c r="EX7" i="1"/>
  <c r="EZ7" i="1" s="1"/>
  <c r="EQ7" i="1"/>
  <c r="EA7" i="1"/>
  <c r="DR7" i="1"/>
  <c r="DB7" i="1"/>
  <c r="CS7" i="1"/>
  <c r="CA7" i="1"/>
  <c r="CC7" i="1" s="1"/>
  <c r="BT7" i="1"/>
  <c r="BE7" i="1"/>
  <c r="AU7" i="1"/>
  <c r="BW6" i="1"/>
  <c r="BQ6" i="1"/>
  <c r="I155" i="3"/>
  <c r="T58" i="4" s="1"/>
  <c r="E155" i="3"/>
  <c r="P58" i="4" s="1"/>
  <c r="I114" i="3"/>
  <c r="T13" i="4" s="1"/>
  <c r="E114" i="3"/>
  <c r="P13" i="4" s="1"/>
  <c r="BE112" i="3"/>
  <c r="AZ110" i="3"/>
  <c r="E110" i="3"/>
  <c r="P9" i="4" s="1"/>
  <c r="GC109" i="3"/>
  <c r="EU109" i="3"/>
  <c r="EU113" i="3" s="1"/>
  <c r="CG109" i="3"/>
  <c r="AO105" i="3"/>
  <c r="Q105" i="3"/>
  <c r="GO105" i="3"/>
  <c r="FL105" i="3"/>
  <c r="FF105" i="3"/>
  <c r="DW104" i="3"/>
  <c r="DH104" i="3"/>
  <c r="BV104" i="3"/>
  <c r="T104" i="3"/>
  <c r="FL103" i="3"/>
  <c r="FC103" i="3"/>
  <c r="DN103" i="3"/>
  <c r="DA103" i="3"/>
  <c r="BP103" i="3"/>
  <c r="BG103" i="3"/>
  <c r="Z103" i="3"/>
  <c r="HI102" i="3"/>
  <c r="GR102" i="3"/>
  <c r="GE102" i="3"/>
  <c r="FI102" i="3"/>
  <c r="DH102" i="3"/>
  <c r="BV102" i="3"/>
  <c r="BP102" i="3"/>
  <c r="T102" i="3"/>
  <c r="FC101" i="3"/>
  <c r="DN101" i="3"/>
  <c r="BP101" i="3"/>
  <c r="BG101" i="3"/>
  <c r="Z101" i="3"/>
  <c r="HI100" i="3"/>
  <c r="GR100" i="3"/>
  <c r="GE100" i="3"/>
  <c r="FI100" i="3"/>
  <c r="DW100" i="3"/>
  <c r="DH100" i="3"/>
  <c r="BV100" i="3"/>
  <c r="AF100" i="3"/>
  <c r="EG99" i="3"/>
  <c r="BJ99" i="3"/>
  <c r="AL99" i="3"/>
  <c r="GL98" i="3"/>
  <c r="ES98" i="3"/>
  <c r="EM98" i="3"/>
  <c r="CX98" i="3"/>
  <c r="CI98" i="3"/>
  <c r="BS98" i="3"/>
  <c r="FL97" i="3"/>
  <c r="EP97" i="3"/>
  <c r="DW97" i="3"/>
  <c r="BS97" i="3"/>
  <c r="BJ97" i="3"/>
  <c r="BD97" i="3"/>
  <c r="GE96" i="3"/>
  <c r="FY96" i="3"/>
  <c r="FO96" i="3"/>
  <c r="DT96" i="3"/>
  <c r="DN96" i="3"/>
  <c r="DH96" i="3"/>
  <c r="BJ96" i="3"/>
  <c r="BD96" i="3"/>
  <c r="AB96" i="3"/>
  <c r="EG95" i="3"/>
  <c r="CO95" i="3"/>
  <c r="CI95" i="3"/>
  <c r="DT94" i="3"/>
  <c r="DN94" i="3"/>
  <c r="DH94" i="3"/>
  <c r="BJ94" i="3"/>
  <c r="BD94" i="3"/>
  <c r="AB94" i="3"/>
  <c r="EG93" i="3"/>
  <c r="CO93" i="3"/>
  <c r="CI93" i="3"/>
  <c r="DT92" i="3"/>
  <c r="DN92" i="3"/>
  <c r="DH92" i="3"/>
  <c r="BJ92" i="3"/>
  <c r="AB92" i="3"/>
  <c r="EG91" i="3"/>
  <c r="CO91" i="3"/>
  <c r="CI91" i="3"/>
  <c r="FF89" i="3"/>
  <c r="DH89" i="3"/>
  <c r="BJ89" i="3"/>
  <c r="FY86" i="3"/>
  <c r="EG85" i="3"/>
  <c r="CI85" i="3"/>
  <c r="GY81" i="3"/>
  <c r="DK81" i="3"/>
  <c r="HI79" i="3"/>
  <c r="EM79" i="3"/>
  <c r="DT78" i="3"/>
  <c r="EV77" i="3"/>
  <c r="CX77" i="3"/>
  <c r="DH76" i="3"/>
  <c r="DT72" i="3"/>
  <c r="CF90" i="3"/>
  <c r="BV90" i="3"/>
  <c r="EV89" i="3"/>
  <c r="DW89" i="3"/>
  <c r="CX89" i="3"/>
  <c r="BY89" i="3"/>
  <c r="BD89" i="3"/>
  <c r="GR88" i="3"/>
  <c r="FO88" i="3"/>
  <c r="CF88" i="3"/>
  <c r="BV88" i="3"/>
  <c r="EV87" i="3"/>
  <c r="DW87" i="3"/>
  <c r="CX87" i="3"/>
  <c r="BY87" i="3"/>
  <c r="BD87" i="3"/>
  <c r="GR86" i="3"/>
  <c r="FO86" i="3"/>
  <c r="CF86" i="3"/>
  <c r="BV86" i="3"/>
  <c r="EV85" i="3"/>
  <c r="DW85" i="3"/>
  <c r="CX85" i="3"/>
  <c r="BY85" i="3"/>
  <c r="BD85" i="3"/>
  <c r="GR84" i="3"/>
  <c r="FO84" i="3"/>
  <c r="CF84" i="3"/>
  <c r="BV84" i="3"/>
  <c r="EV83" i="3"/>
  <c r="DW83" i="3"/>
  <c r="CX83" i="3"/>
  <c r="BY83" i="3"/>
  <c r="BD83" i="3"/>
  <c r="GR82" i="3"/>
  <c r="FO82" i="3"/>
  <c r="CF82" i="3"/>
  <c r="BV82" i="3"/>
  <c r="GO81" i="3"/>
  <c r="DT81" i="3"/>
  <c r="CF81" i="3"/>
  <c r="FV80" i="3"/>
  <c r="BA80" i="3"/>
  <c r="GB79" i="3"/>
  <c r="FO79" i="3"/>
  <c r="FF79" i="3"/>
  <c r="BS79" i="3"/>
  <c r="BJ79" i="3"/>
  <c r="GY78" i="3"/>
  <c r="FI78" i="3"/>
  <c r="EV78" i="3"/>
  <c r="EM78" i="3"/>
  <c r="GO77" i="3"/>
  <c r="EP77" i="3"/>
  <c r="EG77" i="3"/>
  <c r="CR77" i="3"/>
  <c r="CI77" i="3"/>
  <c r="HI76" i="3"/>
  <c r="FL76" i="3"/>
  <c r="EJ76" i="3"/>
  <c r="CX76" i="3"/>
  <c r="CO76" i="3"/>
  <c r="BM76" i="3"/>
  <c r="BD76" i="3"/>
  <c r="HB75" i="3"/>
  <c r="GE75" i="3"/>
  <c r="FC75" i="3"/>
  <c r="BS75" i="3"/>
  <c r="GE74" i="3"/>
  <c r="FL74" i="3"/>
  <c r="CF74" i="3"/>
  <c r="GR73" i="3"/>
  <c r="DN73" i="3"/>
  <c r="CU73" i="3"/>
  <c r="CF73" i="3"/>
  <c r="FF72" i="3"/>
  <c r="EM72" i="3"/>
  <c r="BV72" i="3"/>
  <c r="GR71" i="3"/>
  <c r="FO71" i="3"/>
  <c r="DW71" i="3"/>
  <c r="DQ71" i="3"/>
  <c r="DH71" i="3"/>
  <c r="CU71" i="3"/>
  <c r="BV71" i="3"/>
  <c r="BG71" i="3"/>
  <c r="DT70" i="3"/>
  <c r="DA70" i="3"/>
  <c r="GL69" i="3"/>
  <c r="GB69" i="3"/>
  <c r="FO69" i="3"/>
  <c r="FF69" i="3"/>
  <c r="EG69" i="3"/>
  <c r="BM69" i="3"/>
  <c r="BG69" i="3"/>
  <c r="EG68" i="3"/>
  <c r="DW68" i="3"/>
  <c r="DN68" i="3"/>
  <c r="CO68" i="3"/>
  <c r="BM68" i="3"/>
  <c r="EV67" i="3"/>
  <c r="EP67" i="3"/>
  <c r="EG67" i="3"/>
  <c r="DT67" i="3"/>
  <c r="GR66" i="3"/>
  <c r="FY66" i="3"/>
  <c r="DH66" i="3"/>
  <c r="CX66" i="3"/>
  <c r="CO66" i="3"/>
  <c r="BA65" i="3"/>
  <c r="FI63" i="3"/>
  <c r="FC63" i="3"/>
  <c r="DK63" i="3"/>
  <c r="BM63" i="3"/>
  <c r="BG63" i="3"/>
  <c r="HI62" i="3"/>
  <c r="CL62" i="3"/>
  <c r="FC61" i="3"/>
  <c r="ES61" i="3"/>
  <c r="DZ59" i="3"/>
  <c r="CR96" i="3"/>
  <c r="GE95" i="3"/>
  <c r="FY95" i="3"/>
  <c r="DW95" i="3"/>
  <c r="BM95" i="3"/>
  <c r="HB94" i="3"/>
  <c r="GE94" i="3"/>
  <c r="FY94" i="3"/>
  <c r="CR94" i="3"/>
  <c r="GE93" i="3"/>
  <c r="FY93" i="3"/>
  <c r="DW93" i="3"/>
  <c r="BM93" i="3"/>
  <c r="HB92" i="3"/>
  <c r="GE92" i="3"/>
  <c r="FY92" i="3"/>
  <c r="CR92" i="3"/>
  <c r="GE91" i="3"/>
  <c r="FY91" i="3"/>
  <c r="DW91" i="3"/>
  <c r="BM91" i="3"/>
  <c r="GL90" i="3"/>
  <c r="ES90" i="3"/>
  <c r="DT90" i="3"/>
  <c r="CU90" i="3"/>
  <c r="BJ90" i="3"/>
  <c r="FY89" i="3"/>
  <c r="FI89" i="3"/>
  <c r="EJ89" i="3"/>
  <c r="DK89" i="3"/>
  <c r="CL89" i="3"/>
  <c r="BM89" i="3"/>
  <c r="GB88" i="3"/>
  <c r="FC88" i="3"/>
  <c r="ES88" i="3"/>
  <c r="DT88" i="3"/>
  <c r="CU88" i="3"/>
  <c r="BJ88" i="3"/>
  <c r="FY87" i="3"/>
  <c r="FI87" i="3"/>
  <c r="EJ87" i="3"/>
  <c r="DK87" i="3"/>
  <c r="CL87" i="3"/>
  <c r="BM87" i="3"/>
  <c r="GB86" i="3"/>
  <c r="FC86" i="3"/>
  <c r="ES86" i="3"/>
  <c r="DT86" i="3"/>
  <c r="CU86" i="3"/>
  <c r="BJ86" i="3"/>
  <c r="FY85" i="3"/>
  <c r="FI85" i="3"/>
  <c r="EJ85" i="3"/>
  <c r="DK85" i="3"/>
  <c r="CL85" i="3"/>
  <c r="BM85" i="3"/>
  <c r="GB84" i="3"/>
  <c r="FC84" i="3"/>
  <c r="ES84" i="3"/>
  <c r="DT84" i="3"/>
  <c r="CU84" i="3"/>
  <c r="BJ84" i="3"/>
  <c r="FY83" i="3"/>
  <c r="FI83" i="3"/>
  <c r="EJ83" i="3"/>
  <c r="DK83" i="3"/>
  <c r="CL83" i="3"/>
  <c r="BM83" i="3"/>
  <c r="GB82" i="3"/>
  <c r="FC82" i="3"/>
  <c r="ES82" i="3"/>
  <c r="DT82" i="3"/>
  <c r="CU82" i="3"/>
  <c r="BJ82" i="3"/>
  <c r="HB81" i="3"/>
  <c r="EP81" i="3"/>
  <c r="EV80" i="3"/>
  <c r="DW80" i="3"/>
  <c r="DN80" i="3"/>
  <c r="GO79" i="3"/>
  <c r="EP79" i="3"/>
  <c r="EG79" i="3"/>
  <c r="CU79" i="3"/>
  <c r="CF79" i="3"/>
  <c r="FV78" i="3"/>
  <c r="DW78" i="3"/>
  <c r="CX78" i="3"/>
  <c r="CO78" i="3"/>
  <c r="BM78" i="3"/>
  <c r="BD78" i="3"/>
  <c r="HB77" i="3"/>
  <c r="GE77" i="3"/>
  <c r="FC77" i="3"/>
  <c r="BS77" i="3"/>
  <c r="GL76" i="3"/>
  <c r="DK76" i="3"/>
  <c r="GR75" i="3"/>
  <c r="ES75" i="3"/>
  <c r="DQ75" i="3"/>
  <c r="DH75" i="3"/>
  <c r="CU75" i="3"/>
  <c r="CF75" i="3"/>
  <c r="GR74" i="3"/>
  <c r="FY74" i="3"/>
  <c r="DH74" i="3"/>
  <c r="CX74" i="3"/>
  <c r="CO74" i="3"/>
  <c r="FI73" i="3"/>
  <c r="FC73" i="3"/>
  <c r="DH73" i="3"/>
  <c r="BA73" i="3"/>
  <c r="GY72" i="3"/>
  <c r="GL72" i="3"/>
  <c r="FY72" i="3"/>
  <c r="EV72" i="3"/>
  <c r="CI72" i="3"/>
  <c r="BP72" i="3"/>
  <c r="BA72" i="3"/>
  <c r="GB71" i="3"/>
  <c r="EJ71" i="3"/>
  <c r="FO70" i="3"/>
  <c r="FI70" i="3"/>
  <c r="EV70" i="3"/>
  <c r="EM70" i="3"/>
  <c r="DN70" i="3"/>
  <c r="HI69" i="3"/>
  <c r="EP69" i="3"/>
  <c r="CO69" i="3"/>
  <c r="BV69" i="3"/>
  <c r="HI68" i="3"/>
  <c r="GB68" i="3"/>
  <c r="FV68" i="3"/>
  <c r="CX68" i="3"/>
  <c r="GY67" i="3"/>
  <c r="GO67" i="3"/>
  <c r="BP67" i="3"/>
  <c r="HI66" i="3"/>
  <c r="GL66" i="3"/>
  <c r="EP66" i="3"/>
  <c r="EJ66" i="3"/>
  <c r="FV65" i="3"/>
  <c r="ES65" i="3"/>
  <c r="DT65" i="3"/>
  <c r="CU65" i="3"/>
  <c r="BV65" i="3"/>
  <c r="GE64" i="3"/>
  <c r="DH64" i="3"/>
  <c r="CX64" i="3"/>
  <c r="BY64" i="3"/>
  <c r="BD64" i="3"/>
  <c r="HB63" i="3"/>
  <c r="GR63" i="3"/>
  <c r="GB63" i="3"/>
  <c r="DQ62" i="3"/>
  <c r="DK62" i="3"/>
  <c r="GL61" i="3"/>
  <c r="GB61" i="3"/>
  <c r="BP61" i="3"/>
  <c r="BJ61" i="3"/>
  <c r="DZ60" i="3"/>
  <c r="DA60" i="3"/>
  <c r="BA60" i="3"/>
  <c r="DK98" i="3"/>
  <c r="CR98" i="3"/>
  <c r="CL98" i="3"/>
  <c r="BA98" i="3"/>
  <c r="GB97" i="3"/>
  <c r="FI97" i="3"/>
  <c r="FC97" i="3"/>
  <c r="DA97" i="3"/>
  <c r="BV97" i="3"/>
  <c r="HI96" i="3"/>
  <c r="FV96" i="3"/>
  <c r="DA96" i="3"/>
  <c r="BV96" i="3"/>
  <c r="GB95" i="3"/>
  <c r="FI95" i="3"/>
  <c r="FC95" i="3"/>
  <c r="DA95" i="3"/>
  <c r="BV95" i="3"/>
  <c r="HI94" i="3"/>
  <c r="FV94" i="3"/>
  <c r="DA94" i="3"/>
  <c r="BV94" i="3"/>
  <c r="GB93" i="3"/>
  <c r="FI93" i="3"/>
  <c r="FC93" i="3"/>
  <c r="DA93" i="3"/>
  <c r="BV93" i="3"/>
  <c r="HI92" i="3"/>
  <c r="FV92" i="3"/>
  <c r="DA92" i="3"/>
  <c r="BV92" i="3"/>
  <c r="GB91" i="3"/>
  <c r="FI91" i="3"/>
  <c r="FC91" i="3"/>
  <c r="DA91" i="3"/>
  <c r="BV91" i="3"/>
  <c r="EV90" i="3"/>
  <c r="EG90" i="3"/>
  <c r="DW90" i="3"/>
  <c r="DH90" i="3"/>
  <c r="CX90" i="3"/>
  <c r="CI90" i="3"/>
  <c r="BS90" i="3"/>
  <c r="BM90" i="3"/>
  <c r="GL89" i="3"/>
  <c r="GB89" i="3"/>
  <c r="DZ89" i="3"/>
  <c r="DA89" i="3"/>
  <c r="BA89" i="3"/>
  <c r="GO88" i="3"/>
  <c r="EV88" i="3"/>
  <c r="EG88" i="3"/>
  <c r="DW88" i="3"/>
  <c r="DH88" i="3"/>
  <c r="CX88" i="3"/>
  <c r="CI88" i="3"/>
  <c r="BS88" i="3"/>
  <c r="BM88" i="3"/>
  <c r="GL87" i="3"/>
  <c r="GB87" i="3"/>
  <c r="DZ87" i="3"/>
  <c r="DA87" i="3"/>
  <c r="BA87" i="3"/>
  <c r="GO86" i="3"/>
  <c r="EV86" i="3"/>
  <c r="EG86" i="3"/>
  <c r="DW86" i="3"/>
  <c r="DH86" i="3"/>
  <c r="CX86" i="3"/>
  <c r="CI86" i="3"/>
  <c r="BS86" i="3"/>
  <c r="BM86" i="3"/>
  <c r="GL85" i="3"/>
  <c r="GB85" i="3"/>
  <c r="DZ85" i="3"/>
  <c r="DA85" i="3"/>
  <c r="BA85" i="3"/>
  <c r="GO84" i="3"/>
  <c r="EV84" i="3"/>
  <c r="EG84" i="3"/>
  <c r="DW84" i="3"/>
  <c r="DH84" i="3"/>
  <c r="CX84" i="3"/>
  <c r="CI84" i="3"/>
  <c r="BS84" i="3"/>
  <c r="BM84" i="3"/>
  <c r="GL83" i="3"/>
  <c r="GB83" i="3"/>
  <c r="DZ83" i="3"/>
  <c r="DA83" i="3"/>
  <c r="BA83" i="3"/>
  <c r="GO82" i="3"/>
  <c r="EV82" i="3"/>
  <c r="EG82" i="3"/>
  <c r="DW82" i="3"/>
  <c r="DH82" i="3"/>
  <c r="CX82" i="3"/>
  <c r="CI82" i="3"/>
  <c r="BS82" i="3"/>
  <c r="BM82" i="3"/>
  <c r="HI81" i="3"/>
  <c r="GR81" i="3"/>
  <c r="FO81" i="3"/>
  <c r="FI81" i="3"/>
  <c r="DQ81" i="3"/>
  <c r="DH81" i="3"/>
  <c r="CX81" i="3"/>
  <c r="BS81" i="3"/>
  <c r="BM81" i="3"/>
  <c r="FI80" i="3"/>
  <c r="FC80" i="3"/>
  <c r="EJ80" i="3"/>
  <c r="CX80" i="3"/>
  <c r="CR80" i="3"/>
  <c r="BY80" i="3"/>
  <c r="BS80" i="3"/>
  <c r="HB79" i="3"/>
  <c r="GE79" i="3"/>
  <c r="FC79" i="3"/>
  <c r="DQ79" i="3"/>
  <c r="DK79" i="3"/>
  <c r="BV79" i="3"/>
  <c r="BG79" i="3"/>
  <c r="FL78" i="3"/>
  <c r="EJ78" i="3"/>
  <c r="DK78" i="3"/>
  <c r="GR77" i="3"/>
  <c r="ES77" i="3"/>
  <c r="DQ77" i="3"/>
  <c r="CU77" i="3"/>
  <c r="CF77" i="3"/>
  <c r="FI76" i="3"/>
  <c r="EV76" i="3"/>
  <c r="DA76" i="3"/>
  <c r="CL76" i="3"/>
  <c r="BY76" i="3"/>
  <c r="BP76" i="3"/>
  <c r="BA76" i="3"/>
  <c r="GB75" i="3"/>
  <c r="FO75" i="3"/>
  <c r="FF75" i="3"/>
  <c r="BV75" i="3"/>
  <c r="BP75" i="3"/>
  <c r="HI74" i="3"/>
  <c r="GL74" i="3"/>
  <c r="EP74" i="3"/>
  <c r="EJ74" i="3"/>
  <c r="FV73" i="3"/>
  <c r="ES73" i="3"/>
  <c r="DQ73" i="3"/>
  <c r="BY73" i="3"/>
  <c r="BS73" i="3"/>
  <c r="BJ73" i="3"/>
  <c r="FI72" i="3"/>
  <c r="DQ72" i="3"/>
  <c r="DK72" i="3"/>
  <c r="BY72" i="3"/>
  <c r="FL71" i="3"/>
  <c r="ES71" i="3"/>
  <c r="BD71" i="3"/>
  <c r="DW70" i="3"/>
  <c r="BG70" i="3"/>
  <c r="BA70" i="3"/>
  <c r="GO69" i="3"/>
  <c r="DZ69" i="3"/>
  <c r="CI69" i="3"/>
  <c r="GO68" i="3"/>
  <c r="FL68" i="3"/>
  <c r="EJ68" i="3"/>
  <c r="BJ68" i="3"/>
  <c r="GE67" i="3"/>
  <c r="FC67" i="3"/>
  <c r="CX67" i="3"/>
  <c r="CR67" i="3"/>
  <c r="CI67" i="3"/>
  <c r="BJ67" i="3"/>
  <c r="GY66" i="3"/>
  <c r="FC66" i="3"/>
  <c r="DZ66" i="3"/>
  <c r="DK66" i="3"/>
  <c r="BS66" i="3"/>
  <c r="BM66" i="3"/>
  <c r="GY65" i="3"/>
  <c r="FY65" i="3"/>
  <c r="FF65" i="3"/>
  <c r="EG65" i="3"/>
  <c r="DH65" i="3"/>
  <c r="CI65" i="3"/>
  <c r="BJ65" i="3"/>
  <c r="FC64" i="3"/>
  <c r="ES64" i="3"/>
  <c r="EJ63" i="3"/>
  <c r="CL63" i="3"/>
  <c r="CF63" i="3"/>
  <c r="DZ62" i="3"/>
  <c r="BS62" i="3"/>
  <c r="DA61" i="3"/>
  <c r="CU61" i="3"/>
  <c r="FF64" i="3"/>
  <c r="EG64" i="3"/>
  <c r="DW64" i="3"/>
  <c r="CL64" i="3"/>
  <c r="BM64" i="3"/>
  <c r="ES63" i="3"/>
  <c r="DT63" i="3"/>
  <c r="CU63" i="3"/>
  <c r="BP63" i="3"/>
  <c r="FV62" i="3"/>
  <c r="DA62" i="3"/>
  <c r="BA62" i="3"/>
  <c r="GO61" i="3"/>
  <c r="EG61" i="3"/>
  <c r="DH61" i="3"/>
  <c r="CI61" i="3"/>
  <c r="BS61" i="3"/>
  <c r="GL60" i="3"/>
  <c r="GE58" i="3"/>
  <c r="FI74" i="3"/>
  <c r="EV74" i="3"/>
  <c r="EM74" i="3"/>
  <c r="DA74" i="3"/>
  <c r="CL74" i="3"/>
  <c r="BY74" i="3"/>
  <c r="BP74" i="3"/>
  <c r="BA74" i="3"/>
  <c r="GB73" i="3"/>
  <c r="FO73" i="3"/>
  <c r="FF73" i="3"/>
  <c r="BV73" i="3"/>
  <c r="BG73" i="3"/>
  <c r="FV72" i="3"/>
  <c r="DW72" i="3"/>
  <c r="DN72" i="3"/>
  <c r="GO71" i="3"/>
  <c r="EP71" i="3"/>
  <c r="EG71" i="3"/>
  <c r="DT71" i="3"/>
  <c r="CR71" i="3"/>
  <c r="CI71" i="3"/>
  <c r="HI70" i="3"/>
  <c r="FL70" i="3"/>
  <c r="EJ70" i="3"/>
  <c r="CX70" i="3"/>
  <c r="CO70" i="3"/>
  <c r="BM70" i="3"/>
  <c r="BD70" i="3"/>
  <c r="HB69" i="3"/>
  <c r="GE69" i="3"/>
  <c r="FC69" i="3"/>
  <c r="BS69" i="3"/>
  <c r="BJ69" i="3"/>
  <c r="GY68" i="3"/>
  <c r="GL68" i="3"/>
  <c r="FY68" i="3"/>
  <c r="DZ68" i="3"/>
  <c r="DK68" i="3"/>
  <c r="GR67" i="3"/>
  <c r="ES67" i="3"/>
  <c r="DQ67" i="3"/>
  <c r="DH67" i="3"/>
  <c r="CU67" i="3"/>
  <c r="CF67" i="3"/>
  <c r="FI66" i="3"/>
  <c r="EV66" i="3"/>
  <c r="EM66" i="3"/>
  <c r="DA66" i="3"/>
  <c r="CL66" i="3"/>
  <c r="BY66" i="3"/>
  <c r="BP66" i="3"/>
  <c r="GL65" i="3"/>
  <c r="FO65" i="3"/>
  <c r="EP65" i="3"/>
  <c r="DZ65" i="3"/>
  <c r="DQ65" i="3"/>
  <c r="DA65" i="3"/>
  <c r="CR65" i="3"/>
  <c r="BS65" i="3"/>
  <c r="GR64" i="3"/>
  <c r="GL64" i="3"/>
  <c r="EV64" i="3"/>
  <c r="DZ64" i="3"/>
  <c r="DK64" i="3"/>
  <c r="CU64" i="3"/>
  <c r="CO64" i="3"/>
  <c r="BJ64" i="3"/>
  <c r="BA64" i="3"/>
  <c r="GO63" i="3"/>
  <c r="GE63" i="3"/>
  <c r="FF63" i="3"/>
  <c r="EG63" i="3"/>
  <c r="DH63" i="3"/>
  <c r="CI63" i="3"/>
  <c r="BD63" i="3"/>
  <c r="FO62" i="3"/>
  <c r="EV62" i="3"/>
  <c r="EP62" i="3"/>
  <c r="DW62" i="3"/>
  <c r="DN62" i="3"/>
  <c r="CO62" i="3"/>
  <c r="BP62" i="3"/>
  <c r="HB61" i="3"/>
  <c r="GE61" i="3"/>
  <c r="FF61" i="3"/>
  <c r="EP61" i="3"/>
  <c r="EJ61" i="3"/>
  <c r="DQ61" i="3"/>
  <c r="DK61" i="3"/>
  <c r="CR61" i="3"/>
  <c r="CL61" i="3"/>
  <c r="BG61" i="3"/>
  <c r="FO60" i="3"/>
  <c r="EP60" i="3"/>
  <c r="DQ60" i="3"/>
  <c r="CR60" i="3"/>
  <c r="BS60" i="3"/>
  <c r="GL59" i="3"/>
  <c r="BP59" i="3"/>
  <c r="BA61" i="3"/>
  <c r="HI60" i="3"/>
  <c r="GY60" i="3"/>
  <c r="GO60" i="3"/>
  <c r="FV60" i="3"/>
  <c r="FL60" i="3"/>
  <c r="EM60" i="3"/>
  <c r="DN60" i="3"/>
  <c r="CO60" i="3"/>
  <c r="BP60" i="3"/>
  <c r="HB59" i="3"/>
  <c r="GE59" i="3"/>
  <c r="FF59" i="3"/>
  <c r="EP59" i="3"/>
  <c r="EJ59" i="3"/>
  <c r="DQ59" i="3"/>
  <c r="DK59" i="3"/>
  <c r="CR59" i="3"/>
  <c r="CL59" i="3"/>
  <c r="BG59" i="3"/>
  <c r="BA59" i="3"/>
  <c r="HI58" i="3"/>
  <c r="GY58" i="3"/>
  <c r="GO58" i="3"/>
  <c r="FV58" i="3"/>
  <c r="FL58" i="3"/>
  <c r="EM58" i="3"/>
  <c r="DN58" i="3"/>
  <c r="CO58" i="3"/>
  <c r="BP58" i="3"/>
  <c r="HB57" i="3"/>
  <c r="GE57" i="3"/>
  <c r="FF57" i="3"/>
  <c r="EP57" i="3"/>
  <c r="EJ57" i="3"/>
  <c r="DQ57" i="3"/>
  <c r="DK57" i="3"/>
  <c r="CR57" i="3"/>
  <c r="CL57" i="3"/>
  <c r="BG57" i="3"/>
  <c r="BA57" i="3"/>
  <c r="HI56" i="3"/>
  <c r="GY56" i="3"/>
  <c r="GO56" i="3"/>
  <c r="FV56" i="3"/>
  <c r="FL56" i="3"/>
  <c r="EM56" i="3"/>
  <c r="DN56" i="3"/>
  <c r="CO56" i="3"/>
  <c r="BP56" i="3"/>
  <c r="HB55" i="3"/>
  <c r="GE55" i="3"/>
  <c r="FF55" i="3"/>
  <c r="EP55" i="3"/>
  <c r="EJ55" i="3"/>
  <c r="DQ55" i="3"/>
  <c r="DK55" i="3"/>
  <c r="CR55" i="3"/>
  <c r="CL55" i="3"/>
  <c r="BG55" i="3"/>
  <c r="BA55" i="3"/>
  <c r="HI54" i="3"/>
  <c r="GY54" i="3"/>
  <c r="GO54" i="3"/>
  <c r="FV54" i="3"/>
  <c r="FL54" i="3"/>
  <c r="EM54" i="3"/>
  <c r="DN54" i="3"/>
  <c r="CO54" i="3"/>
  <c r="BP54" i="3"/>
  <c r="HB53" i="3"/>
  <c r="FV53" i="3"/>
  <c r="FL53" i="3"/>
  <c r="FF53" i="3"/>
  <c r="BM53" i="3"/>
  <c r="HI52" i="3"/>
  <c r="GR52" i="3"/>
  <c r="FO52" i="3"/>
  <c r="FI52" i="3"/>
  <c r="DQ52" i="3"/>
  <c r="DH52" i="3"/>
  <c r="CX52" i="3"/>
  <c r="BS52" i="3"/>
  <c r="BM52" i="3"/>
  <c r="FI51" i="3"/>
  <c r="FC51" i="3"/>
  <c r="EJ51" i="3"/>
  <c r="CX51" i="3"/>
  <c r="CR51" i="3"/>
  <c r="BY51" i="3"/>
  <c r="BS51" i="3"/>
  <c r="HB50" i="3"/>
  <c r="GE50" i="3"/>
  <c r="FC50" i="3"/>
  <c r="DQ50" i="3"/>
  <c r="DK50" i="3"/>
  <c r="BV50" i="3"/>
  <c r="BG50" i="3"/>
  <c r="FL49" i="3"/>
  <c r="EJ49" i="3"/>
  <c r="DK49" i="3"/>
  <c r="CR49" i="3"/>
  <c r="CL49" i="3"/>
  <c r="BY49" i="3"/>
  <c r="BP49" i="3"/>
  <c r="EM48" i="3"/>
  <c r="DT48" i="3"/>
  <c r="BP48" i="3"/>
  <c r="EP47" i="3"/>
  <c r="EJ47" i="3"/>
  <c r="CF47" i="3"/>
  <c r="FV46" i="3"/>
  <c r="FF45" i="3"/>
  <c r="DQ45" i="3"/>
  <c r="BV45" i="3"/>
  <c r="FL44" i="3"/>
  <c r="BD44" i="3"/>
  <c r="GL42" i="3"/>
  <c r="GO41" i="3"/>
  <c r="EV40" i="3"/>
  <c r="CX40" i="3"/>
  <c r="DH39" i="3"/>
  <c r="CF37" i="3"/>
  <c r="FV36" i="3"/>
  <c r="FF35" i="3"/>
  <c r="DQ35" i="3"/>
  <c r="BV35" i="3"/>
  <c r="FL34" i="3"/>
  <c r="BS54" i="3"/>
  <c r="FY53" i="3"/>
  <c r="FO53" i="3"/>
  <c r="FV52" i="3"/>
  <c r="CL52" i="3"/>
  <c r="BA52" i="3"/>
  <c r="GB51" i="3"/>
  <c r="CF51" i="3"/>
  <c r="BG51" i="3"/>
  <c r="DN46" i="3"/>
  <c r="BY46" i="3"/>
  <c r="BJ41" i="3"/>
  <c r="DK40" i="3"/>
  <c r="DN38" i="3"/>
  <c r="DN36" i="3"/>
  <c r="BY36" i="3"/>
  <c r="DW34" i="3"/>
  <c r="GB59" i="3"/>
  <c r="FV59" i="3"/>
  <c r="FC59" i="3"/>
  <c r="ES59" i="3"/>
  <c r="DT59" i="3"/>
  <c r="CU59" i="3"/>
  <c r="BY59" i="3"/>
  <c r="BJ59" i="3"/>
  <c r="FY58" i="3"/>
  <c r="FI58" i="3"/>
  <c r="FC58" i="3"/>
  <c r="EJ58" i="3"/>
  <c r="DK58" i="3"/>
  <c r="CL58" i="3"/>
  <c r="CF58" i="3"/>
  <c r="BM58" i="3"/>
  <c r="BG58" i="3"/>
  <c r="GB57" i="3"/>
  <c r="FV57" i="3"/>
  <c r="FC57" i="3"/>
  <c r="ES57" i="3"/>
  <c r="DT57" i="3"/>
  <c r="CU57" i="3"/>
  <c r="BY57" i="3"/>
  <c r="BJ57" i="3"/>
  <c r="FY56" i="3"/>
  <c r="FI56" i="3"/>
  <c r="FC56" i="3"/>
  <c r="EJ56" i="3"/>
  <c r="DK56" i="3"/>
  <c r="CL56" i="3"/>
  <c r="CF56" i="3"/>
  <c r="BM56" i="3"/>
  <c r="BG56" i="3"/>
  <c r="GB55" i="3"/>
  <c r="FV55" i="3"/>
  <c r="FC55" i="3"/>
  <c r="ES55" i="3"/>
  <c r="DT55" i="3"/>
  <c r="CU55" i="3"/>
  <c r="BY55" i="3"/>
  <c r="BJ55" i="3"/>
  <c r="FY54" i="3"/>
  <c r="FI54" i="3"/>
  <c r="FC54" i="3"/>
  <c r="EJ54" i="3"/>
  <c r="DK54" i="3"/>
  <c r="CL54" i="3"/>
  <c r="CF54" i="3"/>
  <c r="BG54" i="3"/>
  <c r="CR53" i="3"/>
  <c r="EV52" i="3"/>
  <c r="HB51" i="3"/>
  <c r="GO49" i="3"/>
  <c r="ES45" i="3"/>
  <c r="CI45" i="3"/>
  <c r="FY44" i="3"/>
  <c r="EJ44" i="3"/>
  <c r="CL44" i="3"/>
  <c r="FO43" i="3"/>
  <c r="BG43" i="3"/>
  <c r="GY40" i="3"/>
  <c r="BP40" i="3"/>
  <c r="EP39" i="3"/>
  <c r="CF39" i="3"/>
  <c r="FY38" i="3"/>
  <c r="EJ34" i="3"/>
  <c r="CL34" i="3"/>
  <c r="BS46" i="3"/>
  <c r="BJ46" i="3"/>
  <c r="GY45" i="3"/>
  <c r="FY45" i="3"/>
  <c r="DZ45" i="3"/>
  <c r="DK45" i="3"/>
  <c r="DQ44" i="3"/>
  <c r="DH44" i="3"/>
  <c r="CF44" i="3"/>
  <c r="FI43" i="3"/>
  <c r="EV43" i="3"/>
  <c r="EM43" i="3"/>
  <c r="DA43" i="3"/>
  <c r="CL43" i="3"/>
  <c r="BY43" i="3"/>
  <c r="BA43" i="3"/>
  <c r="GB42" i="3"/>
  <c r="FO42" i="3"/>
  <c r="FF42" i="3"/>
  <c r="BV42" i="3"/>
  <c r="BG42" i="3"/>
  <c r="FV41" i="3"/>
  <c r="DW41" i="3"/>
  <c r="GO40" i="3"/>
  <c r="EP40" i="3"/>
  <c r="CR40" i="3"/>
  <c r="HI39" i="3"/>
  <c r="EJ39" i="3"/>
  <c r="CX39" i="3"/>
  <c r="BM39" i="3"/>
  <c r="DH38" i="3"/>
  <c r="CU38" i="3"/>
  <c r="GY37" i="3"/>
  <c r="EJ37" i="3"/>
  <c r="CX37" i="3"/>
  <c r="CO37" i="3"/>
  <c r="BM37" i="3"/>
  <c r="HB36" i="3"/>
  <c r="FC36" i="3"/>
  <c r="BS36" i="3"/>
  <c r="BJ36" i="3"/>
  <c r="GL35" i="3"/>
  <c r="FY35" i="3"/>
  <c r="DK35" i="3"/>
  <c r="GR34" i="3"/>
  <c r="DQ34" i="3"/>
  <c r="CU34" i="3"/>
  <c r="CF34" i="3"/>
  <c r="DQ33" i="3"/>
  <c r="DK33" i="3"/>
  <c r="BP33" i="3"/>
  <c r="GO31" i="3"/>
  <c r="DQ31" i="3"/>
  <c r="DK31" i="3"/>
  <c r="CX49" i="3"/>
  <c r="CO49" i="3"/>
  <c r="BM49" i="3"/>
  <c r="BD49" i="3"/>
  <c r="HB48" i="3"/>
  <c r="FC48" i="3"/>
  <c r="BS48" i="3"/>
  <c r="BJ48" i="3"/>
  <c r="GY47" i="3"/>
  <c r="FY47" i="3"/>
  <c r="DZ47" i="3"/>
  <c r="DK47" i="3"/>
  <c r="DQ46" i="3"/>
  <c r="DH46" i="3"/>
  <c r="CF46" i="3"/>
  <c r="FI45" i="3"/>
  <c r="EV45" i="3"/>
  <c r="EM45" i="3"/>
  <c r="DA45" i="3"/>
  <c r="CL45" i="3"/>
  <c r="BY45" i="3"/>
  <c r="BA45" i="3"/>
  <c r="GB44" i="3"/>
  <c r="FO44" i="3"/>
  <c r="FF44" i="3"/>
  <c r="BV44" i="3"/>
  <c r="BG44" i="3"/>
  <c r="FV43" i="3"/>
  <c r="DW43" i="3"/>
  <c r="DN43" i="3"/>
  <c r="GO42" i="3"/>
  <c r="EP42" i="3"/>
  <c r="DT42" i="3"/>
  <c r="CR42" i="3"/>
  <c r="HI41" i="3"/>
  <c r="EJ41" i="3"/>
  <c r="CX41" i="3"/>
  <c r="CO41" i="3"/>
  <c r="BM41" i="3"/>
  <c r="HB40" i="3"/>
  <c r="FC40" i="3"/>
  <c r="BS40" i="3"/>
  <c r="BJ40" i="3"/>
  <c r="FY39" i="3"/>
  <c r="DK39" i="3"/>
  <c r="HI38" i="3"/>
  <c r="GO38" i="3"/>
  <c r="FI38" i="3"/>
  <c r="FC38" i="3"/>
  <c r="DQ38" i="3"/>
  <c r="DK38" i="3"/>
  <c r="BS38" i="3"/>
  <c r="BJ38" i="3"/>
  <c r="FV37" i="3"/>
  <c r="DZ37" i="3"/>
  <c r="DK37" i="3"/>
  <c r="ES36" i="3"/>
  <c r="DQ36" i="3"/>
  <c r="DH36" i="3"/>
  <c r="CF36" i="3"/>
  <c r="FI35" i="3"/>
  <c r="EV35" i="3"/>
  <c r="DA35" i="3"/>
  <c r="CL35" i="3"/>
  <c r="BY35" i="3"/>
  <c r="BA35" i="3"/>
  <c r="GB34" i="3"/>
  <c r="FO34" i="3"/>
  <c r="HB33" i="3"/>
  <c r="EV33" i="3"/>
  <c r="DT33" i="3"/>
  <c r="HI32" i="3"/>
  <c r="GO32" i="3"/>
  <c r="FF32" i="3"/>
  <c r="EG32" i="3"/>
  <c r="DH32" i="3"/>
  <c r="GR31" i="3"/>
  <c r="EV31" i="3"/>
  <c r="FL38" i="3"/>
  <c r="EV38" i="3"/>
  <c r="CL38" i="3"/>
  <c r="FO37" i="3"/>
  <c r="BV33" i="3"/>
  <c r="BV34" i="3"/>
  <c r="BD34" i="3"/>
  <c r="GE33" i="3"/>
  <c r="FV33" i="3"/>
  <c r="FF33" i="3"/>
  <c r="EG33" i="3"/>
  <c r="CX33" i="3"/>
  <c r="BY33" i="3"/>
  <c r="BD33" i="3"/>
  <c r="HB32" i="3"/>
  <c r="GR32" i="3"/>
  <c r="GB32" i="3"/>
  <c r="FL32" i="3"/>
  <c r="FC32" i="3"/>
  <c r="EM32" i="3"/>
  <c r="DN32" i="3"/>
  <c r="CO32" i="3"/>
  <c r="CF32" i="3"/>
  <c r="BP32" i="3"/>
  <c r="BG32" i="3"/>
  <c r="HI31" i="3"/>
  <c r="FI31" i="3"/>
  <c r="ES31" i="3"/>
  <c r="EJ31" i="3"/>
  <c r="DH31" i="3"/>
  <c r="BG31" i="3"/>
  <c r="BA31" i="3"/>
  <c r="GL30" i="3"/>
  <c r="FO30" i="3"/>
  <c r="FI30" i="3"/>
  <c r="DQ30" i="3"/>
  <c r="DH30" i="3"/>
  <c r="CX30" i="3"/>
  <c r="BS30" i="3"/>
  <c r="BM30" i="3"/>
  <c r="FI29" i="3"/>
  <c r="FC29" i="3"/>
  <c r="EJ29" i="3"/>
  <c r="CX29" i="3"/>
  <c r="CR29" i="3"/>
  <c r="BY29" i="3"/>
  <c r="BS29" i="3"/>
  <c r="HB28" i="3"/>
  <c r="FC28" i="3"/>
  <c r="BS28" i="3"/>
  <c r="BJ28" i="3"/>
  <c r="GY27" i="3"/>
  <c r="FY27" i="3"/>
  <c r="DZ27" i="3"/>
  <c r="DK27" i="3"/>
  <c r="DQ26" i="3"/>
  <c r="DH26" i="3"/>
  <c r="CF26" i="3"/>
  <c r="FI25" i="3"/>
  <c r="EV25" i="3"/>
  <c r="EM25" i="3"/>
  <c r="DA25" i="3"/>
  <c r="CL25" i="3"/>
  <c r="BY25" i="3"/>
  <c r="BA25" i="3"/>
  <c r="GB24" i="3"/>
  <c r="FO24" i="3"/>
  <c r="FF24" i="3"/>
  <c r="BV24" i="3"/>
  <c r="BG24" i="3"/>
  <c r="FV23" i="3"/>
  <c r="DW23" i="3"/>
  <c r="DN23" i="3"/>
  <c r="HB22" i="3"/>
  <c r="GE22" i="3"/>
  <c r="FY22" i="3"/>
  <c r="DW22" i="3"/>
  <c r="CX22" i="3"/>
  <c r="CR22" i="3"/>
  <c r="GY21" i="3"/>
  <c r="GE21" i="3"/>
  <c r="EJ20" i="3"/>
  <c r="DN20" i="3"/>
  <c r="CU20" i="3"/>
  <c r="CR19" i="3"/>
  <c r="BM19" i="3"/>
  <c r="FL18" i="3"/>
  <c r="FY16" i="3"/>
  <c r="FO16" i="3"/>
  <c r="EG15" i="3"/>
  <c r="CI15" i="3"/>
  <c r="CI14" i="3"/>
  <c r="FC13" i="3"/>
  <c r="FF31" i="3"/>
  <c r="EG31" i="3"/>
  <c r="BJ31" i="3"/>
  <c r="FV30" i="3"/>
  <c r="CL30" i="3"/>
  <c r="BA30" i="3"/>
  <c r="GB29" i="3"/>
  <c r="CF29" i="3"/>
  <c r="BG29" i="3"/>
  <c r="DZ22" i="3"/>
  <c r="ES21" i="3"/>
  <c r="DH21" i="3"/>
  <c r="GL20" i="3"/>
  <c r="EM20" i="3"/>
  <c r="DK18" i="3"/>
  <c r="CL18" i="3"/>
  <c r="BA18" i="3"/>
  <c r="GO17" i="3"/>
  <c r="FF17" i="3"/>
  <c r="EV17" i="3"/>
  <c r="DH17" i="3"/>
  <c r="CX17" i="3"/>
  <c r="BJ17" i="3"/>
  <c r="BD17" i="3"/>
  <c r="GR16" i="3"/>
  <c r="DH14" i="3"/>
  <c r="FV13" i="3"/>
  <c r="CU31" i="3"/>
  <c r="EV30" i="3"/>
  <c r="HB29" i="3"/>
  <c r="FL22" i="3"/>
  <c r="EG21" i="3"/>
  <c r="FL20" i="3"/>
  <c r="DA20" i="3"/>
  <c r="EJ16" i="3"/>
  <c r="DK16" i="3"/>
  <c r="CL16" i="3"/>
  <c r="BA16" i="3"/>
  <c r="FF15" i="3"/>
  <c r="DH15" i="3"/>
  <c r="BD15" i="3"/>
  <c r="DQ14" i="3"/>
  <c r="EV15" i="3"/>
  <c r="DW15" i="3"/>
  <c r="CX15" i="3"/>
  <c r="BY15" i="3"/>
  <c r="FY14" i="3"/>
  <c r="CX14" i="3"/>
  <c r="BY13" i="3"/>
  <c r="FF12" i="3"/>
  <c r="BS12" i="3"/>
  <c r="DN11" i="3"/>
  <c r="BP11" i="3"/>
  <c r="FV19" i="3"/>
  <c r="DA19" i="3"/>
  <c r="BA19" i="3"/>
  <c r="GB18" i="3"/>
  <c r="FO18" i="3"/>
  <c r="FF18" i="3"/>
  <c r="DT18" i="3"/>
  <c r="CU18" i="3"/>
  <c r="BJ18" i="3"/>
  <c r="FY17" i="3"/>
  <c r="FI17" i="3"/>
  <c r="EJ17" i="3"/>
  <c r="DK17" i="3"/>
  <c r="CL17" i="3"/>
  <c r="BM17" i="3"/>
  <c r="GB16" i="3"/>
  <c r="FC16" i="3"/>
  <c r="ES16" i="3"/>
  <c r="DT16" i="3"/>
  <c r="CU16" i="3"/>
  <c r="BJ16" i="3"/>
  <c r="FY15" i="3"/>
  <c r="FI15" i="3"/>
  <c r="EJ15" i="3"/>
  <c r="DK15" i="3"/>
  <c r="CL15" i="3"/>
  <c r="BM15" i="3"/>
  <c r="BG15" i="3"/>
  <c r="HB14" i="3"/>
  <c r="GL14" i="3"/>
  <c r="FC14" i="3"/>
  <c r="CL14" i="3"/>
  <c r="BS14" i="3"/>
  <c r="GR13" i="3"/>
  <c r="CR13" i="3"/>
  <c r="DW11" i="3"/>
  <c r="BJ10" i="3"/>
  <c r="FL9" i="3"/>
  <c r="DA8" i="3"/>
  <c r="CU6" i="3"/>
  <c r="DN22" i="3"/>
  <c r="BP22" i="3"/>
  <c r="EV21" i="3"/>
  <c r="DT21" i="3"/>
  <c r="DK21" i="3"/>
  <c r="CI21" i="3"/>
  <c r="BJ21" i="3"/>
  <c r="BA21" i="3"/>
  <c r="GO20" i="3"/>
  <c r="DH20" i="3"/>
  <c r="GR19" i="3"/>
  <c r="DH19" i="3"/>
  <c r="GO18" i="3"/>
  <c r="EP18" i="3"/>
  <c r="EG18" i="3"/>
  <c r="DW18" i="3"/>
  <c r="DH18" i="3"/>
  <c r="CX18" i="3"/>
  <c r="CI18" i="3"/>
  <c r="BS18" i="3"/>
  <c r="BM18" i="3"/>
  <c r="GL17" i="3"/>
  <c r="GB17" i="3"/>
  <c r="DZ17" i="3"/>
  <c r="DA17" i="3"/>
  <c r="BA17" i="3"/>
  <c r="GO16" i="3"/>
  <c r="EV16" i="3"/>
  <c r="EG16" i="3"/>
  <c r="DW16" i="3"/>
  <c r="DH16" i="3"/>
  <c r="CX16" i="3"/>
  <c r="CI16" i="3"/>
  <c r="BS16" i="3"/>
  <c r="BM16" i="3"/>
  <c r="GL15" i="3"/>
  <c r="GB15" i="3"/>
  <c r="DZ15" i="3"/>
  <c r="DA15" i="3"/>
  <c r="GE14" i="3"/>
  <c r="FV14" i="3"/>
  <c r="FL14" i="3"/>
  <c r="FF14" i="3"/>
  <c r="DN14" i="3"/>
  <c r="BV14" i="3"/>
  <c r="GY13" i="3"/>
  <c r="FI13" i="3"/>
  <c r="EJ13" i="3"/>
  <c r="DT13" i="3"/>
  <c r="DT12" i="3"/>
  <c r="CR12" i="3"/>
  <c r="FL11" i="3"/>
  <c r="DW10" i="3"/>
  <c r="DT8" i="3"/>
  <c r="DT6" i="3"/>
  <c r="DK13" i="3"/>
  <c r="CL13" i="3"/>
  <c r="BS13" i="3"/>
  <c r="BM13" i="3"/>
  <c r="GO12" i="3"/>
  <c r="FY12" i="3"/>
  <c r="FO12" i="3"/>
  <c r="DN12" i="3"/>
  <c r="CU12" i="3"/>
  <c r="CL12" i="3"/>
  <c r="CF12" i="3"/>
  <c r="BV12" i="3"/>
  <c r="HB11" i="3"/>
  <c r="GR11" i="3"/>
  <c r="FY11" i="3"/>
  <c r="EV11" i="3"/>
  <c r="DZ11" i="3"/>
  <c r="CX11" i="3"/>
  <c r="CI11" i="3"/>
  <c r="HB10" i="3"/>
  <c r="GO10" i="3"/>
  <c r="EV10" i="3"/>
  <c r="EP10" i="3"/>
  <c r="CX10" i="3"/>
  <c r="CR10" i="3"/>
  <c r="BY10" i="3"/>
  <c r="HB9" i="3"/>
  <c r="HB110" i="3" s="1"/>
  <c r="GE9" i="3"/>
  <c r="FF9" i="3"/>
  <c r="EP9" i="3"/>
  <c r="EJ9" i="3"/>
  <c r="DQ9" i="3"/>
  <c r="DK9" i="3"/>
  <c r="CR9" i="3"/>
  <c r="CL9" i="3"/>
  <c r="BG9" i="3"/>
  <c r="BA9" i="3"/>
  <c r="HI8" i="3"/>
  <c r="GY8" i="3"/>
  <c r="GO8" i="3"/>
  <c r="FV8" i="3"/>
  <c r="FL8" i="3"/>
  <c r="EM8" i="3"/>
  <c r="DN8" i="3"/>
  <c r="CU8" i="3"/>
  <c r="CO8" i="3"/>
  <c r="BP8" i="3"/>
  <c r="GE7" i="3"/>
  <c r="FO7" i="3"/>
  <c r="FF7" i="3"/>
  <c r="EV7" i="3"/>
  <c r="DW7" i="3"/>
  <c r="DK7" i="3"/>
  <c r="CR7" i="3"/>
  <c r="CL7" i="3"/>
  <c r="HI6" i="3"/>
  <c r="GY6" i="3"/>
  <c r="GO6" i="3"/>
  <c r="FV6" i="3"/>
  <c r="FL6" i="3"/>
  <c r="EM6" i="3"/>
  <c r="DN6" i="3"/>
  <c r="CX6" i="3"/>
  <c r="CO6" i="3"/>
  <c r="BP6" i="3"/>
  <c r="EG13" i="3"/>
  <c r="DW13" i="3"/>
  <c r="CX13" i="3"/>
  <c r="CI13" i="3"/>
  <c r="BV13" i="3"/>
  <c r="BA13" i="3"/>
  <c r="GL12" i="3"/>
  <c r="GB12" i="3"/>
  <c r="FV12" i="3"/>
  <c r="FL12" i="3"/>
  <c r="FC12" i="3"/>
  <c r="ES12" i="3"/>
  <c r="DZ12" i="3"/>
  <c r="DQ12" i="3"/>
  <c r="CO12" i="3"/>
  <c r="BP12" i="3"/>
  <c r="FC11" i="3"/>
  <c r="EM11" i="3"/>
  <c r="DT11" i="3"/>
  <c r="CO11" i="3"/>
  <c r="BG11" i="3"/>
  <c r="GB10" i="3"/>
  <c r="FC10" i="3"/>
  <c r="EG10" i="3"/>
  <c r="DA10" i="3"/>
  <c r="GB9" i="3"/>
  <c r="FV9" i="3"/>
  <c r="FC9" i="3"/>
  <c r="ES9" i="3"/>
  <c r="DT9" i="3"/>
  <c r="CU9" i="3"/>
  <c r="BY9" i="3"/>
  <c r="BJ9" i="3"/>
  <c r="FY8" i="3"/>
  <c r="FI8" i="3"/>
  <c r="FC8" i="3"/>
  <c r="EJ8" i="3"/>
  <c r="DK8" i="3"/>
  <c r="BM8" i="3"/>
  <c r="BG8" i="3"/>
  <c r="GO7" i="3"/>
  <c r="FC7" i="3"/>
  <c r="ES7" i="3"/>
  <c r="DT7" i="3"/>
  <c r="CU7" i="3"/>
  <c r="BS7" i="3"/>
  <c r="BJ7" i="3"/>
  <c r="FY6" i="3"/>
  <c r="FI6" i="3"/>
  <c r="FC6" i="3"/>
  <c r="EJ6" i="3"/>
  <c r="DK6" i="3"/>
  <c r="CL6" i="3"/>
  <c r="CF6" i="3"/>
  <c r="BM6" i="3"/>
  <c r="BG6" i="3"/>
  <c r="GX114" i="1"/>
  <c r="GY114" i="1"/>
  <c r="GY120" i="1"/>
  <c r="GA114" i="1"/>
  <c r="GB114" i="1"/>
  <c r="GB120" i="1"/>
  <c r="BO114" i="1"/>
  <c r="BP114" i="1"/>
  <c r="BP120" i="1"/>
  <c r="P105" i="3"/>
  <c r="F106" i="5"/>
  <c r="P101" i="3"/>
  <c r="F102" i="5"/>
  <c r="P97" i="3"/>
  <c r="F98" i="5"/>
  <c r="HA114" i="1"/>
  <c r="HB114" i="1"/>
  <c r="HB120" i="1"/>
  <c r="P102" i="3"/>
  <c r="F103" i="5"/>
  <c r="EL114" i="1"/>
  <c r="EM114" i="1"/>
  <c r="EM120" i="1"/>
  <c r="CZ114" i="1"/>
  <c r="DA114" i="1"/>
  <c r="DA120" i="1"/>
  <c r="N105" i="3"/>
  <c r="D106" i="5"/>
  <c r="S15" i="4"/>
  <c r="O15" i="4"/>
  <c r="J15" i="4"/>
  <c r="F15" i="4"/>
  <c r="B15" i="4"/>
  <c r="AJ204" i="1"/>
  <c r="X204" i="1"/>
  <c r="AO6" i="1"/>
  <c r="AP6" i="1"/>
  <c r="AQ18" i="1"/>
  <c r="AQ34" i="1"/>
  <c r="AQ38" i="1"/>
  <c r="AQ6" i="1"/>
  <c r="AO7" i="1"/>
  <c r="AO11" i="1"/>
  <c r="AP11" i="1" s="1"/>
  <c r="AO15" i="1"/>
  <c r="AO19" i="1"/>
  <c r="AP19" i="1" s="1"/>
  <c r="AO23" i="1"/>
  <c r="AO27" i="1"/>
  <c r="AP27" i="1" s="1"/>
  <c r="AO31" i="1"/>
  <c r="AO35" i="1"/>
  <c r="AO39" i="1"/>
  <c r="AO43" i="1"/>
  <c r="AP7" i="1"/>
  <c r="AP109" i="1" s="1"/>
  <c r="AO10" i="1"/>
  <c r="AP10" i="1" s="1"/>
  <c r="AO14" i="1"/>
  <c r="AQ14" i="1" s="1"/>
  <c r="AP15" i="1"/>
  <c r="AP117" i="1" s="1"/>
  <c r="AO18" i="1"/>
  <c r="AP18" i="1" s="1"/>
  <c r="AP120" i="1" s="1"/>
  <c r="AO22" i="1"/>
  <c r="AQ22" i="1" s="1"/>
  <c r="AP23" i="1"/>
  <c r="AO26" i="1"/>
  <c r="AP26" i="1" s="1"/>
  <c r="AO30" i="1"/>
  <c r="AQ30" i="1" s="1"/>
  <c r="AP31" i="1"/>
  <c r="AO34" i="1"/>
  <c r="AP35" i="1"/>
  <c r="AQ11" i="1"/>
  <c r="AQ15" i="1"/>
  <c r="AQ19" i="1"/>
  <c r="AQ23" i="1"/>
  <c r="AQ27" i="1"/>
  <c r="AQ31" i="1"/>
  <c r="AQ35" i="1"/>
  <c r="AQ36" i="1"/>
  <c r="AO38" i="1"/>
  <c r="AQ39" i="1"/>
  <c r="AQ43" i="1"/>
  <c r="AQ47" i="1"/>
  <c r="AO49" i="1"/>
  <c r="AQ51" i="1"/>
  <c r="AO53" i="1"/>
  <c r="AQ55" i="1"/>
  <c r="AO57" i="1"/>
  <c r="AQ59" i="1"/>
  <c r="AO61" i="1"/>
  <c r="AQ63" i="1"/>
  <c r="AO65" i="1"/>
  <c r="AQ67" i="1"/>
  <c r="AQ7" i="1"/>
  <c r="AP38" i="1"/>
  <c r="AO42" i="1"/>
  <c r="AO46" i="1"/>
  <c r="AO13" i="1"/>
  <c r="AO17" i="1"/>
  <c r="AO21" i="1"/>
  <c r="AO25" i="1"/>
  <c r="AO29" i="1"/>
  <c r="AO33" i="1"/>
  <c r="AP34" i="1"/>
  <c r="AP42" i="1"/>
  <c r="AP46" i="1"/>
  <c r="AO47" i="1"/>
  <c r="AP48" i="1"/>
  <c r="AP150" i="1" s="1"/>
  <c r="AQ49" i="1"/>
  <c r="AO51" i="1"/>
  <c r="AP52" i="1"/>
  <c r="AQ53" i="1"/>
  <c r="AO55" i="1"/>
  <c r="AP56" i="1"/>
  <c r="AQ57" i="1"/>
  <c r="AO59" i="1"/>
  <c r="AP60" i="1"/>
  <c r="AQ61" i="1"/>
  <c r="AO9" i="1"/>
  <c r="AP39" i="1"/>
  <c r="AO41" i="1"/>
  <c r="AP43" i="1"/>
  <c r="AP47" i="1"/>
  <c r="AP149" i="1" s="1"/>
  <c r="AP51" i="1"/>
  <c r="AP55" i="1"/>
  <c r="AP59" i="1"/>
  <c r="AP63" i="1"/>
  <c r="AP67" i="1"/>
  <c r="AQ69" i="1"/>
  <c r="AO70" i="1"/>
  <c r="AP71" i="1"/>
  <c r="AP173" i="1" s="1"/>
  <c r="AP72" i="1"/>
  <c r="AP76" i="1"/>
  <c r="AP80" i="1"/>
  <c r="AP84" i="1"/>
  <c r="AP186" i="1" s="1"/>
  <c r="AP88" i="1"/>
  <c r="AO91" i="1"/>
  <c r="AP92" i="1"/>
  <c r="AO95" i="1"/>
  <c r="AP96" i="1"/>
  <c r="AP198" i="1" s="1"/>
  <c r="AO99" i="1"/>
  <c r="AP100" i="1"/>
  <c r="AP202" i="1" s="1"/>
  <c r="AP64" i="1"/>
  <c r="AP166" i="1" s="1"/>
  <c r="AO67" i="1"/>
  <c r="AP70" i="1"/>
  <c r="AQ71" i="1"/>
  <c r="AQ72" i="1"/>
  <c r="AO74" i="1"/>
  <c r="AP75" i="1"/>
  <c r="AQ76" i="1"/>
  <c r="AO78" i="1"/>
  <c r="AP79" i="1"/>
  <c r="AQ80" i="1"/>
  <c r="AO82" i="1"/>
  <c r="AP83" i="1"/>
  <c r="AP185" i="1" s="1"/>
  <c r="AQ84" i="1"/>
  <c r="AO86" i="1"/>
  <c r="AP87" i="1"/>
  <c r="AQ88" i="1"/>
  <c r="AO90" i="1"/>
  <c r="AP91" i="1"/>
  <c r="AQ92" i="1"/>
  <c r="AO94" i="1"/>
  <c r="AO63" i="1"/>
  <c r="AQ65" i="1"/>
  <c r="AP68" i="1"/>
  <c r="AO69" i="1"/>
  <c r="AO71" i="1"/>
  <c r="AQ74" i="1"/>
  <c r="AO76" i="1"/>
  <c r="AQ78" i="1"/>
  <c r="AO80" i="1"/>
  <c r="AQ82" i="1"/>
  <c r="AO84" i="1"/>
  <c r="AQ86" i="1"/>
  <c r="AO88" i="1"/>
  <c r="AO92" i="1"/>
  <c r="AO96" i="1"/>
  <c r="AO100" i="1"/>
  <c r="AO104" i="1"/>
  <c r="AC6" i="1"/>
  <c r="AD6" i="1"/>
  <c r="AD108" i="1" s="1"/>
  <c r="AE34" i="1"/>
  <c r="AE38" i="1"/>
  <c r="AE6" i="1"/>
  <c r="AC7" i="1"/>
  <c r="AD7" i="1" s="1"/>
  <c r="AC11" i="1"/>
  <c r="AD11" i="1" s="1"/>
  <c r="AD113" i="1" s="1"/>
  <c r="AC15" i="1"/>
  <c r="AC19" i="1"/>
  <c r="AC23" i="1"/>
  <c r="AD23" i="1" s="1"/>
  <c r="AC27" i="1"/>
  <c r="AD27" i="1" s="1"/>
  <c r="AD129" i="1" s="1"/>
  <c r="AC31" i="1"/>
  <c r="AC35" i="1"/>
  <c r="AC39" i="1"/>
  <c r="AC43" i="1"/>
  <c r="AC10" i="1"/>
  <c r="AD10" i="1" s="1"/>
  <c r="AC14" i="1"/>
  <c r="AE14" i="1" s="1"/>
  <c r="AD15" i="1"/>
  <c r="AC18" i="1"/>
  <c r="AE18" i="1" s="1"/>
  <c r="AC22" i="1"/>
  <c r="AE22" i="1" s="1"/>
  <c r="AC26" i="1"/>
  <c r="AE26" i="1" s="1"/>
  <c r="AC30" i="1"/>
  <c r="AE30" i="1" s="1"/>
  <c r="AD31" i="1"/>
  <c r="AC34" i="1"/>
  <c r="AD35" i="1"/>
  <c r="AC9" i="1"/>
  <c r="AD42" i="1"/>
  <c r="AD46" i="1"/>
  <c r="AD148" i="1" s="1"/>
  <c r="AE47" i="1"/>
  <c r="AC49" i="1"/>
  <c r="AE51" i="1"/>
  <c r="AC53" i="1"/>
  <c r="AE55" i="1"/>
  <c r="AC57" i="1"/>
  <c r="AE59" i="1"/>
  <c r="AC61" i="1"/>
  <c r="AE63" i="1"/>
  <c r="AC65" i="1"/>
  <c r="AE67" i="1"/>
  <c r="AE15" i="1"/>
  <c r="AE23" i="1"/>
  <c r="AE31" i="1"/>
  <c r="AE35" i="1"/>
  <c r="AD39" i="1"/>
  <c r="AD141" i="1" s="1"/>
  <c r="AD43" i="1"/>
  <c r="AD145" i="1" s="1"/>
  <c r="AE7" i="1"/>
  <c r="AE36" i="1"/>
  <c r="AC38" i="1"/>
  <c r="AE39" i="1"/>
  <c r="AE43" i="1"/>
  <c r="AC47" i="1"/>
  <c r="AD48" i="1"/>
  <c r="AE49" i="1"/>
  <c r="AC51" i="1"/>
  <c r="AD52" i="1"/>
  <c r="AE53" i="1"/>
  <c r="AC55" i="1"/>
  <c r="AD56" i="1"/>
  <c r="AE57" i="1"/>
  <c r="AC59" i="1"/>
  <c r="AD60" i="1"/>
  <c r="AE61" i="1"/>
  <c r="AC13" i="1"/>
  <c r="AD14" i="1"/>
  <c r="AC17" i="1"/>
  <c r="AD18" i="1"/>
  <c r="AC21" i="1"/>
  <c r="AD22" i="1"/>
  <c r="AC25" i="1"/>
  <c r="AC29" i="1"/>
  <c r="AD30" i="1"/>
  <c r="AC33" i="1"/>
  <c r="AD34" i="1"/>
  <c r="AD38" i="1"/>
  <c r="AE40" i="1"/>
  <c r="AC42" i="1"/>
  <c r="AC46" i="1"/>
  <c r="AD47" i="1"/>
  <c r="AD51" i="1"/>
  <c r="AD153" i="1" s="1"/>
  <c r="AD55" i="1"/>
  <c r="AD157" i="1" s="1"/>
  <c r="AD59" i="1"/>
  <c r="AD63" i="1"/>
  <c r="AD67" i="1"/>
  <c r="AC63" i="1"/>
  <c r="AE65" i="1"/>
  <c r="AD68" i="1"/>
  <c r="AD70" i="1"/>
  <c r="AD172" i="1" s="1"/>
  <c r="AE71" i="1"/>
  <c r="AE72" i="1"/>
  <c r="AD76" i="1"/>
  <c r="AD80" i="1"/>
  <c r="AD182" i="1" s="1"/>
  <c r="AD84" i="1"/>
  <c r="AD88" i="1"/>
  <c r="AC91" i="1"/>
  <c r="AD92" i="1"/>
  <c r="AD194" i="1" s="1"/>
  <c r="AC95" i="1"/>
  <c r="AD96" i="1"/>
  <c r="AD198" i="1" s="1"/>
  <c r="AC99" i="1"/>
  <c r="AD100" i="1"/>
  <c r="AD202" i="1" s="1"/>
  <c r="AC69" i="1"/>
  <c r="AC74" i="1"/>
  <c r="AD75" i="1"/>
  <c r="AE76" i="1"/>
  <c r="AC78" i="1"/>
  <c r="AD79" i="1"/>
  <c r="AE80" i="1"/>
  <c r="AC82" i="1"/>
  <c r="AD83" i="1"/>
  <c r="AD185" i="1" s="1"/>
  <c r="AE84" i="1"/>
  <c r="AC86" i="1"/>
  <c r="AD87" i="1"/>
  <c r="AD189" i="1" s="1"/>
  <c r="AE88" i="1"/>
  <c r="AC90" i="1"/>
  <c r="AD91" i="1"/>
  <c r="AE92" i="1"/>
  <c r="AC94" i="1"/>
  <c r="AD64" i="1"/>
  <c r="AC67" i="1"/>
  <c r="AE69" i="1"/>
  <c r="AC71" i="1"/>
  <c r="AC70" i="1"/>
  <c r="AD71" i="1"/>
  <c r="AD72" i="1"/>
  <c r="AD174" i="1" s="1"/>
  <c r="AE74" i="1"/>
  <c r="AC76" i="1"/>
  <c r="AE78" i="1"/>
  <c r="AC80" i="1"/>
  <c r="AE82" i="1"/>
  <c r="AC84" i="1"/>
  <c r="AE86" i="1"/>
  <c r="AC88" i="1"/>
  <c r="AC92" i="1"/>
  <c r="AC96" i="1"/>
  <c r="AC100" i="1"/>
  <c r="AC104" i="1"/>
  <c r="Q6" i="1"/>
  <c r="R6" i="1"/>
  <c r="S26" i="1"/>
  <c r="S38" i="1"/>
  <c r="Q7" i="1"/>
  <c r="Q11" i="1"/>
  <c r="Q15" i="1"/>
  <c r="R15" i="1" s="1"/>
  <c r="Q19" i="1"/>
  <c r="S19" i="1" s="1"/>
  <c r="Q23" i="1"/>
  <c r="Q27" i="1"/>
  <c r="Q31" i="1"/>
  <c r="R31" i="1" s="1"/>
  <c r="Q35" i="1"/>
  <c r="Q39" i="1"/>
  <c r="Q43" i="1"/>
  <c r="S6" i="1"/>
  <c r="R7" i="1"/>
  <c r="Q10" i="1"/>
  <c r="R11" i="1"/>
  <c r="Q14" i="1"/>
  <c r="R14" i="1" s="1"/>
  <c r="Q18" i="1"/>
  <c r="S18" i="1" s="1"/>
  <c r="Q22" i="1"/>
  <c r="R22" i="1" s="1"/>
  <c r="R23" i="1"/>
  <c r="Q26" i="1"/>
  <c r="R27" i="1"/>
  <c r="Q30" i="1"/>
  <c r="S30" i="1" s="1"/>
  <c r="Q34" i="1"/>
  <c r="R35" i="1"/>
  <c r="Q13" i="1"/>
  <c r="Q17" i="1"/>
  <c r="R18" i="1"/>
  <c r="Q21" i="1"/>
  <c r="Q25" i="1"/>
  <c r="R26" i="1"/>
  <c r="Q29" i="1"/>
  <c r="Q33" i="1"/>
  <c r="R34" i="1"/>
  <c r="S36" i="1"/>
  <c r="Q38" i="1"/>
  <c r="S39" i="1"/>
  <c r="S43" i="1"/>
  <c r="S47" i="1"/>
  <c r="Q49" i="1"/>
  <c r="S51" i="1"/>
  <c r="Q53" i="1"/>
  <c r="S55" i="1"/>
  <c r="Q57" i="1"/>
  <c r="S59" i="1"/>
  <c r="Q61" i="1"/>
  <c r="S63" i="1"/>
  <c r="Q65" i="1"/>
  <c r="S67" i="1"/>
  <c r="Q9" i="1"/>
  <c r="R10" i="1"/>
  <c r="R38" i="1"/>
  <c r="Q42" i="1"/>
  <c r="Q46" i="1"/>
  <c r="S11" i="1"/>
  <c r="S23" i="1"/>
  <c r="S27" i="1"/>
  <c r="S31" i="1"/>
  <c r="S35" i="1"/>
  <c r="R42" i="1"/>
  <c r="R46" i="1"/>
  <c r="R148" i="1" s="1"/>
  <c r="Q47" i="1"/>
  <c r="R48" i="1"/>
  <c r="S49" i="1"/>
  <c r="Q51" i="1"/>
  <c r="R52" i="1"/>
  <c r="S53" i="1"/>
  <c r="Q55" i="1"/>
  <c r="R56" i="1"/>
  <c r="R158" i="1" s="1"/>
  <c r="S57" i="1"/>
  <c r="Q59" i="1"/>
  <c r="R60" i="1"/>
  <c r="S61" i="1"/>
  <c r="S7" i="1"/>
  <c r="R39" i="1"/>
  <c r="Q41" i="1"/>
  <c r="R43" i="1"/>
  <c r="R145" i="1" s="1"/>
  <c r="R47" i="1"/>
  <c r="R149" i="1" s="1"/>
  <c r="R51" i="1"/>
  <c r="R55" i="1"/>
  <c r="R59" i="1"/>
  <c r="R63" i="1"/>
  <c r="R165" i="1" s="1"/>
  <c r="R67" i="1"/>
  <c r="S69" i="1"/>
  <c r="R76" i="1"/>
  <c r="R178" i="1" s="1"/>
  <c r="R80" i="1"/>
  <c r="R182" i="1" s="1"/>
  <c r="R84" i="1"/>
  <c r="R88" i="1"/>
  <c r="Q91" i="1"/>
  <c r="R92" i="1"/>
  <c r="R194" i="1" s="1"/>
  <c r="Q95" i="1"/>
  <c r="R96" i="1"/>
  <c r="R198" i="1" s="1"/>
  <c r="Q99" i="1"/>
  <c r="R100" i="1"/>
  <c r="R202" i="1" s="1"/>
  <c r="Q63" i="1"/>
  <c r="S65" i="1"/>
  <c r="R68" i="1"/>
  <c r="R170" i="1" s="1"/>
  <c r="Q71" i="1"/>
  <c r="Q73" i="1"/>
  <c r="Q74" i="1"/>
  <c r="R75" i="1"/>
  <c r="R177" i="1" s="1"/>
  <c r="S76" i="1"/>
  <c r="Q78" i="1"/>
  <c r="R79" i="1"/>
  <c r="S80" i="1"/>
  <c r="Q82" i="1"/>
  <c r="R83" i="1"/>
  <c r="S84" i="1"/>
  <c r="Q86" i="1"/>
  <c r="R87" i="1"/>
  <c r="R189" i="1" s="1"/>
  <c r="S88" i="1"/>
  <c r="Q90" i="1"/>
  <c r="R91" i="1"/>
  <c r="R193" i="1" s="1"/>
  <c r="S92" i="1"/>
  <c r="Q94" i="1"/>
  <c r="Q70" i="1"/>
  <c r="R71" i="1"/>
  <c r="R173" i="1" s="1"/>
  <c r="R72" i="1"/>
  <c r="R64" i="1"/>
  <c r="Q67" i="1"/>
  <c r="Q69" i="1"/>
  <c r="R70" i="1"/>
  <c r="S71" i="1"/>
  <c r="S72" i="1"/>
  <c r="S74" i="1"/>
  <c r="Q76" i="1"/>
  <c r="S78" i="1"/>
  <c r="Q80" i="1"/>
  <c r="S82" i="1"/>
  <c r="Q84" i="1"/>
  <c r="S86" i="1"/>
  <c r="Q88" i="1"/>
  <c r="Q92" i="1"/>
  <c r="Q96" i="1"/>
  <c r="Q100" i="1"/>
  <c r="Q104" i="1"/>
  <c r="AP108" i="1"/>
  <c r="Q106" i="1"/>
  <c r="AQ105" i="1"/>
  <c r="AL105" i="1"/>
  <c r="AA105" i="1"/>
  <c r="AA207" i="1" s="1"/>
  <c r="AQ104" i="1"/>
  <c r="AD104" i="1"/>
  <c r="AD206" i="1" s="1"/>
  <c r="AP103" i="1"/>
  <c r="AH103" i="1"/>
  <c r="Z103" i="1"/>
  <c r="R103" i="1"/>
  <c r="R205" i="1" s="1"/>
  <c r="S103" i="1"/>
  <c r="AN102" i="1"/>
  <c r="AF102" i="1"/>
  <c r="AR101" i="1"/>
  <c r="AB101" i="1"/>
  <c r="T101" i="1"/>
  <c r="M101" i="1"/>
  <c r="Q101" i="1"/>
  <c r="U101" i="1"/>
  <c r="Y101" i="1"/>
  <c r="AC101" i="1"/>
  <c r="AG101" i="1"/>
  <c r="AK101" i="1"/>
  <c r="AO101" i="1"/>
  <c r="AS101" i="1"/>
  <c r="AW101" i="1"/>
  <c r="O101" i="1" s="1"/>
  <c r="R101" i="1"/>
  <c r="R203" i="1" s="1"/>
  <c r="V101" i="1"/>
  <c r="Z101" i="1"/>
  <c r="AD101" i="1"/>
  <c r="AD203" i="1" s="1"/>
  <c r="AH101" i="1"/>
  <c r="AL101" i="1"/>
  <c r="AP101" i="1"/>
  <c r="AP203" i="1" s="1"/>
  <c r="AT101" i="1"/>
  <c r="AX101" i="1"/>
  <c r="G102" i="5" s="1"/>
  <c r="AM100" i="1"/>
  <c r="AM202" i="1" s="1"/>
  <c r="AP99" i="1"/>
  <c r="AP201" i="1" s="1"/>
  <c r="Z99" i="1"/>
  <c r="AO98" i="1"/>
  <c r="R98" i="1"/>
  <c r="R200" i="1" s="1"/>
  <c r="CP97" i="1"/>
  <c r="AV97" i="1"/>
  <c r="N97" i="1" s="1"/>
  <c r="FP96" i="1"/>
  <c r="EH95" i="1"/>
  <c r="DT109" i="1"/>
  <c r="CE109" i="1"/>
  <c r="CG95" i="1"/>
  <c r="BV109" i="1"/>
  <c r="AP95" i="1"/>
  <c r="AP197" i="1" s="1"/>
  <c r="R90" i="1"/>
  <c r="M87" i="3"/>
  <c r="FQ87" i="1"/>
  <c r="GH87" i="1"/>
  <c r="GU87" i="1"/>
  <c r="HD87" i="1"/>
  <c r="HS87" i="1"/>
  <c r="HW87" i="1"/>
  <c r="IE87" i="1"/>
  <c r="II87" i="1"/>
  <c r="IQ87" i="1"/>
  <c r="IU87" i="1"/>
  <c r="DC87" i="1"/>
  <c r="EB87" i="1"/>
  <c r="FR87" i="1"/>
  <c r="HE87" i="1"/>
  <c r="HO87" i="1"/>
  <c r="HT87" i="1"/>
  <c r="IB87" i="1"/>
  <c r="IF87" i="1"/>
  <c r="IN87" i="1"/>
  <c r="IR87" i="1"/>
  <c r="AU87" i="1"/>
  <c r="CA87" i="1"/>
  <c r="DD87" i="1"/>
  <c r="EC87" i="1"/>
  <c r="EX87" i="1"/>
  <c r="HK87" i="1"/>
  <c r="HP87" i="1"/>
  <c r="HY87" i="1"/>
  <c r="IC87" i="1"/>
  <c r="IK87" i="1"/>
  <c r="IO87" i="1"/>
  <c r="CB87" i="1"/>
  <c r="EY87" i="1"/>
  <c r="GG87" i="1"/>
  <c r="GI87" i="1" s="1"/>
  <c r="GT87" i="1"/>
  <c r="GV87" i="1" s="1"/>
  <c r="HL87" i="1"/>
  <c r="HV87" i="1"/>
  <c r="HX87" i="1" s="1"/>
  <c r="HZ87" i="1"/>
  <c r="IH87" i="1"/>
  <c r="IJ87" i="1" s="1"/>
  <c r="IL87" i="1"/>
  <c r="IT87" i="1"/>
  <c r="IV87" i="1" s="1"/>
  <c r="R86" i="1"/>
  <c r="M79" i="3"/>
  <c r="FQ79" i="1"/>
  <c r="GH79" i="1"/>
  <c r="GU79" i="1"/>
  <c r="HD79" i="1"/>
  <c r="HS79" i="1"/>
  <c r="HW79" i="1"/>
  <c r="IE79" i="1"/>
  <c r="II79" i="1"/>
  <c r="IQ79" i="1"/>
  <c r="IU79" i="1"/>
  <c r="DC79" i="1"/>
  <c r="EB79" i="1"/>
  <c r="FR79" i="1"/>
  <c r="HE79" i="1"/>
  <c r="HO79" i="1"/>
  <c r="HT79" i="1"/>
  <c r="IB79" i="1"/>
  <c r="IF79" i="1"/>
  <c r="IN79" i="1"/>
  <c r="IR79" i="1"/>
  <c r="AU79" i="1"/>
  <c r="CA79" i="1"/>
  <c r="DD79" i="1"/>
  <c r="EC79" i="1"/>
  <c r="EX79" i="1"/>
  <c r="HK79" i="1"/>
  <c r="HP79" i="1"/>
  <c r="HY79" i="1"/>
  <c r="IC79" i="1"/>
  <c r="IK79" i="1"/>
  <c r="IO79" i="1"/>
  <c r="CB79" i="1"/>
  <c r="EY79" i="1"/>
  <c r="GG79" i="1"/>
  <c r="GI79" i="1" s="1"/>
  <c r="GT79" i="1"/>
  <c r="GV79" i="1" s="1"/>
  <c r="HL79" i="1"/>
  <c r="HV79" i="1"/>
  <c r="HZ79" i="1"/>
  <c r="IH79" i="1"/>
  <c r="IJ79" i="1" s="1"/>
  <c r="IL79" i="1"/>
  <c r="IT79" i="1"/>
  <c r="R78" i="1"/>
  <c r="R180" i="1" s="1"/>
  <c r="AF62" i="1"/>
  <c r="AJ207" i="1"/>
  <c r="X207" i="1"/>
  <c r="AP205" i="1"/>
  <c r="AJ203" i="1"/>
  <c r="AM198" i="1"/>
  <c r="AP194" i="1"/>
  <c r="AP193" i="1"/>
  <c r="AD193" i="1"/>
  <c r="R192" i="1"/>
  <c r="AP190" i="1"/>
  <c r="AD190" i="1"/>
  <c r="R190" i="1"/>
  <c r="AP189" i="1"/>
  <c r="R188" i="1"/>
  <c r="AD186" i="1"/>
  <c r="R186" i="1"/>
  <c r="R185" i="1"/>
  <c r="AP182" i="1"/>
  <c r="AP181" i="1"/>
  <c r="AD181" i="1"/>
  <c r="R181" i="1"/>
  <c r="AP178" i="1"/>
  <c r="AD178" i="1"/>
  <c r="AP177" i="1"/>
  <c r="AD177" i="1"/>
  <c r="AP174" i="1"/>
  <c r="R174" i="1"/>
  <c r="AD173" i="1"/>
  <c r="AP172" i="1"/>
  <c r="R172" i="1"/>
  <c r="AP170" i="1"/>
  <c r="AD170" i="1"/>
  <c r="AP169" i="1"/>
  <c r="AD169" i="1"/>
  <c r="R169" i="1"/>
  <c r="AD166" i="1"/>
  <c r="R166" i="1"/>
  <c r="AP165" i="1"/>
  <c r="AD165" i="1"/>
  <c r="AP162" i="1"/>
  <c r="AD162" i="1"/>
  <c r="R162" i="1"/>
  <c r="AP161" i="1"/>
  <c r="AD161" i="1"/>
  <c r="R161" i="1"/>
  <c r="AP158" i="1"/>
  <c r="AD158" i="1"/>
  <c r="AP157" i="1"/>
  <c r="R157" i="1"/>
  <c r="AP153" i="1"/>
  <c r="R153" i="1"/>
  <c r="AD149" i="1"/>
  <c r="AP144" i="1"/>
  <c r="AD144" i="1"/>
  <c r="R144" i="1"/>
  <c r="AP141" i="1"/>
  <c r="R141" i="1"/>
  <c r="AP137" i="1"/>
  <c r="AD137" i="1"/>
  <c r="R137" i="1"/>
  <c r="AP129" i="1"/>
  <c r="R129" i="1"/>
  <c r="AD120" i="1"/>
  <c r="R120" i="1"/>
  <c r="AP112" i="1"/>
  <c r="AD112" i="1"/>
  <c r="DX109" i="1"/>
  <c r="BZ109" i="1"/>
  <c r="R109" i="1"/>
  <c r="AN6" i="1"/>
  <c r="AL6" i="1"/>
  <c r="AM14" i="1"/>
  <c r="AM116" i="1" s="1"/>
  <c r="AM30" i="1"/>
  <c r="AM34" i="1"/>
  <c r="AM136" i="1" s="1"/>
  <c r="AN35" i="1"/>
  <c r="AM38" i="1"/>
  <c r="AM140" i="1" s="1"/>
  <c r="AN39" i="1"/>
  <c r="AN43" i="1"/>
  <c r="AN14" i="1"/>
  <c r="AN30" i="1"/>
  <c r="AN34" i="1"/>
  <c r="AN38" i="1"/>
  <c r="AN42" i="1"/>
  <c r="AN46" i="1"/>
  <c r="AL7" i="1"/>
  <c r="AN7" i="1" s="1"/>
  <c r="AL11" i="1"/>
  <c r="AN11" i="1" s="1"/>
  <c r="AL15" i="1"/>
  <c r="AN15" i="1" s="1"/>
  <c r="AL19" i="1"/>
  <c r="AN19" i="1" s="1"/>
  <c r="AL23" i="1"/>
  <c r="AN23" i="1" s="1"/>
  <c r="AL27" i="1"/>
  <c r="AN27" i="1" s="1"/>
  <c r="AL31" i="1"/>
  <c r="AN31" i="1" s="1"/>
  <c r="AL35" i="1"/>
  <c r="AM6" i="1"/>
  <c r="AM7" i="1"/>
  <c r="AM109" i="1" s="1"/>
  <c r="AL42" i="1"/>
  <c r="AL46" i="1"/>
  <c r="AM47" i="1"/>
  <c r="AM149" i="1" s="1"/>
  <c r="AN48" i="1"/>
  <c r="AM51" i="1"/>
  <c r="AN52" i="1"/>
  <c r="AM55" i="1"/>
  <c r="AM157" i="1" s="1"/>
  <c r="AN56" i="1"/>
  <c r="AM59" i="1"/>
  <c r="AN60" i="1"/>
  <c r="AM63" i="1"/>
  <c r="AM165" i="1" s="1"/>
  <c r="AN64" i="1"/>
  <c r="AM67" i="1"/>
  <c r="AN68" i="1"/>
  <c r="AL14" i="1"/>
  <c r="AL18" i="1"/>
  <c r="AN18" i="1" s="1"/>
  <c r="AL22" i="1"/>
  <c r="AM22" i="1" s="1"/>
  <c r="AM124" i="1" s="1"/>
  <c r="AL26" i="1"/>
  <c r="AN26" i="1" s="1"/>
  <c r="AL30" i="1"/>
  <c r="AL34" i="1"/>
  <c r="AL39" i="1"/>
  <c r="AL43" i="1"/>
  <c r="AN47" i="1"/>
  <c r="AN51" i="1"/>
  <c r="AN55" i="1"/>
  <c r="AN59" i="1"/>
  <c r="AN63" i="1"/>
  <c r="AN67" i="1"/>
  <c r="AN71" i="1"/>
  <c r="AL10" i="1"/>
  <c r="AN10" i="1" s="1"/>
  <c r="AM36" i="1"/>
  <c r="AM39" i="1"/>
  <c r="AN41" i="1"/>
  <c r="AM43" i="1"/>
  <c r="AM145" i="1" s="1"/>
  <c r="AN45" i="1"/>
  <c r="AL48" i="1"/>
  <c r="AM49" i="1"/>
  <c r="AN50" i="1"/>
  <c r="AL52" i="1"/>
  <c r="AM53" i="1"/>
  <c r="AN54" i="1"/>
  <c r="AL56" i="1"/>
  <c r="AM57" i="1"/>
  <c r="AM159" i="1" s="1"/>
  <c r="AN58" i="1"/>
  <c r="AL60" i="1"/>
  <c r="AM61" i="1"/>
  <c r="AM11" i="1"/>
  <c r="AM113" i="1" s="1"/>
  <c r="AM15" i="1"/>
  <c r="AM19" i="1"/>
  <c r="AM23" i="1"/>
  <c r="AM125" i="1" s="1"/>
  <c r="AM27" i="1"/>
  <c r="AM129" i="1" s="1"/>
  <c r="AM31" i="1"/>
  <c r="AM133" i="1" s="1"/>
  <c r="AM35" i="1"/>
  <c r="AN36" i="1"/>
  <c r="AL38" i="1"/>
  <c r="AM40" i="1"/>
  <c r="AL47" i="1"/>
  <c r="AN49" i="1"/>
  <c r="AL51" i="1"/>
  <c r="AN53" i="1"/>
  <c r="AL55" i="1"/>
  <c r="AN57" i="1"/>
  <c r="AL59" i="1"/>
  <c r="AN61" i="1"/>
  <c r="AL63" i="1"/>
  <c r="AN65" i="1"/>
  <c r="AL67" i="1"/>
  <c r="AN69" i="1"/>
  <c r="AL64" i="1"/>
  <c r="AN74" i="1"/>
  <c r="AL76" i="1"/>
  <c r="AN78" i="1"/>
  <c r="AL80" i="1"/>
  <c r="AN82" i="1"/>
  <c r="AL84" i="1"/>
  <c r="AN86" i="1"/>
  <c r="AL88" i="1"/>
  <c r="AN90" i="1"/>
  <c r="AL92" i="1"/>
  <c r="AN94" i="1"/>
  <c r="AL96" i="1"/>
  <c r="AN98" i="1"/>
  <c r="AL100" i="1"/>
  <c r="AN66" i="1"/>
  <c r="AL71" i="1"/>
  <c r="AL72" i="1"/>
  <c r="AN73" i="1"/>
  <c r="AL75" i="1"/>
  <c r="AM76" i="1"/>
  <c r="AM178" i="1" s="1"/>
  <c r="AN77" i="1"/>
  <c r="AL79" i="1"/>
  <c r="AM80" i="1"/>
  <c r="AN81" i="1"/>
  <c r="AL83" i="1"/>
  <c r="AM84" i="1"/>
  <c r="AM186" i="1" s="1"/>
  <c r="AN85" i="1"/>
  <c r="AL87" i="1"/>
  <c r="AM88" i="1"/>
  <c r="AN89" i="1"/>
  <c r="AL91" i="1"/>
  <c r="AM92" i="1"/>
  <c r="AN93" i="1"/>
  <c r="AM65" i="1"/>
  <c r="AM167" i="1" s="1"/>
  <c r="AL68" i="1"/>
  <c r="AM69" i="1"/>
  <c r="AM171" i="1" s="1"/>
  <c r="AL70" i="1"/>
  <c r="AM71" i="1"/>
  <c r="AM173" i="1" s="1"/>
  <c r="AM72" i="1"/>
  <c r="AN76" i="1"/>
  <c r="AN80" i="1"/>
  <c r="AN84" i="1"/>
  <c r="AN88" i="1"/>
  <c r="AN92" i="1"/>
  <c r="AN96" i="1"/>
  <c r="AN100" i="1"/>
  <c r="AN104" i="1"/>
  <c r="AN70" i="1"/>
  <c r="AN72" i="1"/>
  <c r="AM74" i="1"/>
  <c r="AM176" i="1" s="1"/>
  <c r="AN75" i="1"/>
  <c r="AM78" i="1"/>
  <c r="AM180" i="1" s="1"/>
  <c r="AN79" i="1"/>
  <c r="AM82" i="1"/>
  <c r="AM184" i="1" s="1"/>
  <c r="AN83" i="1"/>
  <c r="AM86" i="1"/>
  <c r="AM188" i="1" s="1"/>
  <c r="AN87" i="1"/>
  <c r="AN91" i="1"/>
  <c r="AN95" i="1"/>
  <c r="AN99" i="1"/>
  <c r="AN103" i="1"/>
  <c r="AB6" i="1"/>
  <c r="Z6" i="1"/>
  <c r="AA6" i="1"/>
  <c r="AA108" i="1" s="1"/>
  <c r="AB11" i="1"/>
  <c r="AA26" i="1"/>
  <c r="AA34" i="1"/>
  <c r="AB35" i="1"/>
  <c r="AA38" i="1"/>
  <c r="AA140" i="1" s="1"/>
  <c r="AB39" i="1"/>
  <c r="AB43" i="1"/>
  <c r="AB22" i="1"/>
  <c r="AB34" i="1"/>
  <c r="AB38" i="1"/>
  <c r="AB42" i="1"/>
  <c r="AB46" i="1"/>
  <c r="Z7" i="1"/>
  <c r="AB7" i="1" s="1"/>
  <c r="Z11" i="1"/>
  <c r="Z15" i="1"/>
  <c r="AB15" i="1" s="1"/>
  <c r="Z19" i="1"/>
  <c r="AB19" i="1" s="1"/>
  <c r="Z23" i="1"/>
  <c r="AB23" i="1" s="1"/>
  <c r="Z27" i="1"/>
  <c r="AB27" i="1" s="1"/>
  <c r="Z31" i="1"/>
  <c r="AB31" i="1" s="1"/>
  <c r="Z35" i="1"/>
  <c r="AA11" i="1"/>
  <c r="AA113" i="1" s="1"/>
  <c r="AA15" i="1"/>
  <c r="AA19" i="1"/>
  <c r="AA23" i="1"/>
  <c r="AA125" i="1" s="1"/>
  <c r="AA27" i="1"/>
  <c r="AA129" i="1" s="1"/>
  <c r="AA31" i="1"/>
  <c r="AA133" i="1" s="1"/>
  <c r="AA35" i="1"/>
  <c r="AA137" i="1" s="1"/>
  <c r="AA36" i="1"/>
  <c r="AA39" i="1"/>
  <c r="AA141" i="1" s="1"/>
  <c r="AB41" i="1"/>
  <c r="AA43" i="1"/>
  <c r="AA145" i="1" s="1"/>
  <c r="AB45" i="1"/>
  <c r="AA47" i="1"/>
  <c r="AB48" i="1"/>
  <c r="AA51" i="1"/>
  <c r="AA153" i="1" s="1"/>
  <c r="AB52" i="1"/>
  <c r="AA55" i="1"/>
  <c r="AB56" i="1"/>
  <c r="AA59" i="1"/>
  <c r="AA161" i="1" s="1"/>
  <c r="AB60" i="1"/>
  <c r="AA63" i="1"/>
  <c r="AB64" i="1"/>
  <c r="AA67" i="1"/>
  <c r="AA169" i="1" s="1"/>
  <c r="AB68" i="1"/>
  <c r="AA7" i="1"/>
  <c r="AA109" i="1" s="1"/>
  <c r="AB36" i="1"/>
  <c r="Z38" i="1"/>
  <c r="AB47" i="1"/>
  <c r="AB51" i="1"/>
  <c r="AB55" i="1"/>
  <c r="AB59" i="1"/>
  <c r="AB63" i="1"/>
  <c r="AB67" i="1"/>
  <c r="AB71" i="1"/>
  <c r="Z14" i="1"/>
  <c r="AB14" i="1" s="1"/>
  <c r="Z18" i="1"/>
  <c r="AB18" i="1" s="1"/>
  <c r="Z22" i="1"/>
  <c r="AA22" i="1" s="1"/>
  <c r="AA124" i="1" s="1"/>
  <c r="Z26" i="1"/>
  <c r="AB26" i="1" s="1"/>
  <c r="Z30" i="1"/>
  <c r="AA30" i="1" s="1"/>
  <c r="AA132" i="1" s="1"/>
  <c r="Z34" i="1"/>
  <c r="AB40" i="1"/>
  <c r="Z42" i="1"/>
  <c r="AB44" i="1"/>
  <c r="Z46" i="1"/>
  <c r="Z48" i="1"/>
  <c r="AA49" i="1"/>
  <c r="AA151" i="1" s="1"/>
  <c r="AB50" i="1"/>
  <c r="Z52" i="1"/>
  <c r="AA53" i="1"/>
  <c r="AB54" i="1"/>
  <c r="Z56" i="1"/>
  <c r="AA57" i="1"/>
  <c r="AB58" i="1"/>
  <c r="Z60" i="1"/>
  <c r="AA61" i="1"/>
  <c r="Z10" i="1"/>
  <c r="AB10" i="1" s="1"/>
  <c r="AB37" i="1"/>
  <c r="Z39" i="1"/>
  <c r="Z43" i="1"/>
  <c r="Z47" i="1"/>
  <c r="AB49" i="1"/>
  <c r="Z51" i="1"/>
  <c r="AB53" i="1"/>
  <c r="Z55" i="1"/>
  <c r="AB57" i="1"/>
  <c r="Z59" i="1"/>
  <c r="AB61" i="1"/>
  <c r="Z63" i="1"/>
  <c r="AB65" i="1"/>
  <c r="Z67" i="1"/>
  <c r="AB69" i="1"/>
  <c r="AB62" i="1"/>
  <c r="AA69" i="1"/>
  <c r="Z71" i="1"/>
  <c r="Z72" i="1"/>
  <c r="AB74" i="1"/>
  <c r="Z76" i="1"/>
  <c r="AB78" i="1"/>
  <c r="Z80" i="1"/>
  <c r="AB82" i="1"/>
  <c r="Z84" i="1"/>
  <c r="AB86" i="1"/>
  <c r="Z88" i="1"/>
  <c r="AB90" i="1"/>
  <c r="Z92" i="1"/>
  <c r="AB94" i="1"/>
  <c r="Z96" i="1"/>
  <c r="AB98" i="1"/>
  <c r="Z100" i="1"/>
  <c r="Z64" i="1"/>
  <c r="Z70" i="1"/>
  <c r="AA71" i="1"/>
  <c r="AA173" i="1" s="1"/>
  <c r="AA72" i="1"/>
  <c r="AB73" i="1"/>
  <c r="Z75" i="1"/>
  <c r="AA76" i="1"/>
  <c r="AA178" i="1" s="1"/>
  <c r="AB77" i="1"/>
  <c r="Z79" i="1"/>
  <c r="AA80" i="1"/>
  <c r="AB81" i="1"/>
  <c r="Z83" i="1"/>
  <c r="AA84" i="1"/>
  <c r="AA186" i="1" s="1"/>
  <c r="AB85" i="1"/>
  <c r="Z87" i="1"/>
  <c r="AA88" i="1"/>
  <c r="AB89" i="1"/>
  <c r="Z91" i="1"/>
  <c r="AA92" i="1"/>
  <c r="AA194" i="1" s="1"/>
  <c r="AB93" i="1"/>
  <c r="AB66" i="1"/>
  <c r="AB70" i="1"/>
  <c r="AB72" i="1"/>
  <c r="AB76" i="1"/>
  <c r="AB80" i="1"/>
  <c r="AB84" i="1"/>
  <c r="AB88" i="1"/>
  <c r="AB92" i="1"/>
  <c r="AB96" i="1"/>
  <c r="AB100" i="1"/>
  <c r="AB104" i="1"/>
  <c r="Z106" i="1"/>
  <c r="AA65" i="1"/>
  <c r="AA167" i="1" s="1"/>
  <c r="Z68" i="1"/>
  <c r="AA74" i="1"/>
  <c r="AA176" i="1" s="1"/>
  <c r="AB75" i="1"/>
  <c r="AA78" i="1"/>
  <c r="AB79" i="1"/>
  <c r="AA82" i="1"/>
  <c r="AB83" i="1"/>
  <c r="AA86" i="1"/>
  <c r="AB87" i="1"/>
  <c r="AB91" i="1"/>
  <c r="AB95" i="1"/>
  <c r="AB99" i="1"/>
  <c r="AB103" i="1"/>
  <c r="AM108" i="1"/>
  <c r="AE106" i="1"/>
  <c r="GZ105" i="1"/>
  <c r="FZ105" i="1"/>
  <c r="EN105" i="1"/>
  <c r="CP105" i="1"/>
  <c r="AP105" i="1"/>
  <c r="AP207" i="1" s="1"/>
  <c r="AE105" i="1"/>
  <c r="Z105" i="1"/>
  <c r="T105" i="1"/>
  <c r="FP104" i="1"/>
  <c r="CG104" i="1"/>
  <c r="AP104" i="1"/>
  <c r="AP206" i="1" s="1"/>
  <c r="AA104" i="1"/>
  <c r="AA206" i="1" s="1"/>
  <c r="V104" i="1"/>
  <c r="DI103" i="1"/>
  <c r="AO103" i="1"/>
  <c r="AG103" i="1"/>
  <c r="AG205" i="1" s="1"/>
  <c r="Q103" i="1"/>
  <c r="GV102" i="1"/>
  <c r="FW102" i="1"/>
  <c r="EK102" i="1"/>
  <c r="DX102" i="1"/>
  <c r="CM102" i="1"/>
  <c r="AS102" i="1"/>
  <c r="AS204" i="1" s="1"/>
  <c r="AC102" i="1"/>
  <c r="U102" i="1"/>
  <c r="U204" i="1" s="1"/>
  <c r="M102" i="3"/>
  <c r="DC102" i="1"/>
  <c r="EB102" i="1"/>
  <c r="FR102" i="1"/>
  <c r="HE102" i="1"/>
  <c r="HF102" i="1" s="1"/>
  <c r="HO102" i="1"/>
  <c r="HT102" i="1"/>
  <c r="IB102" i="1"/>
  <c r="IF102" i="1"/>
  <c r="IG102" i="1" s="1"/>
  <c r="IN102" i="1"/>
  <c r="IR102" i="1"/>
  <c r="AU102" i="1"/>
  <c r="CA102" i="1"/>
  <c r="CC102" i="1" s="1"/>
  <c r="DD102" i="1"/>
  <c r="EC102" i="1"/>
  <c r="EX102" i="1"/>
  <c r="EZ102" i="1" s="1"/>
  <c r="HK102" i="1"/>
  <c r="HM102" i="1" s="1"/>
  <c r="HP102" i="1"/>
  <c r="HY102" i="1"/>
  <c r="IA102" i="1" s="1"/>
  <c r="IC102" i="1"/>
  <c r="IK102" i="1"/>
  <c r="IM102" i="1" s="1"/>
  <c r="IO102" i="1"/>
  <c r="GM101" i="1"/>
  <c r="DO101" i="1"/>
  <c r="AY101" i="1"/>
  <c r="H102" i="5" s="1"/>
  <c r="AQ101" i="1"/>
  <c r="AI101" i="1"/>
  <c r="AA101" i="1"/>
  <c r="AA203" i="1" s="1"/>
  <c r="S101" i="1"/>
  <c r="GP100" i="1"/>
  <c r="CG100" i="1"/>
  <c r="S100" i="1"/>
  <c r="IS99" i="1"/>
  <c r="HF99" i="1"/>
  <c r="FS99" i="1"/>
  <c r="DU99" i="1"/>
  <c r="BW99" i="1"/>
  <c r="AL99" i="1"/>
  <c r="V99" i="1"/>
  <c r="S99" i="1"/>
  <c r="DX98" i="1"/>
  <c r="U98" i="1"/>
  <c r="U200" i="1" s="1"/>
  <c r="AR97" i="1"/>
  <c r="AB97" i="1"/>
  <c r="S97" i="1"/>
  <c r="W97" i="1"/>
  <c r="AA97" i="1"/>
  <c r="AA199" i="1" s="1"/>
  <c r="AE97" i="1"/>
  <c r="AI97" i="1"/>
  <c r="AM97" i="1"/>
  <c r="AM199" i="1" s="1"/>
  <c r="AQ97" i="1"/>
  <c r="AY97" i="1"/>
  <c r="H98" i="5" s="1"/>
  <c r="M97" i="1"/>
  <c r="Q97" i="1"/>
  <c r="U97" i="1"/>
  <c r="U199" i="1" s="1"/>
  <c r="Y97" i="1"/>
  <c r="AC97" i="1"/>
  <c r="AG97" i="1"/>
  <c r="AG199" i="1" s="1"/>
  <c r="AK97" i="1"/>
  <c r="AO97" i="1"/>
  <c r="AS97" i="1"/>
  <c r="AW97" i="1"/>
  <c r="O97" i="1" s="1"/>
  <c r="R97" i="1"/>
  <c r="R199" i="1" s="1"/>
  <c r="V97" i="1"/>
  <c r="Z97" i="1"/>
  <c r="AD97" i="1"/>
  <c r="AD199" i="1" s="1"/>
  <c r="AH97" i="1"/>
  <c r="AL97" i="1"/>
  <c r="AP97" i="1"/>
  <c r="AP199" i="1" s="1"/>
  <c r="AT97" i="1"/>
  <c r="AX97" i="1"/>
  <c r="G98" i="5" s="1"/>
  <c r="S96" i="1"/>
  <c r="CI109" i="1"/>
  <c r="BF109" i="1"/>
  <c r="BH95" i="1"/>
  <c r="AL95" i="1"/>
  <c r="V95" i="1"/>
  <c r="S95" i="1"/>
  <c r="S93" i="1"/>
  <c r="S81" i="1"/>
  <c r="M73" i="3"/>
  <c r="AU73" i="1"/>
  <c r="CA73" i="1"/>
  <c r="DD73" i="1"/>
  <c r="EC73" i="1"/>
  <c r="EX73" i="1"/>
  <c r="HK73" i="1"/>
  <c r="HP73" i="1"/>
  <c r="HY73" i="1"/>
  <c r="IC73" i="1"/>
  <c r="IK73" i="1"/>
  <c r="IO73" i="1"/>
  <c r="CB73" i="1"/>
  <c r="EY73" i="1"/>
  <c r="GG73" i="1"/>
  <c r="GT73" i="1"/>
  <c r="HL73" i="1"/>
  <c r="HV73" i="1"/>
  <c r="HZ73" i="1"/>
  <c r="IH73" i="1"/>
  <c r="IL73" i="1"/>
  <c r="IT73" i="1"/>
  <c r="FQ73" i="1"/>
  <c r="GH73" i="1"/>
  <c r="GU73" i="1"/>
  <c r="HD73" i="1"/>
  <c r="HS73" i="1"/>
  <c r="HW73" i="1"/>
  <c r="IE73" i="1"/>
  <c r="II73" i="1"/>
  <c r="IQ73" i="1"/>
  <c r="IU73" i="1"/>
  <c r="DC73" i="1"/>
  <c r="DE73" i="1" s="1"/>
  <c r="EB73" i="1"/>
  <c r="ED73" i="1" s="1"/>
  <c r="FR73" i="1"/>
  <c r="HE73" i="1"/>
  <c r="HO73" i="1"/>
  <c r="HQ73" i="1" s="1"/>
  <c r="HT73" i="1"/>
  <c r="IB73" i="1"/>
  <c r="ID73" i="1" s="1"/>
  <c r="IF73" i="1"/>
  <c r="IN73" i="1"/>
  <c r="IP73" i="1" s="1"/>
  <c r="IR73" i="1"/>
  <c r="AS203" i="1"/>
  <c r="AG203" i="1"/>
  <c r="U203" i="1"/>
  <c r="AS199" i="1"/>
  <c r="AM194" i="1"/>
  <c r="AM190" i="1"/>
  <c r="AA190" i="1"/>
  <c r="AA188" i="1"/>
  <c r="AA184" i="1"/>
  <c r="AM182" i="1"/>
  <c r="AA182" i="1"/>
  <c r="AA180" i="1"/>
  <c r="AM174" i="1"/>
  <c r="AA174" i="1"/>
  <c r="AA171" i="1"/>
  <c r="AM169" i="1"/>
  <c r="AA165" i="1"/>
  <c r="AM163" i="1"/>
  <c r="AA163" i="1"/>
  <c r="AM161" i="1"/>
  <c r="AA159" i="1"/>
  <c r="AA157" i="1"/>
  <c r="AM155" i="1"/>
  <c r="AA155" i="1"/>
  <c r="AM153" i="1"/>
  <c r="AM151" i="1"/>
  <c r="AA149" i="1"/>
  <c r="AM142" i="1"/>
  <c r="AM141" i="1"/>
  <c r="AM138" i="1"/>
  <c r="AA138" i="1"/>
  <c r="AM137" i="1"/>
  <c r="AP136" i="1"/>
  <c r="AD136" i="1"/>
  <c r="R136" i="1"/>
  <c r="AD132" i="1"/>
  <c r="AP128" i="1"/>
  <c r="R128" i="1"/>
  <c r="AD124" i="1"/>
  <c r="AP121" i="1"/>
  <c r="AD117" i="1"/>
  <c r="AD116" i="1"/>
  <c r="DL109" i="1"/>
  <c r="BN109" i="1"/>
  <c r="AD109" i="1"/>
  <c r="R108" i="1"/>
  <c r="AC106" i="1"/>
  <c r="DB105" i="1"/>
  <c r="BE105" i="1"/>
  <c r="AT105" i="1"/>
  <c r="AN105" i="1"/>
  <c r="AD105" i="1"/>
  <c r="AD207" i="1" s="1"/>
  <c r="S105" i="1"/>
  <c r="HC104" i="1"/>
  <c r="GC104" i="1"/>
  <c r="EQ104" i="1"/>
  <c r="BT104" i="1"/>
  <c r="AM104" i="1"/>
  <c r="AM206" i="1" s="1"/>
  <c r="AH104" i="1"/>
  <c r="Z104" i="1"/>
  <c r="S104" i="1"/>
  <c r="EH103" i="1"/>
  <c r="CV103" i="1"/>
  <c r="BK103" i="1"/>
  <c r="AT103" i="1"/>
  <c r="AL103" i="1"/>
  <c r="AD103" i="1"/>
  <c r="AD205" i="1" s="1"/>
  <c r="V103" i="1"/>
  <c r="IV102" i="1"/>
  <c r="HX102" i="1"/>
  <c r="FS102" i="1"/>
  <c r="FJ102" i="1"/>
  <c r="BZ102" i="1"/>
  <c r="BB102" i="1"/>
  <c r="AB102" i="1"/>
  <c r="R102" i="1"/>
  <c r="R204" i="1" s="1"/>
  <c r="V102" i="1"/>
  <c r="Z102" i="1"/>
  <c r="AD102" i="1"/>
  <c r="AD204" i="1" s="1"/>
  <c r="AH102" i="1"/>
  <c r="AL102" i="1"/>
  <c r="AP102" i="1"/>
  <c r="AP204" i="1" s="1"/>
  <c r="AT102" i="1"/>
  <c r="AX102" i="1"/>
  <c r="G103" i="5" s="1"/>
  <c r="S102" i="1"/>
  <c r="W102" i="1"/>
  <c r="AA102" i="1"/>
  <c r="AA204" i="1" s="1"/>
  <c r="AE102" i="1"/>
  <c r="AI102" i="1"/>
  <c r="AM102" i="1"/>
  <c r="AM204" i="1" s="1"/>
  <c r="AQ102" i="1"/>
  <c r="AY102" i="1"/>
  <c r="H103" i="5" s="1"/>
  <c r="FZ101" i="1"/>
  <c r="FM101" i="1"/>
  <c r="EN101" i="1"/>
  <c r="DB101" i="1"/>
  <c r="BE101" i="1"/>
  <c r="AV101" i="1"/>
  <c r="N101" i="1" s="1"/>
  <c r="AN101" i="1"/>
  <c r="AF101" i="1"/>
  <c r="X101" i="1"/>
  <c r="X203" i="1" s="1"/>
  <c r="GC100" i="1"/>
  <c r="FD100" i="1"/>
  <c r="BT100" i="1"/>
  <c r="AE100" i="1"/>
  <c r="IG99" i="1"/>
  <c r="GS99" i="1"/>
  <c r="ET99" i="1"/>
  <c r="CJ99" i="1"/>
  <c r="AH99" i="1"/>
  <c r="R99" i="1"/>
  <c r="R201" i="1" s="1"/>
  <c r="EK98" i="1"/>
  <c r="CY98" i="1"/>
  <c r="BN98" i="1"/>
  <c r="AG98" i="1"/>
  <c r="AG200" i="1" s="1"/>
  <c r="Q98" i="1"/>
  <c r="FZ97" i="1"/>
  <c r="DO97" i="1"/>
  <c r="DB97" i="1"/>
  <c r="AN97" i="1"/>
  <c r="X97" i="1"/>
  <c r="X199" i="1" s="1"/>
  <c r="ID96" i="1"/>
  <c r="HC96" i="1"/>
  <c r="GP96" i="1"/>
  <c r="GC96" i="1"/>
  <c r="FD96" i="1"/>
  <c r="BT96" i="1"/>
  <c r="AE96" i="1"/>
  <c r="IG95" i="1"/>
  <c r="GS95" i="1"/>
  <c r="ET95" i="1"/>
  <c r="DH109" i="1"/>
  <c r="DI109" i="1" s="1"/>
  <c r="CQ109" i="1"/>
  <c r="CS95" i="1"/>
  <c r="CJ95" i="1"/>
  <c r="BJ109" i="1"/>
  <c r="R95" i="1"/>
  <c r="R197" i="1" s="1"/>
  <c r="S91" i="1"/>
  <c r="S89" i="1"/>
  <c r="M83" i="3"/>
  <c r="FQ83" i="1"/>
  <c r="GH83" i="1"/>
  <c r="GU83" i="1"/>
  <c r="HD83" i="1"/>
  <c r="HF83" i="1" s="1"/>
  <c r="HS83" i="1"/>
  <c r="HW83" i="1"/>
  <c r="IE83" i="1"/>
  <c r="II83" i="1"/>
  <c r="IQ83" i="1"/>
  <c r="IU83" i="1"/>
  <c r="DC83" i="1"/>
  <c r="EB83" i="1"/>
  <c r="FR83" i="1"/>
  <c r="HE83" i="1"/>
  <c r="HO83" i="1"/>
  <c r="HT83" i="1"/>
  <c r="IB83" i="1"/>
  <c r="IF83" i="1"/>
  <c r="IN83" i="1"/>
  <c r="IR83" i="1"/>
  <c r="AU83" i="1"/>
  <c r="CA83" i="1"/>
  <c r="DD83" i="1"/>
  <c r="EC83" i="1"/>
  <c r="EX83" i="1"/>
  <c r="HK83" i="1"/>
  <c r="HP83" i="1"/>
  <c r="HY83" i="1"/>
  <c r="IA83" i="1" s="1"/>
  <c r="IC83" i="1"/>
  <c r="IK83" i="1"/>
  <c r="IO83" i="1"/>
  <c r="CB83" i="1"/>
  <c r="EY83" i="1"/>
  <c r="GG83" i="1"/>
  <c r="GI83" i="1" s="1"/>
  <c r="GT83" i="1"/>
  <c r="GV83" i="1" s="1"/>
  <c r="HL83" i="1"/>
  <c r="HV83" i="1"/>
  <c r="HX83" i="1" s="1"/>
  <c r="HZ83" i="1"/>
  <c r="IH83" i="1"/>
  <c r="IJ83" i="1" s="1"/>
  <c r="IL83" i="1"/>
  <c r="IT83" i="1"/>
  <c r="IV83" i="1" s="1"/>
  <c r="R82" i="1"/>
  <c r="R184" i="1" s="1"/>
  <c r="M75" i="3"/>
  <c r="FQ75" i="1"/>
  <c r="GH75" i="1"/>
  <c r="GU75" i="1"/>
  <c r="HD75" i="1"/>
  <c r="HF75" i="1" s="1"/>
  <c r="HS75" i="1"/>
  <c r="HW75" i="1"/>
  <c r="IE75" i="1"/>
  <c r="II75" i="1"/>
  <c r="IQ75" i="1"/>
  <c r="IU75" i="1"/>
  <c r="DC75" i="1"/>
  <c r="EB75" i="1"/>
  <c r="FR75" i="1"/>
  <c r="HE75" i="1"/>
  <c r="HO75" i="1"/>
  <c r="HT75" i="1"/>
  <c r="IB75" i="1"/>
  <c r="IF75" i="1"/>
  <c r="IN75" i="1"/>
  <c r="IR75" i="1"/>
  <c r="AU75" i="1"/>
  <c r="CA75" i="1"/>
  <c r="DD75" i="1"/>
  <c r="EC75" i="1"/>
  <c r="EX75" i="1"/>
  <c r="HK75" i="1"/>
  <c r="HP75" i="1"/>
  <c r="HY75" i="1"/>
  <c r="IA75" i="1" s="1"/>
  <c r="IC75" i="1"/>
  <c r="IK75" i="1"/>
  <c r="IO75" i="1"/>
  <c r="CB75" i="1"/>
  <c r="EY75" i="1"/>
  <c r="GG75" i="1"/>
  <c r="GI75" i="1" s="1"/>
  <c r="GT75" i="1"/>
  <c r="GV75" i="1" s="1"/>
  <c r="HL75" i="1"/>
  <c r="HV75" i="1"/>
  <c r="HX75" i="1" s="1"/>
  <c r="HZ75" i="1"/>
  <c r="IH75" i="1"/>
  <c r="IL75" i="1"/>
  <c r="IT75" i="1"/>
  <c r="IV75" i="1" s="1"/>
  <c r="R74" i="1"/>
  <c r="R176" i="1" s="1"/>
  <c r="AP154" i="1"/>
  <c r="AD154" i="1"/>
  <c r="R154" i="1"/>
  <c r="AD150" i="1"/>
  <c r="R150" i="1"/>
  <c r="AP148" i="1"/>
  <c r="AP145" i="1"/>
  <c r="AP140" i="1"/>
  <c r="AD140" i="1"/>
  <c r="R140" i="1"/>
  <c r="AA136" i="1"/>
  <c r="AP133" i="1"/>
  <c r="AD133" i="1"/>
  <c r="AM132" i="1"/>
  <c r="AA128" i="1"/>
  <c r="AP125" i="1"/>
  <c r="AD125" i="1"/>
  <c r="R125" i="1"/>
  <c r="AM121" i="1"/>
  <c r="AA121" i="1"/>
  <c r="AM117" i="1"/>
  <c r="AA117" i="1"/>
  <c r="AP113" i="1"/>
  <c r="R113" i="1"/>
  <c r="CY109" i="1"/>
  <c r="BB109" i="1"/>
  <c r="AR6" i="1"/>
  <c r="AS6" i="1" s="1"/>
  <c r="AS108" i="1" s="1"/>
  <c r="AR7" i="1"/>
  <c r="AT7" i="1" s="1"/>
  <c r="AR11" i="1"/>
  <c r="AR15" i="1"/>
  <c r="AT15" i="1" s="1"/>
  <c r="AR19" i="1"/>
  <c r="AR23" i="1"/>
  <c r="AT23" i="1" s="1"/>
  <c r="AR27" i="1"/>
  <c r="AR31" i="1"/>
  <c r="AT31" i="1" s="1"/>
  <c r="AR35" i="1"/>
  <c r="AR39" i="1"/>
  <c r="AR43" i="1"/>
  <c r="AR10" i="1"/>
  <c r="AS10" i="1" s="1"/>
  <c r="AS112" i="1" s="1"/>
  <c r="AS11" i="1"/>
  <c r="AS113" i="1" s="1"/>
  <c r="AR14" i="1"/>
  <c r="AS15" i="1"/>
  <c r="AS117" i="1" s="1"/>
  <c r="AR18" i="1"/>
  <c r="AS19" i="1"/>
  <c r="AS121" i="1" s="1"/>
  <c r="AR22" i="1"/>
  <c r="AR26" i="1"/>
  <c r="AS26" i="1" s="1"/>
  <c r="AS128" i="1" s="1"/>
  <c r="AS27" i="1"/>
  <c r="AS129" i="1" s="1"/>
  <c r="AR30" i="1"/>
  <c r="AS31" i="1"/>
  <c r="AS133" i="1" s="1"/>
  <c r="AR34" i="1"/>
  <c r="AS35" i="1"/>
  <c r="AS137" i="1" s="1"/>
  <c r="AR38" i="1"/>
  <c r="AS39" i="1"/>
  <c r="AS141" i="1" s="1"/>
  <c r="AR42" i="1"/>
  <c r="AS43" i="1"/>
  <c r="AS145" i="1" s="1"/>
  <c r="AR46" i="1"/>
  <c r="AT6" i="1"/>
  <c r="AR9" i="1"/>
  <c r="AS9" i="1" s="1"/>
  <c r="AS111" i="1" s="1"/>
  <c r="AT11" i="1"/>
  <c r="AR13" i="1"/>
  <c r="AS14" i="1"/>
  <c r="AS116" i="1" s="1"/>
  <c r="AR17" i="1"/>
  <c r="AS18" i="1"/>
  <c r="AS120" i="1" s="1"/>
  <c r="AT19" i="1"/>
  <c r="AR21" i="1"/>
  <c r="AS22" i="1"/>
  <c r="AS124" i="1" s="1"/>
  <c r="AR25" i="1"/>
  <c r="AS25" i="1" s="1"/>
  <c r="AS127" i="1" s="1"/>
  <c r="AT27" i="1"/>
  <c r="AR29" i="1"/>
  <c r="AS30" i="1"/>
  <c r="AS132" i="1" s="1"/>
  <c r="AR33" i="1"/>
  <c r="AS34" i="1"/>
  <c r="AS136" i="1" s="1"/>
  <c r="AT35" i="1"/>
  <c r="AT10" i="1"/>
  <c r="AR41" i="1"/>
  <c r="AT42" i="1"/>
  <c r="AR45" i="1"/>
  <c r="AT46" i="1"/>
  <c r="AR48" i="1"/>
  <c r="AS49" i="1"/>
  <c r="AS151" i="1" s="1"/>
  <c r="AR52" i="1"/>
  <c r="AS53" i="1"/>
  <c r="AS155" i="1" s="1"/>
  <c r="AR56" i="1"/>
  <c r="AS57" i="1"/>
  <c r="AS159" i="1" s="1"/>
  <c r="AR60" i="1"/>
  <c r="AS61" i="1"/>
  <c r="AS163" i="1" s="1"/>
  <c r="AR64" i="1"/>
  <c r="AS65" i="1"/>
  <c r="AS167" i="1" s="1"/>
  <c r="AR68" i="1"/>
  <c r="AR12" i="1"/>
  <c r="AR16" i="1"/>
  <c r="AR20" i="1"/>
  <c r="AR24" i="1"/>
  <c r="AR28" i="1"/>
  <c r="AR32" i="1"/>
  <c r="AR36" i="1"/>
  <c r="AT39" i="1"/>
  <c r="AT43" i="1"/>
  <c r="AR47" i="1"/>
  <c r="AR51" i="1"/>
  <c r="AR55" i="1"/>
  <c r="AR59" i="1"/>
  <c r="AR63" i="1"/>
  <c r="AR67" i="1"/>
  <c r="AR71" i="1"/>
  <c r="AR8" i="1"/>
  <c r="AS38" i="1"/>
  <c r="AS140" i="1" s="1"/>
  <c r="AR40" i="1"/>
  <c r="AR44" i="1"/>
  <c r="AS47" i="1"/>
  <c r="AS149" i="1" s="1"/>
  <c r="AT48" i="1"/>
  <c r="AR50" i="1"/>
  <c r="AS51" i="1"/>
  <c r="AS153" i="1" s="1"/>
  <c r="AT52" i="1"/>
  <c r="AR54" i="1"/>
  <c r="AS55" i="1"/>
  <c r="AS157" i="1" s="1"/>
  <c r="AT56" i="1"/>
  <c r="AR58" i="1"/>
  <c r="AS59" i="1"/>
  <c r="AS161" i="1" s="1"/>
  <c r="AT60" i="1"/>
  <c r="AS13" i="1"/>
  <c r="AS115" i="1" s="1"/>
  <c r="AT14" i="1"/>
  <c r="AS17" i="1"/>
  <c r="AS119" i="1" s="1"/>
  <c r="AT18" i="1"/>
  <c r="AS21" i="1"/>
  <c r="AS123" i="1" s="1"/>
  <c r="AT22" i="1"/>
  <c r="AT26" i="1"/>
  <c r="AS29" i="1"/>
  <c r="AS131" i="1" s="1"/>
  <c r="AT30" i="1"/>
  <c r="AS33" i="1"/>
  <c r="AS135" i="1" s="1"/>
  <c r="AT34" i="1"/>
  <c r="AR37" i="1"/>
  <c r="AT38" i="1"/>
  <c r="AS42" i="1"/>
  <c r="AS144" i="1" s="1"/>
  <c r="AS46" i="1"/>
  <c r="AS148" i="1" s="1"/>
  <c r="AT47" i="1"/>
  <c r="AR49" i="1"/>
  <c r="AT51" i="1"/>
  <c r="AR53" i="1"/>
  <c r="AT55" i="1"/>
  <c r="AR57" i="1"/>
  <c r="AT59" i="1"/>
  <c r="AR61" i="1"/>
  <c r="AT63" i="1"/>
  <c r="AR65" i="1"/>
  <c r="AT67" i="1"/>
  <c r="AR69" i="1"/>
  <c r="AR62" i="1"/>
  <c r="AS63" i="1"/>
  <c r="AS165" i="1" s="1"/>
  <c r="AT68" i="1"/>
  <c r="AT70" i="1"/>
  <c r="AR74" i="1"/>
  <c r="AT76" i="1"/>
  <c r="AR78" i="1"/>
  <c r="AT80" i="1"/>
  <c r="AR82" i="1"/>
  <c r="AT84" i="1"/>
  <c r="AR86" i="1"/>
  <c r="AS87" i="1"/>
  <c r="AS189" i="1" s="1"/>
  <c r="AT88" i="1"/>
  <c r="AR90" i="1"/>
  <c r="AS91" i="1"/>
  <c r="AS193" i="1" s="1"/>
  <c r="AT92" i="1"/>
  <c r="AR94" i="1"/>
  <c r="AS95" i="1"/>
  <c r="AS197" i="1" s="1"/>
  <c r="AT96" i="1"/>
  <c r="AR98" i="1"/>
  <c r="AS99" i="1"/>
  <c r="AS201" i="1" s="1"/>
  <c r="AT100" i="1"/>
  <c r="AS69" i="1"/>
  <c r="AS171" i="1" s="1"/>
  <c r="AR73" i="1"/>
  <c r="AS74" i="1"/>
  <c r="AS176" i="1" s="1"/>
  <c r="AT75" i="1"/>
  <c r="AR77" i="1"/>
  <c r="AS78" i="1"/>
  <c r="AS180" i="1" s="1"/>
  <c r="AT79" i="1"/>
  <c r="AR81" i="1"/>
  <c r="AS82" i="1"/>
  <c r="AS184" i="1" s="1"/>
  <c r="AT83" i="1"/>
  <c r="AR85" i="1"/>
  <c r="AS86" i="1"/>
  <c r="AS188" i="1" s="1"/>
  <c r="AT87" i="1"/>
  <c r="AR89" i="1"/>
  <c r="AS90" i="1"/>
  <c r="AS192" i="1" s="1"/>
  <c r="AT91" i="1"/>
  <c r="AR93" i="1"/>
  <c r="AS94" i="1"/>
  <c r="AS196" i="1" s="1"/>
  <c r="AT64" i="1"/>
  <c r="AR66" i="1"/>
  <c r="AS67" i="1"/>
  <c r="AS169" i="1" s="1"/>
  <c r="AR70" i="1"/>
  <c r="AS71" i="1"/>
  <c r="AS173" i="1" s="1"/>
  <c r="AR72" i="1"/>
  <c r="AR76" i="1"/>
  <c r="AR80" i="1"/>
  <c r="AR84" i="1"/>
  <c r="AR88" i="1"/>
  <c r="AR92" i="1"/>
  <c r="AR96" i="1"/>
  <c r="AR100" i="1"/>
  <c r="AR104" i="1"/>
  <c r="AS70" i="1"/>
  <c r="AS172" i="1" s="1"/>
  <c r="AT71" i="1"/>
  <c r="AT72" i="1"/>
  <c r="AR75" i="1"/>
  <c r="AS76" i="1"/>
  <c r="AS178" i="1" s="1"/>
  <c r="AR79" i="1"/>
  <c r="AS80" i="1"/>
  <c r="AS182" i="1" s="1"/>
  <c r="AR83" i="1"/>
  <c r="AS84" i="1"/>
  <c r="AS186" i="1" s="1"/>
  <c r="AR87" i="1"/>
  <c r="AS88" i="1"/>
  <c r="AS190" i="1" s="1"/>
  <c r="AR91" i="1"/>
  <c r="AS92" i="1"/>
  <c r="AS194" i="1" s="1"/>
  <c r="AR95" i="1"/>
  <c r="AS96" i="1"/>
  <c r="AS198" i="1" s="1"/>
  <c r="AR99" i="1"/>
  <c r="AS100" i="1"/>
  <c r="AS202" i="1" s="1"/>
  <c r="AR103" i="1"/>
  <c r="AS104" i="1"/>
  <c r="AS206" i="1" s="1"/>
  <c r="AF6" i="1"/>
  <c r="AG6" i="1" s="1"/>
  <c r="AG108" i="1" s="1"/>
  <c r="AH6" i="1"/>
  <c r="AF7" i="1"/>
  <c r="AF11" i="1"/>
  <c r="AG11" i="1" s="1"/>
  <c r="AG113" i="1" s="1"/>
  <c r="AF15" i="1"/>
  <c r="AF19" i="1"/>
  <c r="AG19" i="1" s="1"/>
  <c r="AG121" i="1" s="1"/>
  <c r="AF23" i="1"/>
  <c r="AF27" i="1"/>
  <c r="AG27" i="1" s="1"/>
  <c r="AG129" i="1" s="1"/>
  <c r="AF31" i="1"/>
  <c r="AF35" i="1"/>
  <c r="AF39" i="1"/>
  <c r="AF43" i="1"/>
  <c r="AG7" i="1"/>
  <c r="AG109" i="1" s="1"/>
  <c r="AF10" i="1"/>
  <c r="AG10" i="1" s="1"/>
  <c r="AG112" i="1" s="1"/>
  <c r="AF14" i="1"/>
  <c r="AG15" i="1"/>
  <c r="AG117" i="1" s="1"/>
  <c r="AF18" i="1"/>
  <c r="AG18" i="1" s="1"/>
  <c r="AG120" i="1" s="1"/>
  <c r="AF22" i="1"/>
  <c r="AG23" i="1"/>
  <c r="AG125" i="1" s="1"/>
  <c r="AF26" i="1"/>
  <c r="AG26" i="1" s="1"/>
  <c r="AG128" i="1" s="1"/>
  <c r="AF30" i="1"/>
  <c r="AG31" i="1"/>
  <c r="AG133" i="1" s="1"/>
  <c r="AF34" i="1"/>
  <c r="AG35" i="1"/>
  <c r="AG137" i="1" s="1"/>
  <c r="AF38" i="1"/>
  <c r="AG39" i="1"/>
  <c r="AG141" i="1" s="1"/>
  <c r="AF42" i="1"/>
  <c r="AG43" i="1"/>
  <c r="AG145" i="1" s="1"/>
  <c r="AF46" i="1"/>
  <c r="AH7" i="1"/>
  <c r="AF9" i="1"/>
  <c r="AG9" i="1" s="1"/>
  <c r="AG111" i="1" s="1"/>
  <c r="AH11" i="1"/>
  <c r="AF13" i="1"/>
  <c r="AG13" i="1" s="1"/>
  <c r="AG115" i="1" s="1"/>
  <c r="AG14" i="1"/>
  <c r="AG116" i="1" s="1"/>
  <c r="AH15" i="1"/>
  <c r="AF17" i="1"/>
  <c r="AH19" i="1"/>
  <c r="AF21" i="1"/>
  <c r="AG22" i="1"/>
  <c r="AG124" i="1" s="1"/>
  <c r="AH23" i="1"/>
  <c r="AF25" i="1"/>
  <c r="AG25" i="1" s="1"/>
  <c r="AG127" i="1" s="1"/>
  <c r="AH27" i="1"/>
  <c r="AF29" i="1"/>
  <c r="AG29" i="1" s="1"/>
  <c r="AG131" i="1" s="1"/>
  <c r="AG30" i="1"/>
  <c r="AG132" i="1" s="1"/>
  <c r="AH31" i="1"/>
  <c r="AF33" i="1"/>
  <c r="AG34" i="1"/>
  <c r="AG136" i="1" s="1"/>
  <c r="AH35" i="1"/>
  <c r="AH14" i="1"/>
  <c r="AG17" i="1"/>
  <c r="AG119" i="1" s="1"/>
  <c r="AH18" i="1"/>
  <c r="AG21" i="1"/>
  <c r="AG123" i="1" s="1"/>
  <c r="AH22" i="1"/>
  <c r="AH26" i="1"/>
  <c r="AH30" i="1"/>
  <c r="AG33" i="1"/>
  <c r="AG135" i="1" s="1"/>
  <c r="AH34" i="1"/>
  <c r="AG38" i="1"/>
  <c r="AG140" i="1" s="1"/>
  <c r="AF48" i="1"/>
  <c r="AG49" i="1"/>
  <c r="AG151" i="1" s="1"/>
  <c r="AF52" i="1"/>
  <c r="AG53" i="1"/>
  <c r="AG155" i="1" s="1"/>
  <c r="AF56" i="1"/>
  <c r="AG57" i="1"/>
  <c r="AG159" i="1" s="1"/>
  <c r="AF60" i="1"/>
  <c r="AG61" i="1"/>
  <c r="AG163" i="1" s="1"/>
  <c r="AF64" i="1"/>
  <c r="AG65" i="1"/>
  <c r="AG167" i="1" s="1"/>
  <c r="AF68" i="1"/>
  <c r="AH38" i="1"/>
  <c r="AG42" i="1"/>
  <c r="AG144" i="1" s="1"/>
  <c r="AG46" i="1"/>
  <c r="AG148" i="1" s="1"/>
  <c r="AF47" i="1"/>
  <c r="AF51" i="1"/>
  <c r="AF55" i="1"/>
  <c r="AF59" i="1"/>
  <c r="AF63" i="1"/>
  <c r="AF67" i="1"/>
  <c r="AF71" i="1"/>
  <c r="AF12" i="1"/>
  <c r="AF16" i="1"/>
  <c r="AF20" i="1"/>
  <c r="AF24" i="1"/>
  <c r="AF28" i="1"/>
  <c r="AF32" i="1"/>
  <c r="AF41" i="1"/>
  <c r="AH42" i="1"/>
  <c r="AF45" i="1"/>
  <c r="AH46" i="1"/>
  <c r="AG47" i="1"/>
  <c r="AG149" i="1" s="1"/>
  <c r="AH48" i="1"/>
  <c r="AF50" i="1"/>
  <c r="AG51" i="1"/>
  <c r="AG153" i="1" s="1"/>
  <c r="AH52" i="1"/>
  <c r="AF54" i="1"/>
  <c r="AG55" i="1"/>
  <c r="AG157" i="1" s="1"/>
  <c r="AH56" i="1"/>
  <c r="AF58" i="1"/>
  <c r="AG59" i="1"/>
  <c r="AG161" i="1" s="1"/>
  <c r="AH60" i="1"/>
  <c r="AF36" i="1"/>
  <c r="AH39" i="1"/>
  <c r="AG41" i="1"/>
  <c r="AG143" i="1" s="1"/>
  <c r="AH43" i="1"/>
  <c r="AH47" i="1"/>
  <c r="AF49" i="1"/>
  <c r="AH51" i="1"/>
  <c r="AF53" i="1"/>
  <c r="AH55" i="1"/>
  <c r="AF57" i="1"/>
  <c r="AH59" i="1"/>
  <c r="AF61" i="1"/>
  <c r="AH63" i="1"/>
  <c r="AF65" i="1"/>
  <c r="AH67" i="1"/>
  <c r="AF69" i="1"/>
  <c r="AF74" i="1"/>
  <c r="AH76" i="1"/>
  <c r="AF78" i="1"/>
  <c r="AH80" i="1"/>
  <c r="AF82" i="1"/>
  <c r="AH84" i="1"/>
  <c r="AF86" i="1"/>
  <c r="AH88" i="1"/>
  <c r="AF90" i="1"/>
  <c r="AG91" i="1"/>
  <c r="AG193" i="1" s="1"/>
  <c r="AH92" i="1"/>
  <c r="AF94" i="1"/>
  <c r="AG95" i="1"/>
  <c r="AG197" i="1" s="1"/>
  <c r="AH96" i="1"/>
  <c r="AF98" i="1"/>
  <c r="AG99" i="1"/>
  <c r="AG201" i="1" s="1"/>
  <c r="AH100" i="1"/>
  <c r="AG63" i="1"/>
  <c r="AG165" i="1" s="1"/>
  <c r="AH68" i="1"/>
  <c r="AF70" i="1"/>
  <c r="AG71" i="1"/>
  <c r="AG173" i="1" s="1"/>
  <c r="AF72" i="1"/>
  <c r="AF73" i="1"/>
  <c r="AG74" i="1"/>
  <c r="AG176" i="1" s="1"/>
  <c r="AH75" i="1"/>
  <c r="AF77" i="1"/>
  <c r="AG78" i="1"/>
  <c r="AG180" i="1" s="1"/>
  <c r="AH79" i="1"/>
  <c r="AF81" i="1"/>
  <c r="AG82" i="1"/>
  <c r="AG184" i="1" s="1"/>
  <c r="AH83" i="1"/>
  <c r="AF85" i="1"/>
  <c r="AG86" i="1"/>
  <c r="AG188" i="1" s="1"/>
  <c r="AH87" i="1"/>
  <c r="AF89" i="1"/>
  <c r="AG90" i="1"/>
  <c r="AG192" i="1" s="1"/>
  <c r="AH91" i="1"/>
  <c r="AF93" i="1"/>
  <c r="AG94" i="1"/>
  <c r="AG196" i="1" s="1"/>
  <c r="AG70" i="1"/>
  <c r="AG172" i="1" s="1"/>
  <c r="AH71" i="1"/>
  <c r="AH72" i="1"/>
  <c r="AF76" i="1"/>
  <c r="AF80" i="1"/>
  <c r="AF84" i="1"/>
  <c r="AF88" i="1"/>
  <c r="AF92" i="1"/>
  <c r="AF96" i="1"/>
  <c r="AF100" i="1"/>
  <c r="AF104" i="1"/>
  <c r="AH64" i="1"/>
  <c r="AF66" i="1"/>
  <c r="AG67" i="1"/>
  <c r="AG169" i="1" s="1"/>
  <c r="AG69" i="1"/>
  <c r="AG171" i="1" s="1"/>
  <c r="AH70" i="1"/>
  <c r="AF75" i="1"/>
  <c r="AG76" i="1"/>
  <c r="AG178" i="1" s="1"/>
  <c r="AF79" i="1"/>
  <c r="AG80" i="1"/>
  <c r="AG182" i="1" s="1"/>
  <c r="AF83" i="1"/>
  <c r="AG84" i="1"/>
  <c r="AG186" i="1" s="1"/>
  <c r="AF87" i="1"/>
  <c r="AG88" i="1"/>
  <c r="AG190" i="1" s="1"/>
  <c r="AF91" i="1"/>
  <c r="AG92" i="1"/>
  <c r="AG194" i="1" s="1"/>
  <c r="AF95" i="1"/>
  <c r="AG96" i="1"/>
  <c r="AG198" i="1" s="1"/>
  <c r="AF99" i="1"/>
  <c r="AG100" i="1"/>
  <c r="AG202" i="1" s="1"/>
  <c r="AF103" i="1"/>
  <c r="AG104" i="1"/>
  <c r="AG206" i="1" s="1"/>
  <c r="T6" i="1"/>
  <c r="U6" i="1"/>
  <c r="U108" i="1" s="1"/>
  <c r="V6" i="1"/>
  <c r="T7" i="1"/>
  <c r="U7" i="1" s="1"/>
  <c r="U109" i="1" s="1"/>
  <c r="T11" i="1"/>
  <c r="T15" i="1"/>
  <c r="T19" i="1"/>
  <c r="T23" i="1"/>
  <c r="U23" i="1" s="1"/>
  <c r="U125" i="1" s="1"/>
  <c r="T27" i="1"/>
  <c r="T31" i="1"/>
  <c r="T35" i="1"/>
  <c r="T39" i="1"/>
  <c r="T43" i="1"/>
  <c r="T10" i="1"/>
  <c r="U11" i="1"/>
  <c r="U113" i="1" s="1"/>
  <c r="T14" i="1"/>
  <c r="U15" i="1"/>
  <c r="U117" i="1" s="1"/>
  <c r="T18" i="1"/>
  <c r="U19" i="1"/>
  <c r="U121" i="1" s="1"/>
  <c r="T22" i="1"/>
  <c r="T26" i="1"/>
  <c r="U27" i="1"/>
  <c r="U129" i="1" s="1"/>
  <c r="T30" i="1"/>
  <c r="U31" i="1"/>
  <c r="U133" i="1" s="1"/>
  <c r="T34" i="1"/>
  <c r="U35" i="1"/>
  <c r="U137" i="1" s="1"/>
  <c r="T38" i="1"/>
  <c r="U39" i="1"/>
  <c r="U141" i="1" s="1"/>
  <c r="T42" i="1"/>
  <c r="U43" i="1"/>
  <c r="U145" i="1" s="1"/>
  <c r="T46" i="1"/>
  <c r="T9" i="1"/>
  <c r="U10" i="1"/>
  <c r="U112" i="1" s="1"/>
  <c r="V11" i="1"/>
  <c r="T13" i="1"/>
  <c r="U14" i="1"/>
  <c r="U116" i="1" s="1"/>
  <c r="V15" i="1"/>
  <c r="T17" i="1"/>
  <c r="U18" i="1"/>
  <c r="U120" i="1" s="1"/>
  <c r="V19" i="1"/>
  <c r="T21" i="1"/>
  <c r="U21" i="1" s="1"/>
  <c r="U22" i="1"/>
  <c r="U124" i="1" s="1"/>
  <c r="T25" i="1"/>
  <c r="U26" i="1"/>
  <c r="U128" i="1" s="1"/>
  <c r="V27" i="1"/>
  <c r="T29" i="1"/>
  <c r="U30" i="1"/>
  <c r="U132" i="1" s="1"/>
  <c r="V31" i="1"/>
  <c r="T33" i="1"/>
  <c r="U34" i="1"/>
  <c r="U136" i="1" s="1"/>
  <c r="V35" i="1"/>
  <c r="T41" i="1"/>
  <c r="V42" i="1"/>
  <c r="T45" i="1"/>
  <c r="V46" i="1"/>
  <c r="T48" i="1"/>
  <c r="U49" i="1"/>
  <c r="U151" i="1" s="1"/>
  <c r="T52" i="1"/>
  <c r="U53" i="1"/>
  <c r="U155" i="1" s="1"/>
  <c r="T56" i="1"/>
  <c r="U57" i="1"/>
  <c r="U159" i="1" s="1"/>
  <c r="T60" i="1"/>
  <c r="U61" i="1"/>
  <c r="U163" i="1" s="1"/>
  <c r="T64" i="1"/>
  <c r="U65" i="1"/>
  <c r="U167" i="1" s="1"/>
  <c r="T68" i="1"/>
  <c r="U13" i="1"/>
  <c r="U115" i="1" s="1"/>
  <c r="V14" i="1"/>
  <c r="U17" i="1"/>
  <c r="U119" i="1" s="1"/>
  <c r="V18" i="1"/>
  <c r="V22" i="1"/>
  <c r="U25" i="1"/>
  <c r="U127" i="1" s="1"/>
  <c r="V26" i="1"/>
  <c r="U29" i="1"/>
  <c r="U131" i="1" s="1"/>
  <c r="V30" i="1"/>
  <c r="U33" i="1"/>
  <c r="U135" i="1" s="1"/>
  <c r="V34" i="1"/>
  <c r="T36" i="1"/>
  <c r="V39" i="1"/>
  <c r="V43" i="1"/>
  <c r="T47" i="1"/>
  <c r="T51" i="1"/>
  <c r="T55" i="1"/>
  <c r="T59" i="1"/>
  <c r="T63" i="1"/>
  <c r="T67" i="1"/>
  <c r="T71" i="1"/>
  <c r="U9" i="1"/>
  <c r="U111" i="1" s="1"/>
  <c r="V10" i="1"/>
  <c r="U38" i="1"/>
  <c r="U140" i="1" s="1"/>
  <c r="T40" i="1"/>
  <c r="T44" i="1"/>
  <c r="U47" i="1"/>
  <c r="U149" i="1" s="1"/>
  <c r="V48" i="1"/>
  <c r="T50" i="1"/>
  <c r="U51" i="1"/>
  <c r="U153" i="1" s="1"/>
  <c r="V52" i="1"/>
  <c r="T54" i="1"/>
  <c r="U55" i="1"/>
  <c r="U157" i="1" s="1"/>
  <c r="V56" i="1"/>
  <c r="T58" i="1"/>
  <c r="U59" i="1"/>
  <c r="U161" i="1" s="1"/>
  <c r="V60" i="1"/>
  <c r="T12" i="1"/>
  <c r="T16" i="1"/>
  <c r="T20" i="1"/>
  <c r="T24" i="1"/>
  <c r="T28" i="1"/>
  <c r="T32" i="1"/>
  <c r="T37" i="1"/>
  <c r="V38" i="1"/>
  <c r="U42" i="1"/>
  <c r="U144" i="1" s="1"/>
  <c r="U46" i="1"/>
  <c r="U148" i="1" s="1"/>
  <c r="V47" i="1"/>
  <c r="T49" i="1"/>
  <c r="V51" i="1"/>
  <c r="T53" i="1"/>
  <c r="V55" i="1"/>
  <c r="T57" i="1"/>
  <c r="V59" i="1"/>
  <c r="T61" i="1"/>
  <c r="V63" i="1"/>
  <c r="T65" i="1"/>
  <c r="V67" i="1"/>
  <c r="T69" i="1"/>
  <c r="V64" i="1"/>
  <c r="T66" i="1"/>
  <c r="U67" i="1"/>
  <c r="U169" i="1" s="1"/>
  <c r="T70" i="1"/>
  <c r="U71" i="1"/>
  <c r="U173" i="1" s="1"/>
  <c r="T72" i="1"/>
  <c r="T74" i="1"/>
  <c r="V76" i="1"/>
  <c r="T78" i="1"/>
  <c r="V80" i="1"/>
  <c r="T82" i="1"/>
  <c r="V84" i="1"/>
  <c r="T86" i="1"/>
  <c r="V88" i="1"/>
  <c r="T90" i="1"/>
  <c r="U91" i="1"/>
  <c r="U193" i="1" s="1"/>
  <c r="V92" i="1"/>
  <c r="T94" i="1"/>
  <c r="U95" i="1"/>
  <c r="U197" i="1" s="1"/>
  <c r="V96" i="1"/>
  <c r="T98" i="1"/>
  <c r="U99" i="1"/>
  <c r="U201" i="1" s="1"/>
  <c r="V100" i="1"/>
  <c r="U69" i="1"/>
  <c r="U171" i="1" s="1"/>
  <c r="U70" i="1"/>
  <c r="U172" i="1" s="1"/>
  <c r="V71" i="1"/>
  <c r="V72" i="1"/>
  <c r="U74" i="1"/>
  <c r="U176" i="1" s="1"/>
  <c r="V75" i="1"/>
  <c r="T77" i="1"/>
  <c r="U78" i="1"/>
  <c r="U180" i="1" s="1"/>
  <c r="V79" i="1"/>
  <c r="T81" i="1"/>
  <c r="U82" i="1"/>
  <c r="U184" i="1" s="1"/>
  <c r="V83" i="1"/>
  <c r="T85" i="1"/>
  <c r="U86" i="1"/>
  <c r="U188" i="1" s="1"/>
  <c r="V87" i="1"/>
  <c r="T89" i="1"/>
  <c r="U90" i="1"/>
  <c r="U192" i="1" s="1"/>
  <c r="V91" i="1"/>
  <c r="T93" i="1"/>
  <c r="U94" i="1"/>
  <c r="U196" i="1" s="1"/>
  <c r="U63" i="1"/>
  <c r="U165" i="1" s="1"/>
  <c r="V68" i="1"/>
  <c r="V70" i="1"/>
  <c r="T76" i="1"/>
  <c r="T80" i="1"/>
  <c r="T84" i="1"/>
  <c r="T88" i="1"/>
  <c r="T92" i="1"/>
  <c r="T96" i="1"/>
  <c r="T100" i="1"/>
  <c r="T104" i="1"/>
  <c r="T106" i="1"/>
  <c r="T75" i="1"/>
  <c r="U76" i="1"/>
  <c r="U178" i="1" s="1"/>
  <c r="T79" i="1"/>
  <c r="U80" i="1"/>
  <c r="U182" i="1" s="1"/>
  <c r="T83" i="1"/>
  <c r="U84" i="1"/>
  <c r="U186" i="1" s="1"/>
  <c r="T87" i="1"/>
  <c r="U88" i="1"/>
  <c r="U190" i="1" s="1"/>
  <c r="T91" i="1"/>
  <c r="U92" i="1"/>
  <c r="U194" i="1" s="1"/>
  <c r="T95" i="1"/>
  <c r="U96" i="1"/>
  <c r="U198" i="1" s="1"/>
  <c r="T99" i="1"/>
  <c r="U100" i="1"/>
  <c r="U202" i="1" s="1"/>
  <c r="T103" i="1"/>
  <c r="U104" i="1"/>
  <c r="U206" i="1" s="1"/>
  <c r="AB106" i="1"/>
  <c r="S106" i="1"/>
  <c r="GM105" i="1"/>
  <c r="FM105" i="1"/>
  <c r="DO105" i="1"/>
  <c r="BQ105" i="1"/>
  <c r="AR105" i="1"/>
  <c r="AM105" i="1"/>
  <c r="AM207" i="1" s="1"/>
  <c r="AH105" i="1"/>
  <c r="AB105" i="1"/>
  <c r="R105" i="1"/>
  <c r="R207" i="1" s="1"/>
  <c r="M105" i="1"/>
  <c r="Q105" i="1"/>
  <c r="U105" i="1"/>
  <c r="U207" i="1" s="1"/>
  <c r="Y105" i="1"/>
  <c r="AC105" i="1"/>
  <c r="AG105" i="1"/>
  <c r="AG207" i="1" s="1"/>
  <c r="AK105" i="1"/>
  <c r="AO105" i="1"/>
  <c r="AS105" i="1"/>
  <c r="AS207" i="1" s="1"/>
  <c r="AW105" i="1"/>
  <c r="O105" i="1" s="1"/>
  <c r="DR104" i="1"/>
  <c r="CS104" i="1"/>
  <c r="AT104" i="1"/>
  <c r="AL104" i="1"/>
  <c r="AE104" i="1"/>
  <c r="R104" i="1"/>
  <c r="R206" i="1" s="1"/>
  <c r="GS103" i="1"/>
  <c r="DU103" i="1"/>
  <c r="AS103" i="1"/>
  <c r="AS205" i="1" s="1"/>
  <c r="AC103" i="1"/>
  <c r="U103" i="1"/>
  <c r="U205" i="1" s="1"/>
  <c r="M103" i="3"/>
  <c r="AU103" i="1"/>
  <c r="CA103" i="1"/>
  <c r="DD103" i="1"/>
  <c r="EC103" i="1"/>
  <c r="EX103" i="1"/>
  <c r="HK103" i="1"/>
  <c r="HP103" i="1"/>
  <c r="HY103" i="1"/>
  <c r="IA103" i="1" s="1"/>
  <c r="IC103" i="1"/>
  <c r="IK103" i="1"/>
  <c r="IO103" i="1"/>
  <c r="CB103" i="1"/>
  <c r="EY103" i="1"/>
  <c r="GG103" i="1"/>
  <c r="GT103" i="1"/>
  <c r="HL103" i="1"/>
  <c r="HV103" i="1"/>
  <c r="HZ103" i="1"/>
  <c r="IH103" i="1"/>
  <c r="IL103" i="1"/>
  <c r="IT103" i="1"/>
  <c r="IS102" i="1"/>
  <c r="HU102" i="1"/>
  <c r="GI102" i="1"/>
  <c r="EW102" i="1"/>
  <c r="DL102" i="1"/>
  <c r="CY102" i="1"/>
  <c r="AW102" i="1"/>
  <c r="O102" i="1" s="1"/>
  <c r="AO102" i="1"/>
  <c r="AG102" i="1"/>
  <c r="AG204" i="1" s="1"/>
  <c r="Y102" i="1"/>
  <c r="Q102" i="1"/>
  <c r="AM101" i="1"/>
  <c r="AM203" i="1" s="1"/>
  <c r="AE101" i="1"/>
  <c r="W101" i="1"/>
  <c r="EQ100" i="1"/>
  <c r="DR100" i="1"/>
  <c r="CS100" i="1"/>
  <c r="AQ100" i="1"/>
  <c r="AA100" i="1"/>
  <c r="AA202" i="1" s="1"/>
  <c r="FG99" i="1"/>
  <c r="DI99" i="1"/>
  <c r="BK99" i="1"/>
  <c r="BK110" i="1" s="1"/>
  <c r="AT99" i="1"/>
  <c r="AD99" i="1"/>
  <c r="AD201" i="1" s="1"/>
  <c r="FW98" i="1"/>
  <c r="DL98" i="1"/>
  <c r="AS98" i="1"/>
  <c r="AS200" i="1" s="1"/>
  <c r="AC98" i="1"/>
  <c r="M98" i="3"/>
  <c r="CB98" i="1"/>
  <c r="EY98" i="1"/>
  <c r="GG98" i="1"/>
  <c r="GI98" i="1" s="1"/>
  <c r="GT98" i="1"/>
  <c r="GV98" i="1" s="1"/>
  <c r="HL98" i="1"/>
  <c r="HV98" i="1"/>
  <c r="HX98" i="1" s="1"/>
  <c r="HZ98" i="1"/>
  <c r="IH98" i="1"/>
  <c r="IJ98" i="1" s="1"/>
  <c r="IL98" i="1"/>
  <c r="IT98" i="1"/>
  <c r="IV98" i="1" s="1"/>
  <c r="DC98" i="1"/>
  <c r="EB98" i="1"/>
  <c r="FR98" i="1"/>
  <c r="FS98" i="1" s="1"/>
  <c r="HE98" i="1"/>
  <c r="HF98" i="1" s="1"/>
  <c r="HO98" i="1"/>
  <c r="HT98" i="1"/>
  <c r="HU98" i="1" s="1"/>
  <c r="IB98" i="1"/>
  <c r="IF98" i="1"/>
  <c r="IG98" i="1" s="1"/>
  <c r="IN98" i="1"/>
  <c r="IR98" i="1"/>
  <c r="IS98" i="1" s="1"/>
  <c r="AU98" i="1"/>
  <c r="CA98" i="1"/>
  <c r="DD98" i="1"/>
  <c r="EC98" i="1"/>
  <c r="EX98" i="1"/>
  <c r="EZ98" i="1" s="1"/>
  <c r="HK98" i="1"/>
  <c r="HP98" i="1"/>
  <c r="HY98" i="1"/>
  <c r="IA98" i="1" s="1"/>
  <c r="IC98" i="1"/>
  <c r="IK98" i="1"/>
  <c r="IO98" i="1"/>
  <c r="AJ97" i="1"/>
  <c r="AJ199" i="1" s="1"/>
  <c r="T97" i="1"/>
  <c r="IP96" i="1"/>
  <c r="CS96" i="1"/>
  <c r="AQ96" i="1"/>
  <c r="AA96" i="1"/>
  <c r="AA198" i="1" s="1"/>
  <c r="FG95" i="1"/>
  <c r="DP109" i="1"/>
  <c r="DR95" i="1"/>
  <c r="CU109" i="1"/>
  <c r="BR109" i="1"/>
  <c r="BT95" i="1"/>
  <c r="AT95" i="1"/>
  <c r="AD95" i="1"/>
  <c r="AD197" i="1" s="1"/>
  <c r="R94" i="1"/>
  <c r="R196" i="1" s="1"/>
  <c r="S85" i="1"/>
  <c r="S77" i="1"/>
  <c r="AJ103" i="1"/>
  <c r="AJ205" i="1" s="1"/>
  <c r="X103" i="1"/>
  <c r="X205" i="1" s="1"/>
  <c r="AK100" i="1"/>
  <c r="Y100" i="1"/>
  <c r="IT99" i="1"/>
  <c r="IV99" i="1" s="1"/>
  <c r="IL99" i="1"/>
  <c r="IH99" i="1"/>
  <c r="IJ99" i="1" s="1"/>
  <c r="HZ99" i="1"/>
  <c r="HV99" i="1"/>
  <c r="HX99" i="1" s="1"/>
  <c r="HL99" i="1"/>
  <c r="GT99" i="1"/>
  <c r="GV99" i="1" s="1"/>
  <c r="GG99" i="1"/>
  <c r="GI99" i="1" s="1"/>
  <c r="EY99" i="1"/>
  <c r="CB99" i="1"/>
  <c r="AJ99" i="1"/>
  <c r="AJ201" i="1" s="1"/>
  <c r="X99" i="1"/>
  <c r="X201" i="1" s="1"/>
  <c r="AY98" i="1"/>
  <c r="H99" i="5" s="1"/>
  <c r="AQ98" i="1"/>
  <c r="AM98" i="1"/>
  <c r="AM200" i="1" s="1"/>
  <c r="AI98" i="1"/>
  <c r="AE98" i="1"/>
  <c r="AA98" i="1"/>
  <c r="AA200" i="1" s="1"/>
  <c r="W98" i="1"/>
  <c r="S98" i="1"/>
  <c r="AK96" i="1"/>
  <c r="Y96" i="1"/>
  <c r="DB96" i="3"/>
  <c r="EA96" i="3"/>
  <c r="EC96" i="3" s="1"/>
  <c r="FQ96" i="3"/>
  <c r="HD96" i="3"/>
  <c r="HN96" i="3"/>
  <c r="HS96" i="3"/>
  <c r="IA96" i="3"/>
  <c r="IC96" i="3" s="1"/>
  <c r="IE96" i="3"/>
  <c r="IM96" i="3"/>
  <c r="IQ96" i="3"/>
  <c r="CA96" i="3"/>
  <c r="EX96" i="3"/>
  <c r="GF96" i="3"/>
  <c r="GS96" i="3"/>
  <c r="GU96" i="3" s="1"/>
  <c r="HK96" i="3"/>
  <c r="HU96" i="3"/>
  <c r="HY96" i="3"/>
  <c r="IG96" i="3"/>
  <c r="II96" i="3" s="1"/>
  <c r="IK96" i="3"/>
  <c r="IS96" i="3"/>
  <c r="EB96" i="3"/>
  <c r="EW96" i="3"/>
  <c r="EY96" i="3" s="1"/>
  <c r="HR96" i="3"/>
  <c r="IH96" i="3"/>
  <c r="IP96" i="3"/>
  <c r="DC96" i="3"/>
  <c r="HC96" i="3"/>
  <c r="HE96" i="3" s="1"/>
  <c r="HJ96" i="3"/>
  <c r="IB96" i="3"/>
  <c r="IJ96" i="3"/>
  <c r="IL96" i="3" s="1"/>
  <c r="FP96" i="3"/>
  <c r="FR96" i="3" s="1"/>
  <c r="GG96" i="3"/>
  <c r="HV96" i="3"/>
  <c r="ID96" i="3"/>
  <c r="IF96" i="3" s="1"/>
  <c r="IT96" i="3"/>
  <c r="BZ96" i="3"/>
  <c r="GT96" i="3"/>
  <c r="HO96" i="3"/>
  <c r="HX96" i="3"/>
  <c r="HZ96" i="3" s="1"/>
  <c r="IN96" i="3"/>
  <c r="IT95" i="1"/>
  <c r="IV95" i="1" s="1"/>
  <c r="IL95" i="1"/>
  <c r="IH95" i="1"/>
  <c r="IJ95" i="1" s="1"/>
  <c r="HZ95" i="1"/>
  <c r="HV95" i="1"/>
  <c r="HX95" i="1" s="1"/>
  <c r="HL95" i="1"/>
  <c r="GT95" i="1"/>
  <c r="GV95" i="1" s="1"/>
  <c r="GG95" i="1"/>
  <c r="GI95" i="1" s="1"/>
  <c r="EY95" i="1"/>
  <c r="CB95" i="1"/>
  <c r="AJ95" i="1"/>
  <c r="AJ197" i="1" s="1"/>
  <c r="X95" i="1"/>
  <c r="X197" i="1" s="1"/>
  <c r="IO94" i="1"/>
  <c r="IK94" i="1"/>
  <c r="IC94" i="1"/>
  <c r="HY94" i="1"/>
  <c r="HP94" i="1"/>
  <c r="HK94" i="1"/>
  <c r="EX94" i="1"/>
  <c r="EC94" i="1"/>
  <c r="DD94" i="1"/>
  <c r="CA94" i="1"/>
  <c r="AY94" i="1"/>
  <c r="H95" i="5" s="1"/>
  <c r="AU94" i="1"/>
  <c r="AQ94" i="1"/>
  <c r="AM94" i="1"/>
  <c r="AM196" i="1" s="1"/>
  <c r="AI94" i="1"/>
  <c r="AE94" i="1"/>
  <c r="AA94" i="1"/>
  <c r="AA196" i="1" s="1"/>
  <c r="W94" i="1"/>
  <c r="S94" i="1"/>
  <c r="AX93" i="1"/>
  <c r="G94" i="5" s="1"/>
  <c r="AT93" i="1"/>
  <c r="AP93" i="1"/>
  <c r="AP195" i="1" s="1"/>
  <c r="AL93" i="1"/>
  <c r="AH93" i="1"/>
  <c r="AD93" i="1"/>
  <c r="AD195" i="1" s="1"/>
  <c r="Z93" i="1"/>
  <c r="V93" i="1"/>
  <c r="R93" i="1"/>
  <c r="R195" i="1" s="1"/>
  <c r="AK92" i="1"/>
  <c r="Y92" i="1"/>
  <c r="DB92" i="3"/>
  <c r="DD92" i="3" s="1"/>
  <c r="EA92" i="3"/>
  <c r="FQ92" i="3"/>
  <c r="HD92" i="3"/>
  <c r="HN92" i="3"/>
  <c r="HP92" i="3" s="1"/>
  <c r="HS92" i="3"/>
  <c r="IA92" i="3"/>
  <c r="IE92" i="3"/>
  <c r="IM92" i="3"/>
  <c r="IQ92" i="3"/>
  <c r="CA92" i="3"/>
  <c r="EX92" i="3"/>
  <c r="GF92" i="3"/>
  <c r="GS92" i="3"/>
  <c r="HK92" i="3"/>
  <c r="HU92" i="3"/>
  <c r="HY92" i="3"/>
  <c r="IG92" i="3"/>
  <c r="IK92" i="3"/>
  <c r="IS92" i="3"/>
  <c r="IU92" i="3" s="1"/>
  <c r="EB92" i="3"/>
  <c r="EW92" i="3"/>
  <c r="HR92" i="3"/>
  <c r="HT92" i="3" s="1"/>
  <c r="IH92" i="3"/>
  <c r="IP92" i="3"/>
  <c r="IR92" i="3" s="1"/>
  <c r="DC92" i="3"/>
  <c r="HC92" i="3"/>
  <c r="HJ92" i="3"/>
  <c r="HL92" i="3" s="1"/>
  <c r="IB92" i="3"/>
  <c r="IJ92" i="3"/>
  <c r="IL92" i="3" s="1"/>
  <c r="FP92" i="3"/>
  <c r="FR92" i="3" s="1"/>
  <c r="GG92" i="3"/>
  <c r="HV92" i="3"/>
  <c r="ID92" i="3"/>
  <c r="IT92" i="3"/>
  <c r="BZ92" i="3"/>
  <c r="CB92" i="3" s="1"/>
  <c r="GT92" i="3"/>
  <c r="HO92" i="3"/>
  <c r="HX92" i="3"/>
  <c r="IN92" i="3"/>
  <c r="GT91" i="1"/>
  <c r="GV91" i="1" s="1"/>
  <c r="GG91" i="1"/>
  <c r="GI91" i="1" s="1"/>
  <c r="EY91" i="1"/>
  <c r="CB91" i="1"/>
  <c r="AJ91" i="1"/>
  <c r="AJ193" i="1" s="1"/>
  <c r="X91" i="1"/>
  <c r="X193" i="1" s="1"/>
  <c r="IO90" i="1"/>
  <c r="IK90" i="1"/>
  <c r="IC90" i="1"/>
  <c r="HY90" i="1"/>
  <c r="HP90" i="1"/>
  <c r="HK90" i="1"/>
  <c r="EX90" i="1"/>
  <c r="EC90" i="1"/>
  <c r="DD90" i="1"/>
  <c r="CA90" i="1"/>
  <c r="AY90" i="1"/>
  <c r="H91" i="5" s="1"/>
  <c r="AU90" i="1"/>
  <c r="AQ90" i="1"/>
  <c r="AM90" i="1"/>
  <c r="AM192" i="1" s="1"/>
  <c r="AI90" i="1"/>
  <c r="AE90" i="1"/>
  <c r="AA90" i="1"/>
  <c r="AA192" i="1" s="1"/>
  <c r="W90" i="1"/>
  <c r="S90" i="1"/>
  <c r="AX89" i="1"/>
  <c r="G90" i="5" s="1"/>
  <c r="AT89" i="1"/>
  <c r="AP89" i="1"/>
  <c r="AP191" i="1" s="1"/>
  <c r="AL89" i="1"/>
  <c r="AH89" i="1"/>
  <c r="AD89" i="1"/>
  <c r="AD191" i="1" s="1"/>
  <c r="Z89" i="1"/>
  <c r="V89" i="1"/>
  <c r="R89" i="1"/>
  <c r="R191" i="1" s="1"/>
  <c r="AK88" i="1"/>
  <c r="Y88" i="1"/>
  <c r="DB88" i="3"/>
  <c r="EA88" i="3"/>
  <c r="FQ88" i="3"/>
  <c r="HD88" i="3"/>
  <c r="HN88" i="3"/>
  <c r="HS88" i="3"/>
  <c r="IA88" i="3"/>
  <c r="IE88" i="3"/>
  <c r="IM88" i="3"/>
  <c r="IQ88" i="3"/>
  <c r="BZ88" i="3"/>
  <c r="DC88" i="3"/>
  <c r="EB88" i="3"/>
  <c r="EW88" i="3"/>
  <c r="HJ88" i="3"/>
  <c r="HO88" i="3"/>
  <c r="HX88" i="3"/>
  <c r="HZ88" i="3" s="1"/>
  <c r="IB88" i="3"/>
  <c r="IJ88" i="3"/>
  <c r="IN88" i="3"/>
  <c r="CA88" i="3"/>
  <c r="EX88" i="3"/>
  <c r="GF88" i="3"/>
  <c r="GS88" i="3"/>
  <c r="HK88" i="3"/>
  <c r="HU88" i="3"/>
  <c r="HY88" i="3"/>
  <c r="IG88" i="3"/>
  <c r="II88" i="3" s="1"/>
  <c r="IK88" i="3"/>
  <c r="IS88" i="3"/>
  <c r="FP88" i="3"/>
  <c r="FR88" i="3" s="1"/>
  <c r="HC88" i="3"/>
  <c r="HE88" i="3" s="1"/>
  <c r="HR88" i="3"/>
  <c r="HT88" i="3" s="1"/>
  <c r="IH88" i="3"/>
  <c r="HV88" i="3"/>
  <c r="GG88" i="3"/>
  <c r="GT88" i="3"/>
  <c r="IP88" i="3"/>
  <c r="IR88" i="3" s="1"/>
  <c r="ID88" i="3"/>
  <c r="IT88" i="3"/>
  <c r="AJ87" i="1"/>
  <c r="AJ189" i="1" s="1"/>
  <c r="X87" i="1"/>
  <c r="X189" i="1" s="1"/>
  <c r="IO86" i="1"/>
  <c r="IK86" i="1"/>
  <c r="IC86" i="1"/>
  <c r="HY86" i="1"/>
  <c r="HP86" i="1"/>
  <c r="HK86" i="1"/>
  <c r="EX86" i="1"/>
  <c r="EC86" i="1"/>
  <c r="DD86" i="1"/>
  <c r="CA86" i="1"/>
  <c r="AU86" i="1"/>
  <c r="AI86" i="1"/>
  <c r="W86" i="1"/>
  <c r="AX85" i="1"/>
  <c r="G86" i="5" s="1"/>
  <c r="AT85" i="1"/>
  <c r="AP85" i="1"/>
  <c r="AP187" i="1" s="1"/>
  <c r="AL85" i="1"/>
  <c r="AH85" i="1"/>
  <c r="AD85" i="1"/>
  <c r="AD187" i="1" s="1"/>
  <c r="Z85" i="1"/>
  <c r="V85" i="1"/>
  <c r="R85" i="1"/>
  <c r="R187" i="1" s="1"/>
  <c r="AK84" i="1"/>
  <c r="Y84" i="1"/>
  <c r="AJ83" i="1"/>
  <c r="AJ185" i="1" s="1"/>
  <c r="X83" i="1"/>
  <c r="X185" i="1" s="1"/>
  <c r="IO82" i="1"/>
  <c r="IK82" i="1"/>
  <c r="IC82" i="1"/>
  <c r="HY82" i="1"/>
  <c r="HP82" i="1"/>
  <c r="HK82" i="1"/>
  <c r="EX82" i="1"/>
  <c r="EC82" i="1"/>
  <c r="DD82" i="1"/>
  <c r="CA82" i="1"/>
  <c r="AU82" i="1"/>
  <c r="AI82" i="1"/>
  <c r="W82" i="1"/>
  <c r="AX81" i="1"/>
  <c r="G82" i="5" s="1"/>
  <c r="AT81" i="1"/>
  <c r="AP81" i="1"/>
  <c r="AP183" i="1" s="1"/>
  <c r="AL81" i="1"/>
  <c r="AH81" i="1"/>
  <c r="AD81" i="1"/>
  <c r="AD183" i="1" s="1"/>
  <c r="Z81" i="1"/>
  <c r="V81" i="1"/>
  <c r="R81" i="1"/>
  <c r="R183" i="1" s="1"/>
  <c r="AK80" i="1"/>
  <c r="Y80" i="1"/>
  <c r="AJ79" i="1"/>
  <c r="AJ181" i="1" s="1"/>
  <c r="X79" i="1"/>
  <c r="X181" i="1" s="1"/>
  <c r="IO78" i="1"/>
  <c r="IK78" i="1"/>
  <c r="IC78" i="1"/>
  <c r="HY78" i="1"/>
  <c r="HP78" i="1"/>
  <c r="HK78" i="1"/>
  <c r="EX78" i="1"/>
  <c r="EC78" i="1"/>
  <c r="DD78" i="1"/>
  <c r="CA78" i="1"/>
  <c r="AU78" i="1"/>
  <c r="AI78" i="1"/>
  <c r="W78" i="1"/>
  <c r="AX77" i="1"/>
  <c r="G78" i="5" s="1"/>
  <c r="AT77" i="1"/>
  <c r="AP77" i="1"/>
  <c r="AP179" i="1" s="1"/>
  <c r="AL77" i="1"/>
  <c r="AH77" i="1"/>
  <c r="AD77" i="1"/>
  <c r="AD179" i="1" s="1"/>
  <c r="Z77" i="1"/>
  <c r="V77" i="1"/>
  <c r="R77" i="1"/>
  <c r="R179" i="1" s="1"/>
  <c r="AK76" i="1"/>
  <c r="Y76" i="1"/>
  <c r="AJ75" i="1"/>
  <c r="AJ177" i="1" s="1"/>
  <c r="X75" i="1"/>
  <c r="X177" i="1" s="1"/>
  <c r="IO74" i="1"/>
  <c r="IK74" i="1"/>
  <c r="IC74" i="1"/>
  <c r="HY74" i="1"/>
  <c r="HP74" i="1"/>
  <c r="HK74" i="1"/>
  <c r="EX74" i="1"/>
  <c r="EC74" i="1"/>
  <c r="DD74" i="1"/>
  <c r="CA74" i="1"/>
  <c r="AU74" i="1"/>
  <c r="AI74" i="1"/>
  <c r="W74" i="1"/>
  <c r="AX73" i="1"/>
  <c r="G74" i="5" s="1"/>
  <c r="AT73" i="1"/>
  <c r="AP73" i="1"/>
  <c r="AP175" i="1" s="1"/>
  <c r="AL73" i="1"/>
  <c r="AH73" i="1"/>
  <c r="AD73" i="1"/>
  <c r="AD175" i="1" s="1"/>
  <c r="Y73" i="1"/>
  <c r="T73" i="1"/>
  <c r="AI72" i="1"/>
  <c r="X72" i="1"/>
  <c r="X174" i="1" s="1"/>
  <c r="Y71" i="1"/>
  <c r="X70" i="1"/>
  <c r="X172" i="1" s="1"/>
  <c r="M70" i="3"/>
  <c r="AU70" i="1"/>
  <c r="CA70" i="1"/>
  <c r="CC70" i="1" s="1"/>
  <c r="DD70" i="1"/>
  <c r="DE70" i="1" s="1"/>
  <c r="EC70" i="1"/>
  <c r="EX70" i="1"/>
  <c r="EZ70" i="1" s="1"/>
  <c r="HK70" i="1"/>
  <c r="HP70" i="1"/>
  <c r="HQ70" i="1" s="1"/>
  <c r="HY70" i="1"/>
  <c r="IA70" i="1" s="1"/>
  <c r="IC70" i="1"/>
  <c r="ID70" i="1" s="1"/>
  <c r="IK70" i="1"/>
  <c r="IM70" i="1" s="1"/>
  <c r="IO70" i="1"/>
  <c r="Y69" i="1"/>
  <c r="M68" i="3"/>
  <c r="FQ68" i="1"/>
  <c r="FS68" i="1" s="1"/>
  <c r="GH68" i="1"/>
  <c r="GU68" i="1"/>
  <c r="GV68" i="1" s="1"/>
  <c r="HD68" i="1"/>
  <c r="HF68" i="1" s="1"/>
  <c r="HS68" i="1"/>
  <c r="HU68" i="1" s="1"/>
  <c r="HW68" i="1"/>
  <c r="HX68" i="1" s="1"/>
  <c r="IE68" i="1"/>
  <c r="IG68" i="1" s="1"/>
  <c r="II68" i="1"/>
  <c r="IJ68" i="1" s="1"/>
  <c r="IQ68" i="1"/>
  <c r="IS68" i="1" s="1"/>
  <c r="IU68" i="1"/>
  <c r="IV68" i="1" s="1"/>
  <c r="AU68" i="1"/>
  <c r="CA68" i="1"/>
  <c r="DD68" i="1"/>
  <c r="DE68" i="1" s="1"/>
  <c r="EC68" i="1"/>
  <c r="EX68" i="1"/>
  <c r="EZ68" i="1" s="1"/>
  <c r="HK68" i="1"/>
  <c r="HM68" i="1" s="1"/>
  <c r="HP68" i="1"/>
  <c r="HQ68" i="1" s="1"/>
  <c r="HY68" i="1"/>
  <c r="IA68" i="1" s="1"/>
  <c r="IC68" i="1"/>
  <c r="ID68" i="1" s="1"/>
  <c r="IK68" i="1"/>
  <c r="IM68" i="1" s="1"/>
  <c r="IO68" i="1"/>
  <c r="IP68" i="1" s="1"/>
  <c r="M63" i="3"/>
  <c r="AU63" i="1"/>
  <c r="CA63" i="1"/>
  <c r="DD63" i="1"/>
  <c r="EC63" i="1"/>
  <c r="EX63" i="1"/>
  <c r="HK63" i="1"/>
  <c r="HP63" i="1"/>
  <c r="HY63" i="1"/>
  <c r="IA63" i="1" s="1"/>
  <c r="IC63" i="1"/>
  <c r="IK63" i="1"/>
  <c r="IO63" i="1"/>
  <c r="CB63" i="1"/>
  <c r="EY63" i="1"/>
  <c r="GG63" i="1"/>
  <c r="GT63" i="1"/>
  <c r="HL63" i="1"/>
  <c r="HV63" i="1"/>
  <c r="HZ63" i="1"/>
  <c r="IH63" i="1"/>
  <c r="IL63" i="1"/>
  <c r="IT63" i="1"/>
  <c r="DC63" i="1"/>
  <c r="EB63" i="1"/>
  <c r="FR63" i="1"/>
  <c r="HE63" i="1"/>
  <c r="HO63" i="1"/>
  <c r="HT63" i="1"/>
  <c r="IB63" i="1"/>
  <c r="ID63" i="1" s="1"/>
  <c r="IF63" i="1"/>
  <c r="IN63" i="1"/>
  <c r="IR63" i="1"/>
  <c r="AN62" i="1"/>
  <c r="X62" i="1"/>
  <c r="X164" i="1" s="1"/>
  <c r="R61" i="1"/>
  <c r="R163" i="1" s="1"/>
  <c r="M52" i="3"/>
  <c r="CB52" i="1"/>
  <c r="EY52" i="1"/>
  <c r="GG52" i="1"/>
  <c r="GT52" i="1"/>
  <c r="GV52" i="1" s="1"/>
  <c r="HL52" i="1"/>
  <c r="HV52" i="1"/>
  <c r="HZ52" i="1"/>
  <c r="IH52" i="1"/>
  <c r="IJ52" i="1" s="1"/>
  <c r="IL52" i="1"/>
  <c r="IT52" i="1"/>
  <c r="FQ52" i="1"/>
  <c r="GH52" i="1"/>
  <c r="GU52" i="1"/>
  <c r="HD52" i="1"/>
  <c r="HS52" i="1"/>
  <c r="HW52" i="1"/>
  <c r="IE52" i="1"/>
  <c r="II52" i="1"/>
  <c r="IQ52" i="1"/>
  <c r="IU52" i="1"/>
  <c r="DC52" i="1"/>
  <c r="EB52" i="1"/>
  <c r="FR52" i="1"/>
  <c r="HE52" i="1"/>
  <c r="HO52" i="1"/>
  <c r="HT52" i="1"/>
  <c r="IB52" i="1"/>
  <c r="IF52" i="1"/>
  <c r="IN52" i="1"/>
  <c r="IR52" i="1"/>
  <c r="AU52" i="1"/>
  <c r="CA52" i="1"/>
  <c r="CC52" i="1" s="1"/>
  <c r="DD52" i="1"/>
  <c r="EC52" i="1"/>
  <c r="EX52" i="1"/>
  <c r="EZ52" i="1" s="1"/>
  <c r="HK52" i="1"/>
  <c r="HM52" i="1" s="1"/>
  <c r="HP52" i="1"/>
  <c r="HY52" i="1"/>
  <c r="IA52" i="1" s="1"/>
  <c r="IC52" i="1"/>
  <c r="IK52" i="1"/>
  <c r="IM52" i="1" s="1"/>
  <c r="IO52" i="1"/>
  <c r="W44" i="1"/>
  <c r="AK6" i="1"/>
  <c r="AI14" i="1"/>
  <c r="AJ15" i="1"/>
  <c r="AJ117" i="1" s="1"/>
  <c r="AI18" i="1"/>
  <c r="AI22" i="1"/>
  <c r="AJ23" i="1"/>
  <c r="AJ125" i="1" s="1"/>
  <c r="AI26" i="1"/>
  <c r="AI30" i="1"/>
  <c r="AJ31" i="1"/>
  <c r="AJ133" i="1" s="1"/>
  <c r="AI34" i="1"/>
  <c r="AJ35" i="1"/>
  <c r="AJ137" i="1" s="1"/>
  <c r="AI38" i="1"/>
  <c r="AJ39" i="1"/>
  <c r="AJ141" i="1" s="1"/>
  <c r="AJ43" i="1"/>
  <c r="AJ145" i="1" s="1"/>
  <c r="AJ14" i="1"/>
  <c r="AJ116" i="1" s="1"/>
  <c r="AJ18" i="1"/>
  <c r="AJ120" i="1" s="1"/>
  <c r="AJ22" i="1"/>
  <c r="AJ124" i="1" s="1"/>
  <c r="AJ26" i="1"/>
  <c r="AJ128" i="1" s="1"/>
  <c r="AJ30" i="1"/>
  <c r="AJ132" i="1" s="1"/>
  <c r="AJ34" i="1"/>
  <c r="AJ136" i="1" s="1"/>
  <c r="AK35" i="1"/>
  <c r="AJ38" i="1"/>
  <c r="AJ140" i="1" s="1"/>
  <c r="AK39" i="1"/>
  <c r="AJ42" i="1"/>
  <c r="AJ144" i="1" s="1"/>
  <c r="AK43" i="1"/>
  <c r="AJ46" i="1"/>
  <c r="AJ148" i="1" s="1"/>
  <c r="AI6" i="1"/>
  <c r="AJ6" i="1" s="1"/>
  <c r="AJ108" i="1" s="1"/>
  <c r="AK14" i="1"/>
  <c r="AK18" i="1"/>
  <c r="AK22" i="1"/>
  <c r="AK26" i="1"/>
  <c r="AK30" i="1"/>
  <c r="AK34" i="1"/>
  <c r="AI36" i="1"/>
  <c r="AI39" i="1"/>
  <c r="AJ41" i="1"/>
  <c r="AJ143" i="1" s="1"/>
  <c r="AI43" i="1"/>
  <c r="AJ45" i="1"/>
  <c r="AJ147" i="1" s="1"/>
  <c r="AI47" i="1"/>
  <c r="AJ48" i="1"/>
  <c r="AJ150" i="1" s="1"/>
  <c r="AK49" i="1"/>
  <c r="AI51" i="1"/>
  <c r="AJ52" i="1"/>
  <c r="AJ154" i="1" s="1"/>
  <c r="AK53" i="1"/>
  <c r="AI55" i="1"/>
  <c r="AJ56" i="1"/>
  <c r="AJ158" i="1" s="1"/>
  <c r="AK57" i="1"/>
  <c r="AI59" i="1"/>
  <c r="AJ60" i="1"/>
  <c r="AJ162" i="1" s="1"/>
  <c r="AK61" i="1"/>
  <c r="AI63" i="1"/>
  <c r="AJ64" i="1"/>
  <c r="AJ166" i="1" s="1"/>
  <c r="AK65" i="1"/>
  <c r="AI67" i="1"/>
  <c r="AJ68" i="1"/>
  <c r="AJ170" i="1" s="1"/>
  <c r="AJ36" i="1"/>
  <c r="AJ138" i="1" s="1"/>
  <c r="AJ47" i="1"/>
  <c r="AJ149" i="1" s="1"/>
  <c r="AJ51" i="1"/>
  <c r="AJ153" i="1" s="1"/>
  <c r="AJ55" i="1"/>
  <c r="AJ157" i="1" s="1"/>
  <c r="AJ59" i="1"/>
  <c r="AJ161" i="1" s="1"/>
  <c r="AJ63" i="1"/>
  <c r="AJ165" i="1" s="1"/>
  <c r="AJ67" i="1"/>
  <c r="AJ169" i="1" s="1"/>
  <c r="AJ71" i="1"/>
  <c r="AJ173" i="1" s="1"/>
  <c r="AI11" i="1"/>
  <c r="AK11" i="1" s="1"/>
  <c r="AI15" i="1"/>
  <c r="AK15" i="1" s="1"/>
  <c r="AI19" i="1"/>
  <c r="AK19" i="1" s="1"/>
  <c r="AI23" i="1"/>
  <c r="AK23" i="1" s="1"/>
  <c r="AI27" i="1"/>
  <c r="AK27" i="1" s="1"/>
  <c r="AI31" i="1"/>
  <c r="AK31" i="1" s="1"/>
  <c r="AI35" i="1"/>
  <c r="AK38" i="1"/>
  <c r="AJ40" i="1"/>
  <c r="AJ142" i="1" s="1"/>
  <c r="AJ44" i="1"/>
  <c r="AJ146" i="1" s="1"/>
  <c r="AK47" i="1"/>
  <c r="AI49" i="1"/>
  <c r="AJ50" i="1"/>
  <c r="AJ152" i="1" s="1"/>
  <c r="AK51" i="1"/>
  <c r="AI53" i="1"/>
  <c r="AJ54" i="1"/>
  <c r="AJ156" i="1" s="1"/>
  <c r="AK55" i="1"/>
  <c r="AI57" i="1"/>
  <c r="AJ58" i="1"/>
  <c r="AJ160" i="1" s="1"/>
  <c r="AK59" i="1"/>
  <c r="AI61" i="1"/>
  <c r="AI7" i="1"/>
  <c r="AJ7" i="1" s="1"/>
  <c r="AJ109" i="1" s="1"/>
  <c r="AJ37" i="1"/>
  <c r="AJ139" i="1" s="1"/>
  <c r="AK42" i="1"/>
  <c r="AK46" i="1"/>
  <c r="AJ49" i="1"/>
  <c r="AJ151" i="1" s="1"/>
  <c r="AJ53" i="1"/>
  <c r="AJ155" i="1" s="1"/>
  <c r="AJ57" i="1"/>
  <c r="AJ159" i="1" s="1"/>
  <c r="AJ61" i="1"/>
  <c r="AJ163" i="1" s="1"/>
  <c r="AJ65" i="1"/>
  <c r="AJ167" i="1" s="1"/>
  <c r="AJ69" i="1"/>
  <c r="AJ171" i="1" s="1"/>
  <c r="X11" i="1"/>
  <c r="X113" i="1" s="1"/>
  <c r="W18" i="1"/>
  <c r="X18" i="1" s="1"/>
  <c r="X120" i="1" s="1"/>
  <c r="X23" i="1"/>
  <c r="X125" i="1" s="1"/>
  <c r="W26" i="1"/>
  <c r="W30" i="1"/>
  <c r="X31" i="1"/>
  <c r="X133" i="1" s="1"/>
  <c r="W34" i="1"/>
  <c r="X35" i="1"/>
  <c r="X137" i="1" s="1"/>
  <c r="W38" i="1"/>
  <c r="X39" i="1"/>
  <c r="X141" i="1" s="1"/>
  <c r="X43" i="1"/>
  <c r="X145" i="1" s="1"/>
  <c r="Y11" i="1"/>
  <c r="Y15" i="1"/>
  <c r="Y23" i="1"/>
  <c r="X26" i="1"/>
  <c r="X128" i="1" s="1"/>
  <c r="Y27" i="1"/>
  <c r="X30" i="1"/>
  <c r="X132" i="1" s="1"/>
  <c r="Y31" i="1"/>
  <c r="X34" i="1"/>
  <c r="X136" i="1" s="1"/>
  <c r="Y35" i="1"/>
  <c r="X38" i="1"/>
  <c r="X140" i="1" s="1"/>
  <c r="Y39" i="1"/>
  <c r="X42" i="1"/>
  <c r="X144" i="1" s="1"/>
  <c r="Y43" i="1"/>
  <c r="X46" i="1"/>
  <c r="X148" i="1" s="1"/>
  <c r="Y26" i="1"/>
  <c r="Y30" i="1"/>
  <c r="Y34" i="1"/>
  <c r="W7" i="1"/>
  <c r="Y7" i="1" s="1"/>
  <c r="Y38" i="1"/>
  <c r="W47" i="1"/>
  <c r="X48" i="1"/>
  <c r="X150" i="1" s="1"/>
  <c r="Y49" i="1"/>
  <c r="W51" i="1"/>
  <c r="X52" i="1"/>
  <c r="X154" i="1" s="1"/>
  <c r="Y53" i="1"/>
  <c r="W55" i="1"/>
  <c r="X56" i="1"/>
  <c r="X158" i="1" s="1"/>
  <c r="Y57" i="1"/>
  <c r="W59" i="1"/>
  <c r="X60" i="1"/>
  <c r="X162" i="1" s="1"/>
  <c r="Y61" i="1"/>
  <c r="W63" i="1"/>
  <c r="X64" i="1"/>
  <c r="X166" i="1" s="1"/>
  <c r="Y65" i="1"/>
  <c r="W67" i="1"/>
  <c r="X68" i="1"/>
  <c r="X170" i="1" s="1"/>
  <c r="Y42" i="1"/>
  <c r="Y46" i="1"/>
  <c r="X47" i="1"/>
  <c r="X149" i="1" s="1"/>
  <c r="X51" i="1"/>
  <c r="X153" i="1" s="1"/>
  <c r="X55" i="1"/>
  <c r="X157" i="1" s="1"/>
  <c r="X59" i="1"/>
  <c r="X161" i="1" s="1"/>
  <c r="X63" i="1"/>
  <c r="X165" i="1" s="1"/>
  <c r="X67" i="1"/>
  <c r="X169" i="1" s="1"/>
  <c r="X71" i="1"/>
  <c r="X173" i="1" s="1"/>
  <c r="W36" i="1"/>
  <c r="W39" i="1"/>
  <c r="X41" i="1"/>
  <c r="X143" i="1" s="1"/>
  <c r="W43" i="1"/>
  <c r="X45" i="1"/>
  <c r="X147" i="1" s="1"/>
  <c r="Y47" i="1"/>
  <c r="W49" i="1"/>
  <c r="X50" i="1"/>
  <c r="X152" i="1" s="1"/>
  <c r="Y51" i="1"/>
  <c r="W53" i="1"/>
  <c r="X54" i="1"/>
  <c r="X156" i="1" s="1"/>
  <c r="Y55" i="1"/>
  <c r="W57" i="1"/>
  <c r="X58" i="1"/>
  <c r="X160" i="1" s="1"/>
  <c r="Y59" i="1"/>
  <c r="W61" i="1"/>
  <c r="W6" i="1"/>
  <c r="X6" i="1" s="1"/>
  <c r="X108" i="1" s="1"/>
  <c r="W11" i="1"/>
  <c r="W15" i="1"/>
  <c r="X15" i="1" s="1"/>
  <c r="X117" i="1" s="1"/>
  <c r="W19" i="1"/>
  <c r="X19" i="1" s="1"/>
  <c r="X121" i="1" s="1"/>
  <c r="W23" i="1"/>
  <c r="W27" i="1"/>
  <c r="X27" i="1" s="1"/>
  <c r="X129" i="1" s="1"/>
  <c r="W31" i="1"/>
  <c r="W35" i="1"/>
  <c r="X36" i="1"/>
  <c r="X138" i="1" s="1"/>
  <c r="W40" i="1"/>
  <c r="Y41" i="1"/>
  <c r="X49" i="1"/>
  <c r="X151" i="1" s="1"/>
  <c r="X53" i="1"/>
  <c r="X155" i="1" s="1"/>
  <c r="X57" i="1"/>
  <c r="X159" i="1" s="1"/>
  <c r="X61" i="1"/>
  <c r="X163" i="1" s="1"/>
  <c r="X65" i="1"/>
  <c r="X167" i="1" s="1"/>
  <c r="X69" i="1"/>
  <c r="X171" i="1" s="1"/>
  <c r="IT104" i="1"/>
  <c r="IL104" i="1"/>
  <c r="IH104" i="1"/>
  <c r="HZ104" i="1"/>
  <c r="HV104" i="1"/>
  <c r="HL104" i="1"/>
  <c r="GT104" i="1"/>
  <c r="GG104" i="1"/>
  <c r="EY104" i="1"/>
  <c r="CB104" i="1"/>
  <c r="AJ104" i="1"/>
  <c r="AJ206" i="1" s="1"/>
  <c r="X104" i="1"/>
  <c r="X206" i="1" s="1"/>
  <c r="AY103" i="1"/>
  <c r="H104" i="5" s="1"/>
  <c r="AQ103" i="1"/>
  <c r="AM103" i="1"/>
  <c r="AM205" i="1" s="1"/>
  <c r="AI103" i="1"/>
  <c r="AE103" i="1"/>
  <c r="AA103" i="1"/>
  <c r="AA205" i="1" s="1"/>
  <c r="W103" i="1"/>
  <c r="IT100" i="1"/>
  <c r="IL100" i="1"/>
  <c r="IH100" i="1"/>
  <c r="HZ100" i="1"/>
  <c r="HV100" i="1"/>
  <c r="HL100" i="1"/>
  <c r="GT100" i="1"/>
  <c r="GG100" i="1"/>
  <c r="EY100" i="1"/>
  <c r="CB100" i="1"/>
  <c r="AJ100" i="1"/>
  <c r="AJ202" i="1" s="1"/>
  <c r="X100" i="1"/>
  <c r="X202" i="1" s="1"/>
  <c r="IO99" i="1"/>
  <c r="IP99" i="1" s="1"/>
  <c r="IK99" i="1"/>
  <c r="IM99" i="1" s="1"/>
  <c r="IC99" i="1"/>
  <c r="ID99" i="1" s="1"/>
  <c r="HY99" i="1"/>
  <c r="HP99" i="1"/>
  <c r="HQ99" i="1" s="1"/>
  <c r="HK99" i="1"/>
  <c r="HM99" i="1" s="1"/>
  <c r="EX99" i="1"/>
  <c r="EZ99" i="1" s="1"/>
  <c r="EC99" i="1"/>
  <c r="ED99" i="1" s="1"/>
  <c r="DD99" i="1"/>
  <c r="DE99" i="1" s="1"/>
  <c r="CA99" i="1"/>
  <c r="CC99" i="1" s="1"/>
  <c r="AY99" i="1"/>
  <c r="H100" i="5" s="1"/>
  <c r="AU99" i="1"/>
  <c r="AQ99" i="1"/>
  <c r="AM99" i="1"/>
  <c r="AM201" i="1" s="1"/>
  <c r="AI99" i="1"/>
  <c r="AE99" i="1"/>
  <c r="AA99" i="1"/>
  <c r="AA201" i="1" s="1"/>
  <c r="W99" i="1"/>
  <c r="AX98" i="1"/>
  <c r="G99" i="5" s="1"/>
  <c r="AT98" i="1"/>
  <c r="AP98" i="1"/>
  <c r="AP200" i="1" s="1"/>
  <c r="AL98" i="1"/>
  <c r="AH98" i="1"/>
  <c r="AD98" i="1"/>
  <c r="AD200" i="1" s="1"/>
  <c r="Z98" i="1"/>
  <c r="V98" i="1"/>
  <c r="IT96" i="1"/>
  <c r="IV96" i="1" s="1"/>
  <c r="IL96" i="1"/>
  <c r="IM96" i="1" s="1"/>
  <c r="IH96" i="1"/>
  <c r="IJ96" i="1" s="1"/>
  <c r="HZ96" i="1"/>
  <c r="IA96" i="1" s="1"/>
  <c r="HV96" i="1"/>
  <c r="HX96" i="1" s="1"/>
  <c r="HL96" i="1"/>
  <c r="HM96" i="1" s="1"/>
  <c r="GT96" i="1"/>
  <c r="GV96" i="1" s="1"/>
  <c r="GG96" i="1"/>
  <c r="GI96" i="1" s="1"/>
  <c r="EY96" i="1"/>
  <c r="EZ96" i="1" s="1"/>
  <c r="CB96" i="1"/>
  <c r="CC96" i="1" s="1"/>
  <c r="AJ96" i="1"/>
  <c r="AJ198" i="1" s="1"/>
  <c r="X96" i="1"/>
  <c r="X198" i="1" s="1"/>
  <c r="IO95" i="1"/>
  <c r="IP95" i="1" s="1"/>
  <c r="IK95" i="1"/>
  <c r="IC95" i="1"/>
  <c r="ID95" i="1" s="1"/>
  <c r="HY95" i="1"/>
  <c r="IA95" i="1" s="1"/>
  <c r="HP95" i="1"/>
  <c r="HQ95" i="1" s="1"/>
  <c r="HK95" i="1"/>
  <c r="EX95" i="1"/>
  <c r="EZ95" i="1" s="1"/>
  <c r="EC95" i="1"/>
  <c r="ED95" i="1" s="1"/>
  <c r="DD95" i="1"/>
  <c r="DE95" i="1" s="1"/>
  <c r="CA95" i="1"/>
  <c r="AY95" i="1"/>
  <c r="H96" i="5" s="1"/>
  <c r="AU95" i="1"/>
  <c r="AQ95" i="1"/>
  <c r="AM95" i="1"/>
  <c r="AM197" i="1" s="1"/>
  <c r="AI95" i="1"/>
  <c r="AE95" i="1"/>
  <c r="AA95" i="1"/>
  <c r="AA197" i="1" s="1"/>
  <c r="W95" i="1"/>
  <c r="IR94" i="1"/>
  <c r="IN94" i="1"/>
  <c r="IP94" i="1" s="1"/>
  <c r="IF94" i="1"/>
  <c r="IB94" i="1"/>
  <c r="ID94" i="1" s="1"/>
  <c r="HT94" i="1"/>
  <c r="HO94" i="1"/>
  <c r="HQ94" i="1" s="1"/>
  <c r="HE94" i="1"/>
  <c r="FR94" i="1"/>
  <c r="EB94" i="1"/>
  <c r="ED94" i="1" s="1"/>
  <c r="DC94" i="1"/>
  <c r="DE94" i="1" s="1"/>
  <c r="AX94" i="1"/>
  <c r="G95" i="5" s="1"/>
  <c r="AT94" i="1"/>
  <c r="AP94" i="1"/>
  <c r="AP196" i="1" s="1"/>
  <c r="AL94" i="1"/>
  <c r="AH94" i="1"/>
  <c r="AD94" i="1"/>
  <c r="AD196" i="1" s="1"/>
  <c r="Z94" i="1"/>
  <c r="V94" i="1"/>
  <c r="AW93" i="1"/>
  <c r="O93" i="1" s="1"/>
  <c r="AS93" i="1"/>
  <c r="AS195" i="1" s="1"/>
  <c r="AO93" i="1"/>
  <c r="AK93" i="1"/>
  <c r="AG93" i="1"/>
  <c r="AG195" i="1" s="1"/>
  <c r="AC93" i="1"/>
  <c r="Y93" i="1"/>
  <c r="U93" i="1"/>
  <c r="U195" i="1" s="1"/>
  <c r="Q93" i="1"/>
  <c r="M93" i="1"/>
  <c r="IT92" i="1"/>
  <c r="IV92" i="1" s="1"/>
  <c r="IL92" i="1"/>
  <c r="IM92" i="1" s="1"/>
  <c r="IH92" i="1"/>
  <c r="IJ92" i="1" s="1"/>
  <c r="HZ92" i="1"/>
  <c r="IA92" i="1" s="1"/>
  <c r="HV92" i="1"/>
  <c r="HX92" i="1" s="1"/>
  <c r="HL92" i="1"/>
  <c r="HM92" i="1" s="1"/>
  <c r="GT92" i="1"/>
  <c r="GV92" i="1" s="1"/>
  <c r="GG92" i="1"/>
  <c r="GI92" i="1" s="1"/>
  <c r="EY92" i="1"/>
  <c r="EZ92" i="1" s="1"/>
  <c r="CB92" i="1"/>
  <c r="CC92" i="1" s="1"/>
  <c r="AJ92" i="1"/>
  <c r="AJ194" i="1" s="1"/>
  <c r="X92" i="1"/>
  <c r="X194" i="1" s="1"/>
  <c r="IO91" i="1"/>
  <c r="IP91" i="1" s="1"/>
  <c r="IK91" i="1"/>
  <c r="IM91" i="1" s="1"/>
  <c r="IC91" i="1"/>
  <c r="ID91" i="1" s="1"/>
  <c r="HY91" i="1"/>
  <c r="IA91" i="1" s="1"/>
  <c r="HP91" i="1"/>
  <c r="HQ91" i="1" s="1"/>
  <c r="HK91" i="1"/>
  <c r="HM91" i="1" s="1"/>
  <c r="EX91" i="1"/>
  <c r="EZ91" i="1" s="1"/>
  <c r="EC91" i="1"/>
  <c r="ED91" i="1" s="1"/>
  <c r="DD91" i="1"/>
  <c r="DE91" i="1" s="1"/>
  <c r="CA91" i="1"/>
  <c r="CC91" i="1" s="1"/>
  <c r="AY91" i="1"/>
  <c r="H92" i="5" s="1"/>
  <c r="AU91" i="1"/>
  <c r="AQ91" i="1"/>
  <c r="AM91" i="1"/>
  <c r="AM193" i="1" s="1"/>
  <c r="AI91" i="1"/>
  <c r="AE91" i="1"/>
  <c r="AA91" i="1"/>
  <c r="AA193" i="1" s="1"/>
  <c r="W91" i="1"/>
  <c r="IR90" i="1"/>
  <c r="IS90" i="1" s="1"/>
  <c r="IN90" i="1"/>
  <c r="IP90" i="1" s="1"/>
  <c r="IF90" i="1"/>
  <c r="IG90" i="1" s="1"/>
  <c r="IB90" i="1"/>
  <c r="ID90" i="1" s="1"/>
  <c r="HT90" i="1"/>
  <c r="HU90" i="1" s="1"/>
  <c r="HO90" i="1"/>
  <c r="HQ90" i="1" s="1"/>
  <c r="HE90" i="1"/>
  <c r="HF90" i="1" s="1"/>
  <c r="FR90" i="1"/>
  <c r="FS90" i="1" s="1"/>
  <c r="EB90" i="1"/>
  <c r="ED90" i="1" s="1"/>
  <c r="DC90" i="1"/>
  <c r="DE90" i="1" s="1"/>
  <c r="AX90" i="1"/>
  <c r="G91" i="5" s="1"/>
  <c r="AT90" i="1"/>
  <c r="AP90" i="1"/>
  <c r="AP192" i="1" s="1"/>
  <c r="AL90" i="1"/>
  <c r="AH90" i="1"/>
  <c r="AD90" i="1"/>
  <c r="AD192" i="1" s="1"/>
  <c r="Z90" i="1"/>
  <c r="V90" i="1"/>
  <c r="AW89" i="1"/>
  <c r="O89" i="1" s="1"/>
  <c r="AS89" i="1"/>
  <c r="AS191" i="1" s="1"/>
  <c r="AO89" i="1"/>
  <c r="AK89" i="1"/>
  <c r="AG89" i="1"/>
  <c r="AG191" i="1" s="1"/>
  <c r="AC89" i="1"/>
  <c r="Y89" i="1"/>
  <c r="U89" i="1"/>
  <c r="U191" i="1" s="1"/>
  <c r="Q89" i="1"/>
  <c r="M89" i="1"/>
  <c r="IT88" i="1"/>
  <c r="IV88" i="1" s="1"/>
  <c r="IL88" i="1"/>
  <c r="IM88" i="1" s="1"/>
  <c r="IH88" i="1"/>
  <c r="IJ88" i="1" s="1"/>
  <c r="HZ88" i="1"/>
  <c r="IA88" i="1" s="1"/>
  <c r="HV88" i="1"/>
  <c r="HX88" i="1" s="1"/>
  <c r="HL88" i="1"/>
  <c r="HM88" i="1" s="1"/>
  <c r="GT88" i="1"/>
  <c r="GV88" i="1" s="1"/>
  <c r="GG88" i="1"/>
  <c r="GI88" i="1" s="1"/>
  <c r="EY88" i="1"/>
  <c r="EZ88" i="1" s="1"/>
  <c r="CB88" i="1"/>
  <c r="CC88" i="1" s="1"/>
  <c r="AJ88" i="1"/>
  <c r="AJ190" i="1" s="1"/>
  <c r="X88" i="1"/>
  <c r="X190" i="1" s="1"/>
  <c r="AY87" i="1"/>
  <c r="H88" i="5" s="1"/>
  <c r="AQ87" i="1"/>
  <c r="AM87" i="1"/>
  <c r="AM189" i="1" s="1"/>
  <c r="AI87" i="1"/>
  <c r="AE87" i="1"/>
  <c r="AA87" i="1"/>
  <c r="AA189" i="1" s="1"/>
  <c r="W87" i="1"/>
  <c r="S87" i="1"/>
  <c r="IR86" i="1"/>
  <c r="IN86" i="1"/>
  <c r="IP86" i="1" s="1"/>
  <c r="IF86" i="1"/>
  <c r="IB86" i="1"/>
  <c r="ID86" i="1" s="1"/>
  <c r="HT86" i="1"/>
  <c r="HO86" i="1"/>
  <c r="HQ86" i="1" s="1"/>
  <c r="HE86" i="1"/>
  <c r="FR86" i="1"/>
  <c r="EB86" i="1"/>
  <c r="ED86" i="1" s="1"/>
  <c r="DC86" i="1"/>
  <c r="DE86" i="1" s="1"/>
  <c r="AX86" i="1"/>
  <c r="G87" i="5" s="1"/>
  <c r="AT86" i="1"/>
  <c r="AP86" i="1"/>
  <c r="AP188" i="1" s="1"/>
  <c r="AL86" i="1"/>
  <c r="AH86" i="1"/>
  <c r="AD86" i="1"/>
  <c r="AD188" i="1" s="1"/>
  <c r="Z86" i="1"/>
  <c r="V86" i="1"/>
  <c r="AW85" i="1"/>
  <c r="O85" i="1" s="1"/>
  <c r="AS85" i="1"/>
  <c r="AS187" i="1" s="1"/>
  <c r="AO85" i="1"/>
  <c r="AK85" i="1"/>
  <c r="AG85" i="1"/>
  <c r="AG187" i="1" s="1"/>
  <c r="AC85" i="1"/>
  <c r="Y85" i="1"/>
  <c r="U85" i="1"/>
  <c r="U187" i="1" s="1"/>
  <c r="Q85" i="1"/>
  <c r="M85" i="1"/>
  <c r="IT84" i="1"/>
  <c r="IL84" i="1"/>
  <c r="IH84" i="1"/>
  <c r="HZ84" i="1"/>
  <c r="HV84" i="1"/>
  <c r="HL84" i="1"/>
  <c r="GT84" i="1"/>
  <c r="GG84" i="1"/>
  <c r="EY84" i="1"/>
  <c r="CB84" i="1"/>
  <c r="AJ84" i="1"/>
  <c r="AJ186" i="1" s="1"/>
  <c r="X84" i="1"/>
  <c r="X186" i="1" s="1"/>
  <c r="AY83" i="1"/>
  <c r="H84" i="5" s="1"/>
  <c r="AQ83" i="1"/>
  <c r="AM83" i="1"/>
  <c r="AM185" i="1" s="1"/>
  <c r="AI83" i="1"/>
  <c r="AE83" i="1"/>
  <c r="AA83" i="1"/>
  <c r="AA185" i="1" s="1"/>
  <c r="W83" i="1"/>
  <c r="S83" i="1"/>
  <c r="IR82" i="1"/>
  <c r="IN82" i="1"/>
  <c r="IP82" i="1" s="1"/>
  <c r="IF82" i="1"/>
  <c r="IB82" i="1"/>
  <c r="ID82" i="1" s="1"/>
  <c r="HT82" i="1"/>
  <c r="HO82" i="1"/>
  <c r="HQ82" i="1" s="1"/>
  <c r="HE82" i="1"/>
  <c r="FR82" i="1"/>
  <c r="EB82" i="1"/>
  <c r="DC82" i="1"/>
  <c r="DE82" i="1" s="1"/>
  <c r="AX82" i="1"/>
  <c r="G83" i="5" s="1"/>
  <c r="AT82" i="1"/>
  <c r="AP82" i="1"/>
  <c r="AP184" i="1" s="1"/>
  <c r="AL82" i="1"/>
  <c r="AH82" i="1"/>
  <c r="AD82" i="1"/>
  <c r="AD184" i="1" s="1"/>
  <c r="Z82" i="1"/>
  <c r="V82" i="1"/>
  <c r="AW81" i="1"/>
  <c r="O81" i="1" s="1"/>
  <c r="AS81" i="1"/>
  <c r="AS183" i="1" s="1"/>
  <c r="AO81" i="1"/>
  <c r="AK81" i="1"/>
  <c r="AG81" i="1"/>
  <c r="AG183" i="1" s="1"/>
  <c r="AC81" i="1"/>
  <c r="Y81" i="1"/>
  <c r="U81" i="1"/>
  <c r="U183" i="1" s="1"/>
  <c r="Q81" i="1"/>
  <c r="M81" i="1"/>
  <c r="IT80" i="1"/>
  <c r="IL80" i="1"/>
  <c r="IH80" i="1"/>
  <c r="HZ80" i="1"/>
  <c r="HV80" i="1"/>
  <c r="HL80" i="1"/>
  <c r="GT80" i="1"/>
  <c r="GG80" i="1"/>
  <c r="EY80" i="1"/>
  <c r="CB80" i="1"/>
  <c r="AJ80" i="1"/>
  <c r="AJ182" i="1" s="1"/>
  <c r="X80" i="1"/>
  <c r="X182" i="1" s="1"/>
  <c r="AY79" i="1"/>
  <c r="H80" i="5" s="1"/>
  <c r="AQ79" i="1"/>
  <c r="AM79" i="1"/>
  <c r="AM181" i="1" s="1"/>
  <c r="AI79" i="1"/>
  <c r="AE79" i="1"/>
  <c r="AA79" i="1"/>
  <c r="AA181" i="1" s="1"/>
  <c r="W79" i="1"/>
  <c r="S79" i="1"/>
  <c r="IR78" i="1"/>
  <c r="IN78" i="1"/>
  <c r="IP78" i="1" s="1"/>
  <c r="IF78" i="1"/>
  <c r="IB78" i="1"/>
  <c r="ID78" i="1" s="1"/>
  <c r="HT78" i="1"/>
  <c r="HO78" i="1"/>
  <c r="HQ78" i="1" s="1"/>
  <c r="HE78" i="1"/>
  <c r="FR78" i="1"/>
  <c r="EB78" i="1"/>
  <c r="ED78" i="1" s="1"/>
  <c r="DC78" i="1"/>
  <c r="DE78" i="1" s="1"/>
  <c r="AX78" i="1"/>
  <c r="G79" i="5" s="1"/>
  <c r="AT78" i="1"/>
  <c r="AP78" i="1"/>
  <c r="AP180" i="1" s="1"/>
  <c r="AL78" i="1"/>
  <c r="AH78" i="1"/>
  <c r="AD78" i="1"/>
  <c r="AD180" i="1" s="1"/>
  <c r="Z78" i="1"/>
  <c r="V78" i="1"/>
  <c r="AW77" i="1"/>
  <c r="O77" i="1" s="1"/>
  <c r="AS77" i="1"/>
  <c r="AS179" i="1" s="1"/>
  <c r="AO77" i="1"/>
  <c r="AK77" i="1"/>
  <c r="AG77" i="1"/>
  <c r="AG179" i="1" s="1"/>
  <c r="AC77" i="1"/>
  <c r="Y77" i="1"/>
  <c r="U77" i="1"/>
  <c r="U179" i="1" s="1"/>
  <c r="Q77" i="1"/>
  <c r="M77" i="1"/>
  <c r="IT76" i="1"/>
  <c r="IL76" i="1"/>
  <c r="IH76" i="1"/>
  <c r="HZ76" i="1"/>
  <c r="HV76" i="1"/>
  <c r="HL76" i="1"/>
  <c r="GT76" i="1"/>
  <c r="GG76" i="1"/>
  <c r="EY76" i="1"/>
  <c r="CB76" i="1"/>
  <c r="AJ76" i="1"/>
  <c r="AJ178" i="1" s="1"/>
  <c r="X76" i="1"/>
  <c r="X178" i="1" s="1"/>
  <c r="AY75" i="1"/>
  <c r="H76" i="5" s="1"/>
  <c r="AQ75" i="1"/>
  <c r="AM75" i="1"/>
  <c r="AM177" i="1" s="1"/>
  <c r="AI75" i="1"/>
  <c r="AE75" i="1"/>
  <c r="AA75" i="1"/>
  <c r="AA177" i="1" s="1"/>
  <c r="W75" i="1"/>
  <c r="S75" i="1"/>
  <c r="IR74" i="1"/>
  <c r="IS74" i="1" s="1"/>
  <c r="IN74" i="1"/>
  <c r="IP74" i="1" s="1"/>
  <c r="IF74" i="1"/>
  <c r="IG74" i="1" s="1"/>
  <c r="IB74" i="1"/>
  <c r="ID74" i="1" s="1"/>
  <c r="HT74" i="1"/>
  <c r="HU74" i="1" s="1"/>
  <c r="HO74" i="1"/>
  <c r="HQ74" i="1" s="1"/>
  <c r="HE74" i="1"/>
  <c r="HF74" i="1" s="1"/>
  <c r="FR74" i="1"/>
  <c r="FS74" i="1" s="1"/>
  <c r="EB74" i="1"/>
  <c r="DC74" i="1"/>
  <c r="DE74" i="1" s="1"/>
  <c r="AX74" i="1"/>
  <c r="G75" i="5" s="1"/>
  <c r="AT74" i="1"/>
  <c r="AP74" i="1"/>
  <c r="AP176" i="1" s="1"/>
  <c r="AL74" i="1"/>
  <c r="AH74" i="1"/>
  <c r="AD74" i="1"/>
  <c r="AD176" i="1" s="1"/>
  <c r="Z74" i="1"/>
  <c r="V74" i="1"/>
  <c r="AW73" i="1"/>
  <c r="O73" i="1" s="1"/>
  <c r="AS73" i="1"/>
  <c r="AS175" i="1" s="1"/>
  <c r="AO73" i="1"/>
  <c r="AK73" i="1"/>
  <c r="AG73" i="1"/>
  <c r="AG175" i="1" s="1"/>
  <c r="AC73" i="1"/>
  <c r="X73" i="1"/>
  <c r="X175" i="1" s="1"/>
  <c r="S73" i="1"/>
  <c r="GM72" i="1"/>
  <c r="FM72" i="1"/>
  <c r="DO72" i="1"/>
  <c r="BQ72" i="1"/>
  <c r="W72" i="1"/>
  <c r="M72" i="1"/>
  <c r="Q72" i="1"/>
  <c r="U72" i="1"/>
  <c r="U174" i="1" s="1"/>
  <c r="Y72" i="1"/>
  <c r="AC72" i="1"/>
  <c r="AG72" i="1"/>
  <c r="AG174" i="1" s="1"/>
  <c r="AK72" i="1"/>
  <c r="AO72" i="1"/>
  <c r="AS72" i="1"/>
  <c r="AS174" i="1" s="1"/>
  <c r="AW72" i="1"/>
  <c r="O72" i="1" s="1"/>
  <c r="ID71" i="1"/>
  <c r="DE71" i="1"/>
  <c r="BT71" i="1"/>
  <c r="W71" i="1"/>
  <c r="M71" i="3"/>
  <c r="CB71" i="1"/>
  <c r="CC71" i="1" s="1"/>
  <c r="EY71" i="1"/>
  <c r="EZ71" i="1" s="1"/>
  <c r="GG71" i="1"/>
  <c r="GI71" i="1" s="1"/>
  <c r="GT71" i="1"/>
  <c r="GV71" i="1" s="1"/>
  <c r="HL71" i="1"/>
  <c r="HM71" i="1" s="1"/>
  <c r="HV71" i="1"/>
  <c r="HX71" i="1" s="1"/>
  <c r="HZ71" i="1"/>
  <c r="IA71" i="1" s="1"/>
  <c r="IH71" i="1"/>
  <c r="IJ71" i="1" s="1"/>
  <c r="IL71" i="1"/>
  <c r="IM71" i="1" s="1"/>
  <c r="IT71" i="1"/>
  <c r="IV71" i="1" s="1"/>
  <c r="IT70" i="1"/>
  <c r="IV70" i="1" s="1"/>
  <c r="IN70" i="1"/>
  <c r="IP70" i="1" s="1"/>
  <c r="II70" i="1"/>
  <c r="IJ70" i="1" s="1"/>
  <c r="HS70" i="1"/>
  <c r="HU70" i="1" s="1"/>
  <c r="HL70" i="1"/>
  <c r="HE70" i="1"/>
  <c r="GS70" i="1"/>
  <c r="GH70" i="1"/>
  <c r="GI70" i="1" s="1"/>
  <c r="EB70" i="1"/>
  <c r="ED70" i="1" s="1"/>
  <c r="DU70" i="1"/>
  <c r="CJ70" i="1"/>
  <c r="S70" i="1"/>
  <c r="W70" i="1"/>
  <c r="AA70" i="1"/>
  <c r="AA172" i="1" s="1"/>
  <c r="AE70" i="1"/>
  <c r="AI70" i="1"/>
  <c r="AM70" i="1"/>
  <c r="AM172" i="1" s="1"/>
  <c r="AQ70" i="1"/>
  <c r="AY70" i="1"/>
  <c r="H71" i="5" s="1"/>
  <c r="IQ69" i="1"/>
  <c r="IL69" i="1"/>
  <c r="IM69" i="1" s="1"/>
  <c r="HV69" i="1"/>
  <c r="HX69" i="1" s="1"/>
  <c r="HP69" i="1"/>
  <c r="DL69" i="1"/>
  <c r="DD69" i="1"/>
  <c r="BZ69" i="1"/>
  <c r="BB69" i="1"/>
  <c r="W69" i="1"/>
  <c r="GG68" i="1"/>
  <c r="GI68" i="1" s="1"/>
  <c r="FM68" i="1"/>
  <c r="EA68" i="1"/>
  <c r="R66" i="1"/>
  <c r="R168" i="1" s="1"/>
  <c r="V66" i="1"/>
  <c r="Z66" i="1"/>
  <c r="AD66" i="1"/>
  <c r="AD168" i="1" s="1"/>
  <c r="AH66" i="1"/>
  <c r="AL66" i="1"/>
  <c r="AP66" i="1"/>
  <c r="AP168" i="1" s="1"/>
  <c r="AT66" i="1"/>
  <c r="AX66" i="1"/>
  <c r="G67" i="5" s="1"/>
  <c r="S66" i="1"/>
  <c r="W66" i="1"/>
  <c r="AA66" i="1"/>
  <c r="AA168" i="1" s="1"/>
  <c r="AE66" i="1"/>
  <c r="AI66" i="1"/>
  <c r="AM66" i="1"/>
  <c r="AM168" i="1" s="1"/>
  <c r="AQ66" i="1"/>
  <c r="AY66" i="1"/>
  <c r="H67" i="5" s="1"/>
  <c r="M66" i="1"/>
  <c r="Q66" i="1"/>
  <c r="U66" i="1"/>
  <c r="U168" i="1" s="1"/>
  <c r="Y66" i="1"/>
  <c r="AC66" i="1"/>
  <c r="AG66" i="1"/>
  <c r="AG168" i="1" s="1"/>
  <c r="AK66" i="1"/>
  <c r="AO66" i="1"/>
  <c r="AS66" i="1"/>
  <c r="AS168" i="1" s="1"/>
  <c r="AW66" i="1"/>
  <c r="O66" i="1" s="1"/>
  <c r="W65" i="1"/>
  <c r="R65" i="1"/>
  <c r="R167" i="1" s="1"/>
  <c r="AK63" i="1"/>
  <c r="AJ62" i="1"/>
  <c r="AJ164" i="1" s="1"/>
  <c r="T62" i="1"/>
  <c r="M56" i="3"/>
  <c r="CB56" i="1"/>
  <c r="EY56" i="1"/>
  <c r="GG56" i="1"/>
  <c r="GT56" i="1"/>
  <c r="HL56" i="1"/>
  <c r="HV56" i="1"/>
  <c r="HZ56" i="1"/>
  <c r="IH56" i="1"/>
  <c r="IL56" i="1"/>
  <c r="IT56" i="1"/>
  <c r="FQ56" i="1"/>
  <c r="GH56" i="1"/>
  <c r="GU56" i="1"/>
  <c r="HD56" i="1"/>
  <c r="HS56" i="1"/>
  <c r="HW56" i="1"/>
  <c r="IE56" i="1"/>
  <c r="II56" i="1"/>
  <c r="IQ56" i="1"/>
  <c r="IU56" i="1"/>
  <c r="DC56" i="1"/>
  <c r="EB56" i="1"/>
  <c r="FR56" i="1"/>
  <c r="HE56" i="1"/>
  <c r="HO56" i="1"/>
  <c r="HT56" i="1"/>
  <c r="IB56" i="1"/>
  <c r="IF56" i="1"/>
  <c r="IN56" i="1"/>
  <c r="IR56" i="1"/>
  <c r="AU56" i="1"/>
  <c r="CA56" i="1"/>
  <c r="CC56" i="1" s="1"/>
  <c r="DD56" i="1"/>
  <c r="EC56" i="1"/>
  <c r="EX56" i="1"/>
  <c r="EZ56" i="1" s="1"/>
  <c r="HK56" i="1"/>
  <c r="HM56" i="1" s="1"/>
  <c r="HP56" i="1"/>
  <c r="HY56" i="1"/>
  <c r="IA56" i="1" s="1"/>
  <c r="IC56" i="1"/>
  <c r="IK56" i="1"/>
  <c r="IM56" i="1" s="1"/>
  <c r="IO56" i="1"/>
  <c r="R50" i="1"/>
  <c r="R152" i="1" s="1"/>
  <c r="R49" i="1"/>
  <c r="R151" i="1" s="1"/>
  <c r="M45" i="3"/>
  <c r="DC45" i="1"/>
  <c r="EB45" i="1"/>
  <c r="FR45" i="1"/>
  <c r="HE45" i="1"/>
  <c r="HO45" i="1"/>
  <c r="HT45" i="1"/>
  <c r="IB45" i="1"/>
  <c r="IF45" i="1"/>
  <c r="IN45" i="1"/>
  <c r="IR45" i="1"/>
  <c r="AU45" i="1"/>
  <c r="CA45" i="1"/>
  <c r="DD45" i="1"/>
  <c r="EC45" i="1"/>
  <c r="EX45" i="1"/>
  <c r="HK45" i="1"/>
  <c r="HP45" i="1"/>
  <c r="HY45" i="1"/>
  <c r="IC45" i="1"/>
  <c r="IK45" i="1"/>
  <c r="IO45" i="1"/>
  <c r="FQ45" i="1"/>
  <c r="FS45" i="1" s="1"/>
  <c r="GH45" i="1"/>
  <c r="HL45" i="1"/>
  <c r="HV45" i="1"/>
  <c r="HX45" i="1" s="1"/>
  <c r="IL45" i="1"/>
  <c r="IT45" i="1"/>
  <c r="EY45" i="1"/>
  <c r="GT45" i="1"/>
  <c r="GV45" i="1" s="1"/>
  <c r="HD45" i="1"/>
  <c r="HW45" i="1"/>
  <c r="IE45" i="1"/>
  <c r="IG45" i="1" s="1"/>
  <c r="IU45" i="1"/>
  <c r="CB45" i="1"/>
  <c r="GU45" i="1"/>
  <c r="HZ45" i="1"/>
  <c r="IH45" i="1"/>
  <c r="GG45" i="1"/>
  <c r="GI45" i="1" s="1"/>
  <c r="HS45" i="1"/>
  <c r="II45" i="1"/>
  <c r="IQ45" i="1"/>
  <c r="IS45" i="1" s="1"/>
  <c r="M41" i="3"/>
  <c r="DC41" i="1"/>
  <c r="EB41" i="1"/>
  <c r="FR41" i="1"/>
  <c r="HE41" i="1"/>
  <c r="HO41" i="1"/>
  <c r="HT41" i="1"/>
  <c r="IB41" i="1"/>
  <c r="IF41" i="1"/>
  <c r="IN41" i="1"/>
  <c r="IR41" i="1"/>
  <c r="AU41" i="1"/>
  <c r="CA41" i="1"/>
  <c r="DD41" i="1"/>
  <c r="EC41" i="1"/>
  <c r="EX41" i="1"/>
  <c r="HK41" i="1"/>
  <c r="HP41" i="1"/>
  <c r="HY41" i="1"/>
  <c r="IC41" i="1"/>
  <c r="IK41" i="1"/>
  <c r="IO41" i="1"/>
  <c r="FQ41" i="1"/>
  <c r="GH41" i="1"/>
  <c r="HL41" i="1"/>
  <c r="HV41" i="1"/>
  <c r="IL41" i="1"/>
  <c r="IT41" i="1"/>
  <c r="IV41" i="1" s="1"/>
  <c r="EY41" i="1"/>
  <c r="GT41" i="1"/>
  <c r="HD41" i="1"/>
  <c r="HW41" i="1"/>
  <c r="IE41" i="1"/>
  <c r="IG41" i="1" s="1"/>
  <c r="IU41" i="1"/>
  <c r="CB41" i="1"/>
  <c r="GU41" i="1"/>
  <c r="HZ41" i="1"/>
  <c r="IH41" i="1"/>
  <c r="GG41" i="1"/>
  <c r="HS41" i="1"/>
  <c r="II41" i="1"/>
  <c r="IQ41" i="1"/>
  <c r="AK94" i="1"/>
  <c r="Y94" i="1"/>
  <c r="AJ93" i="1"/>
  <c r="AJ195" i="1" s="1"/>
  <c r="X93" i="1"/>
  <c r="X195" i="1" s="1"/>
  <c r="AI92" i="1"/>
  <c r="W92" i="1"/>
  <c r="AK90" i="1"/>
  <c r="Y90" i="1"/>
  <c r="DB90" i="3"/>
  <c r="EA90" i="3"/>
  <c r="FQ90" i="3"/>
  <c r="HD90" i="3"/>
  <c r="HN90" i="3"/>
  <c r="HS90" i="3"/>
  <c r="IA90" i="3"/>
  <c r="IE90" i="3"/>
  <c r="IM90" i="3"/>
  <c r="IQ90" i="3"/>
  <c r="BZ90" i="3"/>
  <c r="DC90" i="3"/>
  <c r="EB90" i="3"/>
  <c r="CA90" i="3"/>
  <c r="EX90" i="3"/>
  <c r="GF90" i="3"/>
  <c r="GS90" i="3"/>
  <c r="HK90" i="3"/>
  <c r="HU90" i="3"/>
  <c r="HY90" i="3"/>
  <c r="IG90" i="3"/>
  <c r="IK90" i="3"/>
  <c r="IS90" i="3"/>
  <c r="EW90" i="3"/>
  <c r="HR90" i="3"/>
  <c r="IH90" i="3"/>
  <c r="IP90" i="3"/>
  <c r="HC90" i="3"/>
  <c r="HE90" i="3" s="1"/>
  <c r="HJ90" i="3"/>
  <c r="IB90" i="3"/>
  <c r="IJ90" i="3"/>
  <c r="FP90" i="3"/>
  <c r="GG90" i="3"/>
  <c r="HV90" i="3"/>
  <c r="ID90" i="3"/>
  <c r="IF90" i="3" s="1"/>
  <c r="IT90" i="3"/>
  <c r="GT90" i="3"/>
  <c r="HO90" i="3"/>
  <c r="HX90" i="3"/>
  <c r="HZ90" i="3" s="1"/>
  <c r="IN90" i="3"/>
  <c r="AJ89" i="1"/>
  <c r="AJ191" i="1" s="1"/>
  <c r="X89" i="1"/>
  <c r="X191" i="1" s="1"/>
  <c r="AI88" i="1"/>
  <c r="W88" i="1"/>
  <c r="AK86" i="1"/>
  <c r="Y86" i="1"/>
  <c r="AJ85" i="1"/>
  <c r="AJ187" i="1" s="1"/>
  <c r="X85" i="1"/>
  <c r="X187" i="1" s="1"/>
  <c r="AI84" i="1"/>
  <c r="W84" i="1"/>
  <c r="AK82" i="1"/>
  <c r="Y82" i="1"/>
  <c r="AJ81" i="1"/>
  <c r="AJ183" i="1" s="1"/>
  <c r="X81" i="1"/>
  <c r="X183" i="1" s="1"/>
  <c r="AI80" i="1"/>
  <c r="W80" i="1"/>
  <c r="AK78" i="1"/>
  <c r="Y78" i="1"/>
  <c r="AJ77" i="1"/>
  <c r="AJ179" i="1" s="1"/>
  <c r="X77" i="1"/>
  <c r="X179" i="1" s="1"/>
  <c r="AI76" i="1"/>
  <c r="W76" i="1"/>
  <c r="AK74" i="1"/>
  <c r="Y74" i="1"/>
  <c r="CA74" i="3"/>
  <c r="EX74" i="3"/>
  <c r="GF74" i="3"/>
  <c r="GS74" i="3"/>
  <c r="HK74" i="3"/>
  <c r="HU74" i="3"/>
  <c r="HW74" i="3" s="1"/>
  <c r="HY74" i="3"/>
  <c r="IG74" i="3"/>
  <c r="IK74" i="3"/>
  <c r="IS74" i="3"/>
  <c r="IU74" i="3" s="1"/>
  <c r="FP74" i="3"/>
  <c r="GG74" i="3"/>
  <c r="GT74" i="3"/>
  <c r="HC74" i="3"/>
  <c r="HE74" i="3" s="1"/>
  <c r="HR74" i="3"/>
  <c r="HV74" i="3"/>
  <c r="ID74" i="3"/>
  <c r="IH74" i="3"/>
  <c r="IP74" i="3"/>
  <c r="IT74" i="3"/>
  <c r="DB74" i="3"/>
  <c r="EA74" i="3"/>
  <c r="FQ74" i="3"/>
  <c r="HD74" i="3"/>
  <c r="HN74" i="3"/>
  <c r="HP74" i="3" s="1"/>
  <c r="HS74" i="3"/>
  <c r="IA74" i="3"/>
  <c r="IE74" i="3"/>
  <c r="IM74" i="3"/>
  <c r="IO74" i="3" s="1"/>
  <c r="IQ74" i="3"/>
  <c r="BZ74" i="3"/>
  <c r="DC74" i="3"/>
  <c r="EB74" i="3"/>
  <c r="EW74" i="3"/>
  <c r="EY74" i="3" s="1"/>
  <c r="HJ74" i="3"/>
  <c r="HO74" i="3"/>
  <c r="HX74" i="3"/>
  <c r="IB74" i="3"/>
  <c r="IJ74" i="3"/>
  <c r="IN74" i="3"/>
  <c r="AJ73" i="1"/>
  <c r="AJ175" i="1" s="1"/>
  <c r="W73" i="1"/>
  <c r="R73" i="1"/>
  <c r="R175" i="1" s="1"/>
  <c r="V73" i="1"/>
  <c r="Z73" i="1"/>
  <c r="HF70" i="1"/>
  <c r="AK70" i="1"/>
  <c r="AK69" i="1"/>
  <c r="M69" i="3"/>
  <c r="DC69" i="1"/>
  <c r="DE69" i="1" s="1"/>
  <c r="EB69" i="1"/>
  <c r="ED69" i="1" s="1"/>
  <c r="FR69" i="1"/>
  <c r="FS69" i="1" s="1"/>
  <c r="HE69" i="1"/>
  <c r="HF69" i="1" s="1"/>
  <c r="HO69" i="1"/>
  <c r="HQ69" i="1" s="1"/>
  <c r="HT69" i="1"/>
  <c r="HU69" i="1" s="1"/>
  <c r="IB69" i="1"/>
  <c r="ID69" i="1" s="1"/>
  <c r="IF69" i="1"/>
  <c r="IG69" i="1" s="1"/>
  <c r="IN69" i="1"/>
  <c r="IP69" i="1" s="1"/>
  <c r="IR69" i="1"/>
  <c r="CB69" i="1"/>
  <c r="EY69" i="1"/>
  <c r="EZ69" i="1" s="1"/>
  <c r="GG69" i="1"/>
  <c r="GI69" i="1" s="1"/>
  <c r="GT69" i="1"/>
  <c r="GV69" i="1" s="1"/>
  <c r="Y67" i="1"/>
  <c r="M67" i="3"/>
  <c r="AU67" i="1"/>
  <c r="CA67" i="1"/>
  <c r="DD67" i="1"/>
  <c r="EC67" i="1"/>
  <c r="EX67" i="1"/>
  <c r="HK67" i="1"/>
  <c r="HP67" i="1"/>
  <c r="HY67" i="1"/>
  <c r="IA67" i="1" s="1"/>
  <c r="IC67" i="1"/>
  <c r="IK67" i="1"/>
  <c r="IO67" i="1"/>
  <c r="CB67" i="1"/>
  <c r="EY67" i="1"/>
  <c r="GG67" i="1"/>
  <c r="GI67" i="1" s="1"/>
  <c r="GT67" i="1"/>
  <c r="GV67" i="1" s="1"/>
  <c r="HL67" i="1"/>
  <c r="HV67" i="1"/>
  <c r="HX67" i="1" s="1"/>
  <c r="HZ67" i="1"/>
  <c r="IH67" i="1"/>
  <c r="IJ67" i="1" s="1"/>
  <c r="IL67" i="1"/>
  <c r="IT67" i="1"/>
  <c r="IV67" i="1" s="1"/>
  <c r="DC67" i="1"/>
  <c r="DE67" i="1" s="1"/>
  <c r="EB67" i="1"/>
  <c r="FR67" i="1"/>
  <c r="FS67" i="1" s="1"/>
  <c r="HE67" i="1"/>
  <c r="HF67" i="1" s="1"/>
  <c r="HO67" i="1"/>
  <c r="HQ67" i="1" s="1"/>
  <c r="HT67" i="1"/>
  <c r="HU67" i="1" s="1"/>
  <c r="IB67" i="1"/>
  <c r="IF67" i="1"/>
  <c r="IG67" i="1" s="1"/>
  <c r="IN67" i="1"/>
  <c r="IP67" i="1" s="1"/>
  <c r="IR67" i="1"/>
  <c r="IS67" i="1" s="1"/>
  <c r="X66" i="1"/>
  <c r="X168" i="1" s="1"/>
  <c r="AI65" i="1"/>
  <c r="M64" i="3"/>
  <c r="CB64" i="1"/>
  <c r="EY64" i="1"/>
  <c r="GG64" i="1"/>
  <c r="GT64" i="1"/>
  <c r="HL64" i="1"/>
  <c r="HV64" i="1"/>
  <c r="HZ64" i="1"/>
  <c r="IH64" i="1"/>
  <c r="IL64" i="1"/>
  <c r="IT64" i="1"/>
  <c r="FQ64" i="1"/>
  <c r="FS64" i="1" s="1"/>
  <c r="GH64" i="1"/>
  <c r="GU64" i="1"/>
  <c r="HD64" i="1"/>
  <c r="HF64" i="1" s="1"/>
  <c r="HS64" i="1"/>
  <c r="HU64" i="1" s="1"/>
  <c r="HW64" i="1"/>
  <c r="IE64" i="1"/>
  <c r="IG64" i="1" s="1"/>
  <c r="II64" i="1"/>
  <c r="IQ64" i="1"/>
  <c r="IS64" i="1" s="1"/>
  <c r="IU64" i="1"/>
  <c r="AU64" i="1"/>
  <c r="CA64" i="1"/>
  <c r="CC64" i="1" s="1"/>
  <c r="DD64" i="1"/>
  <c r="EC64" i="1"/>
  <c r="ED64" i="1" s="1"/>
  <c r="EX64" i="1"/>
  <c r="HK64" i="1"/>
  <c r="HM64" i="1" s="1"/>
  <c r="HP64" i="1"/>
  <c r="HQ64" i="1" s="1"/>
  <c r="HY64" i="1"/>
  <c r="IC64" i="1"/>
  <c r="IK64" i="1"/>
  <c r="IM64" i="1" s="1"/>
  <c r="IO64" i="1"/>
  <c r="IP64" i="1" s="1"/>
  <c r="AV62" i="1"/>
  <c r="N62" i="1" s="1"/>
  <c r="M60" i="3"/>
  <c r="CB60" i="1"/>
  <c r="EY60" i="1"/>
  <c r="GG60" i="1"/>
  <c r="GT60" i="1"/>
  <c r="HL60" i="1"/>
  <c r="HV60" i="1"/>
  <c r="HX60" i="1" s="1"/>
  <c r="HZ60" i="1"/>
  <c r="IH60" i="1"/>
  <c r="IL60" i="1"/>
  <c r="IT60" i="1"/>
  <c r="IV60" i="1" s="1"/>
  <c r="FQ60" i="1"/>
  <c r="GH60" i="1"/>
  <c r="GU60" i="1"/>
  <c r="HD60" i="1"/>
  <c r="HF60" i="1" s="1"/>
  <c r="HS60" i="1"/>
  <c r="HW60" i="1"/>
  <c r="IE60" i="1"/>
  <c r="II60" i="1"/>
  <c r="IQ60" i="1"/>
  <c r="IU60" i="1"/>
  <c r="DC60" i="1"/>
  <c r="EB60" i="1"/>
  <c r="FR60" i="1"/>
  <c r="HE60" i="1"/>
  <c r="HO60" i="1"/>
  <c r="HT60" i="1"/>
  <c r="IB60" i="1"/>
  <c r="IF60" i="1"/>
  <c r="IN60" i="1"/>
  <c r="IR60" i="1"/>
  <c r="AU60" i="1"/>
  <c r="CA60" i="1"/>
  <c r="DD60" i="1"/>
  <c r="EC60" i="1"/>
  <c r="EX60" i="1"/>
  <c r="HK60" i="1"/>
  <c r="HP60" i="1"/>
  <c r="HY60" i="1"/>
  <c r="IA60" i="1" s="1"/>
  <c r="IC60" i="1"/>
  <c r="IK60" i="1"/>
  <c r="IO60" i="1"/>
  <c r="R54" i="1"/>
  <c r="R156" i="1" s="1"/>
  <c r="R53" i="1"/>
  <c r="R155" i="1" s="1"/>
  <c r="AF8" i="1"/>
  <c r="AK99" i="1"/>
  <c r="Y99" i="1"/>
  <c r="DB99" i="3"/>
  <c r="DD99" i="3" s="1"/>
  <c r="EA99" i="3"/>
  <c r="FQ99" i="3"/>
  <c r="HD99" i="3"/>
  <c r="HN99" i="3"/>
  <c r="HP99" i="3" s="1"/>
  <c r="HS99" i="3"/>
  <c r="IA99" i="3"/>
  <c r="IE99" i="3"/>
  <c r="IM99" i="3"/>
  <c r="IO99" i="3" s="1"/>
  <c r="IQ99" i="3"/>
  <c r="EB99" i="3"/>
  <c r="GF99" i="3"/>
  <c r="GT99" i="3"/>
  <c r="HK99" i="3"/>
  <c r="HR99" i="3"/>
  <c r="HT99" i="3" s="1"/>
  <c r="HX99" i="3"/>
  <c r="IH99" i="3"/>
  <c r="IN99" i="3"/>
  <c r="IS99" i="3"/>
  <c r="GG99" i="3"/>
  <c r="HY99" i="3"/>
  <c r="ID99" i="3"/>
  <c r="IJ99" i="3"/>
  <c r="IT99" i="3"/>
  <c r="BZ99" i="3"/>
  <c r="EW99" i="3"/>
  <c r="HO99" i="3"/>
  <c r="HU99" i="3"/>
  <c r="IK99" i="3"/>
  <c r="IP99" i="3"/>
  <c r="IR99" i="3" s="1"/>
  <c r="GS99" i="3"/>
  <c r="HV99" i="3"/>
  <c r="CA99" i="3"/>
  <c r="IB99" i="3"/>
  <c r="FP99" i="3"/>
  <c r="FR99" i="3" s="1"/>
  <c r="HJ99" i="3"/>
  <c r="HL99" i="3" s="1"/>
  <c r="IG99" i="3"/>
  <c r="II99" i="3" s="1"/>
  <c r="DC99" i="3"/>
  <c r="EX99" i="3"/>
  <c r="HC99" i="3"/>
  <c r="HE99" i="3" s="1"/>
  <c r="AJ98" i="1"/>
  <c r="AJ200" i="1" s="1"/>
  <c r="X98" i="1"/>
  <c r="X200" i="1" s="1"/>
  <c r="AK95" i="1"/>
  <c r="Y95" i="1"/>
  <c r="CA95" i="3"/>
  <c r="EX95" i="3"/>
  <c r="GF95" i="3"/>
  <c r="GS95" i="3"/>
  <c r="HK95" i="3"/>
  <c r="HU95" i="3"/>
  <c r="HY95" i="3"/>
  <c r="IG95" i="3"/>
  <c r="IK95" i="3"/>
  <c r="IS95" i="3"/>
  <c r="DB95" i="3"/>
  <c r="EA95" i="3"/>
  <c r="FQ95" i="3"/>
  <c r="HD95" i="3"/>
  <c r="HN95" i="3"/>
  <c r="HS95" i="3"/>
  <c r="IA95" i="3"/>
  <c r="IE95" i="3"/>
  <c r="IM95" i="3"/>
  <c r="IQ95" i="3"/>
  <c r="EB95" i="3"/>
  <c r="EW95" i="3"/>
  <c r="EY95" i="3" s="1"/>
  <c r="HR95" i="3"/>
  <c r="IH95" i="3"/>
  <c r="IP95" i="3"/>
  <c r="DC95" i="3"/>
  <c r="HC95" i="3"/>
  <c r="HE95" i="3" s="1"/>
  <c r="HJ95" i="3"/>
  <c r="HL95" i="3" s="1"/>
  <c r="IB95" i="3"/>
  <c r="IJ95" i="3"/>
  <c r="FP95" i="3"/>
  <c r="GG95" i="3"/>
  <c r="HV95" i="3"/>
  <c r="ID95" i="3"/>
  <c r="IF95" i="3" s="1"/>
  <c r="IT95" i="3"/>
  <c r="BZ95" i="3"/>
  <c r="CB95" i="3" s="1"/>
  <c r="GT95" i="3"/>
  <c r="HO95" i="3"/>
  <c r="HX95" i="3"/>
  <c r="HZ95" i="3" s="1"/>
  <c r="IN95" i="3"/>
  <c r="IT94" i="1"/>
  <c r="IL94" i="1"/>
  <c r="IH94" i="1"/>
  <c r="HZ94" i="1"/>
  <c r="HV94" i="1"/>
  <c r="HL94" i="1"/>
  <c r="GT94" i="1"/>
  <c r="GG94" i="1"/>
  <c r="EY94" i="1"/>
  <c r="CB94" i="1"/>
  <c r="AJ94" i="1"/>
  <c r="AJ196" i="1" s="1"/>
  <c r="X94" i="1"/>
  <c r="X196" i="1" s="1"/>
  <c r="AY93" i="1"/>
  <c r="H94" i="5" s="1"/>
  <c r="AQ93" i="1"/>
  <c r="AM93" i="1"/>
  <c r="AM195" i="1" s="1"/>
  <c r="AI93" i="1"/>
  <c r="AE93" i="1"/>
  <c r="AA93" i="1"/>
  <c r="AA195" i="1" s="1"/>
  <c r="W93" i="1"/>
  <c r="AK91" i="1"/>
  <c r="Y91" i="1"/>
  <c r="CA91" i="3"/>
  <c r="EX91" i="3"/>
  <c r="GF91" i="3"/>
  <c r="GS91" i="3"/>
  <c r="GU91" i="3" s="1"/>
  <c r="HK91" i="3"/>
  <c r="HU91" i="3"/>
  <c r="HY91" i="3"/>
  <c r="IG91" i="3"/>
  <c r="IK91" i="3"/>
  <c r="IS91" i="3"/>
  <c r="DB91" i="3"/>
  <c r="DD91" i="3" s="1"/>
  <c r="EA91" i="3"/>
  <c r="EC91" i="3" s="1"/>
  <c r="FQ91" i="3"/>
  <c r="HD91" i="3"/>
  <c r="HN91" i="3"/>
  <c r="HP91" i="3" s="1"/>
  <c r="HS91" i="3"/>
  <c r="IA91" i="3"/>
  <c r="IE91" i="3"/>
  <c r="IM91" i="3"/>
  <c r="IQ91" i="3"/>
  <c r="EB91" i="3"/>
  <c r="EW91" i="3"/>
  <c r="EY91" i="3" s="1"/>
  <c r="HR91" i="3"/>
  <c r="IH91" i="3"/>
  <c r="IP91" i="3"/>
  <c r="DC91" i="3"/>
  <c r="HC91" i="3"/>
  <c r="HE91" i="3" s="1"/>
  <c r="HJ91" i="3"/>
  <c r="HL91" i="3" s="1"/>
  <c r="IB91" i="3"/>
  <c r="IJ91" i="3"/>
  <c r="IL91" i="3" s="1"/>
  <c r="FP91" i="3"/>
  <c r="FR91" i="3" s="1"/>
  <c r="GG91" i="3"/>
  <c r="HV91" i="3"/>
  <c r="ID91" i="3"/>
  <c r="IF91" i="3" s="1"/>
  <c r="IT91" i="3"/>
  <c r="BZ91" i="3"/>
  <c r="CB91" i="3" s="1"/>
  <c r="GT91" i="3"/>
  <c r="HO91" i="3"/>
  <c r="HX91" i="3"/>
  <c r="HZ91" i="3" s="1"/>
  <c r="IN91" i="3"/>
  <c r="IT90" i="1"/>
  <c r="IV90" i="1" s="1"/>
  <c r="IL90" i="1"/>
  <c r="IH90" i="1"/>
  <c r="IJ90" i="1" s="1"/>
  <c r="HZ90" i="1"/>
  <c r="HV90" i="1"/>
  <c r="HX90" i="1" s="1"/>
  <c r="HL90" i="1"/>
  <c r="GT90" i="1"/>
  <c r="GV90" i="1" s="1"/>
  <c r="GG90" i="1"/>
  <c r="GI90" i="1" s="1"/>
  <c r="EY90" i="1"/>
  <c r="CB90" i="1"/>
  <c r="AJ90" i="1"/>
  <c r="AJ192" i="1" s="1"/>
  <c r="X90" i="1"/>
  <c r="X192" i="1" s="1"/>
  <c r="AY89" i="1"/>
  <c r="H90" i="5" s="1"/>
  <c r="AQ89" i="1"/>
  <c r="AM89" i="1"/>
  <c r="AM191" i="1" s="1"/>
  <c r="AI89" i="1"/>
  <c r="AE89" i="1"/>
  <c r="AA89" i="1"/>
  <c r="AA191" i="1" s="1"/>
  <c r="W89" i="1"/>
  <c r="AO87" i="1"/>
  <c r="AK87" i="1"/>
  <c r="AG87" i="1"/>
  <c r="AG189" i="1" s="1"/>
  <c r="AC87" i="1"/>
  <c r="Y87" i="1"/>
  <c r="U87" i="1"/>
  <c r="U189" i="1" s="1"/>
  <c r="Q87" i="1"/>
  <c r="IT86" i="1"/>
  <c r="IL86" i="1"/>
  <c r="IH86" i="1"/>
  <c r="HZ86" i="1"/>
  <c r="HV86" i="1"/>
  <c r="HL86" i="1"/>
  <c r="GT86" i="1"/>
  <c r="GG86" i="1"/>
  <c r="EY86" i="1"/>
  <c r="CB86" i="1"/>
  <c r="AJ86" i="1"/>
  <c r="AJ188" i="1" s="1"/>
  <c r="X86" i="1"/>
  <c r="X188" i="1" s="1"/>
  <c r="AY85" i="1"/>
  <c r="H86" i="5" s="1"/>
  <c r="AQ85" i="1"/>
  <c r="AM85" i="1"/>
  <c r="AM187" i="1" s="1"/>
  <c r="AI85" i="1"/>
  <c r="AE85" i="1"/>
  <c r="AA85" i="1"/>
  <c r="AA187" i="1" s="1"/>
  <c r="W85" i="1"/>
  <c r="AW83" i="1"/>
  <c r="O83" i="1" s="1"/>
  <c r="AS83" i="1"/>
  <c r="AS185" i="1" s="1"/>
  <c r="AO83" i="1"/>
  <c r="AK83" i="1"/>
  <c r="AG83" i="1"/>
  <c r="AG185" i="1" s="1"/>
  <c r="AC83" i="1"/>
  <c r="Y83" i="1"/>
  <c r="U83" i="1"/>
  <c r="U185" i="1" s="1"/>
  <c r="Q83" i="1"/>
  <c r="IT82" i="1"/>
  <c r="IL82" i="1"/>
  <c r="IH82" i="1"/>
  <c r="HZ82" i="1"/>
  <c r="HV82" i="1"/>
  <c r="HL82" i="1"/>
  <c r="GT82" i="1"/>
  <c r="GG82" i="1"/>
  <c r="EY82" i="1"/>
  <c r="CB82" i="1"/>
  <c r="AJ82" i="1"/>
  <c r="AJ184" i="1" s="1"/>
  <c r="X82" i="1"/>
  <c r="X184" i="1" s="1"/>
  <c r="AY81" i="1"/>
  <c r="H82" i="5" s="1"/>
  <c r="AQ81" i="1"/>
  <c r="AM81" i="1"/>
  <c r="AM183" i="1" s="1"/>
  <c r="AI81" i="1"/>
  <c r="AE81" i="1"/>
  <c r="AA81" i="1"/>
  <c r="AA183" i="1" s="1"/>
  <c r="W81" i="1"/>
  <c r="AW79" i="1"/>
  <c r="O79" i="1" s="1"/>
  <c r="AS79" i="1"/>
  <c r="AS181" i="1" s="1"/>
  <c r="AO79" i="1"/>
  <c r="AK79" i="1"/>
  <c r="AG79" i="1"/>
  <c r="AG181" i="1" s="1"/>
  <c r="AC79" i="1"/>
  <c r="Y79" i="1"/>
  <c r="U79" i="1"/>
  <c r="U181" i="1" s="1"/>
  <c r="Q79" i="1"/>
  <c r="IT78" i="1"/>
  <c r="IL78" i="1"/>
  <c r="IH78" i="1"/>
  <c r="HZ78" i="1"/>
  <c r="HV78" i="1"/>
  <c r="HL78" i="1"/>
  <c r="GT78" i="1"/>
  <c r="GG78" i="1"/>
  <c r="EY78" i="1"/>
  <c r="CB78" i="1"/>
  <c r="AJ78" i="1"/>
  <c r="AJ180" i="1" s="1"/>
  <c r="X78" i="1"/>
  <c r="X180" i="1" s="1"/>
  <c r="AY77" i="1"/>
  <c r="H78" i="5" s="1"/>
  <c r="AQ77" i="1"/>
  <c r="AM77" i="1"/>
  <c r="AM179" i="1" s="1"/>
  <c r="AI77" i="1"/>
  <c r="AE77" i="1"/>
  <c r="AA77" i="1"/>
  <c r="AA179" i="1" s="1"/>
  <c r="W77" i="1"/>
  <c r="AW75" i="1"/>
  <c r="O75" i="1" s="1"/>
  <c r="AS75" i="1"/>
  <c r="AS177" i="1" s="1"/>
  <c r="AO75" i="1"/>
  <c r="AK75" i="1"/>
  <c r="AG75" i="1"/>
  <c r="AG177" i="1" s="1"/>
  <c r="AC75" i="1"/>
  <c r="Y75" i="1"/>
  <c r="U75" i="1"/>
  <c r="U177" i="1" s="1"/>
  <c r="Q75" i="1"/>
  <c r="IT74" i="1"/>
  <c r="IV74" i="1" s="1"/>
  <c r="IL74" i="1"/>
  <c r="IH74" i="1"/>
  <c r="IJ74" i="1" s="1"/>
  <c r="HZ74" i="1"/>
  <c r="HV74" i="1"/>
  <c r="HX74" i="1" s="1"/>
  <c r="HL74" i="1"/>
  <c r="GT74" i="1"/>
  <c r="GV74" i="1" s="1"/>
  <c r="GG74" i="1"/>
  <c r="GI74" i="1" s="1"/>
  <c r="EY74" i="1"/>
  <c r="CB74" i="1"/>
  <c r="AJ74" i="1"/>
  <c r="AJ176" i="1" s="1"/>
  <c r="X74" i="1"/>
  <c r="X176" i="1" s="1"/>
  <c r="AY73" i="1"/>
  <c r="H74" i="5" s="1"/>
  <c r="AQ73" i="1"/>
  <c r="AM73" i="1"/>
  <c r="AM175" i="1" s="1"/>
  <c r="AI73" i="1"/>
  <c r="AE73" i="1"/>
  <c r="AA73" i="1"/>
  <c r="AA175" i="1" s="1"/>
  <c r="U73" i="1"/>
  <c r="U175" i="1" s="1"/>
  <c r="GZ72" i="1"/>
  <c r="FZ72" i="1"/>
  <c r="EN72" i="1"/>
  <c r="CP72" i="1"/>
  <c r="AJ72" i="1"/>
  <c r="AJ174" i="1" s="1"/>
  <c r="FP71" i="1"/>
  <c r="ED71" i="1"/>
  <c r="CG71" i="1"/>
  <c r="AK71" i="1"/>
  <c r="IS70" i="1"/>
  <c r="FS70" i="1"/>
  <c r="EH70" i="1"/>
  <c r="BW70" i="1"/>
  <c r="AJ70" i="1"/>
  <c r="AJ172" i="1" s="1"/>
  <c r="Y70" i="1"/>
  <c r="IV69" i="1"/>
  <c r="FJ69" i="1"/>
  <c r="DX69" i="1"/>
  <c r="CA69" i="1"/>
  <c r="CC69" i="1" s="1"/>
  <c r="BN69" i="1"/>
  <c r="AI69" i="1"/>
  <c r="R69" i="1"/>
  <c r="R171" i="1" s="1"/>
  <c r="GM68" i="1"/>
  <c r="EB68" i="1"/>
  <c r="ED68" i="1" s="1"/>
  <c r="DO68" i="1"/>
  <c r="CB68" i="1"/>
  <c r="AK67" i="1"/>
  <c r="AJ66" i="1"/>
  <c r="AJ168" i="1" s="1"/>
  <c r="ID64" i="1"/>
  <c r="DE64" i="1"/>
  <c r="R62" i="1"/>
  <c r="R164" i="1" s="1"/>
  <c r="V62" i="1"/>
  <c r="Z62" i="1"/>
  <c r="AD62" i="1"/>
  <c r="AD164" i="1" s="1"/>
  <c r="AH62" i="1"/>
  <c r="AL62" i="1"/>
  <c r="AP62" i="1"/>
  <c r="AP164" i="1" s="1"/>
  <c r="AT62" i="1"/>
  <c r="AX62" i="1"/>
  <c r="G63" i="5" s="1"/>
  <c r="S62" i="1"/>
  <c r="W62" i="1"/>
  <c r="AA62" i="1"/>
  <c r="AA164" i="1" s="1"/>
  <c r="AE62" i="1"/>
  <c r="AI62" i="1"/>
  <c r="AM62" i="1"/>
  <c r="AM164" i="1" s="1"/>
  <c r="AQ62" i="1"/>
  <c r="AY62" i="1"/>
  <c r="H63" i="5" s="1"/>
  <c r="M62" i="1"/>
  <c r="Q62" i="1"/>
  <c r="U62" i="1"/>
  <c r="U164" i="1" s="1"/>
  <c r="Y62" i="1"/>
  <c r="AC62" i="1"/>
  <c r="AG62" i="1"/>
  <c r="AG164" i="1" s="1"/>
  <c r="AK62" i="1"/>
  <c r="AO62" i="1"/>
  <c r="AS62" i="1"/>
  <c r="AS164" i="1" s="1"/>
  <c r="AW62" i="1"/>
  <c r="O62" i="1" s="1"/>
  <c r="R58" i="1"/>
  <c r="R160" i="1" s="1"/>
  <c r="R57" i="1"/>
  <c r="R159" i="1" s="1"/>
  <c r="CC53" i="1"/>
  <c r="M48" i="3"/>
  <c r="CB48" i="1"/>
  <c r="EY48" i="1"/>
  <c r="GG48" i="1"/>
  <c r="GI48" i="1" s="1"/>
  <c r="GT48" i="1"/>
  <c r="HL48" i="1"/>
  <c r="HV48" i="1"/>
  <c r="HZ48" i="1"/>
  <c r="IH48" i="1"/>
  <c r="IL48" i="1"/>
  <c r="IT48" i="1"/>
  <c r="FQ48" i="1"/>
  <c r="GH48" i="1"/>
  <c r="GU48" i="1"/>
  <c r="HD48" i="1"/>
  <c r="HS48" i="1"/>
  <c r="HW48" i="1"/>
  <c r="IE48" i="1"/>
  <c r="II48" i="1"/>
  <c r="IQ48" i="1"/>
  <c r="IU48" i="1"/>
  <c r="DC48" i="1"/>
  <c r="EB48" i="1"/>
  <c r="FR48" i="1"/>
  <c r="HE48" i="1"/>
  <c r="HO48" i="1"/>
  <c r="HT48" i="1"/>
  <c r="IB48" i="1"/>
  <c r="IF48" i="1"/>
  <c r="IN48" i="1"/>
  <c r="IR48" i="1"/>
  <c r="AU48" i="1"/>
  <c r="CA48" i="1"/>
  <c r="CC48" i="1" s="1"/>
  <c r="DD48" i="1"/>
  <c r="EC48" i="1"/>
  <c r="EX48" i="1"/>
  <c r="EZ48" i="1" s="1"/>
  <c r="HK48" i="1"/>
  <c r="HM48" i="1" s="1"/>
  <c r="HP48" i="1"/>
  <c r="HY48" i="1"/>
  <c r="IC48" i="1"/>
  <c r="IK48" i="1"/>
  <c r="IM48" i="1" s="1"/>
  <c r="IO48" i="1"/>
  <c r="AY68" i="1"/>
  <c r="H69" i="5" s="1"/>
  <c r="AQ68" i="1"/>
  <c r="AM68" i="1"/>
  <c r="AM170" i="1" s="1"/>
  <c r="AI68" i="1"/>
  <c r="AE68" i="1"/>
  <c r="AA68" i="1"/>
  <c r="AA170" i="1" s="1"/>
  <c r="W68" i="1"/>
  <c r="S68" i="1"/>
  <c r="IT65" i="1"/>
  <c r="IV65" i="1" s="1"/>
  <c r="IL65" i="1"/>
  <c r="IM65" i="1" s="1"/>
  <c r="IH65" i="1"/>
  <c r="IJ65" i="1" s="1"/>
  <c r="HZ65" i="1"/>
  <c r="IA65" i="1" s="1"/>
  <c r="HV65" i="1"/>
  <c r="HX65" i="1" s="1"/>
  <c r="HL65" i="1"/>
  <c r="HM65" i="1" s="1"/>
  <c r="GT65" i="1"/>
  <c r="GV65" i="1" s="1"/>
  <c r="GG65" i="1"/>
  <c r="GI65" i="1" s="1"/>
  <c r="EY65" i="1"/>
  <c r="EZ65" i="1" s="1"/>
  <c r="CB65" i="1"/>
  <c r="CC65" i="1" s="1"/>
  <c r="AY64" i="1"/>
  <c r="H65" i="5" s="1"/>
  <c r="AQ64" i="1"/>
  <c r="AM64" i="1"/>
  <c r="AM166" i="1" s="1"/>
  <c r="AI64" i="1"/>
  <c r="AE64" i="1"/>
  <c r="AA64" i="1"/>
  <c r="AA166" i="1" s="1"/>
  <c r="W64" i="1"/>
  <c r="S64" i="1"/>
  <c r="IT61" i="1"/>
  <c r="IL61" i="1"/>
  <c r="IH61" i="1"/>
  <c r="HZ61" i="1"/>
  <c r="HV61" i="1"/>
  <c r="HL61" i="1"/>
  <c r="GT61" i="1"/>
  <c r="GG61" i="1"/>
  <c r="EY61" i="1"/>
  <c r="CB61" i="1"/>
  <c r="AY60" i="1"/>
  <c r="H61" i="5" s="1"/>
  <c r="AQ60" i="1"/>
  <c r="AM60" i="1"/>
  <c r="AM162" i="1" s="1"/>
  <c r="AI60" i="1"/>
  <c r="AE60" i="1"/>
  <c r="AA60" i="1"/>
  <c r="AA162" i="1" s="1"/>
  <c r="W60" i="1"/>
  <c r="S60" i="1"/>
  <c r="IR59" i="1"/>
  <c r="IN59" i="1"/>
  <c r="IF59" i="1"/>
  <c r="IB59" i="1"/>
  <c r="HT59" i="1"/>
  <c r="HO59" i="1"/>
  <c r="HE59" i="1"/>
  <c r="FR59" i="1"/>
  <c r="EB59" i="1"/>
  <c r="DC59" i="1"/>
  <c r="AW58" i="1"/>
  <c r="O58" i="1" s="1"/>
  <c r="AS58" i="1"/>
  <c r="AS160" i="1" s="1"/>
  <c r="AO58" i="1"/>
  <c r="AK58" i="1"/>
  <c r="AG58" i="1"/>
  <c r="AG160" i="1" s="1"/>
  <c r="AC58" i="1"/>
  <c r="Y58" i="1"/>
  <c r="U58" i="1"/>
  <c r="U160" i="1" s="1"/>
  <c r="Q58" i="1"/>
  <c r="M58" i="1"/>
  <c r="IT57" i="1"/>
  <c r="IV57" i="1" s="1"/>
  <c r="IL57" i="1"/>
  <c r="IM57" i="1" s="1"/>
  <c r="IH57" i="1"/>
  <c r="IJ57" i="1" s="1"/>
  <c r="HZ57" i="1"/>
  <c r="IA57" i="1" s="1"/>
  <c r="HV57" i="1"/>
  <c r="HX57" i="1" s="1"/>
  <c r="HL57" i="1"/>
  <c r="HM57" i="1" s="1"/>
  <c r="GT57" i="1"/>
  <c r="GV57" i="1" s="1"/>
  <c r="GG57" i="1"/>
  <c r="GI57" i="1" s="1"/>
  <c r="EY57" i="1"/>
  <c r="EZ57" i="1" s="1"/>
  <c r="CB57" i="1"/>
  <c r="CC57" i="1" s="1"/>
  <c r="AY56" i="1"/>
  <c r="H57" i="5" s="1"/>
  <c r="AQ56" i="1"/>
  <c r="AM56" i="1"/>
  <c r="AM158" i="1" s="1"/>
  <c r="AI56" i="1"/>
  <c r="AE56" i="1"/>
  <c r="AA56" i="1"/>
  <c r="AA158" i="1" s="1"/>
  <c r="W56" i="1"/>
  <c r="S56" i="1"/>
  <c r="IR55" i="1"/>
  <c r="IS55" i="1" s="1"/>
  <c r="IN55" i="1"/>
  <c r="IF55" i="1"/>
  <c r="IG55" i="1" s="1"/>
  <c r="IB55" i="1"/>
  <c r="HT55" i="1"/>
  <c r="HU55" i="1" s="1"/>
  <c r="HO55" i="1"/>
  <c r="HE55" i="1"/>
  <c r="HF55" i="1" s="1"/>
  <c r="FR55" i="1"/>
  <c r="FS55" i="1" s="1"/>
  <c r="EB55" i="1"/>
  <c r="DC55" i="1"/>
  <c r="AW54" i="1"/>
  <c r="O54" i="1" s="1"/>
  <c r="AS54" i="1"/>
  <c r="AS156" i="1" s="1"/>
  <c r="AO54" i="1"/>
  <c r="AK54" i="1"/>
  <c r="AG54" i="1"/>
  <c r="AG156" i="1" s="1"/>
  <c r="AC54" i="1"/>
  <c r="Y54" i="1"/>
  <c r="U54" i="1"/>
  <c r="U156" i="1" s="1"/>
  <c r="Q54" i="1"/>
  <c r="M54" i="1"/>
  <c r="IT53" i="1"/>
  <c r="IV53" i="1" s="1"/>
  <c r="IL53" i="1"/>
  <c r="IM53" i="1" s="1"/>
  <c r="IH53" i="1"/>
  <c r="IJ53" i="1" s="1"/>
  <c r="HZ53" i="1"/>
  <c r="IA53" i="1" s="1"/>
  <c r="HV53" i="1"/>
  <c r="HX53" i="1" s="1"/>
  <c r="HL53" i="1"/>
  <c r="HM53" i="1" s="1"/>
  <c r="GT53" i="1"/>
  <c r="GV53" i="1" s="1"/>
  <c r="GG53" i="1"/>
  <c r="GI53" i="1" s="1"/>
  <c r="EY53" i="1"/>
  <c r="EZ53" i="1" s="1"/>
  <c r="CB53" i="1"/>
  <c r="AY52" i="1"/>
  <c r="H53" i="5" s="1"/>
  <c r="AQ52" i="1"/>
  <c r="AM52" i="1"/>
  <c r="AM154" i="1" s="1"/>
  <c r="AI52" i="1"/>
  <c r="AE52" i="1"/>
  <c r="AA52" i="1"/>
  <c r="AA154" i="1" s="1"/>
  <c r="W52" i="1"/>
  <c r="S52" i="1"/>
  <c r="IR51" i="1"/>
  <c r="IS51" i="1" s="1"/>
  <c r="IN51" i="1"/>
  <c r="IF51" i="1"/>
  <c r="IG51" i="1" s="1"/>
  <c r="IB51" i="1"/>
  <c r="HT51" i="1"/>
  <c r="HU51" i="1" s="1"/>
  <c r="HO51" i="1"/>
  <c r="HE51" i="1"/>
  <c r="HF51" i="1" s="1"/>
  <c r="FR51" i="1"/>
  <c r="FS51" i="1" s="1"/>
  <c r="EB51" i="1"/>
  <c r="DC51" i="1"/>
  <c r="AW50" i="1"/>
  <c r="O50" i="1" s="1"/>
  <c r="AS50" i="1"/>
  <c r="AS152" i="1" s="1"/>
  <c r="AO50" i="1"/>
  <c r="AK50" i="1"/>
  <c r="AG50" i="1"/>
  <c r="AG152" i="1" s="1"/>
  <c r="AC50" i="1"/>
  <c r="Y50" i="1"/>
  <c r="U50" i="1"/>
  <c r="U152" i="1" s="1"/>
  <c r="Q50" i="1"/>
  <c r="M50" i="1"/>
  <c r="IT49" i="1"/>
  <c r="IV49" i="1" s="1"/>
  <c r="IL49" i="1"/>
  <c r="IM49" i="1" s="1"/>
  <c r="IH49" i="1"/>
  <c r="IJ49" i="1" s="1"/>
  <c r="HZ49" i="1"/>
  <c r="IA49" i="1" s="1"/>
  <c r="HV49" i="1"/>
  <c r="HX49" i="1" s="1"/>
  <c r="HL49" i="1"/>
  <c r="HM49" i="1" s="1"/>
  <c r="GT49" i="1"/>
  <c r="GV49" i="1" s="1"/>
  <c r="GG49" i="1"/>
  <c r="GI49" i="1" s="1"/>
  <c r="EY49" i="1"/>
  <c r="EZ49" i="1" s="1"/>
  <c r="CB49" i="1"/>
  <c r="CC49" i="1" s="1"/>
  <c r="AY48" i="1"/>
  <c r="H49" i="5" s="1"/>
  <c r="AQ48" i="1"/>
  <c r="AM48" i="1"/>
  <c r="AM150" i="1" s="1"/>
  <c r="AI48" i="1"/>
  <c r="AE48" i="1"/>
  <c r="AA48" i="1"/>
  <c r="AA150" i="1" s="1"/>
  <c r="W48" i="1"/>
  <c r="S48" i="1"/>
  <c r="IR47" i="1"/>
  <c r="IS47" i="1" s="1"/>
  <c r="IN47" i="1"/>
  <c r="IP47" i="1" s="1"/>
  <c r="IF47" i="1"/>
  <c r="IG47" i="1" s="1"/>
  <c r="IB47" i="1"/>
  <c r="ID47" i="1" s="1"/>
  <c r="HT47" i="1"/>
  <c r="HU47" i="1" s="1"/>
  <c r="HO47" i="1"/>
  <c r="HQ47" i="1" s="1"/>
  <c r="HE47" i="1"/>
  <c r="HF47" i="1" s="1"/>
  <c r="FR47" i="1"/>
  <c r="FS47" i="1" s="1"/>
  <c r="EB47" i="1"/>
  <c r="DC47" i="1"/>
  <c r="GF46" i="1"/>
  <c r="ED46" i="1"/>
  <c r="DU46" i="1"/>
  <c r="DU110" i="1" s="1"/>
  <c r="M46" i="3"/>
  <c r="AU46" i="1"/>
  <c r="CA46" i="1"/>
  <c r="CC46" i="1" s="1"/>
  <c r="DD46" i="1"/>
  <c r="EC46" i="1"/>
  <c r="EX46" i="1"/>
  <c r="HK46" i="1"/>
  <c r="HM46" i="1" s="1"/>
  <c r="CB46" i="1"/>
  <c r="EY46" i="1"/>
  <c r="EW45" i="1"/>
  <c r="DL45" i="1"/>
  <c r="CY45" i="1"/>
  <c r="AW45" i="1"/>
  <c r="O45" i="1" s="1"/>
  <c r="AO45" i="1"/>
  <c r="AG45" i="1"/>
  <c r="AG147" i="1" s="1"/>
  <c r="Y45" i="1"/>
  <c r="Q45" i="1"/>
  <c r="EA44" i="1"/>
  <c r="AM44" i="1"/>
  <c r="AM146" i="1" s="1"/>
  <c r="AE44" i="1"/>
  <c r="M42" i="3"/>
  <c r="AU42" i="1"/>
  <c r="CA42" i="1"/>
  <c r="DD42" i="1"/>
  <c r="EC42" i="1"/>
  <c r="ED42" i="1" s="1"/>
  <c r="EX42" i="1"/>
  <c r="HK42" i="1"/>
  <c r="HP42" i="1"/>
  <c r="HY42" i="1"/>
  <c r="IC42" i="1"/>
  <c r="IK42" i="1"/>
  <c r="IO42" i="1"/>
  <c r="CB42" i="1"/>
  <c r="EY42" i="1"/>
  <c r="GG42" i="1"/>
  <c r="GI42" i="1" s="1"/>
  <c r="GT42" i="1"/>
  <c r="HL42" i="1"/>
  <c r="HV42" i="1"/>
  <c r="HZ42" i="1"/>
  <c r="IH42" i="1"/>
  <c r="IJ42" i="1" s="1"/>
  <c r="IL42" i="1"/>
  <c r="IT42" i="1"/>
  <c r="R37" i="1"/>
  <c r="R139" i="1" s="1"/>
  <c r="V37" i="1"/>
  <c r="Z37" i="1"/>
  <c r="AD37" i="1"/>
  <c r="AD139" i="1" s="1"/>
  <c r="AH37" i="1"/>
  <c r="AL37" i="1"/>
  <c r="AP37" i="1"/>
  <c r="AP139" i="1" s="1"/>
  <c r="AT37" i="1"/>
  <c r="AX37" i="1"/>
  <c r="G38" i="5" s="1"/>
  <c r="S37" i="1"/>
  <c r="W37" i="1"/>
  <c r="AA37" i="1"/>
  <c r="AA139" i="1" s="1"/>
  <c r="AE37" i="1"/>
  <c r="AI37" i="1"/>
  <c r="AM37" i="1"/>
  <c r="AM139" i="1" s="1"/>
  <c r="AQ37" i="1"/>
  <c r="AY37" i="1"/>
  <c r="H38" i="5" s="1"/>
  <c r="M33" i="3"/>
  <c r="DC33" i="1"/>
  <c r="EB33" i="1"/>
  <c r="FR33" i="1"/>
  <c r="HE33" i="1"/>
  <c r="HO33" i="1"/>
  <c r="HT33" i="1"/>
  <c r="IB33" i="1"/>
  <c r="IF33" i="1"/>
  <c r="IN33" i="1"/>
  <c r="IR33" i="1"/>
  <c r="AU33" i="1"/>
  <c r="CA33" i="1"/>
  <c r="DD33" i="1"/>
  <c r="EC33" i="1"/>
  <c r="EX33" i="1"/>
  <c r="HK33" i="1"/>
  <c r="HP33" i="1"/>
  <c r="HY33" i="1"/>
  <c r="IC33" i="1"/>
  <c r="IK33" i="1"/>
  <c r="IO33" i="1"/>
  <c r="CB33" i="1"/>
  <c r="EY33" i="1"/>
  <c r="GG33" i="1"/>
  <c r="GT33" i="1"/>
  <c r="HL33" i="1"/>
  <c r="HV33" i="1"/>
  <c r="HZ33" i="1"/>
  <c r="IH33" i="1"/>
  <c r="IL33" i="1"/>
  <c r="IT33" i="1"/>
  <c r="DE31" i="1"/>
  <c r="CG31" i="1"/>
  <c r="BH31" i="1"/>
  <c r="EH30" i="1"/>
  <c r="CV30" i="1"/>
  <c r="FW29" i="1"/>
  <c r="DL29" i="1"/>
  <c r="M29" i="3"/>
  <c r="DC29" i="1"/>
  <c r="EB29" i="1"/>
  <c r="FR29" i="1"/>
  <c r="FS29" i="1" s="1"/>
  <c r="HE29" i="1"/>
  <c r="HO29" i="1"/>
  <c r="HT29" i="1"/>
  <c r="IB29" i="1"/>
  <c r="IF29" i="1"/>
  <c r="IN29" i="1"/>
  <c r="IR29" i="1"/>
  <c r="IS29" i="1" s="1"/>
  <c r="AU29" i="1"/>
  <c r="CA29" i="1"/>
  <c r="CC29" i="1" s="1"/>
  <c r="DD29" i="1"/>
  <c r="EC29" i="1"/>
  <c r="EX29" i="1"/>
  <c r="HK29" i="1"/>
  <c r="HM29" i="1" s="1"/>
  <c r="HP29" i="1"/>
  <c r="HY29" i="1"/>
  <c r="IC29" i="1"/>
  <c r="IK29" i="1"/>
  <c r="IM29" i="1" s="1"/>
  <c r="IO29" i="1"/>
  <c r="CB29" i="1"/>
  <c r="EY29" i="1"/>
  <c r="GG29" i="1"/>
  <c r="GT29" i="1"/>
  <c r="GV29" i="1" s="1"/>
  <c r="HL29" i="1"/>
  <c r="HV29" i="1"/>
  <c r="HX29" i="1" s="1"/>
  <c r="HZ29" i="1"/>
  <c r="IH29" i="1"/>
  <c r="IL29" i="1"/>
  <c r="IT29" i="1"/>
  <c r="IV29" i="1" s="1"/>
  <c r="GC27" i="1"/>
  <c r="FD27" i="1"/>
  <c r="ED27" i="1"/>
  <c r="DE27" i="1"/>
  <c r="CG27" i="1"/>
  <c r="BH27" i="1"/>
  <c r="EH26" i="1"/>
  <c r="CV26" i="1"/>
  <c r="FW25" i="1"/>
  <c r="DL25" i="1"/>
  <c r="M25" i="3"/>
  <c r="DC25" i="1"/>
  <c r="EB25" i="1"/>
  <c r="FR25" i="1"/>
  <c r="HE25" i="1"/>
  <c r="HO25" i="1"/>
  <c r="HT25" i="1"/>
  <c r="IB25" i="1"/>
  <c r="IF25" i="1"/>
  <c r="IN25" i="1"/>
  <c r="IR25" i="1"/>
  <c r="AU25" i="1"/>
  <c r="CA25" i="1"/>
  <c r="DD25" i="1"/>
  <c r="EC25" i="1"/>
  <c r="EX25" i="1"/>
  <c r="HK25" i="1"/>
  <c r="HP25" i="1"/>
  <c r="HY25" i="1"/>
  <c r="IA25" i="1" s="1"/>
  <c r="IC25" i="1"/>
  <c r="IK25" i="1"/>
  <c r="IO25" i="1"/>
  <c r="CB25" i="1"/>
  <c r="EY25" i="1"/>
  <c r="GG25" i="1"/>
  <c r="GT25" i="1"/>
  <c r="HL25" i="1"/>
  <c r="HV25" i="1"/>
  <c r="HZ25" i="1"/>
  <c r="IH25" i="1"/>
  <c r="IL25" i="1"/>
  <c r="IT25" i="1"/>
  <c r="HC23" i="1"/>
  <c r="GC23" i="1"/>
  <c r="FD23" i="1"/>
  <c r="CG23" i="1"/>
  <c r="BH23" i="1"/>
  <c r="EH22" i="1"/>
  <c r="CV22" i="1"/>
  <c r="FW21" i="1"/>
  <c r="DL21" i="1"/>
  <c r="M21" i="3"/>
  <c r="DC21" i="1"/>
  <c r="EB21" i="1"/>
  <c r="FR21" i="1"/>
  <c r="HE21" i="1"/>
  <c r="HO21" i="1"/>
  <c r="HT21" i="1"/>
  <c r="IB21" i="1"/>
  <c r="IF21" i="1"/>
  <c r="IN21" i="1"/>
  <c r="IR21" i="1"/>
  <c r="IS21" i="1" s="1"/>
  <c r="AU21" i="1"/>
  <c r="CA21" i="1"/>
  <c r="DD21" i="1"/>
  <c r="EC21" i="1"/>
  <c r="EX21" i="1"/>
  <c r="HK21" i="1"/>
  <c r="HP21" i="1"/>
  <c r="HY21" i="1"/>
  <c r="IC21" i="1"/>
  <c r="IK21" i="1"/>
  <c r="IO21" i="1"/>
  <c r="CB21" i="1"/>
  <c r="EY21" i="1"/>
  <c r="GG21" i="1"/>
  <c r="GT21" i="1"/>
  <c r="GV21" i="1" s="1"/>
  <c r="HL21" i="1"/>
  <c r="HV21" i="1"/>
  <c r="HX21" i="1" s="1"/>
  <c r="HZ21" i="1"/>
  <c r="IH21" i="1"/>
  <c r="IL21" i="1"/>
  <c r="IT21" i="1"/>
  <c r="IV21" i="1" s="1"/>
  <c r="BQ20" i="1"/>
  <c r="HC19" i="1"/>
  <c r="GC19" i="1"/>
  <c r="FD19" i="1"/>
  <c r="CG19" i="1"/>
  <c r="BH19" i="1"/>
  <c r="EH18" i="1"/>
  <c r="CV18" i="1"/>
  <c r="FW17" i="1"/>
  <c r="DL17" i="1"/>
  <c r="M17" i="3"/>
  <c r="DC17" i="1"/>
  <c r="EB17" i="1"/>
  <c r="FR17" i="1"/>
  <c r="HE17" i="1"/>
  <c r="HO17" i="1"/>
  <c r="HT17" i="1"/>
  <c r="IB17" i="1"/>
  <c r="IF17" i="1"/>
  <c r="IN17" i="1"/>
  <c r="IR17" i="1"/>
  <c r="AU17" i="1"/>
  <c r="CA17" i="1"/>
  <c r="CC17" i="1" s="1"/>
  <c r="DD17" i="1"/>
  <c r="EC17" i="1"/>
  <c r="EX17" i="1"/>
  <c r="HK17" i="1"/>
  <c r="HM17" i="1" s="1"/>
  <c r="HP17" i="1"/>
  <c r="HY17" i="1"/>
  <c r="IC17" i="1"/>
  <c r="IK17" i="1"/>
  <c r="IM17" i="1" s="1"/>
  <c r="IO17" i="1"/>
  <c r="CB17" i="1"/>
  <c r="EY17" i="1"/>
  <c r="GG17" i="1"/>
  <c r="GT17" i="1"/>
  <c r="HL17" i="1"/>
  <c r="HV17" i="1"/>
  <c r="HX17" i="1" s="1"/>
  <c r="HZ17" i="1"/>
  <c r="IH17" i="1"/>
  <c r="IL17" i="1"/>
  <c r="IT17" i="1"/>
  <c r="IV17" i="1" s="1"/>
  <c r="BQ16" i="1"/>
  <c r="HC15" i="1"/>
  <c r="GC15" i="1"/>
  <c r="FD15" i="1"/>
  <c r="CG15" i="1"/>
  <c r="BH15" i="1"/>
  <c r="EH14" i="1"/>
  <c r="CV14" i="1"/>
  <c r="FW13" i="1"/>
  <c r="DL13" i="1"/>
  <c r="M13" i="3"/>
  <c r="DC13" i="1"/>
  <c r="EB13" i="1"/>
  <c r="FR13" i="1"/>
  <c r="HE13" i="1"/>
  <c r="HO13" i="1"/>
  <c r="HT13" i="1"/>
  <c r="IB13" i="1"/>
  <c r="IF13" i="1"/>
  <c r="IN13" i="1"/>
  <c r="IR13" i="1"/>
  <c r="AU13" i="1"/>
  <c r="CA13" i="1"/>
  <c r="DD13" i="1"/>
  <c r="EC13" i="1"/>
  <c r="EX13" i="1"/>
  <c r="HK13" i="1"/>
  <c r="HP13" i="1"/>
  <c r="HY13" i="1"/>
  <c r="IC13" i="1"/>
  <c r="IK13" i="1"/>
  <c r="IO13" i="1"/>
  <c r="CB13" i="1"/>
  <c r="EY13" i="1"/>
  <c r="GG13" i="1"/>
  <c r="GT13" i="1"/>
  <c r="HL13" i="1"/>
  <c r="HV13" i="1"/>
  <c r="HZ13" i="1"/>
  <c r="IH13" i="1"/>
  <c r="IL13" i="1"/>
  <c r="IT13" i="1"/>
  <c r="BQ12" i="1"/>
  <c r="HC11" i="1"/>
  <c r="GC11" i="1"/>
  <c r="GC110" i="1" s="1"/>
  <c r="GC113" i="1" s="1"/>
  <c r="FD11" i="1"/>
  <c r="CG11" i="1"/>
  <c r="BH11" i="1"/>
  <c r="EH10" i="1"/>
  <c r="CV10" i="1"/>
  <c r="HW9" i="1"/>
  <c r="HJ9" i="1"/>
  <c r="GU9" i="1"/>
  <c r="FQ9" i="1"/>
  <c r="FJ9" i="1"/>
  <c r="FJ110" i="1" s="1"/>
  <c r="EW9" i="1"/>
  <c r="CM9" i="1"/>
  <c r="BZ9" i="1"/>
  <c r="BZ110" i="1" s="1"/>
  <c r="BB9" i="1"/>
  <c r="BB110" i="1" s="1"/>
  <c r="R9" i="1"/>
  <c r="GZ8" i="1"/>
  <c r="EN8" i="1"/>
  <c r="EN110" i="1" s="1"/>
  <c r="EN113" i="1" s="1"/>
  <c r="EA8" i="1"/>
  <c r="CP8" i="1"/>
  <c r="CA55" i="3"/>
  <c r="EX55" i="3"/>
  <c r="GF55" i="3"/>
  <c r="GS55" i="3"/>
  <c r="HK55" i="3"/>
  <c r="HU55" i="3"/>
  <c r="HY55" i="3"/>
  <c r="IG55" i="3"/>
  <c r="IK55" i="3"/>
  <c r="IS55" i="3"/>
  <c r="FP55" i="3"/>
  <c r="GG55" i="3"/>
  <c r="GT55" i="3"/>
  <c r="HC55" i="3"/>
  <c r="HR55" i="3"/>
  <c r="HV55" i="3"/>
  <c r="ID55" i="3"/>
  <c r="IF55" i="3" s="1"/>
  <c r="IH55" i="3"/>
  <c r="IP55" i="3"/>
  <c r="IT55" i="3"/>
  <c r="DB55" i="3"/>
  <c r="DD55" i="3" s="1"/>
  <c r="EA55" i="3"/>
  <c r="FQ55" i="3"/>
  <c r="HD55" i="3"/>
  <c r="HN55" i="3"/>
  <c r="HP55" i="3" s="1"/>
  <c r="HS55" i="3"/>
  <c r="IA55" i="3"/>
  <c r="IE55" i="3"/>
  <c r="IM55" i="3"/>
  <c r="IO55" i="3" s="1"/>
  <c r="IQ55" i="3"/>
  <c r="BZ55" i="3"/>
  <c r="DC55" i="3"/>
  <c r="EB55" i="3"/>
  <c r="EW55" i="3"/>
  <c r="EY55" i="3" s="1"/>
  <c r="HJ55" i="3"/>
  <c r="HO55" i="3"/>
  <c r="HX55" i="3"/>
  <c r="IB55" i="3"/>
  <c r="IJ55" i="3"/>
  <c r="IN55" i="3"/>
  <c r="FP51" i="3"/>
  <c r="GG51" i="3"/>
  <c r="GT51" i="3"/>
  <c r="HC51" i="3"/>
  <c r="HR51" i="3"/>
  <c r="HT51" i="3" s="1"/>
  <c r="HV51" i="3"/>
  <c r="ID51" i="3"/>
  <c r="IH51" i="3"/>
  <c r="IP51" i="3"/>
  <c r="IR51" i="3" s="1"/>
  <c r="IT51" i="3"/>
  <c r="DB51" i="3"/>
  <c r="EA51" i="3"/>
  <c r="FQ51" i="3"/>
  <c r="HD51" i="3"/>
  <c r="HN51" i="3"/>
  <c r="HS51" i="3"/>
  <c r="IA51" i="3"/>
  <c r="IE51" i="3"/>
  <c r="IM51" i="3"/>
  <c r="IQ51" i="3"/>
  <c r="BZ51" i="3"/>
  <c r="GF51" i="3"/>
  <c r="GH51" i="3" s="1"/>
  <c r="HO51" i="3"/>
  <c r="HX51" i="3"/>
  <c r="IN51" i="3"/>
  <c r="CA51" i="3"/>
  <c r="DC51" i="3"/>
  <c r="EW51" i="3"/>
  <c r="HJ51" i="3"/>
  <c r="IB51" i="3"/>
  <c r="IJ51" i="3"/>
  <c r="EB51" i="3"/>
  <c r="HY51" i="3"/>
  <c r="GS51" i="3"/>
  <c r="GU51" i="3" s="1"/>
  <c r="HK51" i="3"/>
  <c r="IS51" i="3"/>
  <c r="IG51" i="3"/>
  <c r="II51" i="3" s="1"/>
  <c r="EX51" i="3"/>
  <c r="HU51" i="3"/>
  <c r="IK51" i="3"/>
  <c r="FP47" i="3"/>
  <c r="GG47" i="3"/>
  <c r="GT47" i="3"/>
  <c r="HC47" i="3"/>
  <c r="HR47" i="3"/>
  <c r="HT47" i="3" s="1"/>
  <c r="HV47" i="3"/>
  <c r="ID47" i="3"/>
  <c r="IH47" i="3"/>
  <c r="IP47" i="3"/>
  <c r="IR47" i="3" s="1"/>
  <c r="IT47" i="3"/>
  <c r="DB47" i="3"/>
  <c r="EA47" i="3"/>
  <c r="FQ47" i="3"/>
  <c r="HD47" i="3"/>
  <c r="HN47" i="3"/>
  <c r="HS47" i="3"/>
  <c r="IA47" i="3"/>
  <c r="IC47" i="3" s="1"/>
  <c r="IE47" i="3"/>
  <c r="IM47" i="3"/>
  <c r="IQ47" i="3"/>
  <c r="BZ47" i="3"/>
  <c r="DC47" i="3"/>
  <c r="EB47" i="3"/>
  <c r="EW47" i="3"/>
  <c r="HJ47" i="3"/>
  <c r="HL47" i="3" s="1"/>
  <c r="HO47" i="3"/>
  <c r="HX47" i="3"/>
  <c r="IB47" i="3"/>
  <c r="IJ47" i="3"/>
  <c r="IL47" i="3" s="1"/>
  <c r="IN47" i="3"/>
  <c r="EX47" i="3"/>
  <c r="GF47" i="3"/>
  <c r="HY47" i="3"/>
  <c r="CA47" i="3"/>
  <c r="GS47" i="3"/>
  <c r="GU47" i="3" s="1"/>
  <c r="HK47" i="3"/>
  <c r="IS47" i="3"/>
  <c r="IG47" i="3"/>
  <c r="HU47" i="3"/>
  <c r="IK47" i="3"/>
  <c r="S46" i="1"/>
  <c r="M44" i="1"/>
  <c r="Q44" i="1"/>
  <c r="U44" i="1"/>
  <c r="U146" i="1" s="1"/>
  <c r="Y44" i="1"/>
  <c r="AC44" i="1"/>
  <c r="AG44" i="1"/>
  <c r="AG146" i="1" s="1"/>
  <c r="AK44" i="1"/>
  <c r="AO44" i="1"/>
  <c r="AS44" i="1"/>
  <c r="AS146" i="1" s="1"/>
  <c r="AW44" i="1"/>
  <c r="O44" i="1" s="1"/>
  <c r="R44" i="1"/>
  <c r="R146" i="1" s="1"/>
  <c r="V44" i="1"/>
  <c r="Z44" i="1"/>
  <c r="AD44" i="1"/>
  <c r="AD146" i="1" s="1"/>
  <c r="AH44" i="1"/>
  <c r="AL44" i="1"/>
  <c r="AP44" i="1"/>
  <c r="AP146" i="1" s="1"/>
  <c r="AT44" i="1"/>
  <c r="AX44" i="1"/>
  <c r="G45" i="5" s="1"/>
  <c r="IP42" i="1"/>
  <c r="HQ42" i="1"/>
  <c r="S42" i="1"/>
  <c r="CP40" i="1"/>
  <c r="BQ40" i="1"/>
  <c r="M40" i="1"/>
  <c r="Q40" i="1"/>
  <c r="U40" i="1"/>
  <c r="U142" i="1" s="1"/>
  <c r="Y40" i="1"/>
  <c r="AC40" i="1"/>
  <c r="AG40" i="1"/>
  <c r="AG142" i="1" s="1"/>
  <c r="AK40" i="1"/>
  <c r="AO40" i="1"/>
  <c r="AS40" i="1"/>
  <c r="AS142" i="1" s="1"/>
  <c r="AW40" i="1"/>
  <c r="O40" i="1" s="1"/>
  <c r="R40" i="1"/>
  <c r="R142" i="1" s="1"/>
  <c r="V40" i="1"/>
  <c r="Z40" i="1"/>
  <c r="AD40" i="1"/>
  <c r="AD142" i="1" s="1"/>
  <c r="AH40" i="1"/>
  <c r="AL40" i="1"/>
  <c r="AP40" i="1"/>
  <c r="AP142" i="1" s="1"/>
  <c r="AT40" i="1"/>
  <c r="AX40" i="1"/>
  <c r="G41" i="5" s="1"/>
  <c r="IP39" i="1"/>
  <c r="HQ39" i="1"/>
  <c r="GP39" i="1"/>
  <c r="FP39" i="1"/>
  <c r="EQ39" i="1"/>
  <c r="DR39" i="1"/>
  <c r="CS39" i="1"/>
  <c r="BT39" i="1"/>
  <c r="GF38" i="1"/>
  <c r="GF110" i="1" s="1"/>
  <c r="FG38" i="1"/>
  <c r="FG110" i="1" s="1"/>
  <c r="ET38" i="1"/>
  <c r="CJ38" i="1"/>
  <c r="BW38" i="1"/>
  <c r="BW110" i="1" s="1"/>
  <c r="M38" i="3"/>
  <c r="AU38" i="1"/>
  <c r="CA38" i="1"/>
  <c r="DD38" i="1"/>
  <c r="EC38" i="1"/>
  <c r="EX38" i="1"/>
  <c r="HK38" i="1"/>
  <c r="HP38" i="1"/>
  <c r="HY38" i="1"/>
  <c r="IA38" i="1" s="1"/>
  <c r="IC38" i="1"/>
  <c r="IK38" i="1"/>
  <c r="IO38" i="1"/>
  <c r="CB38" i="1"/>
  <c r="EY38" i="1"/>
  <c r="GG38" i="1"/>
  <c r="GT38" i="1"/>
  <c r="HL38" i="1"/>
  <c r="HV38" i="1"/>
  <c r="HZ38" i="1"/>
  <c r="IH38" i="1"/>
  <c r="IL38" i="1"/>
  <c r="IT38" i="1"/>
  <c r="EW37" i="1"/>
  <c r="DL37" i="1"/>
  <c r="CY37" i="1"/>
  <c r="AW37" i="1"/>
  <c r="O37" i="1" s="1"/>
  <c r="AO37" i="1"/>
  <c r="AG37" i="1"/>
  <c r="AG139" i="1" s="1"/>
  <c r="Y37" i="1"/>
  <c r="Q37" i="1"/>
  <c r="EA36" i="1"/>
  <c r="R33" i="1"/>
  <c r="CP32" i="1"/>
  <c r="R29" i="1"/>
  <c r="R25" i="1"/>
  <c r="FS21" i="1"/>
  <c r="R21" i="1"/>
  <c r="R17" i="1"/>
  <c r="R13" i="1"/>
  <c r="S10" i="1"/>
  <c r="M8" i="1"/>
  <c r="Q8" i="1"/>
  <c r="R8" i="1" s="1"/>
  <c r="Y8" i="1"/>
  <c r="AC8" i="1"/>
  <c r="AG8" i="1"/>
  <c r="AG110" i="1" s="1"/>
  <c r="AK8" i="1"/>
  <c r="AO8" i="1"/>
  <c r="AP8" i="1" s="1"/>
  <c r="AP110" i="1" s="1"/>
  <c r="AS8" i="1"/>
  <c r="AS110" i="1" s="1"/>
  <c r="Z8" i="1"/>
  <c r="AB8" i="1" s="1"/>
  <c r="AD8" i="1"/>
  <c r="AD110" i="1" s="1"/>
  <c r="AH8" i="1"/>
  <c r="AL8" i="1"/>
  <c r="AM8" i="1" s="1"/>
  <c r="AM110" i="1" s="1"/>
  <c r="AT8" i="1"/>
  <c r="W8" i="1"/>
  <c r="AA8" i="1"/>
  <c r="AA110" i="1" s="1"/>
  <c r="AE8" i="1"/>
  <c r="AI8" i="1"/>
  <c r="AQ8" i="1"/>
  <c r="CV6" i="1"/>
  <c r="AX69" i="1"/>
  <c r="G70" i="5" s="1"/>
  <c r="AT69" i="1"/>
  <c r="AP69" i="1"/>
  <c r="AP171" i="1" s="1"/>
  <c r="AL69" i="1"/>
  <c r="AH69" i="1"/>
  <c r="AD69" i="1"/>
  <c r="AD171" i="1" s="1"/>
  <c r="Z69" i="1"/>
  <c r="V69" i="1"/>
  <c r="AW68" i="1"/>
  <c r="O68" i="1" s="1"/>
  <c r="AS68" i="1"/>
  <c r="AS170" i="1" s="1"/>
  <c r="AO68" i="1"/>
  <c r="AK68" i="1"/>
  <c r="AG68" i="1"/>
  <c r="AG170" i="1" s="1"/>
  <c r="AC68" i="1"/>
  <c r="Y68" i="1"/>
  <c r="U68" i="1"/>
  <c r="U170" i="1" s="1"/>
  <c r="Q68" i="1"/>
  <c r="IR65" i="1"/>
  <c r="IS65" i="1" s="1"/>
  <c r="IN65" i="1"/>
  <c r="IP65" i="1" s="1"/>
  <c r="IF65" i="1"/>
  <c r="IG65" i="1" s="1"/>
  <c r="IB65" i="1"/>
  <c r="ID65" i="1" s="1"/>
  <c r="HT65" i="1"/>
  <c r="HU65" i="1" s="1"/>
  <c r="HO65" i="1"/>
  <c r="HQ65" i="1" s="1"/>
  <c r="HE65" i="1"/>
  <c r="HF65" i="1" s="1"/>
  <c r="FR65" i="1"/>
  <c r="FS65" i="1" s="1"/>
  <c r="EB65" i="1"/>
  <c r="ED65" i="1" s="1"/>
  <c r="DC65" i="1"/>
  <c r="DE65" i="1" s="1"/>
  <c r="AX65" i="1"/>
  <c r="G66" i="5" s="1"/>
  <c r="AT65" i="1"/>
  <c r="AP65" i="1"/>
  <c r="AP167" i="1" s="1"/>
  <c r="AL65" i="1"/>
  <c r="AH65" i="1"/>
  <c r="AD65" i="1"/>
  <c r="AD167" i="1" s="1"/>
  <c r="Z65" i="1"/>
  <c r="V65" i="1"/>
  <c r="AW64" i="1"/>
  <c r="O64" i="1" s="1"/>
  <c r="AS64" i="1"/>
  <c r="AS166" i="1" s="1"/>
  <c r="AO64" i="1"/>
  <c r="AK64" i="1"/>
  <c r="AG64" i="1"/>
  <c r="AG166" i="1" s="1"/>
  <c r="AC64" i="1"/>
  <c r="Y64" i="1"/>
  <c r="U64" i="1"/>
  <c r="U166" i="1" s="1"/>
  <c r="Q64" i="1"/>
  <c r="IR61" i="1"/>
  <c r="IN61" i="1"/>
  <c r="IF61" i="1"/>
  <c r="IB61" i="1"/>
  <c r="HT61" i="1"/>
  <c r="HO61" i="1"/>
  <c r="HE61" i="1"/>
  <c r="FR61" i="1"/>
  <c r="EB61" i="1"/>
  <c r="DC61" i="1"/>
  <c r="AX61" i="1"/>
  <c r="G62" i="5" s="1"/>
  <c r="AT61" i="1"/>
  <c r="AP61" i="1"/>
  <c r="AP163" i="1" s="1"/>
  <c r="AL61" i="1"/>
  <c r="AH61" i="1"/>
  <c r="AD61" i="1"/>
  <c r="AD163" i="1" s="1"/>
  <c r="Z61" i="1"/>
  <c r="V61" i="1"/>
  <c r="AW60" i="1"/>
  <c r="O60" i="1" s="1"/>
  <c r="AS60" i="1"/>
  <c r="AS162" i="1" s="1"/>
  <c r="AO60" i="1"/>
  <c r="AK60" i="1"/>
  <c r="AG60" i="1"/>
  <c r="AG162" i="1" s="1"/>
  <c r="AC60" i="1"/>
  <c r="Y60" i="1"/>
  <c r="U60" i="1"/>
  <c r="U162" i="1" s="1"/>
  <c r="Q60" i="1"/>
  <c r="IT59" i="1"/>
  <c r="IL59" i="1"/>
  <c r="IH59" i="1"/>
  <c r="HZ59" i="1"/>
  <c r="HV59" i="1"/>
  <c r="HL59" i="1"/>
  <c r="GT59" i="1"/>
  <c r="GG59" i="1"/>
  <c r="EY59" i="1"/>
  <c r="CB59" i="1"/>
  <c r="AY58" i="1"/>
  <c r="H59" i="5" s="1"/>
  <c r="AQ58" i="1"/>
  <c r="AM58" i="1"/>
  <c r="AM160" i="1" s="1"/>
  <c r="AI58" i="1"/>
  <c r="AE58" i="1"/>
  <c r="AA58" i="1"/>
  <c r="AA160" i="1" s="1"/>
  <c r="W58" i="1"/>
  <c r="S58" i="1"/>
  <c r="IR57" i="1"/>
  <c r="IS57" i="1" s="1"/>
  <c r="IN57" i="1"/>
  <c r="IP57" i="1" s="1"/>
  <c r="IF57" i="1"/>
  <c r="IG57" i="1" s="1"/>
  <c r="IB57" i="1"/>
  <c r="ID57" i="1" s="1"/>
  <c r="HT57" i="1"/>
  <c r="HU57" i="1" s="1"/>
  <c r="HO57" i="1"/>
  <c r="HQ57" i="1" s="1"/>
  <c r="HE57" i="1"/>
  <c r="HF57" i="1" s="1"/>
  <c r="FR57" i="1"/>
  <c r="FS57" i="1" s="1"/>
  <c r="EB57" i="1"/>
  <c r="ED57" i="1" s="1"/>
  <c r="DC57" i="1"/>
  <c r="DE57" i="1" s="1"/>
  <c r="AX57" i="1"/>
  <c r="G58" i="5" s="1"/>
  <c r="AT57" i="1"/>
  <c r="AP57" i="1"/>
  <c r="AP159" i="1" s="1"/>
  <c r="AL57" i="1"/>
  <c r="AH57" i="1"/>
  <c r="AD57" i="1"/>
  <c r="AD159" i="1" s="1"/>
  <c r="Z57" i="1"/>
  <c r="V57" i="1"/>
  <c r="AW56" i="1"/>
  <c r="O56" i="1" s="1"/>
  <c r="AS56" i="1"/>
  <c r="AS158" i="1" s="1"/>
  <c r="AO56" i="1"/>
  <c r="AK56" i="1"/>
  <c r="AG56" i="1"/>
  <c r="AG158" i="1" s="1"/>
  <c r="AC56" i="1"/>
  <c r="Y56" i="1"/>
  <c r="U56" i="1"/>
  <c r="U158" i="1" s="1"/>
  <c r="Q56" i="1"/>
  <c r="IT55" i="1"/>
  <c r="IV55" i="1" s="1"/>
  <c r="IL55" i="1"/>
  <c r="IH55" i="1"/>
  <c r="IJ55" i="1" s="1"/>
  <c r="HZ55" i="1"/>
  <c r="HV55" i="1"/>
  <c r="HX55" i="1" s="1"/>
  <c r="HL55" i="1"/>
  <c r="GT55" i="1"/>
  <c r="GV55" i="1" s="1"/>
  <c r="GG55" i="1"/>
  <c r="GI55" i="1" s="1"/>
  <c r="EY55" i="1"/>
  <c r="CB55" i="1"/>
  <c r="AY54" i="1"/>
  <c r="H55" i="5" s="1"/>
  <c r="AQ54" i="1"/>
  <c r="AM54" i="1"/>
  <c r="AM156" i="1" s="1"/>
  <c r="AI54" i="1"/>
  <c r="AE54" i="1"/>
  <c r="AA54" i="1"/>
  <c r="AA156" i="1" s="1"/>
  <c r="W54" i="1"/>
  <c r="S54" i="1"/>
  <c r="IR53" i="1"/>
  <c r="IS53" i="1" s="1"/>
  <c r="IN53" i="1"/>
  <c r="IP53" i="1" s="1"/>
  <c r="IF53" i="1"/>
  <c r="IG53" i="1" s="1"/>
  <c r="IB53" i="1"/>
  <c r="ID53" i="1" s="1"/>
  <c r="HT53" i="1"/>
  <c r="HU53" i="1" s="1"/>
  <c r="HO53" i="1"/>
  <c r="HQ53" i="1" s="1"/>
  <c r="HE53" i="1"/>
  <c r="HF53" i="1" s="1"/>
  <c r="FR53" i="1"/>
  <c r="FS53" i="1" s="1"/>
  <c r="EB53" i="1"/>
  <c r="ED53" i="1" s="1"/>
  <c r="DC53" i="1"/>
  <c r="DE53" i="1" s="1"/>
  <c r="AX53" i="1"/>
  <c r="G54" i="5" s="1"/>
  <c r="AT53" i="1"/>
  <c r="AP53" i="1"/>
  <c r="AP155" i="1" s="1"/>
  <c r="AL53" i="1"/>
  <c r="AH53" i="1"/>
  <c r="AD53" i="1"/>
  <c r="AD155" i="1" s="1"/>
  <c r="Z53" i="1"/>
  <c r="V53" i="1"/>
  <c r="AW52" i="1"/>
  <c r="O52" i="1" s="1"/>
  <c r="AS52" i="1"/>
  <c r="AS154" i="1" s="1"/>
  <c r="AO52" i="1"/>
  <c r="AK52" i="1"/>
  <c r="AG52" i="1"/>
  <c r="AG154" i="1" s="1"/>
  <c r="AC52" i="1"/>
  <c r="Y52" i="1"/>
  <c r="U52" i="1"/>
  <c r="U154" i="1" s="1"/>
  <c r="Q52" i="1"/>
  <c r="IT51" i="1"/>
  <c r="IV51" i="1" s="1"/>
  <c r="IL51" i="1"/>
  <c r="IH51" i="1"/>
  <c r="IJ51" i="1" s="1"/>
  <c r="HZ51" i="1"/>
  <c r="HV51" i="1"/>
  <c r="HX51" i="1" s="1"/>
  <c r="HL51" i="1"/>
  <c r="GT51" i="1"/>
  <c r="GV51" i="1" s="1"/>
  <c r="GG51" i="1"/>
  <c r="GI51" i="1" s="1"/>
  <c r="EY51" i="1"/>
  <c r="CB51" i="1"/>
  <c r="AY50" i="1"/>
  <c r="H51" i="5" s="1"/>
  <c r="AQ50" i="1"/>
  <c r="AM50" i="1"/>
  <c r="AM152" i="1" s="1"/>
  <c r="AI50" i="1"/>
  <c r="AE50" i="1"/>
  <c r="AA50" i="1"/>
  <c r="AA152" i="1" s="1"/>
  <c r="W50" i="1"/>
  <c r="S50" i="1"/>
  <c r="IR49" i="1"/>
  <c r="IS49" i="1" s="1"/>
  <c r="IN49" i="1"/>
  <c r="IP49" i="1" s="1"/>
  <c r="IF49" i="1"/>
  <c r="IG49" i="1" s="1"/>
  <c r="IB49" i="1"/>
  <c r="ID49" i="1" s="1"/>
  <c r="HT49" i="1"/>
  <c r="HU49" i="1" s="1"/>
  <c r="HO49" i="1"/>
  <c r="HQ49" i="1" s="1"/>
  <c r="HE49" i="1"/>
  <c r="HF49" i="1" s="1"/>
  <c r="FR49" i="1"/>
  <c r="FS49" i="1" s="1"/>
  <c r="EB49" i="1"/>
  <c r="ED49" i="1" s="1"/>
  <c r="DC49" i="1"/>
  <c r="DE49" i="1" s="1"/>
  <c r="AX49" i="1"/>
  <c r="G50" i="5" s="1"/>
  <c r="AT49" i="1"/>
  <c r="AP49" i="1"/>
  <c r="AP151" i="1" s="1"/>
  <c r="AL49" i="1"/>
  <c r="AH49" i="1"/>
  <c r="AD49" i="1"/>
  <c r="AD151" i="1" s="1"/>
  <c r="Z49" i="1"/>
  <c r="V49" i="1"/>
  <c r="AW48" i="1"/>
  <c r="O48" i="1" s="1"/>
  <c r="AS48" i="1"/>
  <c r="AS150" i="1" s="1"/>
  <c r="AO48" i="1"/>
  <c r="AK48" i="1"/>
  <c r="AG48" i="1"/>
  <c r="AG150" i="1" s="1"/>
  <c r="AC48" i="1"/>
  <c r="Y48" i="1"/>
  <c r="U48" i="1"/>
  <c r="U150" i="1" s="1"/>
  <c r="Q48" i="1"/>
  <c r="IT47" i="1"/>
  <c r="IV47" i="1" s="1"/>
  <c r="IL47" i="1"/>
  <c r="IM47" i="1" s="1"/>
  <c r="IH47" i="1"/>
  <c r="IJ47" i="1" s="1"/>
  <c r="HZ47" i="1"/>
  <c r="IA47" i="1" s="1"/>
  <c r="HV47" i="1"/>
  <c r="HX47" i="1" s="1"/>
  <c r="HL47" i="1"/>
  <c r="HM47" i="1" s="1"/>
  <c r="GT47" i="1"/>
  <c r="GV47" i="1" s="1"/>
  <c r="GG47" i="1"/>
  <c r="GI47" i="1" s="1"/>
  <c r="EY47" i="1"/>
  <c r="CB47" i="1"/>
  <c r="IO46" i="1"/>
  <c r="IP46" i="1" s="1"/>
  <c r="IK46" i="1"/>
  <c r="IM46" i="1" s="1"/>
  <c r="IC46" i="1"/>
  <c r="ID46" i="1" s="1"/>
  <c r="HY46" i="1"/>
  <c r="IA46" i="1" s="1"/>
  <c r="HP46" i="1"/>
  <c r="HQ46" i="1" s="1"/>
  <c r="HD46" i="1"/>
  <c r="HF46" i="1" s="1"/>
  <c r="GU46" i="1"/>
  <c r="GV46" i="1" s="1"/>
  <c r="GG46" i="1"/>
  <c r="GI46" i="1" s="1"/>
  <c r="FR46" i="1"/>
  <c r="DI46" i="1"/>
  <c r="FW45" i="1"/>
  <c r="EK45" i="1"/>
  <c r="DX45" i="1"/>
  <c r="CM45" i="1"/>
  <c r="AS45" i="1"/>
  <c r="AS147" i="1" s="1"/>
  <c r="AK45" i="1"/>
  <c r="AC45" i="1"/>
  <c r="U45" i="1"/>
  <c r="U147" i="1" s="1"/>
  <c r="GM44" i="1"/>
  <c r="DO44" i="1"/>
  <c r="AY44" i="1"/>
  <c r="H45" i="5" s="1"/>
  <c r="AQ44" i="1"/>
  <c r="AI44" i="1"/>
  <c r="AA44" i="1"/>
  <c r="AA146" i="1" s="1"/>
  <c r="S44" i="1"/>
  <c r="IU42" i="1"/>
  <c r="IE42" i="1"/>
  <c r="IG42" i="1" s="1"/>
  <c r="HW42" i="1"/>
  <c r="HE42" i="1"/>
  <c r="GU42" i="1"/>
  <c r="FR42" i="1"/>
  <c r="FS42" i="1" s="1"/>
  <c r="DI42" i="1"/>
  <c r="FW41" i="1"/>
  <c r="EK41" i="1"/>
  <c r="DX41" i="1"/>
  <c r="CM41" i="1"/>
  <c r="AS41" i="1"/>
  <c r="AS143" i="1" s="1"/>
  <c r="AK41" i="1"/>
  <c r="AC41" i="1"/>
  <c r="U41" i="1"/>
  <c r="U143" i="1" s="1"/>
  <c r="GM40" i="1"/>
  <c r="DO40" i="1"/>
  <c r="AY40" i="1"/>
  <c r="H41" i="5" s="1"/>
  <c r="AQ40" i="1"/>
  <c r="AI40" i="1"/>
  <c r="AA40" i="1"/>
  <c r="AA142" i="1" s="1"/>
  <c r="S40" i="1"/>
  <c r="IU38" i="1"/>
  <c r="IE38" i="1"/>
  <c r="HW38" i="1"/>
  <c r="HE38" i="1"/>
  <c r="GU38" i="1"/>
  <c r="FR38" i="1"/>
  <c r="DI38" i="1"/>
  <c r="HJ37" i="1"/>
  <c r="BN37" i="1"/>
  <c r="AV37" i="1"/>
  <c r="N37" i="1" s="1"/>
  <c r="AN37" i="1"/>
  <c r="AF37" i="1"/>
  <c r="X37" i="1"/>
  <c r="X139" i="1" s="1"/>
  <c r="GZ36" i="1"/>
  <c r="CP36" i="1"/>
  <c r="BQ36" i="1"/>
  <c r="M36" i="1"/>
  <c r="Q36" i="1"/>
  <c r="U36" i="1"/>
  <c r="U138" i="1" s="1"/>
  <c r="Y36" i="1"/>
  <c r="AC36" i="1"/>
  <c r="AG36" i="1"/>
  <c r="AG138" i="1" s="1"/>
  <c r="AK36" i="1"/>
  <c r="AO36" i="1"/>
  <c r="AS36" i="1"/>
  <c r="AS138" i="1" s="1"/>
  <c r="AW36" i="1"/>
  <c r="O36" i="1" s="1"/>
  <c r="R36" i="1"/>
  <c r="R138" i="1" s="1"/>
  <c r="V36" i="1"/>
  <c r="Z36" i="1"/>
  <c r="AD36" i="1"/>
  <c r="AD138" i="1" s="1"/>
  <c r="AH36" i="1"/>
  <c r="AL36" i="1"/>
  <c r="AP36" i="1"/>
  <c r="AP138" i="1" s="1"/>
  <c r="AT36" i="1"/>
  <c r="AX36" i="1"/>
  <c r="G37" i="5" s="1"/>
  <c r="IP35" i="1"/>
  <c r="HQ35" i="1"/>
  <c r="GP35" i="1"/>
  <c r="FP35" i="1"/>
  <c r="EQ35" i="1"/>
  <c r="DR35" i="1"/>
  <c r="CS35" i="1"/>
  <c r="BT35" i="1"/>
  <c r="IG34" i="1"/>
  <c r="GS34" i="1"/>
  <c r="ET34" i="1"/>
  <c r="CJ34" i="1"/>
  <c r="S34" i="1"/>
  <c r="II33" i="1"/>
  <c r="HS33" i="1"/>
  <c r="HU33" i="1" s="1"/>
  <c r="HD33" i="1"/>
  <c r="HF33" i="1" s="1"/>
  <c r="GH33" i="1"/>
  <c r="DX33" i="1"/>
  <c r="GM32" i="1"/>
  <c r="FM32" i="1"/>
  <c r="BE32" i="1"/>
  <c r="M32" i="1"/>
  <c r="Q32" i="1"/>
  <c r="U32" i="1"/>
  <c r="U134" i="1" s="1"/>
  <c r="Y32" i="1"/>
  <c r="AC32" i="1"/>
  <c r="AD32" i="1" s="1"/>
  <c r="AD134" i="1" s="1"/>
  <c r="AG32" i="1"/>
  <c r="AG134" i="1" s="1"/>
  <c r="AK32" i="1"/>
  <c r="AO32" i="1"/>
  <c r="AP32" i="1" s="1"/>
  <c r="AP134" i="1" s="1"/>
  <c r="AS32" i="1"/>
  <c r="AS134" i="1" s="1"/>
  <c r="R32" i="1"/>
  <c r="V32" i="1"/>
  <c r="Z32" i="1"/>
  <c r="AB32" i="1" s="1"/>
  <c r="AH32" i="1"/>
  <c r="AL32" i="1"/>
  <c r="AN32" i="1" s="1"/>
  <c r="AT32" i="1"/>
  <c r="S32" i="1"/>
  <c r="W32" i="1"/>
  <c r="X32" i="1" s="1"/>
  <c r="AE32" i="1"/>
  <c r="AI32" i="1"/>
  <c r="AJ32" i="1" s="1"/>
  <c r="AJ134" i="1" s="1"/>
  <c r="IP31" i="1"/>
  <c r="HQ31" i="1"/>
  <c r="GP31" i="1"/>
  <c r="FP31" i="1"/>
  <c r="EQ31" i="1"/>
  <c r="DR31" i="1"/>
  <c r="CS31" i="1"/>
  <c r="BT31" i="1"/>
  <c r="IG30" i="1"/>
  <c r="GS30" i="1"/>
  <c r="ET30" i="1"/>
  <c r="CJ30" i="1"/>
  <c r="II29" i="1"/>
  <c r="HS29" i="1"/>
  <c r="HU29" i="1" s="1"/>
  <c r="HD29" i="1"/>
  <c r="HF29" i="1" s="1"/>
  <c r="GH29" i="1"/>
  <c r="DX29" i="1"/>
  <c r="GM28" i="1"/>
  <c r="FM28" i="1"/>
  <c r="BE28" i="1"/>
  <c r="M28" i="1"/>
  <c r="Q28" i="1"/>
  <c r="R28" i="1" s="1"/>
  <c r="U28" i="1"/>
  <c r="U130" i="1" s="1"/>
  <c r="Y28" i="1"/>
  <c r="AC28" i="1"/>
  <c r="AD28" i="1" s="1"/>
  <c r="AD130" i="1" s="1"/>
  <c r="AG28" i="1"/>
  <c r="AG130" i="1" s="1"/>
  <c r="AO28" i="1"/>
  <c r="AP28" i="1" s="1"/>
  <c r="AP130" i="1" s="1"/>
  <c r="AS28" i="1"/>
  <c r="AS130" i="1" s="1"/>
  <c r="V28" i="1"/>
  <c r="Z28" i="1"/>
  <c r="AB28" i="1" s="1"/>
  <c r="AH28" i="1"/>
  <c r="AL28" i="1"/>
  <c r="AM28" i="1" s="1"/>
  <c r="AM130" i="1" s="1"/>
  <c r="AT28" i="1"/>
  <c r="S28" i="1"/>
  <c r="W28" i="1"/>
  <c r="X28" i="1" s="1"/>
  <c r="X130" i="1" s="1"/>
  <c r="AI28" i="1"/>
  <c r="AJ28" i="1" s="1"/>
  <c r="AJ130" i="1" s="1"/>
  <c r="IP27" i="1"/>
  <c r="HQ27" i="1"/>
  <c r="GP27" i="1"/>
  <c r="FP27" i="1"/>
  <c r="EQ27" i="1"/>
  <c r="DR27" i="1"/>
  <c r="CS27" i="1"/>
  <c r="BT27" i="1"/>
  <c r="GS26" i="1"/>
  <c r="ET26" i="1"/>
  <c r="CJ26" i="1"/>
  <c r="II25" i="1"/>
  <c r="HS25" i="1"/>
  <c r="HU25" i="1" s="1"/>
  <c r="HD25" i="1"/>
  <c r="HF25" i="1" s="1"/>
  <c r="GH25" i="1"/>
  <c r="DX25" i="1"/>
  <c r="GM24" i="1"/>
  <c r="FM24" i="1"/>
  <c r="BE24" i="1"/>
  <c r="M24" i="1"/>
  <c r="Q24" i="1"/>
  <c r="R24" i="1" s="1"/>
  <c r="U24" i="1"/>
  <c r="U126" i="1" s="1"/>
  <c r="AC24" i="1"/>
  <c r="AD24" i="1" s="1"/>
  <c r="AD126" i="1" s="1"/>
  <c r="AG24" i="1"/>
  <c r="AG126" i="1" s="1"/>
  <c r="AK24" i="1"/>
  <c r="AO24" i="1"/>
  <c r="AS24" i="1"/>
  <c r="AS126" i="1" s="1"/>
  <c r="V24" i="1"/>
  <c r="Z24" i="1"/>
  <c r="AA24" i="1" s="1"/>
  <c r="AA126" i="1" s="1"/>
  <c r="AH24" i="1"/>
  <c r="AL24" i="1"/>
  <c r="AN24" i="1" s="1"/>
  <c r="AP24" i="1"/>
  <c r="AP126" i="1" s="1"/>
  <c r="AT24" i="1"/>
  <c r="W24" i="1"/>
  <c r="Y24" i="1" s="1"/>
  <c r="AI24" i="1"/>
  <c r="AJ24" i="1" s="1"/>
  <c r="AJ126" i="1" s="1"/>
  <c r="AM24" i="1"/>
  <c r="AM126" i="1" s="1"/>
  <c r="AQ24" i="1"/>
  <c r="GP23" i="1"/>
  <c r="FP23" i="1"/>
  <c r="EQ23" i="1"/>
  <c r="DR23" i="1"/>
  <c r="CS23" i="1"/>
  <c r="BT23" i="1"/>
  <c r="GS22" i="1"/>
  <c r="ET22" i="1"/>
  <c r="CJ22" i="1"/>
  <c r="S22" i="1"/>
  <c r="II21" i="1"/>
  <c r="HS21" i="1"/>
  <c r="HU21" i="1" s="1"/>
  <c r="HD21" i="1"/>
  <c r="HF21" i="1" s="1"/>
  <c r="GH21" i="1"/>
  <c r="DX21" i="1"/>
  <c r="GM20" i="1"/>
  <c r="FM20" i="1"/>
  <c r="BE20" i="1"/>
  <c r="M20" i="1"/>
  <c r="Q20" i="1"/>
  <c r="R20" i="1" s="1"/>
  <c r="U20" i="1"/>
  <c r="U122" i="1" s="1"/>
  <c r="AC20" i="1"/>
  <c r="AD20" i="1" s="1"/>
  <c r="AD122" i="1" s="1"/>
  <c r="AG20" i="1"/>
  <c r="AG122" i="1" s="1"/>
  <c r="AK20" i="1"/>
  <c r="AO20" i="1"/>
  <c r="AS20" i="1"/>
  <c r="AS122" i="1" s="1"/>
  <c r="V20" i="1"/>
  <c r="Z20" i="1"/>
  <c r="AA20" i="1" s="1"/>
  <c r="AA122" i="1" s="1"/>
  <c r="AH20" i="1"/>
  <c r="AL20" i="1"/>
  <c r="AN20" i="1" s="1"/>
  <c r="AP20" i="1"/>
  <c r="AP122" i="1" s="1"/>
  <c r="AT20" i="1"/>
  <c r="W20" i="1"/>
  <c r="X20" i="1" s="1"/>
  <c r="X122" i="1" s="1"/>
  <c r="AI20" i="1"/>
  <c r="AJ20" i="1" s="1"/>
  <c r="AJ122" i="1" s="1"/>
  <c r="AM20" i="1"/>
  <c r="AM122" i="1" s="1"/>
  <c r="AQ20" i="1"/>
  <c r="GP19" i="1"/>
  <c r="FP19" i="1"/>
  <c r="EQ19" i="1"/>
  <c r="DR19" i="1"/>
  <c r="CS19" i="1"/>
  <c r="BT19" i="1"/>
  <c r="GS18" i="1"/>
  <c r="ET18" i="1"/>
  <c r="CJ18" i="1"/>
  <c r="HS17" i="1"/>
  <c r="HU17" i="1" s="1"/>
  <c r="HD17" i="1"/>
  <c r="GH17" i="1"/>
  <c r="DX17" i="1"/>
  <c r="GM16" i="1"/>
  <c r="FM16" i="1"/>
  <c r="BE16" i="1"/>
  <c r="M16" i="1"/>
  <c r="Q16" i="1"/>
  <c r="U16" i="1"/>
  <c r="U118" i="1" s="1"/>
  <c r="Y16" i="1"/>
  <c r="AC16" i="1"/>
  <c r="AD16" i="1" s="1"/>
  <c r="AD118" i="1" s="1"/>
  <c r="AG16" i="1"/>
  <c r="AG118" i="1" s="1"/>
  <c r="AK16" i="1"/>
  <c r="AO16" i="1"/>
  <c r="AP16" i="1" s="1"/>
  <c r="AP118" i="1" s="1"/>
  <c r="AS16" i="1"/>
  <c r="AS118" i="1" s="1"/>
  <c r="R16" i="1"/>
  <c r="V16" i="1"/>
  <c r="Z16" i="1"/>
  <c r="AB16" i="1" s="1"/>
  <c r="AH16" i="1"/>
  <c r="AL16" i="1"/>
  <c r="AN16" i="1" s="1"/>
  <c r="AT16" i="1"/>
  <c r="S16" i="1"/>
  <c r="W16" i="1"/>
  <c r="X16" i="1" s="1"/>
  <c r="AE16" i="1"/>
  <c r="AI16" i="1"/>
  <c r="AJ16" i="1" s="1"/>
  <c r="AJ118" i="1" s="1"/>
  <c r="GP15" i="1"/>
  <c r="FP15" i="1"/>
  <c r="EQ15" i="1"/>
  <c r="DR15" i="1"/>
  <c r="CS15" i="1"/>
  <c r="BT15" i="1"/>
  <c r="GS14" i="1"/>
  <c r="ET14" i="1"/>
  <c r="CJ14" i="1"/>
  <c r="S14" i="1"/>
  <c r="DX13" i="1"/>
  <c r="GM12" i="1"/>
  <c r="FM12" i="1"/>
  <c r="BE12" i="1"/>
  <c r="M12" i="1"/>
  <c r="Q12" i="1"/>
  <c r="R12" i="1" s="1"/>
  <c r="U12" i="1"/>
  <c r="U114" i="1" s="1"/>
  <c r="Y12" i="1"/>
  <c r="AC12" i="1"/>
  <c r="AG12" i="1"/>
  <c r="AG114" i="1" s="1"/>
  <c r="AK12" i="1"/>
  <c r="AO12" i="1"/>
  <c r="AP12" i="1" s="1"/>
  <c r="AP114" i="1" s="1"/>
  <c r="AS12" i="1"/>
  <c r="AS114" i="1" s="1"/>
  <c r="V12" i="1"/>
  <c r="Z12" i="1"/>
  <c r="AB12" i="1" s="1"/>
  <c r="AD12" i="1"/>
  <c r="AD114" i="1" s="1"/>
  <c r="AH12" i="1"/>
  <c r="AL12" i="1"/>
  <c r="AM12" i="1" s="1"/>
  <c r="AM114" i="1" s="1"/>
  <c r="AT12" i="1"/>
  <c r="W12" i="1"/>
  <c r="X12" i="1" s="1"/>
  <c r="X114" i="1" s="1"/>
  <c r="AA12" i="1"/>
  <c r="AA114" i="1" s="1"/>
  <c r="AE12" i="1"/>
  <c r="AI12" i="1"/>
  <c r="AJ12" i="1" s="1"/>
  <c r="AJ114" i="1" s="1"/>
  <c r="AQ12" i="1"/>
  <c r="GP11" i="1"/>
  <c r="FP11" i="1"/>
  <c r="EQ11" i="1"/>
  <c r="DR11" i="1"/>
  <c r="CS11" i="1"/>
  <c r="BT11" i="1"/>
  <c r="GS10" i="1"/>
  <c r="ET10" i="1"/>
  <c r="CJ10" i="1"/>
  <c r="IU9" i="1"/>
  <c r="EK9" i="1"/>
  <c r="EK110" i="1" s="1"/>
  <c r="CY9" i="1"/>
  <c r="CY110" i="1" s="1"/>
  <c r="BN9" i="1"/>
  <c r="BN110" i="1" s="1"/>
  <c r="FZ8" i="1"/>
  <c r="FZ110" i="1" s="1"/>
  <c r="DO8" i="1"/>
  <c r="DO110" i="1" s="1"/>
  <c r="DB8" i="1"/>
  <c r="DB110" i="1" s="1"/>
  <c r="DB113" i="1" s="1"/>
  <c r="AN8" i="1"/>
  <c r="X8" i="1"/>
  <c r="X110" i="1" s="1"/>
  <c r="DB65" i="3"/>
  <c r="EA65" i="3"/>
  <c r="FQ65" i="3"/>
  <c r="HD65" i="3"/>
  <c r="HN65" i="3"/>
  <c r="HS65" i="3"/>
  <c r="IA65" i="3"/>
  <c r="IE65" i="3"/>
  <c r="IM65" i="3"/>
  <c r="IQ65" i="3"/>
  <c r="BZ65" i="3"/>
  <c r="CB65" i="3" s="1"/>
  <c r="DC65" i="3"/>
  <c r="EB65" i="3"/>
  <c r="EW65" i="3"/>
  <c r="HJ65" i="3"/>
  <c r="HL65" i="3" s="1"/>
  <c r="HO65" i="3"/>
  <c r="HX65" i="3"/>
  <c r="IB65" i="3"/>
  <c r="IJ65" i="3"/>
  <c r="IL65" i="3" s="1"/>
  <c r="IN65" i="3"/>
  <c r="CA65" i="3"/>
  <c r="EX65" i="3"/>
  <c r="GF65" i="3"/>
  <c r="GH65" i="3" s="1"/>
  <c r="GS65" i="3"/>
  <c r="HK65" i="3"/>
  <c r="HU65" i="3"/>
  <c r="HY65" i="3"/>
  <c r="IG65" i="3"/>
  <c r="IK65" i="3"/>
  <c r="IS65" i="3"/>
  <c r="FP65" i="3"/>
  <c r="FR65" i="3" s="1"/>
  <c r="GG65" i="3"/>
  <c r="GT65" i="3"/>
  <c r="HC65" i="3"/>
  <c r="HR65" i="3"/>
  <c r="HV65" i="3"/>
  <c r="ID65" i="3"/>
  <c r="IH65" i="3"/>
  <c r="IP65" i="3"/>
  <c r="IT65" i="3"/>
  <c r="IO59" i="1"/>
  <c r="IK59" i="1"/>
  <c r="IM59" i="1" s="1"/>
  <c r="IC59" i="1"/>
  <c r="HY59" i="1"/>
  <c r="HP59" i="1"/>
  <c r="HK59" i="1"/>
  <c r="HM59" i="1" s="1"/>
  <c r="EX59" i="1"/>
  <c r="EZ59" i="1" s="1"/>
  <c r="EC59" i="1"/>
  <c r="DD59" i="1"/>
  <c r="CA59" i="1"/>
  <c r="CC59" i="1" s="1"/>
  <c r="AU59" i="1"/>
  <c r="AX58" i="1"/>
  <c r="G59" i="5" s="1"/>
  <c r="AT58" i="1"/>
  <c r="AP58" i="1"/>
  <c r="AP160" i="1" s="1"/>
  <c r="AL58" i="1"/>
  <c r="AH58" i="1"/>
  <c r="AD58" i="1"/>
  <c r="AD160" i="1" s="1"/>
  <c r="Z58" i="1"/>
  <c r="V58" i="1"/>
  <c r="CA57" i="3"/>
  <c r="EX57" i="3"/>
  <c r="GF57" i="3"/>
  <c r="GS57" i="3"/>
  <c r="GU57" i="3" s="1"/>
  <c r="HK57" i="3"/>
  <c r="HU57" i="3"/>
  <c r="HY57" i="3"/>
  <c r="IG57" i="3"/>
  <c r="II57" i="3" s="1"/>
  <c r="IK57" i="3"/>
  <c r="IS57" i="3"/>
  <c r="FP57" i="3"/>
  <c r="GG57" i="3"/>
  <c r="GT57" i="3"/>
  <c r="HC57" i="3"/>
  <c r="HR57" i="3"/>
  <c r="HV57" i="3"/>
  <c r="ID57" i="3"/>
  <c r="IH57" i="3"/>
  <c r="IP57" i="3"/>
  <c r="IT57" i="3"/>
  <c r="DB57" i="3"/>
  <c r="EA57" i="3"/>
  <c r="FQ57" i="3"/>
  <c r="HD57" i="3"/>
  <c r="HN57" i="3"/>
  <c r="HS57" i="3"/>
  <c r="IA57" i="3"/>
  <c r="IE57" i="3"/>
  <c r="IM57" i="3"/>
  <c r="IQ57" i="3"/>
  <c r="BZ57" i="3"/>
  <c r="DC57" i="3"/>
  <c r="EB57" i="3"/>
  <c r="EW57" i="3"/>
  <c r="EY57" i="3" s="1"/>
  <c r="HJ57" i="3"/>
  <c r="HO57" i="3"/>
  <c r="HX57" i="3"/>
  <c r="IB57" i="3"/>
  <c r="IJ57" i="3"/>
  <c r="IN57" i="3"/>
  <c r="IO55" i="1"/>
  <c r="IK55" i="1"/>
  <c r="IM55" i="1" s="1"/>
  <c r="IC55" i="1"/>
  <c r="HY55" i="1"/>
  <c r="IA55" i="1" s="1"/>
  <c r="HP55" i="1"/>
  <c r="HK55" i="1"/>
  <c r="HM55" i="1" s="1"/>
  <c r="EX55" i="1"/>
  <c r="EZ55" i="1" s="1"/>
  <c r="EC55" i="1"/>
  <c r="DD55" i="1"/>
  <c r="CA55" i="1"/>
  <c r="CC55" i="1" s="1"/>
  <c r="AU55" i="1"/>
  <c r="AX54" i="1"/>
  <c r="G55" i="5" s="1"/>
  <c r="AT54" i="1"/>
  <c r="AP54" i="1"/>
  <c r="AP156" i="1" s="1"/>
  <c r="AL54" i="1"/>
  <c r="AH54" i="1"/>
  <c r="AD54" i="1"/>
  <c r="AD156" i="1" s="1"/>
  <c r="Z54" i="1"/>
  <c r="V54" i="1"/>
  <c r="DB53" i="3"/>
  <c r="EA53" i="3"/>
  <c r="FQ53" i="3"/>
  <c r="HD53" i="3"/>
  <c r="HN53" i="3"/>
  <c r="HS53" i="3"/>
  <c r="IA53" i="3"/>
  <c r="IE53" i="3"/>
  <c r="IM53" i="3"/>
  <c r="IQ53" i="3"/>
  <c r="BZ53" i="3"/>
  <c r="EX53" i="3"/>
  <c r="FP53" i="3"/>
  <c r="FR53" i="3" s="1"/>
  <c r="GS53" i="3"/>
  <c r="HC53" i="3"/>
  <c r="HJ53" i="3"/>
  <c r="HV53" i="3"/>
  <c r="IB53" i="3"/>
  <c r="IG53" i="3"/>
  <c r="CA53" i="3"/>
  <c r="EB53" i="3"/>
  <c r="GF53" i="3"/>
  <c r="GT53" i="3"/>
  <c r="HK53" i="3"/>
  <c r="HR53" i="3"/>
  <c r="HT53" i="3" s="1"/>
  <c r="HX53" i="3"/>
  <c r="IH53" i="3"/>
  <c r="IN53" i="3"/>
  <c r="IS53" i="3"/>
  <c r="IU53" i="3" s="1"/>
  <c r="DC53" i="3"/>
  <c r="GG53" i="3"/>
  <c r="HY53" i="3"/>
  <c r="ID53" i="3"/>
  <c r="IJ53" i="3"/>
  <c r="IT53" i="3"/>
  <c r="EW53" i="3"/>
  <c r="EY53" i="3" s="1"/>
  <c r="HO53" i="3"/>
  <c r="HU53" i="3"/>
  <c r="IK53" i="3"/>
  <c r="IP53" i="3"/>
  <c r="IO51" i="1"/>
  <c r="IK51" i="1"/>
  <c r="IC51" i="1"/>
  <c r="HY51" i="1"/>
  <c r="IA51" i="1" s="1"/>
  <c r="HP51" i="1"/>
  <c r="HK51" i="1"/>
  <c r="EX51" i="1"/>
  <c r="EZ51" i="1" s="1"/>
  <c r="EC51" i="1"/>
  <c r="DD51" i="1"/>
  <c r="CA51" i="1"/>
  <c r="AU51" i="1"/>
  <c r="AX50" i="1"/>
  <c r="G51" i="5" s="1"/>
  <c r="AT50" i="1"/>
  <c r="AP50" i="1"/>
  <c r="AP152" i="1" s="1"/>
  <c r="AL50" i="1"/>
  <c r="AH50" i="1"/>
  <c r="AD50" i="1"/>
  <c r="AD152" i="1" s="1"/>
  <c r="Z50" i="1"/>
  <c r="V50" i="1"/>
  <c r="FP49" i="3"/>
  <c r="GG49" i="3"/>
  <c r="GT49" i="3"/>
  <c r="HC49" i="3"/>
  <c r="HR49" i="3"/>
  <c r="HV49" i="3"/>
  <c r="ID49" i="3"/>
  <c r="IH49" i="3"/>
  <c r="IP49" i="3"/>
  <c r="IT49" i="3"/>
  <c r="DB49" i="3"/>
  <c r="EA49" i="3"/>
  <c r="FQ49" i="3"/>
  <c r="HD49" i="3"/>
  <c r="HN49" i="3"/>
  <c r="HS49" i="3"/>
  <c r="IA49" i="3"/>
  <c r="IE49" i="3"/>
  <c r="IM49" i="3"/>
  <c r="IQ49" i="3"/>
  <c r="BZ49" i="3"/>
  <c r="GF49" i="3"/>
  <c r="GH49" i="3" s="1"/>
  <c r="HO49" i="3"/>
  <c r="HX49" i="3"/>
  <c r="IN49" i="3"/>
  <c r="CA49" i="3"/>
  <c r="EB49" i="3"/>
  <c r="GS49" i="3"/>
  <c r="HY49" i="3"/>
  <c r="IG49" i="3"/>
  <c r="II49" i="3" s="1"/>
  <c r="DC49" i="3"/>
  <c r="EW49" i="3"/>
  <c r="HJ49" i="3"/>
  <c r="IB49" i="3"/>
  <c r="IJ49" i="3"/>
  <c r="EX49" i="3"/>
  <c r="HK49" i="3"/>
  <c r="HU49" i="3"/>
  <c r="HW49" i="3" s="1"/>
  <c r="IK49" i="3"/>
  <c r="IS49" i="3"/>
  <c r="EX47" i="1"/>
  <c r="EZ47" i="1" s="1"/>
  <c r="EC47" i="1"/>
  <c r="DD47" i="1"/>
  <c r="CA47" i="1"/>
  <c r="CC47" i="1" s="1"/>
  <c r="AU47" i="1"/>
  <c r="FS46" i="1"/>
  <c r="DE46" i="1"/>
  <c r="R45" i="1"/>
  <c r="R147" i="1" s="1"/>
  <c r="V45" i="1"/>
  <c r="Z45" i="1"/>
  <c r="AD45" i="1"/>
  <c r="AD147" i="1" s="1"/>
  <c r="AH45" i="1"/>
  <c r="AL45" i="1"/>
  <c r="AP45" i="1"/>
  <c r="AP147" i="1" s="1"/>
  <c r="AT45" i="1"/>
  <c r="AX45" i="1"/>
  <c r="G46" i="5" s="1"/>
  <c r="S45" i="1"/>
  <c r="W45" i="1"/>
  <c r="AA45" i="1"/>
  <c r="AA147" i="1" s="1"/>
  <c r="AE45" i="1"/>
  <c r="AI45" i="1"/>
  <c r="AM45" i="1"/>
  <c r="AM147" i="1" s="1"/>
  <c r="AQ45" i="1"/>
  <c r="AY45" i="1"/>
  <c r="H46" i="5" s="1"/>
  <c r="AV44" i="1"/>
  <c r="N44" i="1" s="1"/>
  <c r="AN44" i="1"/>
  <c r="AF44" i="1"/>
  <c r="X44" i="1"/>
  <c r="X146" i="1" s="1"/>
  <c r="ID42" i="1"/>
  <c r="HF42" i="1"/>
  <c r="DC42" i="1"/>
  <c r="DE42" i="1" s="1"/>
  <c r="R41" i="1"/>
  <c r="R143" i="1" s="1"/>
  <c r="V41" i="1"/>
  <c r="Z41" i="1"/>
  <c r="AD41" i="1"/>
  <c r="AD143" i="1" s="1"/>
  <c r="AH41" i="1"/>
  <c r="AL41" i="1"/>
  <c r="AP41" i="1"/>
  <c r="AP143" i="1" s="1"/>
  <c r="AT41" i="1"/>
  <c r="AX41" i="1"/>
  <c r="G42" i="5" s="1"/>
  <c r="S41" i="1"/>
  <c r="W41" i="1"/>
  <c r="AA41" i="1"/>
  <c r="AA143" i="1" s="1"/>
  <c r="AE41" i="1"/>
  <c r="AI41" i="1"/>
  <c r="AM41" i="1"/>
  <c r="AM143" i="1" s="1"/>
  <c r="AQ41" i="1"/>
  <c r="AY41" i="1"/>
  <c r="H42" i="5" s="1"/>
  <c r="AV40" i="1"/>
  <c r="N40" i="1" s="1"/>
  <c r="AN40" i="1"/>
  <c r="AF40" i="1"/>
  <c r="X40" i="1"/>
  <c r="X142" i="1" s="1"/>
  <c r="DC38" i="1"/>
  <c r="DE38" i="1" s="1"/>
  <c r="AS37" i="1"/>
  <c r="AS139" i="1" s="1"/>
  <c r="AK37" i="1"/>
  <c r="AC37" i="1"/>
  <c r="U37" i="1"/>
  <c r="U139" i="1" s="1"/>
  <c r="M37" i="1"/>
  <c r="IG29" i="1"/>
  <c r="IG21" i="1"/>
  <c r="IG17" i="1"/>
  <c r="M9" i="3"/>
  <c r="DC9" i="1"/>
  <c r="EB9" i="1"/>
  <c r="FR9" i="1"/>
  <c r="HE9" i="1"/>
  <c r="HO9" i="1"/>
  <c r="HT9" i="1"/>
  <c r="IB9" i="1"/>
  <c r="IF9" i="1"/>
  <c r="IN9" i="1"/>
  <c r="IR9" i="1"/>
  <c r="AU9" i="1"/>
  <c r="CA9" i="1"/>
  <c r="DD9" i="1"/>
  <c r="EC9" i="1"/>
  <c r="EX9" i="1"/>
  <c r="HK9" i="1"/>
  <c r="HP9" i="1"/>
  <c r="HY9" i="1"/>
  <c r="IC9" i="1"/>
  <c r="IK9" i="1"/>
  <c r="IO9" i="1"/>
  <c r="CB9" i="1"/>
  <c r="EY9" i="1"/>
  <c r="GG9" i="1"/>
  <c r="GT9" i="1"/>
  <c r="GV9" i="1" s="1"/>
  <c r="HL9" i="1"/>
  <c r="HV9" i="1"/>
  <c r="HX9" i="1" s="1"/>
  <c r="HZ9" i="1"/>
  <c r="IH9" i="1"/>
  <c r="IL9" i="1"/>
  <c r="IT9" i="1"/>
  <c r="IV9" i="1" s="1"/>
  <c r="AJ8" i="1"/>
  <c r="AJ110" i="1" s="1"/>
  <c r="T8" i="1"/>
  <c r="U8" i="1" s="1"/>
  <c r="U110" i="1" s="1"/>
  <c r="EH6" i="1"/>
  <c r="EH110" i="1" s="1"/>
  <c r="DI6" i="1"/>
  <c r="DI110" i="1" s="1"/>
  <c r="CJ6" i="1"/>
  <c r="CJ110" i="1" s="1"/>
  <c r="BZ34" i="3"/>
  <c r="CB34" i="3" s="1"/>
  <c r="DC34" i="3"/>
  <c r="EB34" i="3"/>
  <c r="EW34" i="3"/>
  <c r="HJ34" i="3"/>
  <c r="HL34" i="3" s="1"/>
  <c r="HO34" i="3"/>
  <c r="HX34" i="3"/>
  <c r="IB34" i="3"/>
  <c r="IJ34" i="3"/>
  <c r="IL34" i="3" s="1"/>
  <c r="IN34" i="3"/>
  <c r="CA34" i="3"/>
  <c r="EX34" i="3"/>
  <c r="GF34" i="3"/>
  <c r="GS34" i="3"/>
  <c r="HK34" i="3"/>
  <c r="HU34" i="3"/>
  <c r="HY34" i="3"/>
  <c r="IG34" i="3"/>
  <c r="IK34" i="3"/>
  <c r="IS34" i="3"/>
  <c r="FP34" i="3"/>
  <c r="FR34" i="3" s="1"/>
  <c r="GG34" i="3"/>
  <c r="GT34" i="3"/>
  <c r="HC34" i="3"/>
  <c r="HR34" i="3"/>
  <c r="HT34" i="3" s="1"/>
  <c r="HV34" i="3"/>
  <c r="ID34" i="3"/>
  <c r="IH34" i="3"/>
  <c r="IP34" i="3"/>
  <c r="IT34" i="3"/>
  <c r="DB34" i="3"/>
  <c r="HD34" i="3"/>
  <c r="HN34" i="3"/>
  <c r="HP34" i="3" s="1"/>
  <c r="IE34" i="3"/>
  <c r="HS34" i="3"/>
  <c r="IM34" i="3"/>
  <c r="IQ34" i="3"/>
  <c r="EA34" i="3"/>
  <c r="EC34" i="3" s="1"/>
  <c r="FQ34" i="3"/>
  <c r="IA34" i="3"/>
  <c r="IC34" i="3" s="1"/>
  <c r="BZ30" i="3"/>
  <c r="CB30" i="3" s="1"/>
  <c r="DC30" i="3"/>
  <c r="EB30" i="3"/>
  <c r="EW30" i="3"/>
  <c r="HJ30" i="3"/>
  <c r="HL30" i="3" s="1"/>
  <c r="HO30" i="3"/>
  <c r="HX30" i="3"/>
  <c r="IB30" i="3"/>
  <c r="IJ30" i="3"/>
  <c r="IL30" i="3" s="1"/>
  <c r="IN30" i="3"/>
  <c r="CA30" i="3"/>
  <c r="EX30" i="3"/>
  <c r="GG30" i="3"/>
  <c r="HD30" i="3"/>
  <c r="HK30" i="3"/>
  <c r="HR30" i="3"/>
  <c r="IH30" i="3"/>
  <c r="IM30" i="3"/>
  <c r="IO30" i="3" s="1"/>
  <c r="IS30" i="3"/>
  <c r="EA30" i="3"/>
  <c r="EC30" i="3" s="1"/>
  <c r="HS30" i="3"/>
  <c r="HY30" i="3"/>
  <c r="ID30" i="3"/>
  <c r="IT30" i="3"/>
  <c r="DB30" i="3"/>
  <c r="FP30" i="3"/>
  <c r="GS30" i="3"/>
  <c r="HN30" i="3"/>
  <c r="HU30" i="3"/>
  <c r="HW30" i="3" s="1"/>
  <c r="IE30" i="3"/>
  <c r="IK30" i="3"/>
  <c r="IP30" i="3"/>
  <c r="GF30" i="3"/>
  <c r="GH30" i="3" s="1"/>
  <c r="GT30" i="3"/>
  <c r="HV30" i="3"/>
  <c r="IQ30" i="3"/>
  <c r="IA30" i="3"/>
  <c r="FQ30" i="3"/>
  <c r="IG30" i="3"/>
  <c r="HC30" i="3"/>
  <c r="BZ26" i="3"/>
  <c r="CB26" i="3" s="1"/>
  <c r="DC26" i="3"/>
  <c r="EB26" i="3"/>
  <c r="EW26" i="3"/>
  <c r="HJ26" i="3"/>
  <c r="HL26" i="3" s="1"/>
  <c r="HO26" i="3"/>
  <c r="HX26" i="3"/>
  <c r="IB26" i="3"/>
  <c r="IJ26" i="3"/>
  <c r="IL26" i="3" s="1"/>
  <c r="IN26" i="3"/>
  <c r="CA26" i="3"/>
  <c r="EX26" i="3"/>
  <c r="GF26" i="3"/>
  <c r="GS26" i="3"/>
  <c r="HK26" i="3"/>
  <c r="HU26" i="3"/>
  <c r="HY26" i="3"/>
  <c r="IG26" i="3"/>
  <c r="IK26" i="3"/>
  <c r="IS26" i="3"/>
  <c r="FP26" i="3"/>
  <c r="GG26" i="3"/>
  <c r="GT26" i="3"/>
  <c r="HC26" i="3"/>
  <c r="HR26" i="3"/>
  <c r="HT26" i="3" s="1"/>
  <c r="HV26" i="3"/>
  <c r="ID26" i="3"/>
  <c r="IH26" i="3"/>
  <c r="IP26" i="3"/>
  <c r="IT26" i="3"/>
  <c r="DB26" i="3"/>
  <c r="HD26" i="3"/>
  <c r="HN26" i="3"/>
  <c r="IE26" i="3"/>
  <c r="HS26" i="3"/>
  <c r="IM26" i="3"/>
  <c r="EA26" i="3"/>
  <c r="EC26" i="3" s="1"/>
  <c r="FQ26" i="3"/>
  <c r="IA26" i="3"/>
  <c r="IQ26" i="3"/>
  <c r="BH6" i="1"/>
  <c r="BH110" i="1" s="1"/>
  <c r="FP43" i="3"/>
  <c r="GG43" i="3"/>
  <c r="GT43" i="3"/>
  <c r="HC43" i="3"/>
  <c r="HE43" i="3" s="1"/>
  <c r="HR43" i="3"/>
  <c r="HV43" i="3"/>
  <c r="ID43" i="3"/>
  <c r="IH43" i="3"/>
  <c r="IP43" i="3"/>
  <c r="IT43" i="3"/>
  <c r="DB43" i="3"/>
  <c r="EA43" i="3"/>
  <c r="FQ43" i="3"/>
  <c r="HD43" i="3"/>
  <c r="HN43" i="3"/>
  <c r="HS43" i="3"/>
  <c r="IA43" i="3"/>
  <c r="IE43" i="3"/>
  <c r="IM43" i="3"/>
  <c r="IQ43" i="3"/>
  <c r="BZ43" i="3"/>
  <c r="DC43" i="3"/>
  <c r="EB43" i="3"/>
  <c r="EW43" i="3"/>
  <c r="HJ43" i="3"/>
  <c r="HO43" i="3"/>
  <c r="HX43" i="3"/>
  <c r="IB43" i="3"/>
  <c r="IJ43" i="3"/>
  <c r="IN43" i="3"/>
  <c r="EX43" i="3"/>
  <c r="GF43" i="3"/>
  <c r="GH43" i="3" s="1"/>
  <c r="HY43" i="3"/>
  <c r="CA43" i="3"/>
  <c r="GS43" i="3"/>
  <c r="GU43" i="3" s="1"/>
  <c r="HK43" i="3"/>
  <c r="IS43" i="3"/>
  <c r="IU43" i="3" s="1"/>
  <c r="IG43" i="3"/>
  <c r="HU43" i="3"/>
  <c r="HW43" i="3" s="1"/>
  <c r="IK43" i="3"/>
  <c r="FP39" i="3"/>
  <c r="GG39" i="3"/>
  <c r="GT39" i="3"/>
  <c r="HC39" i="3"/>
  <c r="HE39" i="3" s="1"/>
  <c r="HR39" i="3"/>
  <c r="HV39" i="3"/>
  <c r="ID39" i="3"/>
  <c r="IH39" i="3"/>
  <c r="IP39" i="3"/>
  <c r="IT39" i="3"/>
  <c r="DB39" i="3"/>
  <c r="EA39" i="3"/>
  <c r="FQ39" i="3"/>
  <c r="HD39" i="3"/>
  <c r="HN39" i="3"/>
  <c r="HS39" i="3"/>
  <c r="IA39" i="3"/>
  <c r="IE39" i="3"/>
  <c r="IM39" i="3"/>
  <c r="IQ39" i="3"/>
  <c r="BZ39" i="3"/>
  <c r="DC39" i="3"/>
  <c r="EB39" i="3"/>
  <c r="EW39" i="3"/>
  <c r="HJ39" i="3"/>
  <c r="HO39" i="3"/>
  <c r="HX39" i="3"/>
  <c r="IB39" i="3"/>
  <c r="IJ39" i="3"/>
  <c r="IN39" i="3"/>
  <c r="EX39" i="3"/>
  <c r="GF39" i="3"/>
  <c r="GH39" i="3" s="1"/>
  <c r="HY39" i="3"/>
  <c r="CA39" i="3"/>
  <c r="GS39" i="3"/>
  <c r="GU39" i="3" s="1"/>
  <c r="HK39" i="3"/>
  <c r="IS39" i="3"/>
  <c r="IU39" i="3" s="1"/>
  <c r="IG39" i="3"/>
  <c r="HU39" i="3"/>
  <c r="HW39" i="3" s="1"/>
  <c r="IK39" i="3"/>
  <c r="FP35" i="3"/>
  <c r="GG35" i="3"/>
  <c r="GT35" i="3"/>
  <c r="HC35" i="3"/>
  <c r="HE35" i="3" s="1"/>
  <c r="HR35" i="3"/>
  <c r="HV35" i="3"/>
  <c r="ID35" i="3"/>
  <c r="IF35" i="3" s="1"/>
  <c r="IH35" i="3"/>
  <c r="IP35" i="3"/>
  <c r="IT35" i="3"/>
  <c r="DB35" i="3"/>
  <c r="DD35" i="3" s="1"/>
  <c r="EA35" i="3"/>
  <c r="FQ35" i="3"/>
  <c r="HD35" i="3"/>
  <c r="HN35" i="3"/>
  <c r="HP35" i="3" s="1"/>
  <c r="HS35" i="3"/>
  <c r="IA35" i="3"/>
  <c r="IE35" i="3"/>
  <c r="IM35" i="3"/>
  <c r="IO35" i="3" s="1"/>
  <c r="IQ35" i="3"/>
  <c r="BZ35" i="3"/>
  <c r="DC35" i="3"/>
  <c r="EB35" i="3"/>
  <c r="EW35" i="3"/>
  <c r="EY35" i="3" s="1"/>
  <c r="HJ35" i="3"/>
  <c r="HO35" i="3"/>
  <c r="HX35" i="3"/>
  <c r="IB35" i="3"/>
  <c r="IJ35" i="3"/>
  <c r="IN35" i="3"/>
  <c r="CA35" i="3"/>
  <c r="GS35" i="3"/>
  <c r="HK35" i="3"/>
  <c r="IS35" i="3"/>
  <c r="IU35" i="3" s="1"/>
  <c r="IG35" i="3"/>
  <c r="HU35" i="3"/>
  <c r="HW35" i="3" s="1"/>
  <c r="IK35" i="3"/>
  <c r="EX35" i="3"/>
  <c r="GF35" i="3"/>
  <c r="GH35" i="3" s="1"/>
  <c r="HY35" i="3"/>
  <c r="IT34" i="1"/>
  <c r="IV34" i="1" s="1"/>
  <c r="IL34" i="1"/>
  <c r="IH34" i="1"/>
  <c r="IJ34" i="1" s="1"/>
  <c r="HZ34" i="1"/>
  <c r="HV34" i="1"/>
  <c r="HX34" i="1" s="1"/>
  <c r="HL34" i="1"/>
  <c r="GT34" i="1"/>
  <c r="GV34" i="1" s="1"/>
  <c r="GG34" i="1"/>
  <c r="GI34" i="1" s="1"/>
  <c r="EY34" i="1"/>
  <c r="CB34" i="1"/>
  <c r="AQ33" i="1"/>
  <c r="AI33" i="1"/>
  <c r="AJ33" i="1" s="1"/>
  <c r="AJ135" i="1" s="1"/>
  <c r="AE33" i="1"/>
  <c r="W33" i="1"/>
  <c r="X33" i="1" s="1"/>
  <c r="S33" i="1"/>
  <c r="CA31" i="3"/>
  <c r="FP31" i="3"/>
  <c r="GG31" i="3"/>
  <c r="GT31" i="3"/>
  <c r="HC31" i="3"/>
  <c r="HR31" i="3"/>
  <c r="HV31" i="3"/>
  <c r="ID31" i="3"/>
  <c r="IH31" i="3"/>
  <c r="IP31" i="3"/>
  <c r="IT31" i="3"/>
  <c r="DB31" i="3"/>
  <c r="EA31" i="3"/>
  <c r="FQ31" i="3"/>
  <c r="HD31" i="3"/>
  <c r="HN31" i="3"/>
  <c r="HS31" i="3"/>
  <c r="IA31" i="3"/>
  <c r="IC31" i="3" s="1"/>
  <c r="IE31" i="3"/>
  <c r="IM31" i="3"/>
  <c r="IQ31" i="3"/>
  <c r="DC31" i="3"/>
  <c r="EB31" i="3"/>
  <c r="EW31" i="3"/>
  <c r="HJ31" i="3"/>
  <c r="HO31" i="3"/>
  <c r="HX31" i="3"/>
  <c r="IB31" i="3"/>
  <c r="IJ31" i="3"/>
  <c r="IN31" i="3"/>
  <c r="GF31" i="3"/>
  <c r="GH31" i="3" s="1"/>
  <c r="GS31" i="3"/>
  <c r="GU31" i="3" s="1"/>
  <c r="HK31" i="3"/>
  <c r="IS31" i="3"/>
  <c r="IU31" i="3" s="1"/>
  <c r="BZ31" i="3"/>
  <c r="IG31" i="3"/>
  <c r="EX31" i="3"/>
  <c r="HU31" i="3"/>
  <c r="HW31" i="3" s="1"/>
  <c r="IK31" i="3"/>
  <c r="HY31" i="3"/>
  <c r="IT30" i="1"/>
  <c r="IV30" i="1" s="1"/>
  <c r="IL30" i="1"/>
  <c r="IH30" i="1"/>
  <c r="IJ30" i="1" s="1"/>
  <c r="HZ30" i="1"/>
  <c r="HV30" i="1"/>
  <c r="HX30" i="1" s="1"/>
  <c r="HL30" i="1"/>
  <c r="GT30" i="1"/>
  <c r="GV30" i="1" s="1"/>
  <c r="GG30" i="1"/>
  <c r="GI30" i="1" s="1"/>
  <c r="EY30" i="1"/>
  <c r="CB30" i="1"/>
  <c r="AQ29" i="1"/>
  <c r="AI29" i="1"/>
  <c r="AK29" i="1" s="1"/>
  <c r="AE29" i="1"/>
  <c r="W29" i="1"/>
  <c r="Y29" i="1" s="1"/>
  <c r="S29" i="1"/>
  <c r="FP27" i="3"/>
  <c r="GG27" i="3"/>
  <c r="GT27" i="3"/>
  <c r="HC27" i="3"/>
  <c r="HE27" i="3" s="1"/>
  <c r="HR27" i="3"/>
  <c r="HV27" i="3"/>
  <c r="ID27" i="3"/>
  <c r="IH27" i="3"/>
  <c r="IP27" i="3"/>
  <c r="IT27" i="3"/>
  <c r="DB27" i="3"/>
  <c r="EA27" i="3"/>
  <c r="FQ27" i="3"/>
  <c r="HD27" i="3"/>
  <c r="HN27" i="3"/>
  <c r="HS27" i="3"/>
  <c r="IA27" i="3"/>
  <c r="IE27" i="3"/>
  <c r="IM27" i="3"/>
  <c r="IQ27" i="3"/>
  <c r="BZ27" i="3"/>
  <c r="DC27" i="3"/>
  <c r="EB27" i="3"/>
  <c r="EW27" i="3"/>
  <c r="EY27" i="3" s="1"/>
  <c r="HJ27" i="3"/>
  <c r="HO27" i="3"/>
  <c r="HX27" i="3"/>
  <c r="IB27" i="3"/>
  <c r="IJ27" i="3"/>
  <c r="IN27" i="3"/>
  <c r="CA27" i="3"/>
  <c r="GS27" i="3"/>
  <c r="HK27" i="3"/>
  <c r="IS27" i="3"/>
  <c r="IU27" i="3" s="1"/>
  <c r="IG27" i="3"/>
  <c r="HU27" i="3"/>
  <c r="HW27" i="3" s="1"/>
  <c r="IK27" i="3"/>
  <c r="EX27" i="3"/>
  <c r="GF27" i="3"/>
  <c r="GH27" i="3" s="1"/>
  <c r="HY27" i="3"/>
  <c r="IT26" i="1"/>
  <c r="IV26" i="1" s="1"/>
  <c r="IL26" i="1"/>
  <c r="IH26" i="1"/>
  <c r="IJ26" i="1" s="1"/>
  <c r="HZ26" i="1"/>
  <c r="HV26" i="1"/>
  <c r="HX26" i="1" s="1"/>
  <c r="HL26" i="1"/>
  <c r="GT26" i="1"/>
  <c r="GG26" i="1"/>
  <c r="EY26" i="1"/>
  <c r="CB26" i="1"/>
  <c r="AQ25" i="1"/>
  <c r="AI25" i="1"/>
  <c r="AJ25" i="1" s="1"/>
  <c r="AJ127" i="1" s="1"/>
  <c r="AE25" i="1"/>
  <c r="W25" i="1"/>
  <c r="Y25" i="1" s="1"/>
  <c r="S25" i="1"/>
  <c r="IT22" i="1"/>
  <c r="IV22" i="1" s="1"/>
  <c r="IL22" i="1"/>
  <c r="IH22" i="1"/>
  <c r="IJ22" i="1" s="1"/>
  <c r="HZ22" i="1"/>
  <c r="HV22" i="1"/>
  <c r="HX22" i="1" s="1"/>
  <c r="HL22" i="1"/>
  <c r="GT22" i="1"/>
  <c r="GG22" i="1"/>
  <c r="EY22" i="1"/>
  <c r="CB22" i="1"/>
  <c r="AQ21" i="1"/>
  <c r="AI21" i="1"/>
  <c r="AJ21" i="1" s="1"/>
  <c r="AJ123" i="1" s="1"/>
  <c r="AE21" i="1"/>
  <c r="W21" i="1"/>
  <c r="X21" i="1" s="1"/>
  <c r="X123" i="1" s="1"/>
  <c r="S21" i="1"/>
  <c r="IT18" i="1"/>
  <c r="IL18" i="1"/>
  <c r="IH18" i="1"/>
  <c r="HZ18" i="1"/>
  <c r="HV18" i="1"/>
  <c r="HL18" i="1"/>
  <c r="GT18" i="1"/>
  <c r="GG18" i="1"/>
  <c r="EY18" i="1"/>
  <c r="CB18" i="1"/>
  <c r="AQ17" i="1"/>
  <c r="AI17" i="1"/>
  <c r="AJ17" i="1" s="1"/>
  <c r="AJ119" i="1" s="1"/>
  <c r="AE17" i="1"/>
  <c r="W17" i="1"/>
  <c r="X17" i="1" s="1"/>
  <c r="S17" i="1"/>
  <c r="IT14" i="1"/>
  <c r="IL14" i="1"/>
  <c r="IH14" i="1"/>
  <c r="HZ14" i="1"/>
  <c r="HV14" i="1"/>
  <c r="HL14" i="1"/>
  <c r="GT14" i="1"/>
  <c r="GG14" i="1"/>
  <c r="EY14" i="1"/>
  <c r="CB14" i="1"/>
  <c r="AQ13" i="1"/>
  <c r="AI13" i="1"/>
  <c r="AK13" i="1" s="1"/>
  <c r="AE13" i="1"/>
  <c r="W13" i="1"/>
  <c r="Y13" i="1" s="1"/>
  <c r="S13" i="1"/>
  <c r="IT10" i="1"/>
  <c r="IV10" i="1" s="1"/>
  <c r="IL10" i="1"/>
  <c r="IH10" i="1"/>
  <c r="IJ10" i="1" s="1"/>
  <c r="HZ10" i="1"/>
  <c r="HV10" i="1"/>
  <c r="HX10" i="1" s="1"/>
  <c r="HL10" i="1"/>
  <c r="GT10" i="1"/>
  <c r="GV10" i="1" s="1"/>
  <c r="GG10" i="1"/>
  <c r="GI10" i="1" s="1"/>
  <c r="EY10" i="1"/>
  <c r="CB10" i="1"/>
  <c r="AQ9" i="1"/>
  <c r="AI9" i="1"/>
  <c r="AJ9" i="1" s="1"/>
  <c r="AJ111" i="1" s="1"/>
  <c r="AE9" i="1"/>
  <c r="W9" i="1"/>
  <c r="Y9" i="1" s="1"/>
  <c r="S9" i="1"/>
  <c r="DB7" i="3"/>
  <c r="EA7" i="3"/>
  <c r="FQ7" i="3"/>
  <c r="HD7" i="3"/>
  <c r="HN7" i="3"/>
  <c r="HS7" i="3"/>
  <c r="IA7" i="3"/>
  <c r="IE7" i="3"/>
  <c r="IM7" i="3"/>
  <c r="IQ7" i="3"/>
  <c r="BZ7" i="3"/>
  <c r="DC7" i="3"/>
  <c r="EB7" i="3"/>
  <c r="EW7" i="3"/>
  <c r="HJ7" i="3"/>
  <c r="HO7" i="3"/>
  <c r="HX7" i="3"/>
  <c r="IB7" i="3"/>
  <c r="IJ7" i="3"/>
  <c r="IN7" i="3"/>
  <c r="CA7" i="3"/>
  <c r="EX7" i="3"/>
  <c r="GF7" i="3"/>
  <c r="GS7" i="3"/>
  <c r="HK7" i="3"/>
  <c r="HU7" i="3"/>
  <c r="HY7" i="3"/>
  <c r="IG7" i="3"/>
  <c r="IK7" i="3"/>
  <c r="IS7" i="3"/>
  <c r="IU7" i="3" s="1"/>
  <c r="ID7" i="3"/>
  <c r="IF7" i="3" s="1"/>
  <c r="IT7" i="3"/>
  <c r="FP7" i="3"/>
  <c r="HC7" i="3"/>
  <c r="HE7" i="3" s="1"/>
  <c r="HR7" i="3"/>
  <c r="IH7" i="3"/>
  <c r="HV7" i="3"/>
  <c r="IP7" i="3"/>
  <c r="IR7" i="3" s="1"/>
  <c r="GG7" i="3"/>
  <c r="GT7" i="3"/>
  <c r="BT6" i="1"/>
  <c r="BT110" i="1" s="1"/>
  <c r="AY46" i="1"/>
  <c r="H47" i="5" s="1"/>
  <c r="AQ46" i="1"/>
  <c r="AM46" i="1"/>
  <c r="AM148" i="1" s="1"/>
  <c r="AI46" i="1"/>
  <c r="AE46" i="1"/>
  <c r="AA46" i="1"/>
  <c r="AA148" i="1" s="1"/>
  <c r="W46" i="1"/>
  <c r="AY42" i="1"/>
  <c r="H43" i="5" s="1"/>
  <c r="AQ42" i="1"/>
  <c r="AM42" i="1"/>
  <c r="AM144" i="1" s="1"/>
  <c r="AI42" i="1"/>
  <c r="AE42" i="1"/>
  <c r="AA42" i="1"/>
  <c r="AA144" i="1" s="1"/>
  <c r="W42" i="1"/>
  <c r="IO34" i="1"/>
  <c r="IP34" i="1" s="1"/>
  <c r="IK34" i="1"/>
  <c r="IM34" i="1" s="1"/>
  <c r="IC34" i="1"/>
  <c r="ID34" i="1" s="1"/>
  <c r="HY34" i="1"/>
  <c r="IA34" i="1" s="1"/>
  <c r="HP34" i="1"/>
  <c r="HQ34" i="1" s="1"/>
  <c r="HK34" i="1"/>
  <c r="HM34" i="1" s="1"/>
  <c r="EX34" i="1"/>
  <c r="EZ34" i="1" s="1"/>
  <c r="EC34" i="1"/>
  <c r="ED34" i="1" s="1"/>
  <c r="DD34" i="1"/>
  <c r="DE34" i="1" s="1"/>
  <c r="CA34" i="1"/>
  <c r="CC34" i="1" s="1"/>
  <c r="AU34" i="1"/>
  <c r="AT33" i="1"/>
  <c r="AP33" i="1"/>
  <c r="AP135" i="1" s="1"/>
  <c r="AL33" i="1"/>
  <c r="AM33" i="1" s="1"/>
  <c r="AM135" i="1" s="1"/>
  <c r="AH33" i="1"/>
  <c r="AD33" i="1"/>
  <c r="AD135" i="1" s="1"/>
  <c r="Z33" i="1"/>
  <c r="AB33" i="1" s="1"/>
  <c r="V33" i="1"/>
  <c r="IO30" i="1"/>
  <c r="IP30" i="1" s="1"/>
  <c r="IK30" i="1"/>
  <c r="IM30" i="1" s="1"/>
  <c r="IC30" i="1"/>
  <c r="ID30" i="1" s="1"/>
  <c r="HY30" i="1"/>
  <c r="IA30" i="1" s="1"/>
  <c r="HP30" i="1"/>
  <c r="HQ30" i="1" s="1"/>
  <c r="HK30" i="1"/>
  <c r="HM30" i="1" s="1"/>
  <c r="EX30" i="1"/>
  <c r="EZ30" i="1" s="1"/>
  <c r="EC30" i="1"/>
  <c r="ED30" i="1" s="1"/>
  <c r="DD30" i="1"/>
  <c r="DE30" i="1" s="1"/>
  <c r="CA30" i="1"/>
  <c r="CC30" i="1" s="1"/>
  <c r="AU30" i="1"/>
  <c r="AT29" i="1"/>
  <c r="AP29" i="1"/>
  <c r="AP131" i="1" s="1"/>
  <c r="AL29" i="1"/>
  <c r="AN29" i="1" s="1"/>
  <c r="AH29" i="1"/>
  <c r="AD29" i="1"/>
  <c r="AD131" i="1" s="1"/>
  <c r="Z29" i="1"/>
  <c r="AA29" i="1" s="1"/>
  <c r="AA131" i="1" s="1"/>
  <c r="V29" i="1"/>
  <c r="IO26" i="1"/>
  <c r="IP26" i="1" s="1"/>
  <c r="IK26" i="1"/>
  <c r="IM26" i="1" s="1"/>
  <c r="IC26" i="1"/>
  <c r="ID26" i="1" s="1"/>
  <c r="HY26" i="1"/>
  <c r="IA26" i="1" s="1"/>
  <c r="HP26" i="1"/>
  <c r="HQ26" i="1" s="1"/>
  <c r="HK26" i="1"/>
  <c r="HM26" i="1" s="1"/>
  <c r="EX26" i="1"/>
  <c r="EZ26" i="1" s="1"/>
  <c r="EC26" i="1"/>
  <c r="DD26" i="1"/>
  <c r="CA26" i="1"/>
  <c r="CC26" i="1" s="1"/>
  <c r="AU26" i="1"/>
  <c r="AT25" i="1"/>
  <c r="AP25" i="1"/>
  <c r="AP127" i="1" s="1"/>
  <c r="AL25" i="1"/>
  <c r="AM25" i="1" s="1"/>
  <c r="AM127" i="1" s="1"/>
  <c r="AH25" i="1"/>
  <c r="AD25" i="1"/>
  <c r="AD127" i="1" s="1"/>
  <c r="Z25" i="1"/>
  <c r="AB25" i="1" s="1"/>
  <c r="V25" i="1"/>
  <c r="IO22" i="1"/>
  <c r="IP22" i="1" s="1"/>
  <c r="IK22" i="1"/>
  <c r="IM22" i="1" s="1"/>
  <c r="IC22" i="1"/>
  <c r="ID22" i="1" s="1"/>
  <c r="HY22" i="1"/>
  <c r="IA22" i="1" s="1"/>
  <c r="HP22" i="1"/>
  <c r="HQ22" i="1" s="1"/>
  <c r="HK22" i="1"/>
  <c r="HM22" i="1" s="1"/>
  <c r="EX22" i="1"/>
  <c r="EC22" i="1"/>
  <c r="DD22" i="1"/>
  <c r="CA22" i="1"/>
  <c r="CC22" i="1" s="1"/>
  <c r="AU22" i="1"/>
  <c r="W22" i="1"/>
  <c r="X22" i="1" s="1"/>
  <c r="X124" i="1" s="1"/>
  <c r="AT21" i="1"/>
  <c r="AP21" i="1"/>
  <c r="AP123" i="1" s="1"/>
  <c r="AL21" i="1"/>
  <c r="AN21" i="1" s="1"/>
  <c r="AH21" i="1"/>
  <c r="AD21" i="1"/>
  <c r="AD123" i="1" s="1"/>
  <c r="Z21" i="1"/>
  <c r="AA21" i="1" s="1"/>
  <c r="AA123" i="1" s="1"/>
  <c r="V21" i="1"/>
  <c r="IO18" i="1"/>
  <c r="IP18" i="1" s="1"/>
  <c r="IK18" i="1"/>
  <c r="IM18" i="1" s="1"/>
  <c r="IC18" i="1"/>
  <c r="ID18" i="1" s="1"/>
  <c r="HY18" i="1"/>
  <c r="HP18" i="1"/>
  <c r="HQ18" i="1" s="1"/>
  <c r="HK18" i="1"/>
  <c r="HM18" i="1" s="1"/>
  <c r="EX18" i="1"/>
  <c r="EZ18" i="1" s="1"/>
  <c r="EC18" i="1"/>
  <c r="DD18" i="1"/>
  <c r="CA18" i="1"/>
  <c r="CC18" i="1" s="1"/>
  <c r="AU18" i="1"/>
  <c r="AT17" i="1"/>
  <c r="AP17" i="1"/>
  <c r="AP119" i="1" s="1"/>
  <c r="AL17" i="1"/>
  <c r="AM17" i="1" s="1"/>
  <c r="AM119" i="1" s="1"/>
  <c r="AH17" i="1"/>
  <c r="AD17" i="1"/>
  <c r="AD119" i="1" s="1"/>
  <c r="Z17" i="1"/>
  <c r="AB17" i="1" s="1"/>
  <c r="V17" i="1"/>
  <c r="IO14" i="1"/>
  <c r="IK14" i="1"/>
  <c r="IC14" i="1"/>
  <c r="HY14" i="1"/>
  <c r="IA14" i="1" s="1"/>
  <c r="HP14" i="1"/>
  <c r="HK14" i="1"/>
  <c r="EX14" i="1"/>
  <c r="EC14" i="1"/>
  <c r="DD14" i="1"/>
  <c r="CA14" i="1"/>
  <c r="AU14" i="1"/>
  <c r="AA14" i="1"/>
  <c r="AA116" i="1" s="1"/>
  <c r="W14" i="1"/>
  <c r="X14" i="1" s="1"/>
  <c r="X116" i="1" s="1"/>
  <c r="AT13" i="1"/>
  <c r="AP13" i="1"/>
  <c r="AP115" i="1" s="1"/>
  <c r="AL13" i="1"/>
  <c r="AN13" i="1" s="1"/>
  <c r="AH13" i="1"/>
  <c r="AD13" i="1"/>
  <c r="AD115" i="1" s="1"/>
  <c r="Z13" i="1"/>
  <c r="AA13" i="1" s="1"/>
  <c r="AA115" i="1" s="1"/>
  <c r="V13" i="1"/>
  <c r="IO10" i="1"/>
  <c r="IP10" i="1" s="1"/>
  <c r="IK10" i="1"/>
  <c r="IM10" i="1" s="1"/>
  <c r="IC10" i="1"/>
  <c r="ID10" i="1" s="1"/>
  <c r="HY10" i="1"/>
  <c r="HP10" i="1"/>
  <c r="HQ10" i="1" s="1"/>
  <c r="HK10" i="1"/>
  <c r="HM10" i="1" s="1"/>
  <c r="EX10" i="1"/>
  <c r="EZ10" i="1" s="1"/>
  <c r="EC10" i="1"/>
  <c r="ED10" i="1" s="1"/>
  <c r="DD10" i="1"/>
  <c r="CA10" i="1"/>
  <c r="CC10" i="1" s="1"/>
  <c r="AU10" i="1"/>
  <c r="AQ10" i="1"/>
  <c r="AM10" i="1"/>
  <c r="AM112" i="1" s="1"/>
  <c r="AI10" i="1"/>
  <c r="AJ10" i="1" s="1"/>
  <c r="AJ112" i="1" s="1"/>
  <c r="AE10" i="1"/>
  <c r="AA10" i="1"/>
  <c r="AA112" i="1" s="1"/>
  <c r="W10" i="1"/>
  <c r="X10" i="1" s="1"/>
  <c r="X112" i="1" s="1"/>
  <c r="AT9" i="1"/>
  <c r="AP9" i="1"/>
  <c r="AP111" i="1" s="1"/>
  <c r="AL9" i="1"/>
  <c r="AM9" i="1" s="1"/>
  <c r="AM111" i="1" s="1"/>
  <c r="AH9" i="1"/>
  <c r="AD9" i="1"/>
  <c r="AD111" i="1" s="1"/>
  <c r="Z9" i="1"/>
  <c r="AB9" i="1" s="1"/>
  <c r="V9" i="1"/>
  <c r="CG6" i="1"/>
  <c r="CG110" i="1" s="1"/>
  <c r="AJ196" i="3"/>
  <c r="AS139" i="3"/>
  <c r="GR109" i="3"/>
  <c r="GP111" i="3"/>
  <c r="FH111" i="3"/>
  <c r="FH112" i="3"/>
  <c r="ES109" i="3"/>
  <c r="EQ111" i="3"/>
  <c r="EI111" i="3"/>
  <c r="EI112" i="3"/>
  <c r="DT109" i="3"/>
  <c r="DR111" i="3"/>
  <c r="DJ111" i="3"/>
  <c r="DJ112" i="3"/>
  <c r="CU109" i="3"/>
  <c r="CS111" i="3"/>
  <c r="CK111" i="3"/>
  <c r="CK112" i="3"/>
  <c r="BV109" i="3"/>
  <c r="BT111" i="3"/>
  <c r="BL111" i="3"/>
  <c r="BL112" i="3"/>
  <c r="FO105" i="3"/>
  <c r="BG105" i="3"/>
  <c r="AP105" i="3"/>
  <c r="AP207" i="3" s="1"/>
  <c r="R105" i="3"/>
  <c r="R207" i="3" s="1"/>
  <c r="HI104" i="3"/>
  <c r="AJ104" i="3"/>
  <c r="AJ206" i="3" s="1"/>
  <c r="GO103" i="3"/>
  <c r="GD110" i="3"/>
  <c r="DG110" i="3"/>
  <c r="CR103" i="3"/>
  <c r="BU110" i="3"/>
  <c r="AP103" i="3"/>
  <c r="AP205" i="3" s="1"/>
  <c r="AD103" i="3"/>
  <c r="AD205" i="3" s="1"/>
  <c r="R103" i="3"/>
  <c r="R205" i="3" s="1"/>
  <c r="FV102" i="3"/>
  <c r="EL109" i="3"/>
  <c r="DK102" i="3"/>
  <c r="CZ109" i="3"/>
  <c r="AJ102" i="3"/>
  <c r="AJ204" i="3" s="1"/>
  <c r="HA109" i="3"/>
  <c r="HA110" i="3"/>
  <c r="GO101" i="3"/>
  <c r="CY109" i="3"/>
  <c r="DA101" i="3"/>
  <c r="CY110" i="3"/>
  <c r="CR101" i="3"/>
  <c r="AP101" i="3"/>
  <c r="AP203" i="3" s="1"/>
  <c r="R101" i="3"/>
  <c r="R203" i="3" s="1"/>
  <c r="FV100" i="3"/>
  <c r="DK100" i="3"/>
  <c r="AJ100" i="3"/>
  <c r="T100" i="3"/>
  <c r="BS99" i="3"/>
  <c r="BR109" i="3"/>
  <c r="BS109" i="3" s="1"/>
  <c r="BR110" i="3"/>
  <c r="S99" i="3"/>
  <c r="W99" i="3"/>
  <c r="Q99" i="3"/>
  <c r="U99" i="3"/>
  <c r="Y99" i="3"/>
  <c r="AC99" i="3"/>
  <c r="AG99" i="3"/>
  <c r="AG201" i="3" s="1"/>
  <c r="AK99" i="3"/>
  <c r="AO99" i="3"/>
  <c r="AS99" i="3"/>
  <c r="V99" i="3"/>
  <c r="AB99" i="3"/>
  <c r="AH99" i="3"/>
  <c r="AM99" i="3"/>
  <c r="AM201" i="3" s="1"/>
  <c r="AR99" i="3"/>
  <c r="X99" i="3"/>
  <c r="X201" i="3" s="1"/>
  <c r="AD99" i="3"/>
  <c r="AD201" i="3" s="1"/>
  <c r="AI99" i="3"/>
  <c r="AN99" i="3"/>
  <c r="AT99" i="3"/>
  <c r="R99" i="3"/>
  <c r="R201" i="3" s="1"/>
  <c r="Z99" i="3"/>
  <c r="AE99" i="3"/>
  <c r="AJ99" i="3"/>
  <c r="AJ201" i="3" s="1"/>
  <c r="AP99" i="3"/>
  <c r="AP201" i="3" s="1"/>
  <c r="FB110" i="3"/>
  <c r="FB109" i="3"/>
  <c r="CA6" i="3"/>
  <c r="EX6" i="3"/>
  <c r="GF6" i="3"/>
  <c r="GS6" i="3"/>
  <c r="HK6" i="3"/>
  <c r="HU6" i="3"/>
  <c r="HY6" i="3"/>
  <c r="IG6" i="3"/>
  <c r="IK6" i="3"/>
  <c r="IS6" i="3"/>
  <c r="FP6" i="3"/>
  <c r="GG6" i="3"/>
  <c r="GT6" i="3"/>
  <c r="HC6" i="3"/>
  <c r="HR6" i="3"/>
  <c r="HV6" i="3"/>
  <c r="ID6" i="3"/>
  <c r="IH6" i="3"/>
  <c r="IP6" i="3"/>
  <c r="IT6" i="3"/>
  <c r="DB6" i="3"/>
  <c r="EA6" i="3"/>
  <c r="FQ6" i="3"/>
  <c r="HD6" i="3"/>
  <c r="HN6" i="3"/>
  <c r="HS6" i="3"/>
  <c r="IA6" i="3"/>
  <c r="IE6" i="3"/>
  <c r="IM6" i="3"/>
  <c r="IQ6" i="3"/>
  <c r="BZ6" i="3"/>
  <c r="EB6" i="3"/>
  <c r="HO6" i="3"/>
  <c r="IJ6" i="3"/>
  <c r="HX6" i="3"/>
  <c r="IN6" i="3"/>
  <c r="DC6" i="3"/>
  <c r="HJ6" i="3"/>
  <c r="EW6" i="3"/>
  <c r="IB6" i="3"/>
  <c r="AJ202" i="3"/>
  <c r="AJ200" i="3"/>
  <c r="AJ199" i="3"/>
  <c r="AJ198" i="3"/>
  <c r="AJ197" i="3"/>
  <c r="AS146" i="3"/>
  <c r="AR6" i="3"/>
  <c r="AR8" i="3"/>
  <c r="AS6" i="3"/>
  <c r="AS108" i="3" s="1"/>
  <c r="AR7" i="3"/>
  <c r="AR10" i="3"/>
  <c r="AT8" i="3"/>
  <c r="AS10" i="3"/>
  <c r="AT10" i="3"/>
  <c r="AT6" i="3"/>
  <c r="AR12" i="3"/>
  <c r="AR14" i="3"/>
  <c r="AT12" i="3"/>
  <c r="AR11" i="3"/>
  <c r="AS12" i="3"/>
  <c r="AR9" i="3"/>
  <c r="AR13" i="3"/>
  <c r="AS14" i="3"/>
  <c r="AT14" i="3"/>
  <c r="AR17" i="3"/>
  <c r="AR19" i="3"/>
  <c r="AS17" i="3"/>
  <c r="AS19" i="3"/>
  <c r="AR15" i="3"/>
  <c r="AT17" i="3"/>
  <c r="AR21" i="3"/>
  <c r="AR18" i="3"/>
  <c r="AT19" i="3"/>
  <c r="AS21" i="3"/>
  <c r="AS123" i="3" s="1"/>
  <c r="AR16" i="3"/>
  <c r="AR20" i="3"/>
  <c r="AT21" i="3"/>
  <c r="AR22" i="3"/>
  <c r="AR23" i="3"/>
  <c r="AR25" i="3"/>
  <c r="AR27" i="3"/>
  <c r="AR29" i="3"/>
  <c r="AR31" i="3"/>
  <c r="AS23" i="3"/>
  <c r="AS125" i="3" s="1"/>
  <c r="AS25" i="3"/>
  <c r="AS27" i="3"/>
  <c r="AS29" i="3"/>
  <c r="AS131" i="3" s="1"/>
  <c r="AS20" i="3"/>
  <c r="AS122" i="3" s="1"/>
  <c r="AT23" i="3"/>
  <c r="AR24" i="3"/>
  <c r="AT25" i="3"/>
  <c r="AR26" i="3"/>
  <c r="AT27" i="3"/>
  <c r="AR28" i="3"/>
  <c r="AS22" i="3"/>
  <c r="AS26" i="3"/>
  <c r="AS128" i="3" s="1"/>
  <c r="AR30" i="3"/>
  <c r="AS31" i="3"/>
  <c r="AS133" i="3" s="1"/>
  <c r="AR33" i="3"/>
  <c r="AR35" i="3"/>
  <c r="AR37" i="3"/>
  <c r="AT29" i="3"/>
  <c r="AS30" i="3"/>
  <c r="AT31" i="3"/>
  <c r="AS33" i="3"/>
  <c r="AS35" i="3"/>
  <c r="AS37" i="3"/>
  <c r="AS24" i="3"/>
  <c r="AS126" i="3" s="1"/>
  <c r="AS28" i="3"/>
  <c r="AS130" i="3" s="1"/>
  <c r="AR32" i="3"/>
  <c r="AT33" i="3"/>
  <c r="AR34" i="3"/>
  <c r="AT35" i="3"/>
  <c r="AR36" i="3"/>
  <c r="AT37" i="3"/>
  <c r="AR39" i="3"/>
  <c r="AR41" i="3"/>
  <c r="AR43" i="3"/>
  <c r="AR45" i="3"/>
  <c r="AR47" i="3"/>
  <c r="AR49" i="3"/>
  <c r="AR51" i="3"/>
  <c r="AR53" i="3"/>
  <c r="AR38" i="3"/>
  <c r="AS39" i="3"/>
  <c r="AS32" i="3"/>
  <c r="AS134" i="3" s="1"/>
  <c r="AS34" i="3"/>
  <c r="AS36" i="3"/>
  <c r="AS38" i="3"/>
  <c r="AT39" i="3"/>
  <c r="AR40" i="3"/>
  <c r="AT41" i="3"/>
  <c r="AR42" i="3"/>
  <c r="AT43" i="3"/>
  <c r="AR44" i="3"/>
  <c r="AT45" i="3"/>
  <c r="AR46" i="3"/>
  <c r="AT47" i="3"/>
  <c r="AR48" i="3"/>
  <c r="AR50" i="3"/>
  <c r="AS42" i="3"/>
  <c r="AS144" i="3" s="1"/>
  <c r="AS46" i="3"/>
  <c r="AT49" i="3"/>
  <c r="AR52" i="3"/>
  <c r="AT51" i="3"/>
  <c r="AS40" i="3"/>
  <c r="AS44" i="3"/>
  <c r="AS48" i="3"/>
  <c r="AS150" i="3" s="1"/>
  <c r="AS54" i="3"/>
  <c r="AS156" i="3" s="1"/>
  <c r="AS56" i="3"/>
  <c r="AS158" i="3" s="1"/>
  <c r="AS58" i="3"/>
  <c r="AS160" i="3" s="1"/>
  <c r="AS60" i="3"/>
  <c r="AS162" i="3" s="1"/>
  <c r="AT53" i="3"/>
  <c r="AT54" i="3"/>
  <c r="AR55" i="3"/>
  <c r="AT56" i="3"/>
  <c r="AR57" i="3"/>
  <c r="AT58" i="3"/>
  <c r="AR59" i="3"/>
  <c r="AT60" i="3"/>
  <c r="AS52" i="3"/>
  <c r="AS154" i="3" s="1"/>
  <c r="AR54" i="3"/>
  <c r="AR56" i="3"/>
  <c r="AR58" i="3"/>
  <c r="AR60" i="3"/>
  <c r="AR62" i="3"/>
  <c r="AS63" i="3"/>
  <c r="AS65" i="3"/>
  <c r="AS167" i="3" s="1"/>
  <c r="AS67" i="3"/>
  <c r="AS69" i="3"/>
  <c r="AS171" i="3" s="1"/>
  <c r="AS71" i="3"/>
  <c r="AS73" i="3"/>
  <c r="AS175" i="3" s="1"/>
  <c r="AS75" i="3"/>
  <c r="AR61" i="3"/>
  <c r="AT63" i="3"/>
  <c r="AR64" i="3"/>
  <c r="AT65" i="3"/>
  <c r="AR66" i="3"/>
  <c r="AR68" i="3"/>
  <c r="AR70" i="3"/>
  <c r="AR72" i="3"/>
  <c r="AR74" i="3"/>
  <c r="AR76" i="3"/>
  <c r="AR78" i="3"/>
  <c r="AR80" i="3"/>
  <c r="AS64" i="3"/>
  <c r="AS166" i="3" s="1"/>
  <c r="AS66" i="3"/>
  <c r="AS168" i="3" s="1"/>
  <c r="AS68" i="3"/>
  <c r="AS170" i="3" s="1"/>
  <c r="AS70" i="3"/>
  <c r="AS172" i="3" s="1"/>
  <c r="AS72" i="3"/>
  <c r="AS174" i="3" s="1"/>
  <c r="AS74" i="3"/>
  <c r="AS176" i="3" s="1"/>
  <c r="AS76" i="3"/>
  <c r="AS178" i="3" s="1"/>
  <c r="AS78" i="3"/>
  <c r="AS180" i="3" s="1"/>
  <c r="AS80" i="3"/>
  <c r="AS182" i="3" s="1"/>
  <c r="AT62" i="3"/>
  <c r="AR63" i="3"/>
  <c r="AT64" i="3"/>
  <c r="AR65" i="3"/>
  <c r="AT66" i="3"/>
  <c r="AR67" i="3"/>
  <c r="AT68" i="3"/>
  <c r="AR69" i="3"/>
  <c r="AT70" i="3"/>
  <c r="AR71" i="3"/>
  <c r="AT72" i="3"/>
  <c r="AR73" i="3"/>
  <c r="AT74" i="3"/>
  <c r="AR75" i="3"/>
  <c r="AT76" i="3"/>
  <c r="AR77" i="3"/>
  <c r="AT78" i="3"/>
  <c r="AS77" i="3"/>
  <c r="AS179" i="3" s="1"/>
  <c r="AR79" i="3"/>
  <c r="AR83" i="3"/>
  <c r="AR85" i="3"/>
  <c r="AR87" i="3"/>
  <c r="AR89" i="3"/>
  <c r="AR81" i="3"/>
  <c r="AT83" i="3"/>
  <c r="AR86" i="3"/>
  <c r="AT80" i="3"/>
  <c r="AR84" i="3"/>
  <c r="AT89" i="3"/>
  <c r="AR101" i="3"/>
  <c r="AR103" i="3"/>
  <c r="AR105" i="3"/>
  <c r="K110" i="3"/>
  <c r="V9" i="4" s="1"/>
  <c r="AS81" i="3"/>
  <c r="AS183" i="3" s="1"/>
  <c r="AR82" i="3"/>
  <c r="AT87" i="3"/>
  <c r="AR90" i="3"/>
  <c r="AS101" i="3"/>
  <c r="AS203" i="3" s="1"/>
  <c r="AS103" i="3"/>
  <c r="AT85" i="3"/>
  <c r="AR88" i="3"/>
  <c r="AR91" i="3"/>
  <c r="AR92" i="3"/>
  <c r="AR93" i="3"/>
  <c r="AR94" i="3"/>
  <c r="AR95" i="3"/>
  <c r="AR96" i="3"/>
  <c r="AR97" i="3"/>
  <c r="AF6" i="3"/>
  <c r="AF8" i="3"/>
  <c r="AG6" i="3"/>
  <c r="AG108" i="3" s="1"/>
  <c r="AH6" i="3"/>
  <c r="AF7" i="3"/>
  <c r="AF10" i="3"/>
  <c r="AG10" i="3"/>
  <c r="AF12" i="3"/>
  <c r="AF14" i="3"/>
  <c r="AG12" i="3"/>
  <c r="AH10" i="3"/>
  <c r="AG14" i="3"/>
  <c r="AH8" i="3"/>
  <c r="AG13" i="3"/>
  <c r="AH14" i="3"/>
  <c r="AG11" i="3"/>
  <c r="AG113" i="3" s="1"/>
  <c r="AH12" i="3"/>
  <c r="AF17" i="3"/>
  <c r="AF19" i="3"/>
  <c r="AG17" i="3"/>
  <c r="AG19" i="3"/>
  <c r="AF21" i="3"/>
  <c r="AF23" i="3"/>
  <c r="AH17" i="3"/>
  <c r="AG21" i="3"/>
  <c r="AG123" i="3" s="1"/>
  <c r="AG15" i="3"/>
  <c r="AF20" i="3"/>
  <c r="AH21" i="3"/>
  <c r="AF22" i="3"/>
  <c r="AF25" i="3"/>
  <c r="AF27" i="3"/>
  <c r="AF29" i="3"/>
  <c r="AF31" i="3"/>
  <c r="AG22" i="3"/>
  <c r="AG124" i="3" s="1"/>
  <c r="AG23" i="3"/>
  <c r="AG125" i="3" s="1"/>
  <c r="AG25" i="3"/>
  <c r="AG27" i="3"/>
  <c r="AG29" i="3"/>
  <c r="AG131" i="3" s="1"/>
  <c r="AF16" i="3"/>
  <c r="AH19" i="3"/>
  <c r="AH23" i="3"/>
  <c r="AF24" i="3"/>
  <c r="AH25" i="3"/>
  <c r="AF26" i="3"/>
  <c r="AH27" i="3"/>
  <c r="AF28" i="3"/>
  <c r="AH31" i="3"/>
  <c r="AF33" i="3"/>
  <c r="AF35" i="3"/>
  <c r="AF37" i="3"/>
  <c r="AG20" i="3"/>
  <c r="AG122" i="3" s="1"/>
  <c r="AG26" i="3"/>
  <c r="AG33" i="3"/>
  <c r="AG35" i="3"/>
  <c r="AG137" i="3" s="1"/>
  <c r="AG37" i="3"/>
  <c r="AG139" i="3" s="1"/>
  <c r="AF30" i="3"/>
  <c r="AF32" i="3"/>
  <c r="AH33" i="3"/>
  <c r="AF34" i="3"/>
  <c r="AH35" i="3"/>
  <c r="AF36" i="3"/>
  <c r="AH37" i="3"/>
  <c r="AH29" i="3"/>
  <c r="AG30" i="3"/>
  <c r="AG38" i="3"/>
  <c r="AF39" i="3"/>
  <c r="AF41" i="3"/>
  <c r="AF43" i="3"/>
  <c r="AF45" i="3"/>
  <c r="AF47" i="3"/>
  <c r="AF49" i="3"/>
  <c r="AF51" i="3"/>
  <c r="AF53" i="3"/>
  <c r="AG31" i="3"/>
  <c r="AG133" i="3" s="1"/>
  <c r="AG39" i="3"/>
  <c r="AG24" i="3"/>
  <c r="AG126" i="3" s="1"/>
  <c r="AG28" i="3"/>
  <c r="AG130" i="3" s="1"/>
  <c r="AH39" i="3"/>
  <c r="AF40" i="3"/>
  <c r="AH41" i="3"/>
  <c r="AF42" i="3"/>
  <c r="AH43" i="3"/>
  <c r="AF44" i="3"/>
  <c r="AH45" i="3"/>
  <c r="AF46" i="3"/>
  <c r="AH47" i="3"/>
  <c r="AF48" i="3"/>
  <c r="AG32" i="3"/>
  <c r="AG134" i="3" s="1"/>
  <c r="AG40" i="3"/>
  <c r="AG44" i="3"/>
  <c r="AG146" i="3" s="1"/>
  <c r="AG48" i="3"/>
  <c r="AG150" i="3" s="1"/>
  <c r="AG34" i="3"/>
  <c r="AH53" i="3"/>
  <c r="AF38" i="3"/>
  <c r="AG42" i="3"/>
  <c r="AG144" i="3" s="1"/>
  <c r="AG46" i="3"/>
  <c r="AG36" i="3"/>
  <c r="AH49" i="3"/>
  <c r="AF52" i="3"/>
  <c r="AG52" i="3"/>
  <c r="AG154" i="3" s="1"/>
  <c r="AH54" i="3"/>
  <c r="AG56" i="3"/>
  <c r="AG158" i="3" s="1"/>
  <c r="AG58" i="3"/>
  <c r="AG160" i="3" s="1"/>
  <c r="AG60" i="3"/>
  <c r="AG162" i="3" s="1"/>
  <c r="AF55" i="3"/>
  <c r="AH56" i="3"/>
  <c r="AF57" i="3"/>
  <c r="AH58" i="3"/>
  <c r="AF59" i="3"/>
  <c r="AH60" i="3"/>
  <c r="AH51" i="3"/>
  <c r="AF54" i="3"/>
  <c r="AG54" i="3"/>
  <c r="AG156" i="3" s="1"/>
  <c r="AF56" i="3"/>
  <c r="AF58" i="3"/>
  <c r="AF60" i="3"/>
  <c r="AF62" i="3"/>
  <c r="AH62" i="3"/>
  <c r="AH63" i="3"/>
  <c r="AG65" i="3"/>
  <c r="AG167" i="3" s="1"/>
  <c r="AG67" i="3"/>
  <c r="AG69" i="3"/>
  <c r="AG171" i="3" s="1"/>
  <c r="AG71" i="3"/>
  <c r="AG73" i="3"/>
  <c r="AG175" i="3" s="1"/>
  <c r="AG75" i="3"/>
  <c r="AF64" i="3"/>
  <c r="AH65" i="3"/>
  <c r="AF66" i="3"/>
  <c r="AF68" i="3"/>
  <c r="AF70" i="3"/>
  <c r="AF72" i="3"/>
  <c r="AF74" i="3"/>
  <c r="AF76" i="3"/>
  <c r="AF78" i="3"/>
  <c r="AF80" i="3"/>
  <c r="AF61" i="3"/>
  <c r="AF63" i="3"/>
  <c r="AG64" i="3"/>
  <c r="AG166" i="3" s="1"/>
  <c r="AG66" i="3"/>
  <c r="AG168" i="3" s="1"/>
  <c r="AG68" i="3"/>
  <c r="AG170" i="3" s="1"/>
  <c r="AG70" i="3"/>
  <c r="AG172" i="3" s="1"/>
  <c r="AG72" i="3"/>
  <c r="AG174" i="3" s="1"/>
  <c r="AG74" i="3"/>
  <c r="AG176" i="3" s="1"/>
  <c r="AG76" i="3"/>
  <c r="AG178" i="3" s="1"/>
  <c r="AG78" i="3"/>
  <c r="AG180" i="3" s="1"/>
  <c r="AG80" i="3"/>
  <c r="AG182" i="3" s="1"/>
  <c r="AG63" i="3"/>
  <c r="AH64" i="3"/>
  <c r="AF65" i="3"/>
  <c r="AH66" i="3"/>
  <c r="AF67" i="3"/>
  <c r="AH68" i="3"/>
  <c r="AF69" i="3"/>
  <c r="AH70" i="3"/>
  <c r="AF71" i="3"/>
  <c r="AH72" i="3"/>
  <c r="AF73" i="3"/>
  <c r="AH74" i="3"/>
  <c r="AF75" i="3"/>
  <c r="AH76" i="3"/>
  <c r="AF77" i="3"/>
  <c r="AH78" i="3"/>
  <c r="AF81" i="3"/>
  <c r="AH80" i="3"/>
  <c r="AG81" i="3"/>
  <c r="AG183" i="3" s="1"/>
  <c r="AF83" i="3"/>
  <c r="AF85" i="3"/>
  <c r="AF87" i="3"/>
  <c r="AF89" i="3"/>
  <c r="AG77" i="3"/>
  <c r="AG179" i="3" s="1"/>
  <c r="AH85" i="3"/>
  <c r="AH83" i="3"/>
  <c r="AF86" i="3"/>
  <c r="AF101" i="3"/>
  <c r="AF103" i="3"/>
  <c r="AF105" i="3"/>
  <c r="G110" i="3"/>
  <c r="R9" i="4" s="1"/>
  <c r="AF84" i="3"/>
  <c r="AH89" i="3"/>
  <c r="AG101" i="3"/>
  <c r="AG103" i="3"/>
  <c r="AF79" i="3"/>
  <c r="AF82" i="3"/>
  <c r="AH87" i="3"/>
  <c r="AF90" i="3"/>
  <c r="T6" i="3"/>
  <c r="T8" i="3"/>
  <c r="V8" i="3"/>
  <c r="V6" i="3"/>
  <c r="T10" i="3"/>
  <c r="T7" i="3"/>
  <c r="U10" i="3"/>
  <c r="U112" i="3" s="1"/>
  <c r="T12" i="3"/>
  <c r="T14" i="3"/>
  <c r="U12" i="3"/>
  <c r="V10" i="3"/>
  <c r="V12" i="3"/>
  <c r="V14" i="3"/>
  <c r="U14" i="3"/>
  <c r="T17" i="3"/>
  <c r="T19" i="3"/>
  <c r="U17" i="3"/>
  <c r="U19" i="3"/>
  <c r="T16" i="3"/>
  <c r="T21" i="3"/>
  <c r="T23" i="3"/>
  <c r="V19" i="3"/>
  <c r="U21" i="3"/>
  <c r="U123" i="3" s="1"/>
  <c r="V17" i="3"/>
  <c r="T20" i="3"/>
  <c r="V21" i="3"/>
  <c r="T22" i="3"/>
  <c r="U20" i="3"/>
  <c r="U122" i="3" s="1"/>
  <c r="U23" i="3"/>
  <c r="U125" i="3" s="1"/>
  <c r="T25" i="3"/>
  <c r="T27" i="3"/>
  <c r="T29" i="3"/>
  <c r="T31" i="3"/>
  <c r="T18" i="3"/>
  <c r="V23" i="3"/>
  <c r="U25" i="3"/>
  <c r="U27" i="3"/>
  <c r="U129" i="3" s="1"/>
  <c r="U29" i="3"/>
  <c r="U131" i="3" s="1"/>
  <c r="T24" i="3"/>
  <c r="V25" i="3"/>
  <c r="T26" i="3"/>
  <c r="V27" i="3"/>
  <c r="T28" i="3"/>
  <c r="U24" i="3"/>
  <c r="U126" i="3" s="1"/>
  <c r="U28" i="3"/>
  <c r="U130" i="3" s="1"/>
  <c r="T30" i="3"/>
  <c r="T33" i="3"/>
  <c r="T35" i="3"/>
  <c r="T37" i="3"/>
  <c r="U22" i="3"/>
  <c r="U124" i="3" s="1"/>
  <c r="V29" i="3"/>
  <c r="U30" i="3"/>
  <c r="U33" i="3"/>
  <c r="U135" i="3" s="1"/>
  <c r="U35" i="3"/>
  <c r="U137" i="3" s="1"/>
  <c r="U37" i="3"/>
  <c r="U139" i="3" s="1"/>
  <c r="U26" i="3"/>
  <c r="U31" i="3"/>
  <c r="U133" i="3" s="1"/>
  <c r="T32" i="3"/>
  <c r="V33" i="3"/>
  <c r="T34" i="3"/>
  <c r="V35" i="3"/>
  <c r="T36" i="3"/>
  <c r="V37" i="3"/>
  <c r="U32" i="3"/>
  <c r="U134" i="3" s="1"/>
  <c r="U34" i="3"/>
  <c r="U136" i="3" s="1"/>
  <c r="U36" i="3"/>
  <c r="T39" i="3"/>
  <c r="T41" i="3"/>
  <c r="T43" i="3"/>
  <c r="T45" i="3"/>
  <c r="T47" i="3"/>
  <c r="T49" i="3"/>
  <c r="T51" i="3"/>
  <c r="T53" i="3"/>
  <c r="T38" i="3"/>
  <c r="U39" i="3"/>
  <c r="U38" i="3"/>
  <c r="U140" i="3" s="1"/>
  <c r="V39" i="3"/>
  <c r="T40" i="3"/>
  <c r="V41" i="3"/>
  <c r="T42" i="3"/>
  <c r="V43" i="3"/>
  <c r="T44" i="3"/>
  <c r="V45" i="3"/>
  <c r="T46" i="3"/>
  <c r="V47" i="3"/>
  <c r="T48" i="3"/>
  <c r="V31" i="3"/>
  <c r="T50" i="3"/>
  <c r="U40" i="3"/>
  <c r="U44" i="3"/>
  <c r="U146" i="3" s="1"/>
  <c r="U48" i="3"/>
  <c r="U150" i="3" s="1"/>
  <c r="V49" i="3"/>
  <c r="T52" i="3"/>
  <c r="V51" i="3"/>
  <c r="U42" i="3"/>
  <c r="U144" i="3" s="1"/>
  <c r="U46" i="3"/>
  <c r="V53" i="3"/>
  <c r="U56" i="3"/>
  <c r="U158" i="3" s="1"/>
  <c r="U58" i="3"/>
  <c r="U160" i="3" s="1"/>
  <c r="U60" i="3"/>
  <c r="U162" i="3" s="1"/>
  <c r="U52" i="3"/>
  <c r="U154" i="3" s="1"/>
  <c r="T54" i="3"/>
  <c r="T55" i="3"/>
  <c r="V56" i="3"/>
  <c r="T57" i="3"/>
  <c r="V58" i="3"/>
  <c r="T59" i="3"/>
  <c r="V60" i="3"/>
  <c r="U54" i="3"/>
  <c r="U156" i="3" s="1"/>
  <c r="V54" i="3"/>
  <c r="T56" i="3"/>
  <c r="T58" i="3"/>
  <c r="T60" i="3"/>
  <c r="T62" i="3"/>
  <c r="U65" i="3"/>
  <c r="U167" i="3" s="1"/>
  <c r="U67" i="3"/>
  <c r="U169" i="3" s="1"/>
  <c r="U69" i="3"/>
  <c r="U171" i="3" s="1"/>
  <c r="U71" i="3"/>
  <c r="U73" i="3"/>
  <c r="U175" i="3" s="1"/>
  <c r="U75" i="3"/>
  <c r="U177" i="3" s="1"/>
  <c r="V62" i="3"/>
  <c r="T63" i="3"/>
  <c r="T64" i="3"/>
  <c r="V65" i="3"/>
  <c r="T66" i="3"/>
  <c r="T68" i="3"/>
  <c r="T70" i="3"/>
  <c r="T72" i="3"/>
  <c r="T74" i="3"/>
  <c r="T76" i="3"/>
  <c r="T78" i="3"/>
  <c r="T80" i="3"/>
  <c r="U63" i="3"/>
  <c r="U64" i="3"/>
  <c r="U166" i="3" s="1"/>
  <c r="U66" i="3"/>
  <c r="U168" i="3" s="1"/>
  <c r="U68" i="3"/>
  <c r="U170" i="3" s="1"/>
  <c r="U70" i="3"/>
  <c r="U172" i="3" s="1"/>
  <c r="U72" i="3"/>
  <c r="U174" i="3" s="1"/>
  <c r="U76" i="3"/>
  <c r="U178" i="3" s="1"/>
  <c r="U78" i="3"/>
  <c r="U180" i="3" s="1"/>
  <c r="T61" i="3"/>
  <c r="V64" i="3"/>
  <c r="T65" i="3"/>
  <c r="V66" i="3"/>
  <c r="T67" i="3"/>
  <c r="V68" i="3"/>
  <c r="T69" i="3"/>
  <c r="V70" i="3"/>
  <c r="T71" i="3"/>
  <c r="V72" i="3"/>
  <c r="T73" i="3"/>
  <c r="V74" i="3"/>
  <c r="T75" i="3"/>
  <c r="V76" i="3"/>
  <c r="T77" i="3"/>
  <c r="V78" i="3"/>
  <c r="T79" i="3"/>
  <c r="T83" i="3"/>
  <c r="T85" i="3"/>
  <c r="T87" i="3"/>
  <c r="T89" i="3"/>
  <c r="T81" i="3"/>
  <c r="U77" i="3"/>
  <c r="U179" i="3" s="1"/>
  <c r="V87" i="3"/>
  <c r="V85" i="3"/>
  <c r="T101" i="3"/>
  <c r="T103" i="3"/>
  <c r="T105" i="3"/>
  <c r="T106" i="3"/>
  <c r="C110" i="3"/>
  <c r="N9" i="4" s="1"/>
  <c r="V80" i="3"/>
  <c r="V83" i="3"/>
  <c r="T86" i="3"/>
  <c r="U101" i="3"/>
  <c r="U103" i="3"/>
  <c r="U81" i="3"/>
  <c r="U183" i="3" s="1"/>
  <c r="T84" i="3"/>
  <c r="V89" i="3"/>
  <c r="T91" i="3"/>
  <c r="T92" i="3"/>
  <c r="T93" i="3"/>
  <c r="T94" i="3"/>
  <c r="T95" i="3"/>
  <c r="T96" i="3"/>
  <c r="T97" i="3"/>
  <c r="V106" i="3"/>
  <c r="AG105" i="3"/>
  <c r="AG207" i="3" s="1"/>
  <c r="AF104" i="3"/>
  <c r="EF110" i="3"/>
  <c r="CT110" i="3"/>
  <c r="FX109" i="3"/>
  <c r="AF102" i="3"/>
  <c r="FJ109" i="3"/>
  <c r="FL101" i="3"/>
  <c r="FJ110" i="3"/>
  <c r="DX109" i="3"/>
  <c r="DZ101" i="3"/>
  <c r="DX110" i="3"/>
  <c r="CE109" i="3"/>
  <c r="CE110" i="3"/>
  <c r="FI99" i="3"/>
  <c r="FG109" i="3"/>
  <c r="EK109" i="3"/>
  <c r="EM99" i="3"/>
  <c r="EK110" i="3"/>
  <c r="DM109" i="3"/>
  <c r="AF99" i="3"/>
  <c r="AR98" i="3"/>
  <c r="Q98" i="3"/>
  <c r="U98" i="3"/>
  <c r="Y98" i="3"/>
  <c r="AC98" i="3"/>
  <c r="AG98" i="3"/>
  <c r="AK98" i="3"/>
  <c r="AO98" i="3"/>
  <c r="AS98" i="3"/>
  <c r="AS200" i="3" s="1"/>
  <c r="S98" i="3"/>
  <c r="W98" i="3"/>
  <c r="AA98" i="3"/>
  <c r="AA200" i="3" s="1"/>
  <c r="AE98" i="3"/>
  <c r="AI98" i="3"/>
  <c r="AM98" i="3"/>
  <c r="AM200" i="3" s="1"/>
  <c r="AQ98" i="3"/>
  <c r="V98" i="3"/>
  <c r="AD98" i="3"/>
  <c r="AD200" i="3" s="1"/>
  <c r="AL98" i="3"/>
  <c r="AT98" i="3"/>
  <c r="X98" i="3"/>
  <c r="X200" i="3" s="1"/>
  <c r="AF98" i="3"/>
  <c r="AN98" i="3"/>
  <c r="R98" i="3"/>
  <c r="R200" i="3" s="1"/>
  <c r="Z98" i="3"/>
  <c r="AH98" i="3"/>
  <c r="AP98" i="3"/>
  <c r="AP200" i="3" s="1"/>
  <c r="GJ109" i="3"/>
  <c r="AS205" i="3"/>
  <c r="AG205" i="3"/>
  <c r="U205" i="3"/>
  <c r="AG203" i="3"/>
  <c r="U203" i="3"/>
  <c r="AS201" i="3"/>
  <c r="U201" i="3"/>
  <c r="AG200" i="3"/>
  <c r="U200" i="3"/>
  <c r="AJ194" i="3"/>
  <c r="AS177" i="3"/>
  <c r="AG177" i="3"/>
  <c r="AS173" i="3"/>
  <c r="AG173" i="3"/>
  <c r="U173" i="3"/>
  <c r="AS169" i="3"/>
  <c r="AG169" i="3"/>
  <c r="AS165" i="3"/>
  <c r="AG165" i="3"/>
  <c r="U165" i="3"/>
  <c r="AS141" i="3"/>
  <c r="AG141" i="3"/>
  <c r="U141" i="3"/>
  <c r="AS137" i="3"/>
  <c r="AS136" i="3"/>
  <c r="AG136" i="3"/>
  <c r="AS135" i="3"/>
  <c r="AG135" i="3"/>
  <c r="AS132" i="3"/>
  <c r="AG132" i="3"/>
  <c r="U132" i="3"/>
  <c r="AS129" i="3"/>
  <c r="AG129" i="3"/>
  <c r="AG128" i="3"/>
  <c r="U128" i="3"/>
  <c r="AS127" i="3"/>
  <c r="AG127" i="3"/>
  <c r="U127" i="3"/>
  <c r="AS124" i="3"/>
  <c r="AS116" i="3"/>
  <c r="AG116" i="3"/>
  <c r="U116" i="3"/>
  <c r="AG112" i="3"/>
  <c r="GE109" i="3"/>
  <c r="GC111" i="3"/>
  <c r="FU111" i="3"/>
  <c r="FU112" i="3"/>
  <c r="FF109" i="3"/>
  <c r="FD111" i="3"/>
  <c r="EU111" i="3"/>
  <c r="EU112" i="3"/>
  <c r="EG109" i="3"/>
  <c r="EE111" i="3"/>
  <c r="DV111" i="3"/>
  <c r="DV112" i="3"/>
  <c r="DH109" i="3"/>
  <c r="DF111" i="3"/>
  <c r="CW111" i="3"/>
  <c r="CW112" i="3"/>
  <c r="CI109" i="3"/>
  <c r="CG111" i="3"/>
  <c r="BX111" i="3"/>
  <c r="BX112" i="3"/>
  <c r="BJ109" i="3"/>
  <c r="BH111" i="3"/>
  <c r="AZ111" i="3"/>
  <c r="AZ112" i="3"/>
  <c r="AQ6" i="3"/>
  <c r="AO6" i="3"/>
  <c r="AP8" i="3"/>
  <c r="AP110" i="3" s="1"/>
  <c r="AP6" i="3"/>
  <c r="AO10" i="3"/>
  <c r="AO12" i="3"/>
  <c r="AP10" i="3"/>
  <c r="AP112" i="3" s="1"/>
  <c r="AP12" i="3"/>
  <c r="AP114" i="3" s="1"/>
  <c r="AQ10" i="3"/>
  <c r="AQ12" i="3"/>
  <c r="AQ14" i="3"/>
  <c r="AO14" i="3"/>
  <c r="AQ17" i="3"/>
  <c r="AP14" i="3"/>
  <c r="AO17" i="3"/>
  <c r="AO19" i="3"/>
  <c r="AQ19" i="3"/>
  <c r="AO13" i="3"/>
  <c r="AQ20" i="3"/>
  <c r="AO21" i="3"/>
  <c r="AP21" i="3"/>
  <c r="AP123" i="3" s="1"/>
  <c r="AP17" i="3"/>
  <c r="AP119" i="3" s="1"/>
  <c r="AQ21" i="3"/>
  <c r="AO20" i="3"/>
  <c r="AO22" i="3"/>
  <c r="AO23" i="3"/>
  <c r="AO25" i="3"/>
  <c r="AO27" i="3"/>
  <c r="AO29" i="3"/>
  <c r="AQ22" i="3"/>
  <c r="AP23" i="3"/>
  <c r="AP125" i="3" s="1"/>
  <c r="AP25" i="3"/>
  <c r="AP27" i="3"/>
  <c r="AQ29" i="3"/>
  <c r="AP19" i="3"/>
  <c r="AP121" i="3" s="1"/>
  <c r="AQ23" i="3"/>
  <c r="AO24" i="3"/>
  <c r="AQ27" i="3"/>
  <c r="AO28" i="3"/>
  <c r="AO31" i="3"/>
  <c r="AQ32" i="3"/>
  <c r="AO33" i="3"/>
  <c r="AQ34" i="3"/>
  <c r="AO35" i="3"/>
  <c r="AO37" i="3"/>
  <c r="AP31" i="3"/>
  <c r="AP133" i="3" s="1"/>
  <c r="AP33" i="3"/>
  <c r="AP135" i="3" s="1"/>
  <c r="AP35" i="3"/>
  <c r="AP37" i="3"/>
  <c r="AP139" i="3" s="1"/>
  <c r="AQ25" i="3"/>
  <c r="AQ33" i="3"/>
  <c r="AO38" i="3"/>
  <c r="AP29" i="3"/>
  <c r="AP131" i="3" s="1"/>
  <c r="AO30" i="3"/>
  <c r="AO32" i="3"/>
  <c r="AO34" i="3"/>
  <c r="AQ35" i="3"/>
  <c r="AO36" i="3"/>
  <c r="AO39" i="3"/>
  <c r="AO26" i="3"/>
  <c r="AP39" i="3"/>
  <c r="AP41" i="3"/>
  <c r="AP143" i="3" s="1"/>
  <c r="AP43" i="3"/>
  <c r="AP145" i="3" s="1"/>
  <c r="AP45" i="3"/>
  <c r="AP47" i="3"/>
  <c r="AQ41" i="3"/>
  <c r="AO42" i="3"/>
  <c r="AQ45" i="3"/>
  <c r="AO46" i="3"/>
  <c r="AQ49" i="3"/>
  <c r="AQ31" i="3"/>
  <c r="AQ37" i="3"/>
  <c r="AQ51" i="3"/>
  <c r="AP53" i="3"/>
  <c r="AP155" i="3" s="1"/>
  <c r="AQ39" i="3"/>
  <c r="AO40" i="3"/>
  <c r="AQ43" i="3"/>
  <c r="AO44" i="3"/>
  <c r="AQ47" i="3"/>
  <c r="AO48" i="3"/>
  <c r="AP49" i="3"/>
  <c r="AP151" i="3" s="1"/>
  <c r="AQ53" i="3"/>
  <c r="AO56" i="3"/>
  <c r="AO58" i="3"/>
  <c r="AO60" i="3"/>
  <c r="AO54" i="3"/>
  <c r="AP56" i="3"/>
  <c r="AP158" i="3" s="1"/>
  <c r="AP58" i="3"/>
  <c r="AP160" i="3" s="1"/>
  <c r="AP60" i="3"/>
  <c r="AP162" i="3" s="1"/>
  <c r="AO52" i="3"/>
  <c r="AP54" i="3"/>
  <c r="AP156" i="3" s="1"/>
  <c r="AQ56" i="3"/>
  <c r="AQ58" i="3"/>
  <c r="AQ60" i="3"/>
  <c r="AQ62" i="3"/>
  <c r="AP51" i="3"/>
  <c r="AQ64" i="3"/>
  <c r="AO65" i="3"/>
  <c r="AQ66" i="3"/>
  <c r="AO67" i="3"/>
  <c r="AQ68" i="3"/>
  <c r="AO69" i="3"/>
  <c r="AQ70" i="3"/>
  <c r="AO71" i="3"/>
  <c r="AQ72" i="3"/>
  <c r="AO73" i="3"/>
  <c r="AQ74" i="3"/>
  <c r="AO75" i="3"/>
  <c r="AQ76" i="3"/>
  <c r="AO63" i="3"/>
  <c r="AP65" i="3"/>
  <c r="AP167" i="3" s="1"/>
  <c r="AP62" i="3"/>
  <c r="AP164" i="3" s="1"/>
  <c r="AP63" i="3"/>
  <c r="AP165" i="3" s="1"/>
  <c r="AO64" i="3"/>
  <c r="AQ65" i="3"/>
  <c r="AO66" i="3"/>
  <c r="AO68" i="3"/>
  <c r="AO70" i="3"/>
  <c r="AO72" i="3"/>
  <c r="AO74" i="3"/>
  <c r="AO76" i="3"/>
  <c r="AO78" i="3"/>
  <c r="AO80" i="3"/>
  <c r="AP64" i="3"/>
  <c r="AP166" i="3" s="1"/>
  <c r="AP66" i="3"/>
  <c r="AP168" i="3" s="1"/>
  <c r="AP68" i="3"/>
  <c r="AP170" i="3" s="1"/>
  <c r="AP70" i="3"/>
  <c r="AP172" i="3" s="1"/>
  <c r="AP72" i="3"/>
  <c r="AP174" i="3" s="1"/>
  <c r="AP74" i="3"/>
  <c r="AP176" i="3" s="1"/>
  <c r="AP76" i="3"/>
  <c r="AP178" i="3" s="1"/>
  <c r="AP78" i="3"/>
  <c r="AP180" i="3" s="1"/>
  <c r="AO77" i="3"/>
  <c r="AP80" i="3"/>
  <c r="AP182" i="3" s="1"/>
  <c r="AO81" i="3"/>
  <c r="AQ78" i="3"/>
  <c r="AQ80" i="3"/>
  <c r="AP89" i="3"/>
  <c r="AP191" i="3" s="1"/>
  <c r="AQ101" i="3"/>
  <c r="AQ103" i="3"/>
  <c r="AQ105" i="3"/>
  <c r="J110" i="3"/>
  <c r="U9" i="4" s="1"/>
  <c r="AP87" i="3"/>
  <c r="AP189" i="3" s="1"/>
  <c r="J111" i="3"/>
  <c r="U10" i="4" s="1"/>
  <c r="J112" i="3"/>
  <c r="U11" i="4" s="1"/>
  <c r="AP85" i="3"/>
  <c r="AP187" i="3" s="1"/>
  <c r="AO101" i="3"/>
  <c r="AO103" i="3"/>
  <c r="AP83" i="3"/>
  <c r="AP185" i="3" s="1"/>
  <c r="AE6" i="3"/>
  <c r="AC6" i="3"/>
  <c r="AE10" i="3"/>
  <c r="AD8" i="3"/>
  <c r="AD110" i="3" s="1"/>
  <c r="AC10" i="3"/>
  <c r="AD6" i="3"/>
  <c r="AD108" i="3" s="1"/>
  <c r="AD10" i="3"/>
  <c r="AD112" i="3" s="1"/>
  <c r="AD12" i="3"/>
  <c r="AD114" i="3" s="1"/>
  <c r="AE12" i="3"/>
  <c r="AC12" i="3"/>
  <c r="AC14" i="3"/>
  <c r="AD14" i="3"/>
  <c r="AE17" i="3"/>
  <c r="AC13" i="3"/>
  <c r="AC17" i="3"/>
  <c r="AC19" i="3"/>
  <c r="AD17" i="3"/>
  <c r="AD119" i="3" s="1"/>
  <c r="AE14" i="3"/>
  <c r="AD19" i="3"/>
  <c r="AD121" i="3" s="1"/>
  <c r="AE20" i="3"/>
  <c r="AC21" i="3"/>
  <c r="AE19" i="3"/>
  <c r="AD21" i="3"/>
  <c r="AD123" i="3" s="1"/>
  <c r="AE22" i="3"/>
  <c r="AE23" i="3"/>
  <c r="AE21" i="3"/>
  <c r="AC25" i="3"/>
  <c r="AC27" i="3"/>
  <c r="AC29" i="3"/>
  <c r="AC20" i="3"/>
  <c r="AC23" i="3"/>
  <c r="AD25" i="3"/>
  <c r="AD27" i="3"/>
  <c r="AE25" i="3"/>
  <c r="AC26" i="3"/>
  <c r="AC31" i="3"/>
  <c r="AD29" i="3"/>
  <c r="AD131" i="3" s="1"/>
  <c r="AC30" i="3"/>
  <c r="AD31" i="3"/>
  <c r="AD133" i="3" s="1"/>
  <c r="AE32" i="3"/>
  <c r="AC33" i="3"/>
  <c r="AE34" i="3"/>
  <c r="AC35" i="3"/>
  <c r="AC37" i="3"/>
  <c r="AC22" i="3"/>
  <c r="AD23" i="3"/>
  <c r="AD125" i="3" s="1"/>
  <c r="AC24" i="3"/>
  <c r="AE27" i="3"/>
  <c r="AC28" i="3"/>
  <c r="AE29" i="3"/>
  <c r="AE31" i="3"/>
  <c r="AD33" i="3"/>
  <c r="AD35" i="3"/>
  <c r="AD37" i="3"/>
  <c r="AD139" i="3" s="1"/>
  <c r="AE37" i="3"/>
  <c r="AE33" i="3"/>
  <c r="AC39" i="3"/>
  <c r="AC32" i="3"/>
  <c r="AC34" i="3"/>
  <c r="AE35" i="3"/>
  <c r="AC36" i="3"/>
  <c r="AC38" i="3"/>
  <c r="AD39" i="3"/>
  <c r="AD41" i="3"/>
  <c r="AD143" i="3" s="1"/>
  <c r="AD43" i="3"/>
  <c r="AD145" i="3" s="1"/>
  <c r="AD45" i="3"/>
  <c r="AD47" i="3"/>
  <c r="AD149" i="3" s="1"/>
  <c r="AE41" i="3"/>
  <c r="AC42" i="3"/>
  <c r="AE45" i="3"/>
  <c r="AC46" i="3"/>
  <c r="AD49" i="3"/>
  <c r="AD151" i="3" s="1"/>
  <c r="AE49" i="3"/>
  <c r="AD51" i="3"/>
  <c r="AD153" i="3" s="1"/>
  <c r="AE39" i="3"/>
  <c r="AC40" i="3"/>
  <c r="AE43" i="3"/>
  <c r="AC44" i="3"/>
  <c r="AE47" i="3"/>
  <c r="AC48" i="3"/>
  <c r="AE51" i="3"/>
  <c r="AE53" i="3"/>
  <c r="AC54" i="3"/>
  <c r="AC56" i="3"/>
  <c r="AC58" i="3"/>
  <c r="AC60" i="3"/>
  <c r="AD54" i="3"/>
  <c r="AD156" i="3" s="1"/>
  <c r="AD56" i="3"/>
  <c r="AD158" i="3" s="1"/>
  <c r="AD58" i="3"/>
  <c r="AD160" i="3" s="1"/>
  <c r="AD60" i="3"/>
  <c r="AD162" i="3" s="1"/>
  <c r="AE56" i="3"/>
  <c r="AE58" i="3"/>
  <c r="AE60" i="3"/>
  <c r="AE62" i="3"/>
  <c r="AC52" i="3"/>
  <c r="AD53" i="3"/>
  <c r="AD155" i="3" s="1"/>
  <c r="AC63" i="3"/>
  <c r="AE64" i="3"/>
  <c r="AC65" i="3"/>
  <c r="AE66" i="3"/>
  <c r="AC67" i="3"/>
  <c r="AE68" i="3"/>
  <c r="AC69" i="3"/>
  <c r="AE70" i="3"/>
  <c r="AC71" i="3"/>
  <c r="AE72" i="3"/>
  <c r="AC73" i="3"/>
  <c r="AE74" i="3"/>
  <c r="AC75" i="3"/>
  <c r="AE76" i="3"/>
  <c r="AD63" i="3"/>
  <c r="AD165" i="3" s="1"/>
  <c r="AD65" i="3"/>
  <c r="AD167" i="3" s="1"/>
  <c r="AC64" i="3"/>
  <c r="AE65" i="3"/>
  <c r="AC66" i="3"/>
  <c r="AC68" i="3"/>
  <c r="AC70" i="3"/>
  <c r="AC72" i="3"/>
  <c r="AC76" i="3"/>
  <c r="AC78" i="3"/>
  <c r="AC80" i="3"/>
  <c r="AD62" i="3"/>
  <c r="AD164" i="3" s="1"/>
  <c r="AD64" i="3"/>
  <c r="AD166" i="3" s="1"/>
  <c r="AD66" i="3"/>
  <c r="AD168" i="3" s="1"/>
  <c r="AD68" i="3"/>
  <c r="AD170" i="3" s="1"/>
  <c r="AD70" i="3"/>
  <c r="AD172" i="3" s="1"/>
  <c r="AD72" i="3"/>
  <c r="AD174" i="3" s="1"/>
  <c r="AD74" i="3"/>
  <c r="AD176" i="3" s="1"/>
  <c r="AD76" i="3"/>
  <c r="AD178" i="3" s="1"/>
  <c r="AD78" i="3"/>
  <c r="AD180" i="3" s="1"/>
  <c r="AE80" i="3"/>
  <c r="AC77" i="3"/>
  <c r="AC81" i="3"/>
  <c r="AD83" i="3"/>
  <c r="AD185" i="3" s="1"/>
  <c r="AE101" i="3"/>
  <c r="AE103" i="3"/>
  <c r="AE105" i="3"/>
  <c r="AE106" i="3"/>
  <c r="F110" i="3"/>
  <c r="Q9" i="4" s="1"/>
  <c r="AE78" i="3"/>
  <c r="AD89" i="3"/>
  <c r="AD191" i="3" s="1"/>
  <c r="F111" i="3"/>
  <c r="Q10" i="4" s="1"/>
  <c r="F112" i="3"/>
  <c r="Q11" i="4" s="1"/>
  <c r="AD87" i="3"/>
  <c r="AD189" i="3" s="1"/>
  <c r="AC101" i="3"/>
  <c r="AC103" i="3"/>
  <c r="AD80" i="3"/>
  <c r="AD182" i="3" s="1"/>
  <c r="AD85" i="3"/>
  <c r="AD187" i="3" s="1"/>
  <c r="S6" i="3"/>
  <c r="R6" i="3"/>
  <c r="S10" i="3"/>
  <c r="Q10" i="3"/>
  <c r="R8" i="3"/>
  <c r="S12" i="3"/>
  <c r="R10" i="3"/>
  <c r="R112" i="3" s="1"/>
  <c r="Q12" i="3"/>
  <c r="Q14" i="3"/>
  <c r="S13" i="3"/>
  <c r="R14" i="3"/>
  <c r="S14" i="3"/>
  <c r="R12" i="3"/>
  <c r="R114" i="3" s="1"/>
  <c r="S17" i="3"/>
  <c r="Q11" i="3"/>
  <c r="Q17" i="3"/>
  <c r="Q19" i="3"/>
  <c r="S19" i="3"/>
  <c r="R17" i="3"/>
  <c r="R119" i="3" s="1"/>
  <c r="S20" i="3"/>
  <c r="Q21" i="3"/>
  <c r="R21" i="3"/>
  <c r="R123" i="3" s="1"/>
  <c r="R19" i="3"/>
  <c r="R121" i="3" s="1"/>
  <c r="Q22" i="3"/>
  <c r="Q23" i="3"/>
  <c r="Q25" i="3"/>
  <c r="Q27" i="3"/>
  <c r="Q29" i="3"/>
  <c r="Q15" i="3"/>
  <c r="S21" i="3"/>
  <c r="S22" i="3"/>
  <c r="R23" i="3"/>
  <c r="R125" i="3" s="1"/>
  <c r="R25" i="3"/>
  <c r="R27" i="3"/>
  <c r="Q20" i="3"/>
  <c r="S23" i="3"/>
  <c r="S29" i="3"/>
  <c r="R31" i="3"/>
  <c r="R133" i="3" s="1"/>
  <c r="S25" i="3"/>
  <c r="Q26" i="3"/>
  <c r="S31" i="3"/>
  <c r="S32" i="3"/>
  <c r="Q33" i="3"/>
  <c r="S34" i="3"/>
  <c r="Q35" i="3"/>
  <c r="Q37" i="3"/>
  <c r="R33" i="3"/>
  <c r="R35" i="3"/>
  <c r="R37" i="3"/>
  <c r="R139" i="3" s="1"/>
  <c r="Q38" i="3"/>
  <c r="Q24" i="3"/>
  <c r="S27" i="3"/>
  <c r="Q28" i="3"/>
  <c r="S37" i="3"/>
  <c r="Q39" i="3"/>
  <c r="R29" i="3"/>
  <c r="R131" i="3" s="1"/>
  <c r="Q30" i="3"/>
  <c r="Q31" i="3"/>
  <c r="S33" i="3"/>
  <c r="R39" i="3"/>
  <c r="R141" i="3" s="1"/>
  <c r="R41" i="3"/>
  <c r="R143" i="3" s="1"/>
  <c r="R43" i="3"/>
  <c r="R145" i="3" s="1"/>
  <c r="R45" i="3"/>
  <c r="R147" i="3" s="1"/>
  <c r="R47" i="3"/>
  <c r="R149" i="3" s="1"/>
  <c r="Q34" i="3"/>
  <c r="S39" i="3"/>
  <c r="Q40" i="3"/>
  <c r="S43" i="3"/>
  <c r="Q44" i="3"/>
  <c r="S47" i="3"/>
  <c r="Q48" i="3"/>
  <c r="S49" i="3"/>
  <c r="S51" i="3"/>
  <c r="R53" i="3"/>
  <c r="R155" i="3" s="1"/>
  <c r="S35" i="3"/>
  <c r="Q36" i="3"/>
  <c r="S41" i="3"/>
  <c r="Q42" i="3"/>
  <c r="S45" i="3"/>
  <c r="Q46" i="3"/>
  <c r="Q32" i="3"/>
  <c r="R49" i="3"/>
  <c r="R151" i="3" s="1"/>
  <c r="R51" i="3"/>
  <c r="R153" i="3" s="1"/>
  <c r="Q52" i="3"/>
  <c r="R54" i="3"/>
  <c r="R156" i="3" s="1"/>
  <c r="Q56" i="3"/>
  <c r="Q58" i="3"/>
  <c r="Q60" i="3"/>
  <c r="R56" i="3"/>
  <c r="R158" i="3" s="1"/>
  <c r="R58" i="3"/>
  <c r="R160" i="3" s="1"/>
  <c r="R60" i="3"/>
  <c r="R162" i="3" s="1"/>
  <c r="S56" i="3"/>
  <c r="S58" i="3"/>
  <c r="S60" i="3"/>
  <c r="S62" i="3"/>
  <c r="S53" i="3"/>
  <c r="Q54" i="3"/>
  <c r="R62" i="3"/>
  <c r="R164" i="3" s="1"/>
  <c r="Q63" i="3"/>
  <c r="S64" i="3"/>
  <c r="Q65" i="3"/>
  <c r="S66" i="3"/>
  <c r="Q67" i="3"/>
  <c r="S68" i="3"/>
  <c r="Q69" i="3"/>
  <c r="S70" i="3"/>
  <c r="Q71" i="3"/>
  <c r="S72" i="3"/>
  <c r="Q73" i="3"/>
  <c r="S74" i="3"/>
  <c r="Q75" i="3"/>
  <c r="S76" i="3"/>
  <c r="Q64" i="3"/>
  <c r="S65" i="3"/>
  <c r="Q66" i="3"/>
  <c r="Q68" i="3"/>
  <c r="Q70" i="3"/>
  <c r="Q72" i="3"/>
  <c r="Q76" i="3"/>
  <c r="R64" i="3"/>
  <c r="R166" i="3" s="1"/>
  <c r="R66" i="3"/>
  <c r="R168" i="3" s="1"/>
  <c r="R68" i="3"/>
  <c r="R170" i="3" s="1"/>
  <c r="R70" i="3"/>
  <c r="R172" i="3" s="1"/>
  <c r="R72" i="3"/>
  <c r="R174" i="3" s="1"/>
  <c r="R74" i="3"/>
  <c r="R176" i="3" s="1"/>
  <c r="R76" i="3"/>
  <c r="R178" i="3" s="1"/>
  <c r="R78" i="3"/>
  <c r="R180" i="3" s="1"/>
  <c r="S78" i="3"/>
  <c r="R80" i="3"/>
  <c r="R182" i="3" s="1"/>
  <c r="Q81" i="3"/>
  <c r="Q77" i="3"/>
  <c r="S80" i="3"/>
  <c r="R85" i="3"/>
  <c r="R187" i="3" s="1"/>
  <c r="S101" i="3"/>
  <c r="S103" i="3"/>
  <c r="S105" i="3"/>
  <c r="S106" i="3"/>
  <c r="B110" i="3"/>
  <c r="M9" i="4" s="1"/>
  <c r="R83" i="3"/>
  <c r="R185" i="3" s="1"/>
  <c r="B111" i="3"/>
  <c r="M10" i="4" s="1"/>
  <c r="B112" i="3"/>
  <c r="M11" i="4" s="1"/>
  <c r="R89" i="3"/>
  <c r="R191" i="3" s="1"/>
  <c r="Q101" i="3"/>
  <c r="Q103" i="3"/>
  <c r="R87" i="3"/>
  <c r="R189" i="3" s="1"/>
  <c r="AC106" i="3"/>
  <c r="Q106" i="3"/>
  <c r="FC105" i="3"/>
  <c r="BS105" i="3"/>
  <c r="AT105" i="3"/>
  <c r="AD105" i="3"/>
  <c r="AD207" i="3" s="1"/>
  <c r="V105" i="3"/>
  <c r="FI104" i="3"/>
  <c r="AR104" i="3"/>
  <c r="Q104" i="3"/>
  <c r="U104" i="3"/>
  <c r="U206" i="3" s="1"/>
  <c r="Y104" i="3"/>
  <c r="AC104" i="3"/>
  <c r="AG104" i="3"/>
  <c r="AG206" i="3" s="1"/>
  <c r="AK104" i="3"/>
  <c r="AO104" i="3"/>
  <c r="AS104" i="3"/>
  <c r="AS206" i="3" s="1"/>
  <c r="R104" i="3"/>
  <c r="R206" i="3" s="1"/>
  <c r="V104" i="3"/>
  <c r="Z104" i="3"/>
  <c r="AD104" i="3"/>
  <c r="AD206" i="3" s="1"/>
  <c r="AH104" i="3"/>
  <c r="AL104" i="3"/>
  <c r="AP104" i="3"/>
  <c r="AP206" i="3" s="1"/>
  <c r="AT104" i="3"/>
  <c r="S104" i="3"/>
  <c r="W104" i="3"/>
  <c r="AA104" i="3"/>
  <c r="AA206" i="3" s="1"/>
  <c r="AE104" i="3"/>
  <c r="AI104" i="3"/>
  <c r="AM104" i="3"/>
  <c r="AM206" i="3" s="1"/>
  <c r="AQ104" i="3"/>
  <c r="FE110" i="3"/>
  <c r="EP103" i="3"/>
  <c r="DS110" i="3"/>
  <c r="CF103" i="3"/>
  <c r="BI110" i="3"/>
  <c r="FK109" i="3"/>
  <c r="DW102" i="3"/>
  <c r="CN109" i="3"/>
  <c r="AR102" i="3"/>
  <c r="Q102" i="3"/>
  <c r="U102" i="3"/>
  <c r="U204" i="3" s="1"/>
  <c r="Y102" i="3"/>
  <c r="AC102" i="3"/>
  <c r="AG102" i="3"/>
  <c r="AG204" i="3" s="1"/>
  <c r="AK102" i="3"/>
  <c r="AO102" i="3"/>
  <c r="AS102" i="3"/>
  <c r="AS204" i="3" s="1"/>
  <c r="R102" i="3"/>
  <c r="R204" i="3" s="1"/>
  <c r="V102" i="3"/>
  <c r="Z102" i="3"/>
  <c r="AD102" i="3"/>
  <c r="AD204" i="3" s="1"/>
  <c r="AH102" i="3"/>
  <c r="AL102" i="3"/>
  <c r="AP102" i="3"/>
  <c r="AP204" i="3" s="1"/>
  <c r="AT102" i="3"/>
  <c r="S102" i="3"/>
  <c r="W102" i="3"/>
  <c r="AA102" i="3"/>
  <c r="AA204" i="3" s="1"/>
  <c r="AE102" i="3"/>
  <c r="AI102" i="3"/>
  <c r="AM102" i="3"/>
  <c r="AM204" i="3" s="1"/>
  <c r="AQ102" i="3"/>
  <c r="FN109" i="3"/>
  <c r="FN110" i="3"/>
  <c r="EP101" i="3"/>
  <c r="CM109" i="3"/>
  <c r="CO101" i="3"/>
  <c r="CM110" i="3"/>
  <c r="CF101" i="3"/>
  <c r="AR100" i="3"/>
  <c r="Q100" i="3"/>
  <c r="U100" i="3"/>
  <c r="U202" i="3" s="1"/>
  <c r="Y100" i="3"/>
  <c r="AC100" i="3"/>
  <c r="AG100" i="3"/>
  <c r="AG202" i="3" s="1"/>
  <c r="AK100" i="3"/>
  <c r="AO100" i="3"/>
  <c r="AS100" i="3"/>
  <c r="AS202" i="3" s="1"/>
  <c r="R100" i="3"/>
  <c r="R202" i="3" s="1"/>
  <c r="V100" i="3"/>
  <c r="Z100" i="3"/>
  <c r="AD100" i="3"/>
  <c r="AD202" i="3" s="1"/>
  <c r="AH100" i="3"/>
  <c r="AL100" i="3"/>
  <c r="AP100" i="3"/>
  <c r="AP202" i="3" s="1"/>
  <c r="AT100" i="3"/>
  <c r="S100" i="3"/>
  <c r="W100" i="3"/>
  <c r="AA100" i="3"/>
  <c r="AA202" i="3" s="1"/>
  <c r="AE100" i="3"/>
  <c r="AI100" i="3"/>
  <c r="AM100" i="3"/>
  <c r="AM202" i="3" s="1"/>
  <c r="AQ100" i="3"/>
  <c r="GK109" i="3"/>
  <c r="FW109" i="3"/>
  <c r="FY99" i="3"/>
  <c r="FW110" i="3"/>
  <c r="EP99" i="3"/>
  <c r="EO109" i="3"/>
  <c r="EO110" i="3"/>
  <c r="DW99" i="3"/>
  <c r="DU109" i="3"/>
  <c r="GN110" i="3"/>
  <c r="GN109" i="3"/>
  <c r="DL109" i="3"/>
  <c r="BB109" i="3"/>
  <c r="AP153" i="3"/>
  <c r="AP149" i="3"/>
  <c r="AS148" i="3"/>
  <c r="AG148" i="3"/>
  <c r="U148" i="3"/>
  <c r="AP147" i="3"/>
  <c r="AD147" i="3"/>
  <c r="AS142" i="3"/>
  <c r="AG142" i="3"/>
  <c r="U142" i="3"/>
  <c r="AP141" i="3"/>
  <c r="AD141" i="3"/>
  <c r="AS140" i="3"/>
  <c r="AG140" i="3"/>
  <c r="AS138" i="3"/>
  <c r="AG138" i="3"/>
  <c r="U138" i="3"/>
  <c r="AP137" i="3"/>
  <c r="AD137" i="3"/>
  <c r="R137" i="3"/>
  <c r="AD135" i="3"/>
  <c r="R135" i="3"/>
  <c r="AP129" i="3"/>
  <c r="AD129" i="3"/>
  <c r="R129" i="3"/>
  <c r="AP127" i="3"/>
  <c r="AD127" i="3"/>
  <c r="R127" i="3"/>
  <c r="AS121" i="3"/>
  <c r="AG121" i="3"/>
  <c r="U121" i="3"/>
  <c r="AS119" i="3"/>
  <c r="AG119" i="3"/>
  <c r="U119" i="3"/>
  <c r="AG117" i="3"/>
  <c r="AP116" i="3"/>
  <c r="AD116" i="3"/>
  <c r="R116" i="3"/>
  <c r="AG115" i="3"/>
  <c r="AS114" i="3"/>
  <c r="AG114" i="3"/>
  <c r="U114" i="3"/>
  <c r="AS112" i="3"/>
  <c r="R110" i="3"/>
  <c r="HB109" i="3"/>
  <c r="FC109" i="3"/>
  <c r="CF109" i="3"/>
  <c r="AP108" i="3"/>
  <c r="R108" i="3"/>
  <c r="AS105" i="3"/>
  <c r="AS207" i="3" s="1"/>
  <c r="AC105" i="3"/>
  <c r="U105" i="3"/>
  <c r="U207" i="3" s="1"/>
  <c r="CX104" i="3"/>
  <c r="BM104" i="3"/>
  <c r="AN104" i="3"/>
  <c r="X104" i="3"/>
  <c r="X206" i="3" s="1"/>
  <c r="GB103" i="3"/>
  <c r="FO103" i="3"/>
  <c r="ER110" i="3"/>
  <c r="CH110" i="3"/>
  <c r="BS103" i="3"/>
  <c r="AT103" i="3"/>
  <c r="AH103" i="3"/>
  <c r="V103" i="3"/>
  <c r="GX109" i="3"/>
  <c r="EJ102" i="3"/>
  <c r="DY109" i="3"/>
  <c r="CX102" i="3"/>
  <c r="BM102" i="3"/>
  <c r="AN102" i="3"/>
  <c r="X102" i="3"/>
  <c r="X204" i="3" s="1"/>
  <c r="GW109" i="3"/>
  <c r="GY101" i="3"/>
  <c r="GW110" i="3"/>
  <c r="GB101" i="3"/>
  <c r="FO101" i="3"/>
  <c r="CQ109" i="3"/>
  <c r="CR109" i="3" s="1"/>
  <c r="CQ110" i="3"/>
  <c r="BS101" i="3"/>
  <c r="AT101" i="3"/>
  <c r="AH101" i="3"/>
  <c r="V101" i="3"/>
  <c r="EJ100" i="3"/>
  <c r="CX100" i="3"/>
  <c r="BM100" i="3"/>
  <c r="AN100" i="3"/>
  <c r="X100" i="3"/>
  <c r="X202" i="3" s="1"/>
  <c r="GL99" i="3"/>
  <c r="GB99" i="3"/>
  <c r="GA109" i="3"/>
  <c r="GA110" i="3"/>
  <c r="CL99" i="3"/>
  <c r="CJ109" i="3"/>
  <c r="BN109" i="3"/>
  <c r="BP99" i="3"/>
  <c r="BN110" i="3"/>
  <c r="AQ99" i="3"/>
  <c r="T99" i="3"/>
  <c r="AB98" i="3"/>
  <c r="DW110" i="3"/>
  <c r="DP110" i="3"/>
  <c r="BF109" i="3"/>
  <c r="BG109" i="3" s="1"/>
  <c r="S97" i="3"/>
  <c r="W97" i="3"/>
  <c r="AA97" i="3"/>
  <c r="AA199" i="3" s="1"/>
  <c r="AE97" i="3"/>
  <c r="AI97" i="3"/>
  <c r="AM97" i="3"/>
  <c r="AM199" i="3" s="1"/>
  <c r="AQ97" i="3"/>
  <c r="Q97" i="3"/>
  <c r="U97" i="3"/>
  <c r="U199" i="3" s="1"/>
  <c r="Y97" i="3"/>
  <c r="AC97" i="3"/>
  <c r="AG97" i="3"/>
  <c r="AG199" i="3" s="1"/>
  <c r="AK97" i="3"/>
  <c r="AO97" i="3"/>
  <c r="AS97" i="3"/>
  <c r="AS199" i="3" s="1"/>
  <c r="Q96" i="3"/>
  <c r="U96" i="3"/>
  <c r="U198" i="3" s="1"/>
  <c r="Y96" i="3"/>
  <c r="AC96" i="3"/>
  <c r="AG96" i="3"/>
  <c r="AG198" i="3" s="1"/>
  <c r="AK96" i="3"/>
  <c r="AO96" i="3"/>
  <c r="AS96" i="3"/>
  <c r="AS198" i="3" s="1"/>
  <c r="S96" i="3"/>
  <c r="W96" i="3"/>
  <c r="AA96" i="3"/>
  <c r="AA198" i="3" s="1"/>
  <c r="AE96" i="3"/>
  <c r="AI96" i="3"/>
  <c r="AM96" i="3"/>
  <c r="AM198" i="3" s="1"/>
  <c r="AQ96" i="3"/>
  <c r="S95" i="3"/>
  <c r="W95" i="3"/>
  <c r="AA95" i="3"/>
  <c r="AA197" i="3" s="1"/>
  <c r="AE95" i="3"/>
  <c r="AI95" i="3"/>
  <c r="AM95" i="3"/>
  <c r="AM197" i="3" s="1"/>
  <c r="AQ95" i="3"/>
  <c r="Q95" i="3"/>
  <c r="U95" i="3"/>
  <c r="U197" i="3" s="1"/>
  <c r="Y95" i="3"/>
  <c r="AC95" i="3"/>
  <c r="AG95" i="3"/>
  <c r="AG197" i="3" s="1"/>
  <c r="AK95" i="3"/>
  <c r="AO95" i="3"/>
  <c r="AS95" i="3"/>
  <c r="AS197" i="3" s="1"/>
  <c r="Q94" i="3"/>
  <c r="U94" i="3"/>
  <c r="U196" i="3" s="1"/>
  <c r="Y94" i="3"/>
  <c r="AC94" i="3"/>
  <c r="AG94" i="3"/>
  <c r="AG196" i="3" s="1"/>
  <c r="AK94" i="3"/>
  <c r="AO94" i="3"/>
  <c r="AS94" i="3"/>
  <c r="AS196" i="3" s="1"/>
  <c r="S94" i="3"/>
  <c r="W94" i="3"/>
  <c r="AA94" i="3"/>
  <c r="AA196" i="3" s="1"/>
  <c r="AE94" i="3"/>
  <c r="AI94" i="3"/>
  <c r="AM94" i="3"/>
  <c r="AM196" i="3" s="1"/>
  <c r="AQ94" i="3"/>
  <c r="S93" i="3"/>
  <c r="W93" i="3"/>
  <c r="AA93" i="3"/>
  <c r="AA195" i="3" s="1"/>
  <c r="AE93" i="3"/>
  <c r="AI93" i="3"/>
  <c r="AM93" i="3"/>
  <c r="AM195" i="3" s="1"/>
  <c r="AQ93" i="3"/>
  <c r="Q93" i="3"/>
  <c r="U93" i="3"/>
  <c r="U195" i="3" s="1"/>
  <c r="Y93" i="3"/>
  <c r="AC93" i="3"/>
  <c r="AG93" i="3"/>
  <c r="AG195" i="3" s="1"/>
  <c r="AK93" i="3"/>
  <c r="AO93" i="3"/>
  <c r="AS93" i="3"/>
  <c r="AS195" i="3" s="1"/>
  <c r="Q92" i="3"/>
  <c r="U92" i="3"/>
  <c r="U194" i="3" s="1"/>
  <c r="Y92" i="3"/>
  <c r="AC92" i="3"/>
  <c r="AG92" i="3"/>
  <c r="AG194" i="3" s="1"/>
  <c r="AK92" i="3"/>
  <c r="AO92" i="3"/>
  <c r="AS92" i="3"/>
  <c r="AS194" i="3" s="1"/>
  <c r="S92" i="3"/>
  <c r="W92" i="3"/>
  <c r="AA92" i="3"/>
  <c r="AA194" i="3" s="1"/>
  <c r="AE92" i="3"/>
  <c r="AI92" i="3"/>
  <c r="AM92" i="3"/>
  <c r="AM194" i="3" s="1"/>
  <c r="AQ92" i="3"/>
  <c r="AJ91" i="3"/>
  <c r="AJ193" i="3" s="1"/>
  <c r="AB91" i="3"/>
  <c r="S91" i="3"/>
  <c r="W91" i="3"/>
  <c r="AA91" i="3"/>
  <c r="AA193" i="3" s="1"/>
  <c r="AE91" i="3"/>
  <c r="AI91" i="3"/>
  <c r="AM91" i="3"/>
  <c r="AM193" i="3" s="1"/>
  <c r="AQ91" i="3"/>
  <c r="Q91" i="3"/>
  <c r="U91" i="3"/>
  <c r="U193" i="3" s="1"/>
  <c r="Y91" i="3"/>
  <c r="AC91" i="3"/>
  <c r="AG91" i="3"/>
  <c r="AG193" i="3" s="1"/>
  <c r="AK91" i="3"/>
  <c r="AO91" i="3"/>
  <c r="AS91" i="3"/>
  <c r="AS193" i="3" s="1"/>
  <c r="AL89" i="3"/>
  <c r="AB88" i="3"/>
  <c r="Q88" i="3"/>
  <c r="U88" i="3"/>
  <c r="U190" i="3" s="1"/>
  <c r="Y88" i="3"/>
  <c r="AC88" i="3"/>
  <c r="AG88" i="3"/>
  <c r="AG190" i="3" s="1"/>
  <c r="AK88" i="3"/>
  <c r="AO88" i="3"/>
  <c r="AS88" i="3"/>
  <c r="AS190" i="3" s="1"/>
  <c r="R88" i="3"/>
  <c r="R190" i="3" s="1"/>
  <c r="V88" i="3"/>
  <c r="Z88" i="3"/>
  <c r="AD88" i="3"/>
  <c r="AD190" i="3" s="1"/>
  <c r="AH88" i="3"/>
  <c r="AL88" i="3"/>
  <c r="AP88" i="3"/>
  <c r="AP190" i="3" s="1"/>
  <c r="AT88" i="3"/>
  <c r="S88" i="3"/>
  <c r="W88" i="3"/>
  <c r="AA88" i="3"/>
  <c r="AA190" i="3" s="1"/>
  <c r="AE88" i="3"/>
  <c r="AI88" i="3"/>
  <c r="AM88" i="3"/>
  <c r="AM190" i="3" s="1"/>
  <c r="AQ88" i="3"/>
  <c r="AN86" i="3"/>
  <c r="X86" i="3"/>
  <c r="X188" i="3" s="1"/>
  <c r="AJ84" i="3"/>
  <c r="AJ186" i="3" s="1"/>
  <c r="Z83" i="3"/>
  <c r="S83" i="3"/>
  <c r="Q74" i="3"/>
  <c r="R69" i="3"/>
  <c r="R171" i="3" s="1"/>
  <c r="CX99" i="3"/>
  <c r="BA99" i="3"/>
  <c r="GO98" i="3"/>
  <c r="FC98" i="3"/>
  <c r="DQ98" i="3"/>
  <c r="BG98" i="3"/>
  <c r="EV97" i="3"/>
  <c r="CL97" i="3"/>
  <c r="AP97" i="3"/>
  <c r="AP199" i="3" s="1"/>
  <c r="AH97" i="3"/>
  <c r="Z97" i="3"/>
  <c r="R97" i="3"/>
  <c r="R199" i="3" s="1"/>
  <c r="GO96" i="3"/>
  <c r="FC96" i="3"/>
  <c r="DQ96" i="3"/>
  <c r="BG96" i="3"/>
  <c r="AP96" i="3"/>
  <c r="AP198" i="3" s="1"/>
  <c r="AH96" i="3"/>
  <c r="Z96" i="3"/>
  <c r="R96" i="3"/>
  <c r="R198" i="3" s="1"/>
  <c r="EV95" i="3"/>
  <c r="CL95" i="3"/>
  <c r="AP95" i="3"/>
  <c r="AP197" i="3" s="1"/>
  <c r="AH95" i="3"/>
  <c r="Z95" i="3"/>
  <c r="R95" i="3"/>
  <c r="R197" i="3" s="1"/>
  <c r="GO94" i="3"/>
  <c r="FC94" i="3"/>
  <c r="DQ94" i="3"/>
  <c r="BG94" i="3"/>
  <c r="AP94" i="3"/>
  <c r="AP196" i="3" s="1"/>
  <c r="AH94" i="3"/>
  <c r="Z94" i="3"/>
  <c r="R94" i="3"/>
  <c r="R196" i="3" s="1"/>
  <c r="EV93" i="3"/>
  <c r="CL93" i="3"/>
  <c r="AP93" i="3"/>
  <c r="AP195" i="3" s="1"/>
  <c r="AH93" i="3"/>
  <c r="Z93" i="3"/>
  <c r="R93" i="3"/>
  <c r="R195" i="3" s="1"/>
  <c r="GO92" i="3"/>
  <c r="FC92" i="3"/>
  <c r="DQ92" i="3"/>
  <c r="BG92" i="3"/>
  <c r="AP92" i="3"/>
  <c r="AP194" i="3" s="1"/>
  <c r="AH92" i="3"/>
  <c r="Z92" i="3"/>
  <c r="R92" i="3"/>
  <c r="R194" i="3" s="1"/>
  <c r="EV91" i="3"/>
  <c r="CL91" i="3"/>
  <c r="AP91" i="3"/>
  <c r="AP193" i="3" s="1"/>
  <c r="AH91" i="3"/>
  <c r="Z91" i="3"/>
  <c r="R91" i="3"/>
  <c r="R193" i="3" s="1"/>
  <c r="GO90" i="3"/>
  <c r="GO110" i="3" s="1"/>
  <c r="FC90" i="3"/>
  <c r="FC110" i="3" s="1"/>
  <c r="AB90" i="3"/>
  <c r="Q90" i="3"/>
  <c r="U90" i="3"/>
  <c r="U192" i="3" s="1"/>
  <c r="Y90" i="3"/>
  <c r="AC90" i="3"/>
  <c r="AG90" i="3"/>
  <c r="AG192" i="3" s="1"/>
  <c r="AK90" i="3"/>
  <c r="AO90" i="3"/>
  <c r="AS90" i="3"/>
  <c r="AS192" i="3" s="1"/>
  <c r="R90" i="3"/>
  <c r="R192" i="3" s="1"/>
  <c r="V90" i="3"/>
  <c r="Z90" i="3"/>
  <c r="AD90" i="3"/>
  <c r="AD192" i="3" s="1"/>
  <c r="AH90" i="3"/>
  <c r="AL90" i="3"/>
  <c r="AP90" i="3"/>
  <c r="AP192" i="3" s="1"/>
  <c r="AT90" i="3"/>
  <c r="S90" i="3"/>
  <c r="W90" i="3"/>
  <c r="AA90" i="3"/>
  <c r="AA192" i="3" s="1"/>
  <c r="AE90" i="3"/>
  <c r="AI90" i="3"/>
  <c r="AM90" i="3"/>
  <c r="AM192" i="3" s="1"/>
  <c r="AQ90" i="3"/>
  <c r="AN88" i="3"/>
  <c r="X88" i="3"/>
  <c r="X190" i="3" s="1"/>
  <c r="AJ86" i="3"/>
  <c r="AJ188" i="3" s="1"/>
  <c r="Z85" i="3"/>
  <c r="S85" i="3"/>
  <c r="Q82" i="3"/>
  <c r="U82" i="3"/>
  <c r="U184" i="3" s="1"/>
  <c r="Y82" i="3"/>
  <c r="AC82" i="3"/>
  <c r="AG82" i="3"/>
  <c r="AG184" i="3" s="1"/>
  <c r="AK82" i="3"/>
  <c r="AO82" i="3"/>
  <c r="AS82" i="3"/>
  <c r="AS184" i="3" s="1"/>
  <c r="R82" i="3"/>
  <c r="R184" i="3" s="1"/>
  <c r="V82" i="3"/>
  <c r="Z82" i="3"/>
  <c r="AD82" i="3"/>
  <c r="AD184" i="3" s="1"/>
  <c r="AH82" i="3"/>
  <c r="AL82" i="3"/>
  <c r="AP82" i="3"/>
  <c r="AP184" i="3" s="1"/>
  <c r="AT82" i="3"/>
  <c r="S82" i="3"/>
  <c r="W82" i="3"/>
  <c r="AA82" i="3"/>
  <c r="AA184" i="3" s="1"/>
  <c r="AE82" i="3"/>
  <c r="AI82" i="3"/>
  <c r="AM82" i="3"/>
  <c r="AM184" i="3" s="1"/>
  <c r="AQ82" i="3"/>
  <c r="X79" i="3"/>
  <c r="X181" i="3" s="1"/>
  <c r="GJ110" i="3"/>
  <c r="DL110" i="3"/>
  <c r="BF110" i="3"/>
  <c r="BB110" i="3"/>
  <c r="HG109" i="3"/>
  <c r="FT109" i="3"/>
  <c r="ET109" i="3"/>
  <c r="EH109" i="3"/>
  <c r="DI109" i="3"/>
  <c r="CV109" i="3"/>
  <c r="BW109" i="3"/>
  <c r="BK109" i="3"/>
  <c r="AY109" i="3"/>
  <c r="AM6" i="3"/>
  <c r="AM108" i="3" s="1"/>
  <c r="AN6" i="3"/>
  <c r="AN8" i="3"/>
  <c r="AL8" i="3"/>
  <c r="AL6" i="3"/>
  <c r="AN10" i="3"/>
  <c r="AL10" i="3"/>
  <c r="AM10" i="3"/>
  <c r="AM112" i="3" s="1"/>
  <c r="AN12" i="3"/>
  <c r="AN14" i="3"/>
  <c r="AN7" i="3"/>
  <c r="AL12" i="3"/>
  <c r="AL14" i="3"/>
  <c r="AM13" i="3"/>
  <c r="AM115" i="3" s="1"/>
  <c r="AM14" i="3"/>
  <c r="AM116" i="3" s="1"/>
  <c r="AM17" i="3"/>
  <c r="AM119" i="3" s="1"/>
  <c r="AM12" i="3"/>
  <c r="AM114" i="3" s="1"/>
  <c r="AN17" i="3"/>
  <c r="AN19" i="3"/>
  <c r="AM11" i="3"/>
  <c r="AM113" i="3" s="1"/>
  <c r="AN21" i="3"/>
  <c r="AN16" i="3"/>
  <c r="AL19" i="3"/>
  <c r="AM20" i="3"/>
  <c r="AM122" i="3" s="1"/>
  <c r="AL17" i="3"/>
  <c r="AM19" i="3"/>
  <c r="AM121" i="3" s="1"/>
  <c r="AN20" i="3"/>
  <c r="AL21" i="3"/>
  <c r="AN22" i="3"/>
  <c r="AM22" i="3"/>
  <c r="AM124" i="3" s="1"/>
  <c r="AN23" i="3"/>
  <c r="AN25" i="3"/>
  <c r="AN27" i="3"/>
  <c r="AN29" i="3"/>
  <c r="AN31" i="3"/>
  <c r="AL23" i="3"/>
  <c r="AN24" i="3"/>
  <c r="AL25" i="3"/>
  <c r="AN26" i="3"/>
  <c r="AL27" i="3"/>
  <c r="AN28" i="3"/>
  <c r="AM21" i="3"/>
  <c r="AM123" i="3" s="1"/>
  <c r="AM23" i="3"/>
  <c r="AM125" i="3" s="1"/>
  <c r="AM27" i="3"/>
  <c r="AM129" i="3" s="1"/>
  <c r="AM31" i="3"/>
  <c r="AM133" i="3" s="1"/>
  <c r="AN33" i="3"/>
  <c r="AN35" i="3"/>
  <c r="AN37" i="3"/>
  <c r="AL29" i="3"/>
  <c r="AM32" i="3"/>
  <c r="AM134" i="3" s="1"/>
  <c r="AM34" i="3"/>
  <c r="AM136" i="3" s="1"/>
  <c r="AM25" i="3"/>
  <c r="AM127" i="3" s="1"/>
  <c r="AM29" i="3"/>
  <c r="AM131" i="3" s="1"/>
  <c r="AN30" i="3"/>
  <c r="AN32" i="3"/>
  <c r="AL33" i="3"/>
  <c r="AN34" i="3"/>
  <c r="AL35" i="3"/>
  <c r="AN36" i="3"/>
  <c r="AL37" i="3"/>
  <c r="AM35" i="3"/>
  <c r="AM137" i="3" s="1"/>
  <c r="AN39" i="3"/>
  <c r="AN41" i="3"/>
  <c r="AN43" i="3"/>
  <c r="AN45" i="3"/>
  <c r="AN47" i="3"/>
  <c r="AN49" i="3"/>
  <c r="AN51" i="3"/>
  <c r="AN53" i="3"/>
  <c r="AL31" i="3"/>
  <c r="AM37" i="3"/>
  <c r="AM139" i="3" s="1"/>
  <c r="AL39" i="3"/>
  <c r="AN40" i="3"/>
  <c r="AL41" i="3"/>
  <c r="AN42" i="3"/>
  <c r="AL43" i="3"/>
  <c r="AN44" i="3"/>
  <c r="AL45" i="3"/>
  <c r="AN46" i="3"/>
  <c r="AL47" i="3"/>
  <c r="AN48" i="3"/>
  <c r="AM15" i="3"/>
  <c r="AM117" i="3" s="1"/>
  <c r="AM39" i="3"/>
  <c r="AM141" i="3" s="1"/>
  <c r="AM43" i="3"/>
  <c r="AM145" i="3" s="1"/>
  <c r="AM47" i="3"/>
  <c r="AM149" i="3" s="1"/>
  <c r="AL49" i="3"/>
  <c r="AM49" i="3"/>
  <c r="AM151" i="3" s="1"/>
  <c r="AL51" i="3"/>
  <c r="AM33" i="3"/>
  <c r="AM135" i="3" s="1"/>
  <c r="AN38" i="3"/>
  <c r="AM41" i="3"/>
  <c r="AM143" i="3" s="1"/>
  <c r="AM45" i="3"/>
  <c r="AM147" i="3" s="1"/>
  <c r="AM51" i="3"/>
  <c r="AM153" i="3" s="1"/>
  <c r="AN52" i="3"/>
  <c r="AN54" i="3"/>
  <c r="AN55" i="3"/>
  <c r="AL56" i="3"/>
  <c r="AN57" i="3"/>
  <c r="AL58" i="3"/>
  <c r="AN59" i="3"/>
  <c r="AL60" i="3"/>
  <c r="AL53" i="3"/>
  <c r="AM56" i="3"/>
  <c r="AM158" i="3" s="1"/>
  <c r="AM58" i="3"/>
  <c r="AM160" i="3" s="1"/>
  <c r="AM60" i="3"/>
  <c r="AM162" i="3" s="1"/>
  <c r="AM62" i="3"/>
  <c r="AM164" i="3" s="1"/>
  <c r="AM53" i="3"/>
  <c r="AM155" i="3" s="1"/>
  <c r="AL54" i="3"/>
  <c r="AN56" i="3"/>
  <c r="AN58" i="3"/>
  <c r="AN60" i="3"/>
  <c r="AN62" i="3"/>
  <c r="AN61" i="3"/>
  <c r="AN63" i="3"/>
  <c r="AM64" i="3"/>
  <c r="AM166" i="3" s="1"/>
  <c r="AM66" i="3"/>
  <c r="AM168" i="3" s="1"/>
  <c r="AM68" i="3"/>
  <c r="AM170" i="3" s="1"/>
  <c r="AM70" i="3"/>
  <c r="AM172" i="3" s="1"/>
  <c r="AM72" i="3"/>
  <c r="AM174" i="3" s="1"/>
  <c r="AM74" i="3"/>
  <c r="AM176" i="3" s="1"/>
  <c r="AM76" i="3"/>
  <c r="AM178" i="3" s="1"/>
  <c r="AL62" i="3"/>
  <c r="AN64" i="3"/>
  <c r="AL65" i="3"/>
  <c r="AN66" i="3"/>
  <c r="AN68" i="3"/>
  <c r="AN70" i="3"/>
  <c r="AN72" i="3"/>
  <c r="AN74" i="3"/>
  <c r="AN76" i="3"/>
  <c r="AN78" i="3"/>
  <c r="AN80" i="3"/>
  <c r="AM65" i="3"/>
  <c r="AM167" i="3" s="1"/>
  <c r="AL63" i="3"/>
  <c r="AL64" i="3"/>
  <c r="AN65" i="3"/>
  <c r="AL66" i="3"/>
  <c r="AN67" i="3"/>
  <c r="AL68" i="3"/>
  <c r="AN69" i="3"/>
  <c r="AL70" i="3"/>
  <c r="AN71" i="3"/>
  <c r="AL72" i="3"/>
  <c r="AN73" i="3"/>
  <c r="AL74" i="3"/>
  <c r="AN75" i="3"/>
  <c r="AL76" i="3"/>
  <c r="AN77" i="3"/>
  <c r="AL78" i="3"/>
  <c r="AM80" i="3"/>
  <c r="AM182" i="3" s="1"/>
  <c r="AN81" i="3"/>
  <c r="AM78" i="3"/>
  <c r="AM180" i="3" s="1"/>
  <c r="AN83" i="3"/>
  <c r="AN85" i="3"/>
  <c r="AN87" i="3"/>
  <c r="AN89" i="3"/>
  <c r="AA6" i="3"/>
  <c r="AA108" i="3" s="1"/>
  <c r="AB6" i="3"/>
  <c r="AB8" i="3"/>
  <c r="AB7" i="3"/>
  <c r="AA10" i="3"/>
  <c r="AA112" i="3" s="1"/>
  <c r="Z8" i="3"/>
  <c r="AB10" i="3"/>
  <c r="Z6" i="3"/>
  <c r="Z10" i="3"/>
  <c r="AB12" i="3"/>
  <c r="AB14" i="3"/>
  <c r="Z12" i="3"/>
  <c r="AA12" i="3"/>
  <c r="AA114" i="3" s="1"/>
  <c r="AA14" i="3"/>
  <c r="AA116" i="3" s="1"/>
  <c r="AB11" i="3"/>
  <c r="AA13" i="3"/>
  <c r="AA115" i="3" s="1"/>
  <c r="AA17" i="3"/>
  <c r="AA119" i="3" s="1"/>
  <c r="AB17" i="3"/>
  <c r="AB19" i="3"/>
  <c r="Z14" i="3"/>
  <c r="AA19" i="3"/>
  <c r="AA121" i="3" s="1"/>
  <c r="AB21" i="3"/>
  <c r="AB23" i="3"/>
  <c r="AB15" i="3"/>
  <c r="AB18" i="3"/>
  <c r="AA20" i="3"/>
  <c r="AA122" i="3" s="1"/>
  <c r="AB16" i="3"/>
  <c r="AB20" i="3"/>
  <c r="Z21" i="3"/>
  <c r="AB22" i="3"/>
  <c r="AA21" i="3"/>
  <c r="AA123" i="3" s="1"/>
  <c r="Z23" i="3"/>
  <c r="AB25" i="3"/>
  <c r="AB27" i="3"/>
  <c r="AB29" i="3"/>
  <c r="AB31" i="3"/>
  <c r="Z19" i="3"/>
  <c r="AA23" i="3"/>
  <c r="AA125" i="3" s="1"/>
  <c r="AA22" i="3"/>
  <c r="AA124" i="3" s="1"/>
  <c r="AB24" i="3"/>
  <c r="Z25" i="3"/>
  <c r="AB26" i="3"/>
  <c r="Z27" i="3"/>
  <c r="AB28" i="3"/>
  <c r="AA29" i="3"/>
  <c r="AA131" i="3" s="1"/>
  <c r="AB30" i="3"/>
  <c r="AB33" i="3"/>
  <c r="AB35" i="3"/>
  <c r="AB37" i="3"/>
  <c r="Z17" i="3"/>
  <c r="AA27" i="3"/>
  <c r="AA129" i="3" s="1"/>
  <c r="AA32" i="3"/>
  <c r="AA134" i="3" s="1"/>
  <c r="AA34" i="3"/>
  <c r="AA136" i="3" s="1"/>
  <c r="Z31" i="3"/>
  <c r="AB32" i="3"/>
  <c r="Z33" i="3"/>
  <c r="AB34" i="3"/>
  <c r="Z35" i="3"/>
  <c r="AB36" i="3"/>
  <c r="Z37" i="3"/>
  <c r="AA31" i="3"/>
  <c r="AA133" i="3" s="1"/>
  <c r="AA33" i="3"/>
  <c r="AA135" i="3" s="1"/>
  <c r="AB39" i="3"/>
  <c r="AB41" i="3"/>
  <c r="AB43" i="3"/>
  <c r="AB45" i="3"/>
  <c r="AB47" i="3"/>
  <c r="AB49" i="3"/>
  <c r="AB51" i="3"/>
  <c r="AB53" i="3"/>
  <c r="AA35" i="3"/>
  <c r="AA137" i="3" s="1"/>
  <c r="AB38" i="3"/>
  <c r="Z39" i="3"/>
  <c r="AB40" i="3"/>
  <c r="Z41" i="3"/>
  <c r="AB42" i="3"/>
  <c r="Z43" i="3"/>
  <c r="AB44" i="3"/>
  <c r="Z45" i="3"/>
  <c r="AB46" i="3"/>
  <c r="Z47" i="3"/>
  <c r="AB48" i="3"/>
  <c r="AA25" i="3"/>
  <c r="AA127" i="3" s="1"/>
  <c r="Z29" i="3"/>
  <c r="AA37" i="3"/>
  <c r="AA139" i="3" s="1"/>
  <c r="AA41" i="3"/>
  <c r="AA143" i="3" s="1"/>
  <c r="AA45" i="3"/>
  <c r="AA147" i="3" s="1"/>
  <c r="AA49" i="3"/>
  <c r="AA151" i="3" s="1"/>
  <c r="AB50" i="3"/>
  <c r="AA51" i="3"/>
  <c r="AA153" i="3" s="1"/>
  <c r="AB52" i="3"/>
  <c r="Z53" i="3"/>
  <c r="AA39" i="3"/>
  <c r="AA141" i="3" s="1"/>
  <c r="AA43" i="3"/>
  <c r="AA145" i="3" s="1"/>
  <c r="AA47" i="3"/>
  <c r="AA149" i="3" s="1"/>
  <c r="Z49" i="3"/>
  <c r="Z51" i="3"/>
  <c r="AB55" i="3"/>
  <c r="Z56" i="3"/>
  <c r="AB57" i="3"/>
  <c r="Z58" i="3"/>
  <c r="AB59" i="3"/>
  <c r="Z60" i="3"/>
  <c r="AA53" i="3"/>
  <c r="AA155" i="3" s="1"/>
  <c r="Z54" i="3"/>
  <c r="AA56" i="3"/>
  <c r="AA158" i="3" s="1"/>
  <c r="AA58" i="3"/>
  <c r="AA160" i="3" s="1"/>
  <c r="AA60" i="3"/>
  <c r="AA162" i="3" s="1"/>
  <c r="AA62" i="3"/>
  <c r="AA164" i="3" s="1"/>
  <c r="AB54" i="3"/>
  <c r="AB56" i="3"/>
  <c r="AB58" i="3"/>
  <c r="AB60" i="3"/>
  <c r="AB62" i="3"/>
  <c r="AA64" i="3"/>
  <c r="AA166" i="3" s="1"/>
  <c r="AA66" i="3"/>
  <c r="AA168" i="3" s="1"/>
  <c r="AA68" i="3"/>
  <c r="AA170" i="3" s="1"/>
  <c r="AA70" i="3"/>
  <c r="AA172" i="3" s="1"/>
  <c r="AA72" i="3"/>
  <c r="AA174" i="3" s="1"/>
  <c r="AA74" i="3"/>
  <c r="AA176" i="3" s="1"/>
  <c r="AA76" i="3"/>
  <c r="AA178" i="3" s="1"/>
  <c r="AB61" i="3"/>
  <c r="AB64" i="3"/>
  <c r="Z65" i="3"/>
  <c r="AB66" i="3"/>
  <c r="AB68" i="3"/>
  <c r="AB70" i="3"/>
  <c r="AB72" i="3"/>
  <c r="AB74" i="3"/>
  <c r="AB76" i="3"/>
  <c r="AB78" i="3"/>
  <c r="AB80" i="3"/>
  <c r="Z62" i="3"/>
  <c r="Z63" i="3"/>
  <c r="AA65" i="3"/>
  <c r="AA167" i="3" s="1"/>
  <c r="Z64" i="3"/>
  <c r="AB65" i="3"/>
  <c r="Z66" i="3"/>
  <c r="AB67" i="3"/>
  <c r="Z68" i="3"/>
  <c r="AB69" i="3"/>
  <c r="Z70" i="3"/>
  <c r="AB71" i="3"/>
  <c r="Z72" i="3"/>
  <c r="AB73" i="3"/>
  <c r="Z74" i="3"/>
  <c r="AB75" i="3"/>
  <c r="Z76" i="3"/>
  <c r="AB77" i="3"/>
  <c r="Z78" i="3"/>
  <c r="AB79" i="3"/>
  <c r="Z80" i="3"/>
  <c r="AB83" i="3"/>
  <c r="AB85" i="3"/>
  <c r="AB87" i="3"/>
  <c r="AB89" i="3"/>
  <c r="AA78" i="3"/>
  <c r="AA180" i="3" s="1"/>
  <c r="AA80" i="3"/>
  <c r="AA182" i="3" s="1"/>
  <c r="AB81" i="3"/>
  <c r="Z106" i="3"/>
  <c r="AN105" i="3"/>
  <c r="AJ105" i="3"/>
  <c r="AJ207" i="3" s="1"/>
  <c r="AB105" i="3"/>
  <c r="X105" i="3"/>
  <c r="X207" i="3" s="1"/>
  <c r="AN103" i="3"/>
  <c r="AJ103" i="3"/>
  <c r="AJ205" i="3" s="1"/>
  <c r="AB103" i="3"/>
  <c r="X103" i="3"/>
  <c r="X205" i="3" s="1"/>
  <c r="AN101" i="3"/>
  <c r="AJ101" i="3"/>
  <c r="AJ203" i="3" s="1"/>
  <c r="AB101" i="3"/>
  <c r="HI99" i="3"/>
  <c r="FV99" i="3"/>
  <c r="EJ99" i="3"/>
  <c r="BM99" i="3"/>
  <c r="GB98" i="3"/>
  <c r="EP98" i="3"/>
  <c r="CF98" i="3"/>
  <c r="DK97" i="3"/>
  <c r="BY97" i="3"/>
  <c r="BA97" i="3"/>
  <c r="AN97" i="3"/>
  <c r="AF97" i="3"/>
  <c r="X97" i="3"/>
  <c r="X199" i="3" s="1"/>
  <c r="GB96" i="3"/>
  <c r="EP96" i="3"/>
  <c r="CF96" i="3"/>
  <c r="AN96" i="3"/>
  <c r="AF96" i="3"/>
  <c r="X96" i="3"/>
  <c r="X198" i="3" s="1"/>
  <c r="DK95" i="3"/>
  <c r="BY95" i="3"/>
  <c r="BA95" i="3"/>
  <c r="AN95" i="3"/>
  <c r="AF95" i="3"/>
  <c r="X95" i="3"/>
  <c r="X197" i="3" s="1"/>
  <c r="GL94" i="3"/>
  <c r="GB94" i="3"/>
  <c r="EP94" i="3"/>
  <c r="CF94" i="3"/>
  <c r="AN94" i="3"/>
  <c r="AF94" i="3"/>
  <c r="X94" i="3"/>
  <c r="X196" i="3" s="1"/>
  <c r="DN93" i="3"/>
  <c r="DK93" i="3"/>
  <c r="BY93" i="3"/>
  <c r="BA93" i="3"/>
  <c r="AN93" i="3"/>
  <c r="AF93" i="3"/>
  <c r="X93" i="3"/>
  <c r="X195" i="3" s="1"/>
  <c r="GB92" i="3"/>
  <c r="EP92" i="3"/>
  <c r="CF92" i="3"/>
  <c r="BD92" i="3"/>
  <c r="AN92" i="3"/>
  <c r="AF92" i="3"/>
  <c r="X92" i="3"/>
  <c r="X194" i="3" s="1"/>
  <c r="DK91" i="3"/>
  <c r="BY91" i="3"/>
  <c r="BA91" i="3"/>
  <c r="AN91" i="3"/>
  <c r="AF91" i="3"/>
  <c r="X91" i="3"/>
  <c r="X193" i="3" s="1"/>
  <c r="GB90" i="3"/>
  <c r="EP90" i="3"/>
  <c r="EP110" i="3" s="1"/>
  <c r="AN90" i="3"/>
  <c r="X90" i="3"/>
  <c r="X192" i="3" s="1"/>
  <c r="AJ88" i="3"/>
  <c r="AJ190" i="3" s="1"/>
  <c r="T88" i="3"/>
  <c r="Z87" i="3"/>
  <c r="S87" i="3"/>
  <c r="AL85" i="3"/>
  <c r="AB84" i="3"/>
  <c r="Q84" i="3"/>
  <c r="U84" i="3"/>
  <c r="U186" i="3" s="1"/>
  <c r="Y84" i="3"/>
  <c r="AC84" i="3"/>
  <c r="AG84" i="3"/>
  <c r="AG186" i="3" s="1"/>
  <c r="AK84" i="3"/>
  <c r="AO84" i="3"/>
  <c r="AS84" i="3"/>
  <c r="AS186" i="3" s="1"/>
  <c r="R84" i="3"/>
  <c r="R186" i="3" s="1"/>
  <c r="V84" i="3"/>
  <c r="Z84" i="3"/>
  <c r="AD84" i="3"/>
  <c r="AD186" i="3" s="1"/>
  <c r="AH84" i="3"/>
  <c r="AL84" i="3"/>
  <c r="AP84" i="3"/>
  <c r="AP186" i="3" s="1"/>
  <c r="AT84" i="3"/>
  <c r="S84" i="3"/>
  <c r="W84" i="3"/>
  <c r="AA84" i="3"/>
  <c r="AA186" i="3" s="1"/>
  <c r="AE84" i="3"/>
  <c r="AI84" i="3"/>
  <c r="AM84" i="3"/>
  <c r="AM186" i="3" s="1"/>
  <c r="AQ84" i="3"/>
  <c r="AN82" i="3"/>
  <c r="X82" i="3"/>
  <c r="X184" i="3" s="1"/>
  <c r="AK81" i="3"/>
  <c r="GM110" i="3"/>
  <c r="FZ110" i="3"/>
  <c r="FM110" i="3"/>
  <c r="FA110" i="3"/>
  <c r="EN110" i="3"/>
  <c r="DO110" i="3"/>
  <c r="CP110" i="3"/>
  <c r="CD110" i="3"/>
  <c r="BQ110" i="3"/>
  <c r="BE110" i="3"/>
  <c r="DP109" i="3"/>
  <c r="DQ109" i="3" s="1"/>
  <c r="AI6" i="3"/>
  <c r="AJ6" i="3"/>
  <c r="AJ108" i="3" s="1"/>
  <c r="AJ8" i="3"/>
  <c r="AJ110" i="3" s="1"/>
  <c r="AK6" i="3"/>
  <c r="AJ10" i="3"/>
  <c r="AJ112" i="3" s="1"/>
  <c r="AJ7" i="3"/>
  <c r="AJ109" i="3" s="1"/>
  <c r="AK10" i="3"/>
  <c r="AJ12" i="3"/>
  <c r="AJ114" i="3" s="1"/>
  <c r="AJ14" i="3"/>
  <c r="AJ116" i="3" s="1"/>
  <c r="AI10" i="3"/>
  <c r="AI12" i="3"/>
  <c r="AK12" i="3"/>
  <c r="AI14" i="3"/>
  <c r="AK14" i="3"/>
  <c r="AI17" i="3"/>
  <c r="AJ17" i="3"/>
  <c r="AJ119" i="3" s="1"/>
  <c r="AJ19" i="3"/>
  <c r="AJ121" i="3" s="1"/>
  <c r="AJ13" i="3"/>
  <c r="AJ115" i="3" s="1"/>
  <c r="AK17" i="3"/>
  <c r="AK19" i="3"/>
  <c r="AJ16" i="3"/>
  <c r="AJ118" i="3" s="1"/>
  <c r="AI19" i="3"/>
  <c r="AJ21" i="3"/>
  <c r="AJ123" i="3" s="1"/>
  <c r="AI20" i="3"/>
  <c r="AK21" i="3"/>
  <c r="AJ20" i="3"/>
  <c r="AJ122" i="3" s="1"/>
  <c r="AJ22" i="3"/>
  <c r="AJ124" i="3" s="1"/>
  <c r="AK20" i="3"/>
  <c r="AJ23" i="3"/>
  <c r="AJ125" i="3" s="1"/>
  <c r="AJ25" i="3"/>
  <c r="AJ127" i="3" s="1"/>
  <c r="AJ27" i="3"/>
  <c r="AJ129" i="3" s="1"/>
  <c r="AJ29" i="3"/>
  <c r="AJ131" i="3" s="1"/>
  <c r="AJ31" i="3"/>
  <c r="AJ133" i="3" s="1"/>
  <c r="AK23" i="3"/>
  <c r="AK25" i="3"/>
  <c r="AK27" i="3"/>
  <c r="AK29" i="3"/>
  <c r="AJ18" i="3"/>
  <c r="AJ120" i="3" s="1"/>
  <c r="AI21" i="3"/>
  <c r="AI22" i="3"/>
  <c r="AJ24" i="3"/>
  <c r="AJ126" i="3" s="1"/>
  <c r="AJ26" i="3"/>
  <c r="AJ128" i="3" s="1"/>
  <c r="AJ28" i="3"/>
  <c r="AJ130" i="3" s="1"/>
  <c r="AK24" i="3"/>
  <c r="AK28" i="3"/>
  <c r="AI29" i="3"/>
  <c r="AJ30" i="3"/>
  <c r="AJ132" i="3" s="1"/>
  <c r="AJ33" i="3"/>
  <c r="AJ135" i="3" s="1"/>
  <c r="AJ35" i="3"/>
  <c r="AJ137" i="3" s="1"/>
  <c r="AJ37" i="3"/>
  <c r="AJ139" i="3" s="1"/>
  <c r="AI25" i="3"/>
  <c r="AK30" i="3"/>
  <c r="AI31" i="3"/>
  <c r="AI32" i="3"/>
  <c r="AK33" i="3"/>
  <c r="AI34" i="3"/>
  <c r="AK35" i="3"/>
  <c r="AK37" i="3"/>
  <c r="AK26" i="3"/>
  <c r="AK31" i="3"/>
  <c r="AJ32" i="3"/>
  <c r="AJ134" i="3" s="1"/>
  <c r="AJ34" i="3"/>
  <c r="AJ136" i="3" s="1"/>
  <c r="AJ36" i="3"/>
  <c r="AJ138" i="3" s="1"/>
  <c r="AK32" i="3"/>
  <c r="AK34" i="3"/>
  <c r="AK36" i="3"/>
  <c r="AJ39" i="3"/>
  <c r="AJ141" i="3" s="1"/>
  <c r="AJ41" i="3"/>
  <c r="AJ143" i="3" s="1"/>
  <c r="AJ43" i="3"/>
  <c r="AJ145" i="3" s="1"/>
  <c r="AJ45" i="3"/>
  <c r="AJ147" i="3" s="1"/>
  <c r="AJ47" i="3"/>
  <c r="AJ149" i="3" s="1"/>
  <c r="AJ49" i="3"/>
  <c r="AJ151" i="3" s="1"/>
  <c r="AJ51" i="3"/>
  <c r="AJ153" i="3" s="1"/>
  <c r="AJ53" i="3"/>
  <c r="AJ155" i="3" s="1"/>
  <c r="AI37" i="3"/>
  <c r="AJ38" i="3"/>
  <c r="AJ140" i="3" s="1"/>
  <c r="AK39" i="3"/>
  <c r="AK22" i="3"/>
  <c r="AI23" i="3"/>
  <c r="AI27" i="3"/>
  <c r="AI33" i="3"/>
  <c r="AK38" i="3"/>
  <c r="AJ40" i="3"/>
  <c r="AJ142" i="3" s="1"/>
  <c r="AJ42" i="3"/>
  <c r="AJ144" i="3" s="1"/>
  <c r="AJ44" i="3"/>
  <c r="AJ146" i="3" s="1"/>
  <c r="AJ46" i="3"/>
  <c r="AJ148" i="3" s="1"/>
  <c r="AJ48" i="3"/>
  <c r="AJ150" i="3" s="1"/>
  <c r="AI39" i="3"/>
  <c r="AI43" i="3"/>
  <c r="AI47" i="3"/>
  <c r="AI49" i="3"/>
  <c r="AJ50" i="3"/>
  <c r="AJ152" i="3" s="1"/>
  <c r="AK40" i="3"/>
  <c r="AK44" i="3"/>
  <c r="AK48" i="3"/>
  <c r="AI51" i="3"/>
  <c r="AJ52" i="3"/>
  <c r="AJ154" i="3" s="1"/>
  <c r="AI41" i="3"/>
  <c r="AI45" i="3"/>
  <c r="AI35" i="3"/>
  <c r="AK42" i="3"/>
  <c r="AK46" i="3"/>
  <c r="AK56" i="3"/>
  <c r="AK58" i="3"/>
  <c r="AK60" i="3"/>
  <c r="AK52" i="3"/>
  <c r="AI53" i="3"/>
  <c r="AJ54" i="3"/>
  <c r="AJ156" i="3" s="1"/>
  <c r="AJ55" i="3"/>
  <c r="AJ157" i="3" s="1"/>
  <c r="AJ57" i="3"/>
  <c r="AJ159" i="3" s="1"/>
  <c r="AJ59" i="3"/>
  <c r="AJ161" i="3" s="1"/>
  <c r="AK54" i="3"/>
  <c r="AI56" i="3"/>
  <c r="AI58" i="3"/>
  <c r="AI60" i="3"/>
  <c r="AI62" i="3"/>
  <c r="AJ56" i="3"/>
  <c r="AJ158" i="3" s="1"/>
  <c r="AJ58" i="3"/>
  <c r="AJ160" i="3" s="1"/>
  <c r="AJ60" i="3"/>
  <c r="AJ162" i="3" s="1"/>
  <c r="AJ62" i="3"/>
  <c r="AJ164" i="3" s="1"/>
  <c r="AI64" i="3"/>
  <c r="AK65" i="3"/>
  <c r="AI66" i="3"/>
  <c r="AK67" i="3"/>
  <c r="AI68" i="3"/>
  <c r="AK69" i="3"/>
  <c r="AI70" i="3"/>
  <c r="AK71" i="3"/>
  <c r="AI72" i="3"/>
  <c r="AK73" i="3"/>
  <c r="AI74" i="3"/>
  <c r="AK75" i="3"/>
  <c r="AI76" i="3"/>
  <c r="AJ63" i="3"/>
  <c r="AJ165" i="3" s="1"/>
  <c r="AJ64" i="3"/>
  <c r="AJ166" i="3" s="1"/>
  <c r="AJ66" i="3"/>
  <c r="AJ168" i="3" s="1"/>
  <c r="AJ68" i="3"/>
  <c r="AJ170" i="3" s="1"/>
  <c r="AJ70" i="3"/>
  <c r="AJ172" i="3" s="1"/>
  <c r="AJ72" i="3"/>
  <c r="AJ174" i="3" s="1"/>
  <c r="AJ74" i="3"/>
  <c r="AJ176" i="3" s="1"/>
  <c r="AJ76" i="3"/>
  <c r="AJ178" i="3" s="1"/>
  <c r="AJ78" i="3"/>
  <c r="AJ180" i="3" s="1"/>
  <c r="AJ80" i="3"/>
  <c r="AJ182" i="3" s="1"/>
  <c r="AK63" i="3"/>
  <c r="AK64" i="3"/>
  <c r="AI65" i="3"/>
  <c r="AK66" i="3"/>
  <c r="AK68" i="3"/>
  <c r="AK70" i="3"/>
  <c r="AK72" i="3"/>
  <c r="AK74" i="3"/>
  <c r="AK76" i="3"/>
  <c r="AK78" i="3"/>
  <c r="AK80" i="3"/>
  <c r="AJ61" i="3"/>
  <c r="AJ163" i="3" s="1"/>
  <c r="AJ65" i="3"/>
  <c r="AJ167" i="3" s="1"/>
  <c r="AJ67" i="3"/>
  <c r="AJ169" i="3" s="1"/>
  <c r="AJ69" i="3"/>
  <c r="AJ171" i="3" s="1"/>
  <c r="AJ71" i="3"/>
  <c r="AJ173" i="3" s="1"/>
  <c r="AJ73" i="3"/>
  <c r="AJ175" i="3" s="1"/>
  <c r="AJ75" i="3"/>
  <c r="AJ177" i="3" s="1"/>
  <c r="AJ77" i="3"/>
  <c r="AJ179" i="3" s="1"/>
  <c r="AI78" i="3"/>
  <c r="AJ79" i="3"/>
  <c r="AJ181" i="3" s="1"/>
  <c r="AJ83" i="3"/>
  <c r="AJ185" i="3" s="1"/>
  <c r="AJ85" i="3"/>
  <c r="AJ187" i="3" s="1"/>
  <c r="AJ87" i="3"/>
  <c r="AJ189" i="3" s="1"/>
  <c r="AJ89" i="3"/>
  <c r="AJ191" i="3" s="1"/>
  <c r="AI80" i="3"/>
  <c r="AJ81" i="3"/>
  <c r="AJ183" i="3" s="1"/>
  <c r="W6" i="3"/>
  <c r="X6" i="3"/>
  <c r="X108" i="3" s="1"/>
  <c r="X8" i="3"/>
  <c r="X110" i="3" s="1"/>
  <c r="W10" i="3"/>
  <c r="X10" i="3"/>
  <c r="X112" i="3" s="1"/>
  <c r="Y10" i="3"/>
  <c r="X12" i="3"/>
  <c r="X114" i="3" s="1"/>
  <c r="X14" i="3"/>
  <c r="X116" i="3" s="1"/>
  <c r="X7" i="3"/>
  <c r="X109" i="3" s="1"/>
  <c r="Y12" i="3"/>
  <c r="W11" i="3"/>
  <c r="W12" i="3"/>
  <c r="W14" i="3"/>
  <c r="Y14" i="3"/>
  <c r="W13" i="3"/>
  <c r="W17" i="3"/>
  <c r="X17" i="3"/>
  <c r="X119" i="3" s="1"/>
  <c r="X19" i="3"/>
  <c r="X121" i="3" s="1"/>
  <c r="Y17" i="3"/>
  <c r="Y19" i="3"/>
  <c r="W15" i="3"/>
  <c r="X21" i="3"/>
  <c r="X123" i="3" s="1"/>
  <c r="X23" i="3"/>
  <c r="X125" i="3" s="1"/>
  <c r="X16" i="3"/>
  <c r="X118" i="3" s="1"/>
  <c r="W20" i="3"/>
  <c r="Y21" i="3"/>
  <c r="W19" i="3"/>
  <c r="X20" i="3"/>
  <c r="X122" i="3" s="1"/>
  <c r="X22" i="3"/>
  <c r="X124" i="3" s="1"/>
  <c r="W22" i="3"/>
  <c r="X25" i="3"/>
  <c r="X127" i="3" s="1"/>
  <c r="X27" i="3"/>
  <c r="X129" i="3" s="1"/>
  <c r="X29" i="3"/>
  <c r="X131" i="3" s="1"/>
  <c r="X31" i="3"/>
  <c r="X133" i="3" s="1"/>
  <c r="Y20" i="3"/>
  <c r="Y22" i="3"/>
  <c r="Y25" i="3"/>
  <c r="Y27" i="3"/>
  <c r="Y29" i="3"/>
  <c r="W23" i="3"/>
  <c r="X24" i="3"/>
  <c r="X126" i="3" s="1"/>
  <c r="X26" i="3"/>
  <c r="X128" i="3" s="1"/>
  <c r="X28" i="3"/>
  <c r="X130" i="3" s="1"/>
  <c r="W27" i="3"/>
  <c r="W31" i="3"/>
  <c r="X33" i="3"/>
  <c r="X135" i="3" s="1"/>
  <c r="X35" i="3"/>
  <c r="X137" i="3" s="1"/>
  <c r="X37" i="3"/>
  <c r="X139" i="3" s="1"/>
  <c r="Y23" i="3"/>
  <c r="Y24" i="3"/>
  <c r="Y28" i="3"/>
  <c r="Y31" i="3"/>
  <c r="W32" i="3"/>
  <c r="Y33" i="3"/>
  <c r="W34" i="3"/>
  <c r="Y35" i="3"/>
  <c r="Y37" i="3"/>
  <c r="W25" i="3"/>
  <c r="W29" i="3"/>
  <c r="X30" i="3"/>
  <c r="X132" i="3" s="1"/>
  <c r="X32" i="3"/>
  <c r="X134" i="3" s="1"/>
  <c r="X34" i="3"/>
  <c r="X136" i="3" s="1"/>
  <c r="X36" i="3"/>
  <c r="X138" i="3" s="1"/>
  <c r="W35" i="3"/>
  <c r="Y38" i="3"/>
  <c r="X39" i="3"/>
  <c r="X141" i="3" s="1"/>
  <c r="X41" i="3"/>
  <c r="X143" i="3" s="1"/>
  <c r="X43" i="3"/>
  <c r="X145" i="3" s="1"/>
  <c r="X45" i="3"/>
  <c r="X147" i="3" s="1"/>
  <c r="X47" i="3"/>
  <c r="X149" i="3" s="1"/>
  <c r="X49" i="3"/>
  <c r="X151" i="3" s="1"/>
  <c r="X51" i="3"/>
  <c r="X153" i="3" s="1"/>
  <c r="X53" i="3"/>
  <c r="X155" i="3" s="1"/>
  <c r="W21" i="3"/>
  <c r="Y26" i="3"/>
  <c r="Y32" i="3"/>
  <c r="Y34" i="3"/>
  <c r="Y36" i="3"/>
  <c r="Y39" i="3"/>
  <c r="W37" i="3"/>
  <c r="X40" i="3"/>
  <c r="X142" i="3" s="1"/>
  <c r="X42" i="3"/>
  <c r="X144" i="3" s="1"/>
  <c r="X44" i="3"/>
  <c r="X146" i="3" s="1"/>
  <c r="X46" i="3"/>
  <c r="X148" i="3" s="1"/>
  <c r="X48" i="3"/>
  <c r="X150" i="3" s="1"/>
  <c r="Y42" i="3"/>
  <c r="Y46" i="3"/>
  <c r="X38" i="3"/>
  <c r="X140" i="3" s="1"/>
  <c r="W39" i="3"/>
  <c r="W43" i="3"/>
  <c r="W47" i="3"/>
  <c r="Y30" i="3"/>
  <c r="W33" i="3"/>
  <c r="Y40" i="3"/>
  <c r="Y44" i="3"/>
  <c r="Y48" i="3"/>
  <c r="W49" i="3"/>
  <c r="W41" i="3"/>
  <c r="W45" i="3"/>
  <c r="W51" i="3"/>
  <c r="X52" i="3"/>
  <c r="X154" i="3" s="1"/>
  <c r="X54" i="3"/>
  <c r="X156" i="3" s="1"/>
  <c r="Y56" i="3"/>
  <c r="Y58" i="3"/>
  <c r="Y60" i="3"/>
  <c r="W53" i="3"/>
  <c r="Y54" i="3"/>
  <c r="X55" i="3"/>
  <c r="X157" i="3" s="1"/>
  <c r="X57" i="3"/>
  <c r="X159" i="3" s="1"/>
  <c r="X59" i="3"/>
  <c r="X161" i="3" s="1"/>
  <c r="Y52" i="3"/>
  <c r="W56" i="3"/>
  <c r="W58" i="3"/>
  <c r="W60" i="3"/>
  <c r="W62" i="3"/>
  <c r="X56" i="3"/>
  <c r="X158" i="3" s="1"/>
  <c r="X58" i="3"/>
  <c r="X160" i="3" s="1"/>
  <c r="X60" i="3"/>
  <c r="X162" i="3" s="1"/>
  <c r="X62" i="3"/>
  <c r="X164" i="3" s="1"/>
  <c r="X61" i="3"/>
  <c r="X163" i="3" s="1"/>
  <c r="X63" i="3"/>
  <c r="X165" i="3" s="1"/>
  <c r="W64" i="3"/>
  <c r="Y65" i="3"/>
  <c r="W66" i="3"/>
  <c r="Y67" i="3"/>
  <c r="W68" i="3"/>
  <c r="Y69" i="3"/>
  <c r="W70" i="3"/>
  <c r="Y71" i="3"/>
  <c r="W72" i="3"/>
  <c r="Y73" i="3"/>
  <c r="W74" i="3"/>
  <c r="Y75" i="3"/>
  <c r="W76" i="3"/>
  <c r="Y63" i="3"/>
  <c r="X64" i="3"/>
  <c r="X166" i="3" s="1"/>
  <c r="X66" i="3"/>
  <c r="X168" i="3" s="1"/>
  <c r="X68" i="3"/>
  <c r="X170" i="3" s="1"/>
  <c r="X70" i="3"/>
  <c r="X172" i="3" s="1"/>
  <c r="X72" i="3"/>
  <c r="X174" i="3" s="1"/>
  <c r="X74" i="3"/>
  <c r="X176" i="3" s="1"/>
  <c r="X76" i="3"/>
  <c r="X178" i="3" s="1"/>
  <c r="X78" i="3"/>
  <c r="X180" i="3" s="1"/>
  <c r="X80" i="3"/>
  <c r="X182" i="3" s="1"/>
  <c r="Y64" i="3"/>
  <c r="W65" i="3"/>
  <c r="Y66" i="3"/>
  <c r="Y68" i="3"/>
  <c r="Y70" i="3"/>
  <c r="Y72" i="3"/>
  <c r="Y76" i="3"/>
  <c r="Y78" i="3"/>
  <c r="X65" i="3"/>
  <c r="X167" i="3" s="1"/>
  <c r="X67" i="3"/>
  <c r="X169" i="3" s="1"/>
  <c r="X69" i="3"/>
  <c r="X171" i="3" s="1"/>
  <c r="X71" i="3"/>
  <c r="X173" i="3" s="1"/>
  <c r="X73" i="3"/>
  <c r="X175" i="3" s="1"/>
  <c r="X75" i="3"/>
  <c r="X177" i="3" s="1"/>
  <c r="X77" i="3"/>
  <c r="X179" i="3" s="1"/>
  <c r="Y77" i="3"/>
  <c r="W80" i="3"/>
  <c r="X81" i="3"/>
  <c r="X183" i="3" s="1"/>
  <c r="W78" i="3"/>
  <c r="Y81" i="3"/>
  <c r="X83" i="3"/>
  <c r="X185" i="3" s="1"/>
  <c r="X85" i="3"/>
  <c r="X187" i="3" s="1"/>
  <c r="X87" i="3"/>
  <c r="X189" i="3" s="1"/>
  <c r="X89" i="3"/>
  <c r="X191" i="3" s="1"/>
  <c r="Y106" i="3"/>
  <c r="AM105" i="3"/>
  <c r="AM207" i="3" s="1"/>
  <c r="AI105" i="3"/>
  <c r="AA105" i="3"/>
  <c r="AA207" i="3" s="1"/>
  <c r="W105" i="3"/>
  <c r="AM103" i="3"/>
  <c r="AM205" i="3" s="1"/>
  <c r="AI103" i="3"/>
  <c r="AA103" i="3"/>
  <c r="AA205" i="3" s="1"/>
  <c r="W103" i="3"/>
  <c r="AM101" i="3"/>
  <c r="AM203" i="3" s="1"/>
  <c r="AI101" i="3"/>
  <c r="AA101" i="3"/>
  <c r="AA203" i="3" s="1"/>
  <c r="W101" i="3"/>
  <c r="AT97" i="3"/>
  <c r="AL97" i="3"/>
  <c r="AD97" i="3"/>
  <c r="AD199" i="3" s="1"/>
  <c r="V97" i="3"/>
  <c r="AT96" i="3"/>
  <c r="AL96" i="3"/>
  <c r="AD96" i="3"/>
  <c r="AD198" i="3" s="1"/>
  <c r="V96" i="3"/>
  <c r="FV95" i="3"/>
  <c r="EJ95" i="3"/>
  <c r="CX95" i="3"/>
  <c r="AT95" i="3"/>
  <c r="AL95" i="3"/>
  <c r="AD95" i="3"/>
  <c r="AD197" i="3" s="1"/>
  <c r="V95" i="3"/>
  <c r="FO94" i="3"/>
  <c r="BS94" i="3"/>
  <c r="AT94" i="3"/>
  <c r="AL94" i="3"/>
  <c r="AD94" i="3"/>
  <c r="AD196" i="3" s="1"/>
  <c r="V94" i="3"/>
  <c r="FV93" i="3"/>
  <c r="EJ93" i="3"/>
  <c r="CX93" i="3"/>
  <c r="AT93" i="3"/>
  <c r="AL93" i="3"/>
  <c r="AD93" i="3"/>
  <c r="AD195" i="3" s="1"/>
  <c r="V93" i="3"/>
  <c r="FO92" i="3"/>
  <c r="BS92" i="3"/>
  <c r="AT92" i="3"/>
  <c r="AL92" i="3"/>
  <c r="AD92" i="3"/>
  <c r="AD194" i="3" s="1"/>
  <c r="V92" i="3"/>
  <c r="FV91" i="3"/>
  <c r="EJ91" i="3"/>
  <c r="CX91" i="3"/>
  <c r="AT91" i="3"/>
  <c r="AL91" i="3"/>
  <c r="AD91" i="3"/>
  <c r="AD193" i="3" s="1"/>
  <c r="V91" i="3"/>
  <c r="FO90" i="3"/>
  <c r="AJ90" i="3"/>
  <c r="AJ192" i="3" s="1"/>
  <c r="T90" i="3"/>
  <c r="Z89" i="3"/>
  <c r="S89" i="3"/>
  <c r="AF88" i="3"/>
  <c r="AL87" i="3"/>
  <c r="AB86" i="3"/>
  <c r="Q86" i="3"/>
  <c r="U86" i="3"/>
  <c r="U188" i="3" s="1"/>
  <c r="Y86" i="3"/>
  <c r="AC86" i="3"/>
  <c r="AG86" i="3"/>
  <c r="AG188" i="3" s="1"/>
  <c r="AK86" i="3"/>
  <c r="AO86" i="3"/>
  <c r="AS86" i="3"/>
  <c r="AS188" i="3" s="1"/>
  <c r="R86" i="3"/>
  <c r="R188" i="3" s="1"/>
  <c r="V86" i="3"/>
  <c r="Z86" i="3"/>
  <c r="AD86" i="3"/>
  <c r="AD188" i="3" s="1"/>
  <c r="AH86" i="3"/>
  <c r="AL86" i="3"/>
  <c r="AP86" i="3"/>
  <c r="AP188" i="3" s="1"/>
  <c r="AT86" i="3"/>
  <c r="S86" i="3"/>
  <c r="W86" i="3"/>
  <c r="AA86" i="3"/>
  <c r="AA188" i="3" s="1"/>
  <c r="AE86" i="3"/>
  <c r="AI86" i="3"/>
  <c r="AM86" i="3"/>
  <c r="AM188" i="3" s="1"/>
  <c r="AQ86" i="3"/>
  <c r="AN84" i="3"/>
  <c r="X84" i="3"/>
  <c r="X186" i="3" s="1"/>
  <c r="AJ82" i="3"/>
  <c r="AJ184" i="3" s="1"/>
  <c r="T82" i="3"/>
  <c r="AL80" i="3"/>
  <c r="AN79" i="3"/>
  <c r="U79" i="3"/>
  <c r="U181" i="3" s="1"/>
  <c r="AS89" i="3"/>
  <c r="AS191" i="3" s="1"/>
  <c r="AO89" i="3"/>
  <c r="AK89" i="3"/>
  <c r="AG89" i="3"/>
  <c r="AG191" i="3" s="1"/>
  <c r="AC89" i="3"/>
  <c r="Y89" i="3"/>
  <c r="U89" i="3"/>
  <c r="U191" i="3" s="1"/>
  <c r="Q89" i="3"/>
  <c r="AS87" i="3"/>
  <c r="AS189" i="3" s="1"/>
  <c r="AO87" i="3"/>
  <c r="AK87" i="3"/>
  <c r="AG87" i="3"/>
  <c r="AG189" i="3" s="1"/>
  <c r="AC87" i="3"/>
  <c r="Y87" i="3"/>
  <c r="U87" i="3"/>
  <c r="U189" i="3" s="1"/>
  <c r="Q87" i="3"/>
  <c r="AS85" i="3"/>
  <c r="AS187" i="3" s="1"/>
  <c r="AO85" i="3"/>
  <c r="AK85" i="3"/>
  <c r="AG85" i="3"/>
  <c r="AG187" i="3" s="1"/>
  <c r="AC85" i="3"/>
  <c r="Y85" i="3"/>
  <c r="U85" i="3"/>
  <c r="U187" i="3" s="1"/>
  <c r="Q85" i="3"/>
  <c r="AS83" i="3"/>
  <c r="AS185" i="3" s="1"/>
  <c r="AO83" i="3"/>
  <c r="AK83" i="3"/>
  <c r="AG83" i="3"/>
  <c r="AG185" i="3" s="1"/>
  <c r="AC83" i="3"/>
  <c r="Y83" i="3"/>
  <c r="U83" i="3"/>
  <c r="U185" i="3" s="1"/>
  <c r="Q83" i="3"/>
  <c r="GE81" i="3"/>
  <c r="FF81" i="3"/>
  <c r="ES81" i="3"/>
  <c r="CI81" i="3"/>
  <c r="BV81" i="3"/>
  <c r="R81" i="3"/>
  <c r="R183" i="3" s="1"/>
  <c r="V81" i="3"/>
  <c r="Z81" i="3"/>
  <c r="AD81" i="3"/>
  <c r="AD183" i="3" s="1"/>
  <c r="AH81" i="3"/>
  <c r="AL81" i="3"/>
  <c r="AP81" i="3"/>
  <c r="AP183" i="3" s="1"/>
  <c r="AT81" i="3"/>
  <c r="S81" i="3"/>
  <c r="W81" i="3"/>
  <c r="AA81" i="3"/>
  <c r="AA183" i="3" s="1"/>
  <c r="AE81" i="3"/>
  <c r="AI81" i="3"/>
  <c r="AM81" i="3"/>
  <c r="AM183" i="3" s="1"/>
  <c r="AQ81" i="3"/>
  <c r="FY80" i="3"/>
  <c r="FL80" i="3"/>
  <c r="EM80" i="3"/>
  <c r="DA80" i="3"/>
  <c r="BD80" i="3"/>
  <c r="Q80" i="3"/>
  <c r="GR79" i="3"/>
  <c r="DT79" i="3"/>
  <c r="AS79" i="3"/>
  <c r="AS181" i="3" s="1"/>
  <c r="AK79" i="3"/>
  <c r="AC79" i="3"/>
  <c r="GL78" i="3"/>
  <c r="DN78" i="3"/>
  <c r="Q78" i="3"/>
  <c r="FF77" i="3"/>
  <c r="DH77" i="3"/>
  <c r="BJ77" i="3"/>
  <c r="FY76" i="3"/>
  <c r="R71" i="3"/>
  <c r="R173" i="3" s="1"/>
  <c r="R79" i="3"/>
  <c r="R181" i="3" s="1"/>
  <c r="V79" i="3"/>
  <c r="Z79" i="3"/>
  <c r="AD79" i="3"/>
  <c r="AD181" i="3" s="1"/>
  <c r="AH79" i="3"/>
  <c r="AL79" i="3"/>
  <c r="AP79" i="3"/>
  <c r="AP181" i="3" s="1"/>
  <c r="AT79" i="3"/>
  <c r="S79" i="3"/>
  <c r="W79" i="3"/>
  <c r="AA79" i="3"/>
  <c r="AA181" i="3" s="1"/>
  <c r="AE79" i="3"/>
  <c r="AI79" i="3"/>
  <c r="AM79" i="3"/>
  <c r="AM181" i="3" s="1"/>
  <c r="AQ79" i="3"/>
  <c r="R73" i="3"/>
  <c r="R175" i="3" s="1"/>
  <c r="R65" i="3"/>
  <c r="R167" i="3" s="1"/>
  <c r="AQ89" i="3"/>
  <c r="AM89" i="3"/>
  <c r="AM191" i="3" s="1"/>
  <c r="AI89" i="3"/>
  <c r="AE89" i="3"/>
  <c r="AA89" i="3"/>
  <c r="AA191" i="3" s="1"/>
  <c r="W89" i="3"/>
  <c r="AQ87" i="3"/>
  <c r="AM87" i="3"/>
  <c r="AM189" i="3" s="1"/>
  <c r="AI87" i="3"/>
  <c r="AE87" i="3"/>
  <c r="AA87" i="3"/>
  <c r="AA189" i="3" s="1"/>
  <c r="W87" i="3"/>
  <c r="AQ85" i="3"/>
  <c r="AM85" i="3"/>
  <c r="AM187" i="3" s="1"/>
  <c r="AI85" i="3"/>
  <c r="AE85" i="3"/>
  <c r="AA85" i="3"/>
  <c r="AA187" i="3" s="1"/>
  <c r="W85" i="3"/>
  <c r="AQ83" i="3"/>
  <c r="AM83" i="3"/>
  <c r="AM185" i="3" s="1"/>
  <c r="AI83" i="3"/>
  <c r="AE83" i="3"/>
  <c r="AA83" i="3"/>
  <c r="AA185" i="3" s="1"/>
  <c r="W83" i="3"/>
  <c r="EG81" i="3"/>
  <c r="CU81" i="3"/>
  <c r="BJ81" i="3"/>
  <c r="GY80" i="3"/>
  <c r="CO80" i="3"/>
  <c r="BP80" i="3"/>
  <c r="DH79" i="3"/>
  <c r="AO79" i="3"/>
  <c r="AG79" i="3"/>
  <c r="AG181" i="3" s="1"/>
  <c r="Y79" i="3"/>
  <c r="Q79" i="3"/>
  <c r="DZ78" i="3"/>
  <c r="DT77" i="3"/>
  <c r="BV77" i="3"/>
  <c r="R77" i="3"/>
  <c r="R179" i="3" s="1"/>
  <c r="GY76" i="3"/>
  <c r="EM76" i="3"/>
  <c r="DZ76" i="3"/>
  <c r="R75" i="3"/>
  <c r="R177" i="3" s="1"/>
  <c r="R67" i="3"/>
  <c r="R169" i="3" s="1"/>
  <c r="V63" i="3"/>
  <c r="AB63" i="3"/>
  <c r="GY62" i="3"/>
  <c r="Y80" i="3"/>
  <c r="U80" i="3"/>
  <c r="U182" i="3" s="1"/>
  <c r="AQ77" i="3"/>
  <c r="AM77" i="3"/>
  <c r="AM179" i="3" s="1"/>
  <c r="AI77" i="3"/>
  <c r="AE77" i="3"/>
  <c r="AA77" i="3"/>
  <c r="AA179" i="3" s="1"/>
  <c r="W77" i="3"/>
  <c r="S77" i="3"/>
  <c r="AQ75" i="3"/>
  <c r="AM75" i="3"/>
  <c r="AM177" i="3" s="1"/>
  <c r="AI75" i="3"/>
  <c r="AE75" i="3"/>
  <c r="AA75" i="3"/>
  <c r="AA177" i="3" s="1"/>
  <c r="W75" i="3"/>
  <c r="S75" i="3"/>
  <c r="AC74" i="3"/>
  <c r="Y74" i="3"/>
  <c r="U74" i="3"/>
  <c r="U176" i="3" s="1"/>
  <c r="AQ73" i="3"/>
  <c r="AM73" i="3"/>
  <c r="AM175" i="3" s="1"/>
  <c r="AI73" i="3"/>
  <c r="AE73" i="3"/>
  <c r="AA73" i="3"/>
  <c r="AA175" i="3" s="1"/>
  <c r="W73" i="3"/>
  <c r="S73" i="3"/>
  <c r="AQ71" i="3"/>
  <c r="AM71" i="3"/>
  <c r="AM173" i="3" s="1"/>
  <c r="AI71" i="3"/>
  <c r="AE71" i="3"/>
  <c r="AA71" i="3"/>
  <c r="AA173" i="3" s="1"/>
  <c r="W71" i="3"/>
  <c r="S71" i="3"/>
  <c r="AQ69" i="3"/>
  <c r="AM69" i="3"/>
  <c r="AM171" i="3" s="1"/>
  <c r="AI69" i="3"/>
  <c r="AE69" i="3"/>
  <c r="AA69" i="3"/>
  <c r="AA171" i="3" s="1"/>
  <c r="W69" i="3"/>
  <c r="S69" i="3"/>
  <c r="AQ67" i="3"/>
  <c r="AM67" i="3"/>
  <c r="AM169" i="3" s="1"/>
  <c r="AI67" i="3"/>
  <c r="AE67" i="3"/>
  <c r="AA67" i="3"/>
  <c r="AA169" i="3" s="1"/>
  <c r="W67" i="3"/>
  <c r="S67" i="3"/>
  <c r="Q62" i="3"/>
  <c r="S59" i="3"/>
  <c r="S57" i="3"/>
  <c r="S55" i="3"/>
  <c r="AT77" i="3"/>
  <c r="AP77" i="3"/>
  <c r="AP179" i="3" s="1"/>
  <c r="AL77" i="3"/>
  <c r="AH77" i="3"/>
  <c r="AD77" i="3"/>
  <c r="AD179" i="3" s="1"/>
  <c r="Z77" i="3"/>
  <c r="V77" i="3"/>
  <c r="AT75" i="3"/>
  <c r="AP75" i="3"/>
  <c r="AP177" i="3" s="1"/>
  <c r="AL75" i="3"/>
  <c r="AH75" i="3"/>
  <c r="AD75" i="3"/>
  <c r="AD177" i="3" s="1"/>
  <c r="Z75" i="3"/>
  <c r="V75" i="3"/>
  <c r="AT73" i="3"/>
  <c r="AP73" i="3"/>
  <c r="AP175" i="3" s="1"/>
  <c r="AL73" i="3"/>
  <c r="AH73" i="3"/>
  <c r="AD73" i="3"/>
  <c r="AD175" i="3" s="1"/>
  <c r="Z73" i="3"/>
  <c r="V73" i="3"/>
  <c r="AT71" i="3"/>
  <c r="AP71" i="3"/>
  <c r="AP173" i="3" s="1"/>
  <c r="AL71" i="3"/>
  <c r="AH71" i="3"/>
  <c r="AD71" i="3"/>
  <c r="AD173" i="3" s="1"/>
  <c r="Z71" i="3"/>
  <c r="V71" i="3"/>
  <c r="AT69" i="3"/>
  <c r="AP69" i="3"/>
  <c r="AP171" i="3" s="1"/>
  <c r="AL69" i="3"/>
  <c r="AH69" i="3"/>
  <c r="AD69" i="3"/>
  <c r="AD171" i="3" s="1"/>
  <c r="Z69" i="3"/>
  <c r="V69" i="3"/>
  <c r="AT67" i="3"/>
  <c r="AP67" i="3"/>
  <c r="AP169" i="3" s="1"/>
  <c r="AL67" i="3"/>
  <c r="AH67" i="3"/>
  <c r="AD67" i="3"/>
  <c r="AD169" i="3" s="1"/>
  <c r="Z67" i="3"/>
  <c r="V67" i="3"/>
  <c r="S63" i="3"/>
  <c r="W63" i="3"/>
  <c r="AA63" i="3"/>
  <c r="AA165" i="3" s="1"/>
  <c r="AE63" i="3"/>
  <c r="AI63" i="3"/>
  <c r="AM63" i="3"/>
  <c r="AM165" i="3" s="1"/>
  <c r="AQ63" i="3"/>
  <c r="R63" i="3"/>
  <c r="R165" i="3" s="1"/>
  <c r="FY62" i="3"/>
  <c r="FL62" i="3"/>
  <c r="EM62" i="3"/>
  <c r="S61" i="3"/>
  <c r="W61" i="3"/>
  <c r="AA61" i="3"/>
  <c r="AA163" i="3" s="1"/>
  <c r="AE61" i="3"/>
  <c r="AI61" i="3"/>
  <c r="AM61" i="3"/>
  <c r="AM163" i="3" s="1"/>
  <c r="AQ61" i="3"/>
  <c r="Q61" i="3"/>
  <c r="U61" i="3"/>
  <c r="U163" i="3" s="1"/>
  <c r="Y61" i="3"/>
  <c r="AC61" i="3"/>
  <c r="AG61" i="3"/>
  <c r="AG163" i="3" s="1"/>
  <c r="AK61" i="3"/>
  <c r="AO61" i="3"/>
  <c r="AS61" i="3"/>
  <c r="AS163" i="3" s="1"/>
  <c r="R61" i="3"/>
  <c r="R163" i="3" s="1"/>
  <c r="V61" i="3"/>
  <c r="Z61" i="3"/>
  <c r="AD61" i="3"/>
  <c r="AD163" i="3" s="1"/>
  <c r="AH61" i="3"/>
  <c r="AL61" i="3"/>
  <c r="AP61" i="3"/>
  <c r="AP163" i="3" s="1"/>
  <c r="AT61" i="3"/>
  <c r="AT59" i="3"/>
  <c r="AP59" i="3"/>
  <c r="AP161" i="3" s="1"/>
  <c r="AL59" i="3"/>
  <c r="AH59" i="3"/>
  <c r="AD59" i="3"/>
  <c r="AD161" i="3" s="1"/>
  <c r="Z59" i="3"/>
  <c r="V59" i="3"/>
  <c r="R59" i="3"/>
  <c r="R161" i="3" s="1"/>
  <c r="AT57" i="3"/>
  <c r="AP57" i="3"/>
  <c r="AP159" i="3" s="1"/>
  <c r="AL57" i="3"/>
  <c r="AH57" i="3"/>
  <c r="AD57" i="3"/>
  <c r="AD159" i="3" s="1"/>
  <c r="Z57" i="3"/>
  <c r="V57" i="3"/>
  <c r="R57" i="3"/>
  <c r="R159" i="3" s="1"/>
  <c r="AT55" i="3"/>
  <c r="AP55" i="3"/>
  <c r="AP157" i="3" s="1"/>
  <c r="AL55" i="3"/>
  <c r="AH55" i="3"/>
  <c r="AD55" i="3"/>
  <c r="AD157" i="3" s="1"/>
  <c r="Z55" i="3"/>
  <c r="V55" i="3"/>
  <c r="R55" i="3"/>
  <c r="R157" i="3" s="1"/>
  <c r="S54" i="3"/>
  <c r="W54" i="3"/>
  <c r="AA54" i="3"/>
  <c r="AA156" i="3" s="1"/>
  <c r="AE54" i="3"/>
  <c r="AI54" i="3"/>
  <c r="AM54" i="3"/>
  <c r="AM156" i="3" s="1"/>
  <c r="AQ54" i="3"/>
  <c r="DZ53" i="3"/>
  <c r="AS59" i="3"/>
  <c r="AS161" i="3" s="1"/>
  <c r="AO59" i="3"/>
  <c r="AK59" i="3"/>
  <c r="AG59" i="3"/>
  <c r="AG161" i="3" s="1"/>
  <c r="AC59" i="3"/>
  <c r="Y59" i="3"/>
  <c r="U59" i="3"/>
  <c r="U161" i="3" s="1"/>
  <c r="Q59" i="3"/>
  <c r="AS57" i="3"/>
  <c r="AS159" i="3" s="1"/>
  <c r="AO57" i="3"/>
  <c r="AK57" i="3"/>
  <c r="AG57" i="3"/>
  <c r="AG159" i="3" s="1"/>
  <c r="AC57" i="3"/>
  <c r="Y57" i="3"/>
  <c r="U57" i="3"/>
  <c r="U159" i="3" s="1"/>
  <c r="Q57" i="3"/>
  <c r="AS55" i="3"/>
  <c r="AS157" i="3" s="1"/>
  <c r="AO55" i="3"/>
  <c r="AK55" i="3"/>
  <c r="AG55" i="3"/>
  <c r="AG157" i="3" s="1"/>
  <c r="AC55" i="3"/>
  <c r="Y55" i="3"/>
  <c r="U55" i="3"/>
  <c r="U157" i="3" s="1"/>
  <c r="Q55" i="3"/>
  <c r="U50" i="3"/>
  <c r="U152" i="3" s="1"/>
  <c r="AS62" i="3"/>
  <c r="AS164" i="3" s="1"/>
  <c r="AO62" i="3"/>
  <c r="AK62" i="3"/>
  <c r="AG62" i="3"/>
  <c r="AG164" i="3" s="1"/>
  <c r="AC62" i="3"/>
  <c r="Y62" i="3"/>
  <c r="U62" i="3"/>
  <c r="U164" i="3" s="1"/>
  <c r="AQ59" i="3"/>
  <c r="AM59" i="3"/>
  <c r="AM161" i="3" s="1"/>
  <c r="AI59" i="3"/>
  <c r="AE59" i="3"/>
  <c r="AA59" i="3"/>
  <c r="AA161" i="3" s="1"/>
  <c r="W59" i="3"/>
  <c r="AQ57" i="3"/>
  <c r="AM57" i="3"/>
  <c r="AM159" i="3" s="1"/>
  <c r="AI57" i="3"/>
  <c r="AE57" i="3"/>
  <c r="AA57" i="3"/>
  <c r="AA159" i="3" s="1"/>
  <c r="W57" i="3"/>
  <c r="AQ55" i="3"/>
  <c r="AM55" i="3"/>
  <c r="AM157" i="3" s="1"/>
  <c r="AI55" i="3"/>
  <c r="AE55" i="3"/>
  <c r="AA55" i="3"/>
  <c r="AA157" i="3" s="1"/>
  <c r="W55" i="3"/>
  <c r="FI53" i="3"/>
  <c r="FI110" i="3" s="1"/>
  <c r="DA53" i="3"/>
  <c r="BD53" i="3"/>
  <c r="Q53" i="3"/>
  <c r="EG52" i="3"/>
  <c r="CU52" i="3"/>
  <c r="BJ52" i="3"/>
  <c r="GY51" i="3"/>
  <c r="CO51" i="3"/>
  <c r="BP51" i="3"/>
  <c r="DH50" i="3"/>
  <c r="AO50" i="3"/>
  <c r="AG50" i="3"/>
  <c r="AG152" i="3" s="1"/>
  <c r="Y50" i="3"/>
  <c r="Q50" i="3"/>
  <c r="DZ49" i="3"/>
  <c r="GR48" i="3"/>
  <c r="GE48" i="3"/>
  <c r="EG48" i="3"/>
  <c r="CU48" i="3"/>
  <c r="BP47" i="3"/>
  <c r="ES46" i="3"/>
  <c r="CI46" i="3"/>
  <c r="GL45" i="3"/>
  <c r="FL45" i="3"/>
  <c r="BD45" i="3"/>
  <c r="GR44" i="3"/>
  <c r="GE44" i="3"/>
  <c r="EG44" i="3"/>
  <c r="CU44" i="3"/>
  <c r="BP43" i="3"/>
  <c r="ES42" i="3"/>
  <c r="CI42" i="3"/>
  <c r="GL41" i="3"/>
  <c r="FL41" i="3"/>
  <c r="BD41" i="3"/>
  <c r="GR40" i="3"/>
  <c r="GE40" i="3"/>
  <c r="EG40" i="3"/>
  <c r="CU40" i="3"/>
  <c r="BP39" i="3"/>
  <c r="FV38" i="3"/>
  <c r="AN50" i="3"/>
  <c r="AF50" i="3"/>
  <c r="X50" i="3"/>
  <c r="X152" i="3" s="1"/>
  <c r="R48" i="3"/>
  <c r="R150" i="3" s="1"/>
  <c r="Q47" i="3"/>
  <c r="R44" i="3"/>
  <c r="R146" i="3" s="1"/>
  <c r="CO43" i="3"/>
  <c r="Q43" i="3"/>
  <c r="DN41" i="3"/>
  <c r="DA41" i="3"/>
  <c r="DT40" i="3"/>
  <c r="BV40" i="3"/>
  <c r="R40" i="3"/>
  <c r="R142" i="3" s="1"/>
  <c r="GY39" i="3"/>
  <c r="EM39" i="3"/>
  <c r="DZ39" i="3"/>
  <c r="CO39" i="3"/>
  <c r="GE52" i="3"/>
  <c r="FF52" i="3"/>
  <c r="ES52" i="3"/>
  <c r="CI52" i="3"/>
  <c r="BV52" i="3"/>
  <c r="R52" i="3"/>
  <c r="R154" i="3" s="1"/>
  <c r="V52" i="3"/>
  <c r="Z52" i="3"/>
  <c r="AD52" i="3"/>
  <c r="AD154" i="3" s="1"/>
  <c r="AH52" i="3"/>
  <c r="AL52" i="3"/>
  <c r="AP52" i="3"/>
  <c r="AP154" i="3" s="1"/>
  <c r="AT52" i="3"/>
  <c r="S52" i="3"/>
  <c r="W52" i="3"/>
  <c r="AA52" i="3"/>
  <c r="AA154" i="3" s="1"/>
  <c r="AE52" i="3"/>
  <c r="AI52" i="3"/>
  <c r="AM52" i="3"/>
  <c r="AM154" i="3" s="1"/>
  <c r="AQ52" i="3"/>
  <c r="FY51" i="3"/>
  <c r="FL51" i="3"/>
  <c r="EM51" i="3"/>
  <c r="DA51" i="3"/>
  <c r="BD51" i="3"/>
  <c r="Q51" i="3"/>
  <c r="GR50" i="3"/>
  <c r="DT50" i="3"/>
  <c r="AS50" i="3"/>
  <c r="AS152" i="3" s="1"/>
  <c r="AK50" i="3"/>
  <c r="AC50" i="3"/>
  <c r="GL49" i="3"/>
  <c r="DN49" i="3"/>
  <c r="ES48" i="3"/>
  <c r="CI48" i="3"/>
  <c r="GL47" i="3"/>
  <c r="FL47" i="3"/>
  <c r="BD47" i="3"/>
  <c r="GR46" i="3"/>
  <c r="GE46" i="3"/>
  <c r="EG46" i="3"/>
  <c r="CU46" i="3"/>
  <c r="BP45" i="3"/>
  <c r="ES44" i="3"/>
  <c r="CI44" i="3"/>
  <c r="GL43" i="3"/>
  <c r="FL43" i="3"/>
  <c r="BD43" i="3"/>
  <c r="GR42" i="3"/>
  <c r="GE42" i="3"/>
  <c r="EG42" i="3"/>
  <c r="CU42" i="3"/>
  <c r="BP41" i="3"/>
  <c r="ES40" i="3"/>
  <c r="CI40" i="3"/>
  <c r="GL39" i="3"/>
  <c r="FL39" i="3"/>
  <c r="BD39" i="3"/>
  <c r="R50" i="3"/>
  <c r="R152" i="3" s="1"/>
  <c r="V50" i="3"/>
  <c r="Z50" i="3"/>
  <c r="AD50" i="3"/>
  <c r="AD152" i="3" s="1"/>
  <c r="AH50" i="3"/>
  <c r="AL50" i="3"/>
  <c r="AP50" i="3"/>
  <c r="AP152" i="3" s="1"/>
  <c r="AT50" i="3"/>
  <c r="S50" i="3"/>
  <c r="W50" i="3"/>
  <c r="AA50" i="3"/>
  <c r="AA152" i="3" s="1"/>
  <c r="AE50" i="3"/>
  <c r="AI50" i="3"/>
  <c r="AM50" i="3"/>
  <c r="AM152" i="3" s="1"/>
  <c r="AQ50" i="3"/>
  <c r="Q49" i="3"/>
  <c r="R46" i="3"/>
  <c r="R148" i="3" s="1"/>
  <c r="Q45" i="3"/>
  <c r="R42" i="3"/>
  <c r="R144" i="3" s="1"/>
  <c r="Q41" i="3"/>
  <c r="GR38" i="3"/>
  <c r="DT38" i="3"/>
  <c r="GL37" i="3"/>
  <c r="DN37" i="3"/>
  <c r="BD37" i="3"/>
  <c r="GR36" i="3"/>
  <c r="GE36" i="3"/>
  <c r="EG36" i="3"/>
  <c r="CU36" i="3"/>
  <c r="BP35" i="3"/>
  <c r="ES34" i="3"/>
  <c r="CI34" i="3"/>
  <c r="BJ34" i="3"/>
  <c r="FL33" i="3"/>
  <c r="DZ33" i="3"/>
  <c r="DA33" i="3"/>
  <c r="CI32" i="3"/>
  <c r="BJ32" i="3"/>
  <c r="FL31" i="3"/>
  <c r="DZ31" i="3"/>
  <c r="DA31" i="3"/>
  <c r="AS53" i="3"/>
  <c r="AS155" i="3" s="1"/>
  <c r="AO53" i="3"/>
  <c r="AK53" i="3"/>
  <c r="AG53" i="3"/>
  <c r="AG155" i="3" s="1"/>
  <c r="AC53" i="3"/>
  <c r="Y53" i="3"/>
  <c r="U53" i="3"/>
  <c r="U155" i="3" s="1"/>
  <c r="AS51" i="3"/>
  <c r="AS153" i="3" s="1"/>
  <c r="AO51" i="3"/>
  <c r="AK51" i="3"/>
  <c r="AG51" i="3"/>
  <c r="AG153" i="3" s="1"/>
  <c r="AC51" i="3"/>
  <c r="Y51" i="3"/>
  <c r="U51" i="3"/>
  <c r="U153" i="3" s="1"/>
  <c r="AS49" i="3"/>
  <c r="AS151" i="3" s="1"/>
  <c r="AO49" i="3"/>
  <c r="AK49" i="3"/>
  <c r="AG49" i="3"/>
  <c r="AG151" i="3" s="1"/>
  <c r="AC49" i="3"/>
  <c r="Y49" i="3"/>
  <c r="U49" i="3"/>
  <c r="U151" i="3" s="1"/>
  <c r="AQ48" i="3"/>
  <c r="AM48" i="3"/>
  <c r="AM150" i="3" s="1"/>
  <c r="AI48" i="3"/>
  <c r="AE48" i="3"/>
  <c r="AA48" i="3"/>
  <c r="AA150" i="3" s="1"/>
  <c r="W48" i="3"/>
  <c r="S48" i="3"/>
  <c r="AS47" i="3"/>
  <c r="AS149" i="3" s="1"/>
  <c r="AO47" i="3"/>
  <c r="AK47" i="3"/>
  <c r="AG47" i="3"/>
  <c r="AG149" i="3" s="1"/>
  <c r="AC47" i="3"/>
  <c r="Y47" i="3"/>
  <c r="U47" i="3"/>
  <c r="U149" i="3" s="1"/>
  <c r="AQ46" i="3"/>
  <c r="AM46" i="3"/>
  <c r="AM148" i="3" s="1"/>
  <c r="AI46" i="3"/>
  <c r="AE46" i="3"/>
  <c r="AA46" i="3"/>
  <c r="AA148" i="3" s="1"/>
  <c r="W46" i="3"/>
  <c r="S46" i="3"/>
  <c r="AS45" i="3"/>
  <c r="AS147" i="3" s="1"/>
  <c r="AO45" i="3"/>
  <c r="AK45" i="3"/>
  <c r="AG45" i="3"/>
  <c r="AG147" i="3" s="1"/>
  <c r="AC45" i="3"/>
  <c r="Y45" i="3"/>
  <c r="U45" i="3"/>
  <c r="U147" i="3" s="1"/>
  <c r="AQ44" i="3"/>
  <c r="AM44" i="3"/>
  <c r="AM146" i="3" s="1"/>
  <c r="AI44" i="3"/>
  <c r="AE44" i="3"/>
  <c r="AA44" i="3"/>
  <c r="AA146" i="3" s="1"/>
  <c r="W44" i="3"/>
  <c r="S44" i="3"/>
  <c r="AS43" i="3"/>
  <c r="AS145" i="3" s="1"/>
  <c r="AO43" i="3"/>
  <c r="AK43" i="3"/>
  <c r="AG43" i="3"/>
  <c r="AG145" i="3" s="1"/>
  <c r="AC43" i="3"/>
  <c r="Y43" i="3"/>
  <c r="U43" i="3"/>
  <c r="U145" i="3" s="1"/>
  <c r="AQ42" i="3"/>
  <c r="AM42" i="3"/>
  <c r="AM144" i="3" s="1"/>
  <c r="AI42" i="3"/>
  <c r="AE42" i="3"/>
  <c r="AA42" i="3"/>
  <c r="AA144" i="3" s="1"/>
  <c r="W42" i="3"/>
  <c r="S42" i="3"/>
  <c r="AS41" i="3"/>
  <c r="AS143" i="3" s="1"/>
  <c r="AO41" i="3"/>
  <c r="AK41" i="3"/>
  <c r="AG41" i="3"/>
  <c r="AG143" i="3" s="1"/>
  <c r="AC41" i="3"/>
  <c r="Y41" i="3"/>
  <c r="U41" i="3"/>
  <c r="U143" i="3" s="1"/>
  <c r="AQ40" i="3"/>
  <c r="AM40" i="3"/>
  <c r="AM142" i="3" s="1"/>
  <c r="AI40" i="3"/>
  <c r="AE40" i="3"/>
  <c r="AA40" i="3"/>
  <c r="AA142" i="3" s="1"/>
  <c r="W40" i="3"/>
  <c r="S40" i="3"/>
  <c r="FF38" i="3"/>
  <c r="ES38" i="3"/>
  <c r="CI38" i="3"/>
  <c r="BV38" i="3"/>
  <c r="R38" i="3"/>
  <c r="R140" i="3" s="1"/>
  <c r="V38" i="3"/>
  <c r="Z38" i="3"/>
  <c r="AD38" i="3"/>
  <c r="AD140" i="3" s="1"/>
  <c r="AH38" i="3"/>
  <c r="AL38" i="3"/>
  <c r="AP38" i="3"/>
  <c r="AP140" i="3" s="1"/>
  <c r="AT38" i="3"/>
  <c r="S38" i="3"/>
  <c r="W38" i="3"/>
  <c r="AA38" i="3"/>
  <c r="AA140" i="3" s="1"/>
  <c r="AE38" i="3"/>
  <c r="AI38" i="3"/>
  <c r="AM38" i="3"/>
  <c r="AM140" i="3" s="1"/>
  <c r="AQ38" i="3"/>
  <c r="FY37" i="3"/>
  <c r="FL37" i="3"/>
  <c r="EM37" i="3"/>
  <c r="DA37" i="3"/>
  <c r="DT36" i="3"/>
  <c r="BV36" i="3"/>
  <c r="R36" i="3"/>
  <c r="R138" i="3" s="1"/>
  <c r="GY35" i="3"/>
  <c r="EM35" i="3"/>
  <c r="DZ35" i="3"/>
  <c r="CO35" i="3"/>
  <c r="FF34" i="3"/>
  <c r="DH34" i="3"/>
  <c r="R34" i="3"/>
  <c r="R136" i="3" s="1"/>
  <c r="GY33" i="3"/>
  <c r="GL33" i="3"/>
  <c r="FY33" i="3"/>
  <c r="EM33" i="3"/>
  <c r="DN33" i="3"/>
  <c r="CO33" i="3"/>
  <c r="GE32" i="3"/>
  <c r="ES32" i="3"/>
  <c r="R32" i="3"/>
  <c r="R134" i="3" s="1"/>
  <c r="GY31" i="3"/>
  <c r="GL31" i="3"/>
  <c r="FY31" i="3"/>
  <c r="EM31" i="3"/>
  <c r="DN31" i="3"/>
  <c r="CO31" i="3"/>
  <c r="BS31" i="3"/>
  <c r="BS110" i="3" s="1"/>
  <c r="AT48" i="3"/>
  <c r="AP48" i="3"/>
  <c r="AP150" i="3" s="1"/>
  <c r="AL48" i="3"/>
  <c r="AH48" i="3"/>
  <c r="AD48" i="3"/>
  <c r="AD150" i="3" s="1"/>
  <c r="Z48" i="3"/>
  <c r="V48" i="3"/>
  <c r="AT46" i="3"/>
  <c r="AP46" i="3"/>
  <c r="AP148" i="3" s="1"/>
  <c r="AL46" i="3"/>
  <c r="AH46" i="3"/>
  <c r="AD46" i="3"/>
  <c r="AD148" i="3" s="1"/>
  <c r="Z46" i="3"/>
  <c r="V46" i="3"/>
  <c r="AT44" i="3"/>
  <c r="AP44" i="3"/>
  <c r="AP146" i="3" s="1"/>
  <c r="AL44" i="3"/>
  <c r="AH44" i="3"/>
  <c r="AD44" i="3"/>
  <c r="AD146" i="3" s="1"/>
  <c r="Z44" i="3"/>
  <c r="V44" i="3"/>
  <c r="AT42" i="3"/>
  <c r="AP42" i="3"/>
  <c r="AP144" i="3" s="1"/>
  <c r="AL42" i="3"/>
  <c r="AH42" i="3"/>
  <c r="AD42" i="3"/>
  <c r="AD144" i="3" s="1"/>
  <c r="Z42" i="3"/>
  <c r="V42" i="3"/>
  <c r="AT40" i="3"/>
  <c r="AP40" i="3"/>
  <c r="AP142" i="3" s="1"/>
  <c r="AL40" i="3"/>
  <c r="AH40" i="3"/>
  <c r="AD40" i="3"/>
  <c r="AD142" i="3" s="1"/>
  <c r="Z40" i="3"/>
  <c r="V40" i="3"/>
  <c r="R26" i="3"/>
  <c r="R128" i="3" s="1"/>
  <c r="EG30" i="3"/>
  <c r="CU30" i="3"/>
  <c r="BJ30" i="3"/>
  <c r="GY29" i="3"/>
  <c r="CO29" i="3"/>
  <c r="BP29" i="3"/>
  <c r="GR28" i="3"/>
  <c r="GE28" i="3"/>
  <c r="EG28" i="3"/>
  <c r="CU28" i="3"/>
  <c r="BP27" i="3"/>
  <c r="ES26" i="3"/>
  <c r="CI26" i="3"/>
  <c r="GL25" i="3"/>
  <c r="FL25" i="3"/>
  <c r="BD25" i="3"/>
  <c r="GR24" i="3"/>
  <c r="GE24" i="3"/>
  <c r="EG24" i="3"/>
  <c r="CU24" i="3"/>
  <c r="BP23" i="3"/>
  <c r="AQ36" i="3"/>
  <c r="AM36" i="3"/>
  <c r="AM138" i="3" s="1"/>
  <c r="AI36" i="3"/>
  <c r="AE36" i="3"/>
  <c r="AA36" i="3"/>
  <c r="AA138" i="3" s="1"/>
  <c r="W36" i="3"/>
  <c r="S36" i="3"/>
  <c r="R28" i="3"/>
  <c r="R130" i="3" s="1"/>
  <c r="R24" i="3"/>
  <c r="R126" i="3" s="1"/>
  <c r="EM23" i="3"/>
  <c r="DZ23" i="3"/>
  <c r="CO23" i="3"/>
  <c r="AT36" i="3"/>
  <c r="AP36" i="3"/>
  <c r="AP138" i="3" s="1"/>
  <c r="AL36" i="3"/>
  <c r="AH36" i="3"/>
  <c r="AD36" i="3"/>
  <c r="AD138" i="3" s="1"/>
  <c r="Z36" i="3"/>
  <c r="V36" i="3"/>
  <c r="AT34" i="3"/>
  <c r="AP34" i="3"/>
  <c r="AP136" i="3" s="1"/>
  <c r="AL34" i="3"/>
  <c r="AH34" i="3"/>
  <c r="AD34" i="3"/>
  <c r="AD136" i="3" s="1"/>
  <c r="Z34" i="3"/>
  <c r="V34" i="3"/>
  <c r="AT32" i="3"/>
  <c r="AP32" i="3"/>
  <c r="AP134" i="3" s="1"/>
  <c r="AL32" i="3"/>
  <c r="AH32" i="3"/>
  <c r="AD32" i="3"/>
  <c r="AD134" i="3" s="1"/>
  <c r="Z32" i="3"/>
  <c r="V32" i="3"/>
  <c r="BP31" i="3"/>
  <c r="GR30" i="3"/>
  <c r="FF30" i="3"/>
  <c r="ES30" i="3"/>
  <c r="CI30" i="3"/>
  <c r="BV30" i="3"/>
  <c r="R30" i="3"/>
  <c r="R132" i="3" s="1"/>
  <c r="V30" i="3"/>
  <c r="Z30" i="3"/>
  <c r="AD30" i="3"/>
  <c r="AD132" i="3" s="1"/>
  <c r="AH30" i="3"/>
  <c r="AL30" i="3"/>
  <c r="AP30" i="3"/>
  <c r="AP132" i="3" s="1"/>
  <c r="AT30" i="3"/>
  <c r="S30" i="3"/>
  <c r="W30" i="3"/>
  <c r="AA30" i="3"/>
  <c r="AA132" i="3" s="1"/>
  <c r="AE30" i="3"/>
  <c r="AI30" i="3"/>
  <c r="AM30" i="3"/>
  <c r="AM132" i="3" s="1"/>
  <c r="AQ30" i="3"/>
  <c r="FY29" i="3"/>
  <c r="FL29" i="3"/>
  <c r="EM29" i="3"/>
  <c r="DA29" i="3"/>
  <c r="BD29" i="3"/>
  <c r="ES28" i="3"/>
  <c r="CI28" i="3"/>
  <c r="GL27" i="3"/>
  <c r="FL27" i="3"/>
  <c r="BD27" i="3"/>
  <c r="GR26" i="3"/>
  <c r="GE26" i="3"/>
  <c r="EG26" i="3"/>
  <c r="CU26" i="3"/>
  <c r="BP25" i="3"/>
  <c r="ES24" i="3"/>
  <c r="CI24" i="3"/>
  <c r="GL23" i="3"/>
  <c r="FL23" i="3"/>
  <c r="GR22" i="3"/>
  <c r="DH22" i="3"/>
  <c r="BV22" i="3"/>
  <c r="R22" i="3"/>
  <c r="R124" i="3" s="1"/>
  <c r="GL21" i="3"/>
  <c r="FL21" i="3"/>
  <c r="DZ21" i="3"/>
  <c r="DA21" i="3"/>
  <c r="CI20" i="3"/>
  <c r="BJ20" i="3"/>
  <c r="FL19" i="3"/>
  <c r="DQ19" i="3"/>
  <c r="AQ28" i="3"/>
  <c r="AM28" i="3"/>
  <c r="AM130" i="3" s="1"/>
  <c r="AI28" i="3"/>
  <c r="AE28" i="3"/>
  <c r="AA28" i="3"/>
  <c r="AA130" i="3" s="1"/>
  <c r="W28" i="3"/>
  <c r="S28" i="3"/>
  <c r="AQ26" i="3"/>
  <c r="AM26" i="3"/>
  <c r="AM128" i="3" s="1"/>
  <c r="AI26" i="3"/>
  <c r="AE26" i="3"/>
  <c r="AA26" i="3"/>
  <c r="AA128" i="3" s="1"/>
  <c r="W26" i="3"/>
  <c r="S26" i="3"/>
  <c r="AQ24" i="3"/>
  <c r="AM24" i="3"/>
  <c r="AM126" i="3" s="1"/>
  <c r="AI24" i="3"/>
  <c r="AE24" i="3"/>
  <c r="AA24" i="3"/>
  <c r="AA126" i="3" s="1"/>
  <c r="W24" i="3"/>
  <c r="S24" i="3"/>
  <c r="EG22" i="3"/>
  <c r="CU22" i="3"/>
  <c r="FY21" i="3"/>
  <c r="EM21" i="3"/>
  <c r="DN21" i="3"/>
  <c r="CO21" i="3"/>
  <c r="GE20" i="3"/>
  <c r="ES20" i="3"/>
  <c r="R20" i="3"/>
  <c r="R122" i="3" s="1"/>
  <c r="GY19" i="3"/>
  <c r="GL19" i="3"/>
  <c r="FY19" i="3"/>
  <c r="EM19" i="3"/>
  <c r="AT28" i="3"/>
  <c r="AP28" i="3"/>
  <c r="AP130" i="3" s="1"/>
  <c r="AL28" i="3"/>
  <c r="AH28" i="3"/>
  <c r="AD28" i="3"/>
  <c r="AD130" i="3" s="1"/>
  <c r="Z28" i="3"/>
  <c r="V28" i="3"/>
  <c r="AT26" i="3"/>
  <c r="AP26" i="3"/>
  <c r="AP128" i="3" s="1"/>
  <c r="AL26" i="3"/>
  <c r="AH26" i="3"/>
  <c r="AD26" i="3"/>
  <c r="AD128" i="3" s="1"/>
  <c r="Z26" i="3"/>
  <c r="V26" i="3"/>
  <c r="AT24" i="3"/>
  <c r="AP24" i="3"/>
  <c r="AP126" i="3" s="1"/>
  <c r="AL24" i="3"/>
  <c r="AH24" i="3"/>
  <c r="AD24" i="3"/>
  <c r="AD126" i="3" s="1"/>
  <c r="Z24" i="3"/>
  <c r="V24" i="3"/>
  <c r="FF22" i="3"/>
  <c r="DT22" i="3"/>
  <c r="BJ22" i="3"/>
  <c r="BP21" i="3"/>
  <c r="GR20" i="3"/>
  <c r="FF20" i="3"/>
  <c r="EG20" i="3"/>
  <c r="DT20" i="3"/>
  <c r="AF18" i="3"/>
  <c r="CO19" i="3"/>
  <c r="BP19" i="3"/>
  <c r="Q16" i="3"/>
  <c r="U16" i="3"/>
  <c r="U118" i="3" s="1"/>
  <c r="Y16" i="3"/>
  <c r="AC16" i="3"/>
  <c r="AG16" i="3"/>
  <c r="AG118" i="3" s="1"/>
  <c r="AK16" i="3"/>
  <c r="AO16" i="3"/>
  <c r="AS16" i="3"/>
  <c r="AS118" i="3" s="1"/>
  <c r="R16" i="3"/>
  <c r="R118" i="3" s="1"/>
  <c r="V16" i="3"/>
  <c r="Z16" i="3"/>
  <c r="AD16" i="3"/>
  <c r="AD118" i="3" s="1"/>
  <c r="AH16" i="3"/>
  <c r="AL16" i="3"/>
  <c r="AP16" i="3"/>
  <c r="AP118" i="3" s="1"/>
  <c r="AT16" i="3"/>
  <c r="S16" i="3"/>
  <c r="W16" i="3"/>
  <c r="AA16" i="3"/>
  <c r="AA118" i="3" s="1"/>
  <c r="AE16" i="3"/>
  <c r="AI16" i="3"/>
  <c r="AM16" i="3"/>
  <c r="AM118" i="3" s="1"/>
  <c r="AQ16" i="3"/>
  <c r="R15" i="3"/>
  <c r="R117" i="3" s="1"/>
  <c r="V15" i="3"/>
  <c r="Z15" i="3"/>
  <c r="AD15" i="3"/>
  <c r="AD117" i="3" s="1"/>
  <c r="AH15" i="3"/>
  <c r="AL15" i="3"/>
  <c r="AP15" i="3"/>
  <c r="AP117" i="3" s="1"/>
  <c r="AT15" i="3"/>
  <c r="S15" i="3"/>
  <c r="X15" i="3"/>
  <c r="X117" i="3" s="1"/>
  <c r="AC15" i="3"/>
  <c r="AI15" i="3"/>
  <c r="AN15" i="3"/>
  <c r="AS15" i="3"/>
  <c r="AS117" i="3" s="1"/>
  <c r="T15" i="3"/>
  <c r="Y15" i="3"/>
  <c r="AE15" i="3"/>
  <c r="AJ15" i="3"/>
  <c r="AJ117" i="3" s="1"/>
  <c r="AO15" i="3"/>
  <c r="U15" i="3"/>
  <c r="U117" i="3" s="1"/>
  <c r="AA15" i="3"/>
  <c r="AA117" i="3" s="1"/>
  <c r="AF15" i="3"/>
  <c r="AK15" i="3"/>
  <c r="AQ15" i="3"/>
  <c r="Q18" i="3"/>
  <c r="U18" i="3"/>
  <c r="U120" i="3" s="1"/>
  <c r="Y18" i="3"/>
  <c r="AC18" i="3"/>
  <c r="AG18" i="3"/>
  <c r="AG120" i="3" s="1"/>
  <c r="AK18" i="3"/>
  <c r="AO18" i="3"/>
  <c r="AS18" i="3"/>
  <c r="AS120" i="3" s="1"/>
  <c r="R18" i="3"/>
  <c r="R120" i="3" s="1"/>
  <c r="V18" i="3"/>
  <c r="Z18" i="3"/>
  <c r="AD18" i="3"/>
  <c r="AD120" i="3" s="1"/>
  <c r="AH18" i="3"/>
  <c r="AL18" i="3"/>
  <c r="AP18" i="3"/>
  <c r="AP120" i="3" s="1"/>
  <c r="AT18" i="3"/>
  <c r="S18" i="3"/>
  <c r="W18" i="3"/>
  <c r="AA18" i="3"/>
  <c r="AA120" i="3" s="1"/>
  <c r="AE18" i="3"/>
  <c r="AI18" i="3"/>
  <c r="AM18" i="3"/>
  <c r="AM120" i="3" s="1"/>
  <c r="AQ18" i="3"/>
  <c r="AT22" i="3"/>
  <c r="AP22" i="3"/>
  <c r="AP124" i="3" s="1"/>
  <c r="AL22" i="3"/>
  <c r="AH22" i="3"/>
  <c r="AD22" i="3"/>
  <c r="AD124" i="3" s="1"/>
  <c r="Z22" i="3"/>
  <c r="V22" i="3"/>
  <c r="AT20" i="3"/>
  <c r="AP20" i="3"/>
  <c r="AP122" i="3" s="1"/>
  <c r="AL20" i="3"/>
  <c r="AH20" i="3"/>
  <c r="AD20" i="3"/>
  <c r="AD122" i="3" s="1"/>
  <c r="Z20" i="3"/>
  <c r="V20" i="3"/>
  <c r="DN19" i="3"/>
  <c r="BD19" i="3"/>
  <c r="GR18" i="3"/>
  <c r="AN18" i="3"/>
  <c r="X18" i="3"/>
  <c r="X120" i="3" s="1"/>
  <c r="BJ15" i="3"/>
  <c r="GY14" i="3"/>
  <c r="U13" i="3"/>
  <c r="U115" i="3" s="1"/>
  <c r="EM14" i="3"/>
  <c r="DA14" i="3"/>
  <c r="BD14" i="3"/>
  <c r="GE13" i="3"/>
  <c r="ES13" i="3"/>
  <c r="DH13" i="3"/>
  <c r="AS13" i="3"/>
  <c r="AS115" i="3" s="1"/>
  <c r="AN13" i="3"/>
  <c r="AI13" i="3"/>
  <c r="AB13" i="3"/>
  <c r="EM12" i="3"/>
  <c r="BG12" i="3"/>
  <c r="BG110" i="3" s="1"/>
  <c r="R11" i="3"/>
  <c r="R113" i="3" s="1"/>
  <c r="V11" i="3"/>
  <c r="Z11" i="3"/>
  <c r="AD11" i="3"/>
  <c r="AD113" i="3" s="1"/>
  <c r="AH11" i="3"/>
  <c r="AL11" i="3"/>
  <c r="AP11" i="3"/>
  <c r="AP113" i="3" s="1"/>
  <c r="AT11" i="3"/>
  <c r="S11" i="3"/>
  <c r="X11" i="3"/>
  <c r="X113" i="3" s="1"/>
  <c r="AC11" i="3"/>
  <c r="AI11" i="3"/>
  <c r="AN11" i="3"/>
  <c r="AS11" i="3"/>
  <c r="AS113" i="3" s="1"/>
  <c r="T11" i="3"/>
  <c r="Y11" i="3"/>
  <c r="AE11" i="3"/>
  <c r="AJ11" i="3"/>
  <c r="AJ113" i="3" s="1"/>
  <c r="AO11" i="3"/>
  <c r="U11" i="3"/>
  <c r="U113" i="3" s="1"/>
  <c r="AA11" i="3"/>
  <c r="AA113" i="3" s="1"/>
  <c r="AF11" i="3"/>
  <c r="AK11" i="3"/>
  <c r="AQ11" i="3"/>
  <c r="R13" i="3"/>
  <c r="R115" i="3" s="1"/>
  <c r="V13" i="3"/>
  <c r="Z13" i="3"/>
  <c r="AD13" i="3"/>
  <c r="AD115" i="3" s="1"/>
  <c r="AH13" i="3"/>
  <c r="AL13" i="3"/>
  <c r="AP13" i="3"/>
  <c r="AP115" i="3" s="1"/>
  <c r="AT13" i="3"/>
  <c r="T13" i="3"/>
  <c r="Y13" i="3"/>
  <c r="AE13" i="3"/>
  <c r="DZ14" i="3"/>
  <c r="FF13" i="3"/>
  <c r="CU13" i="3"/>
  <c r="BJ13" i="3"/>
  <c r="AQ13" i="3"/>
  <c r="AK13" i="3"/>
  <c r="AF13" i="3"/>
  <c r="X13" i="3"/>
  <c r="X115" i="3" s="1"/>
  <c r="Q13" i="3"/>
  <c r="DK11" i="3"/>
  <c r="DK110" i="3" s="1"/>
  <c r="DQ10" i="3"/>
  <c r="DQ110" i="3" s="1"/>
  <c r="AB9" i="3"/>
  <c r="FF11" i="3"/>
  <c r="CU11" i="3"/>
  <c r="BJ11" i="3"/>
  <c r="BJ110" i="3" s="1"/>
  <c r="GY10" i="3"/>
  <c r="FY10" i="3"/>
  <c r="EM10" i="3"/>
  <c r="CF10" i="3"/>
  <c r="CF110" i="3" s="1"/>
  <c r="Q9" i="3"/>
  <c r="U9" i="3"/>
  <c r="U111" i="3" s="1"/>
  <c r="Y9" i="3"/>
  <c r="AC9" i="3"/>
  <c r="AG9" i="3"/>
  <c r="AG111" i="3" s="1"/>
  <c r="AK9" i="3"/>
  <c r="AO9" i="3"/>
  <c r="AS9" i="3"/>
  <c r="AS111" i="3" s="1"/>
  <c r="R9" i="3"/>
  <c r="R111" i="3" s="1"/>
  <c r="V9" i="3"/>
  <c r="Z9" i="3"/>
  <c r="AD9" i="3"/>
  <c r="AD111" i="3" s="1"/>
  <c r="AH9" i="3"/>
  <c r="AL9" i="3"/>
  <c r="AP9" i="3"/>
  <c r="AP111" i="3" s="1"/>
  <c r="AT9" i="3"/>
  <c r="S9" i="3"/>
  <c r="W9" i="3"/>
  <c r="AA9" i="3"/>
  <c r="AA111" i="3" s="1"/>
  <c r="AE9" i="3"/>
  <c r="AI9" i="3"/>
  <c r="AM9" i="3"/>
  <c r="AM111" i="3" s="1"/>
  <c r="AQ9" i="3"/>
  <c r="AF9" i="3"/>
  <c r="T9" i="3"/>
  <c r="AJ9" i="3"/>
  <c r="AJ111" i="3" s="1"/>
  <c r="X9" i="3"/>
  <c r="X111" i="3" s="1"/>
  <c r="AN9" i="3"/>
  <c r="DA12" i="3"/>
  <c r="BD12" i="3"/>
  <c r="GE11" i="3"/>
  <c r="ES11" i="3"/>
  <c r="ES110" i="3" s="1"/>
  <c r="DH11" i="3"/>
  <c r="GL10" i="3"/>
  <c r="FL10" i="3"/>
  <c r="DN10" i="3"/>
  <c r="DN110" i="3" s="1"/>
  <c r="CR8" i="3"/>
  <c r="CR110" i="3" s="1"/>
  <c r="HI7" i="3"/>
  <c r="HI110" i="3" s="1"/>
  <c r="FV7" i="3"/>
  <c r="FV110" i="3" s="1"/>
  <c r="EJ7" i="3"/>
  <c r="EJ110" i="3" s="1"/>
  <c r="BM7" i="3"/>
  <c r="BM110" i="3" s="1"/>
  <c r="Q6" i="3"/>
  <c r="S8" i="3"/>
  <c r="BA7" i="3"/>
  <c r="BA110" i="3" s="1"/>
  <c r="Q7" i="3"/>
  <c r="U7" i="3"/>
  <c r="U109" i="3" s="1"/>
  <c r="Y7" i="3"/>
  <c r="AC7" i="3"/>
  <c r="AG7" i="3"/>
  <c r="AG109" i="3" s="1"/>
  <c r="AK7" i="3"/>
  <c r="AO7" i="3"/>
  <c r="AS7" i="3"/>
  <c r="AS109" i="3" s="1"/>
  <c r="R7" i="3"/>
  <c r="R109" i="3" s="1"/>
  <c r="V7" i="3"/>
  <c r="Z7" i="3"/>
  <c r="AD7" i="3"/>
  <c r="AD109" i="3" s="1"/>
  <c r="AH7" i="3"/>
  <c r="AL7" i="3"/>
  <c r="AP7" i="3"/>
  <c r="AP109" i="3" s="1"/>
  <c r="AT7" i="3"/>
  <c r="S7" i="3"/>
  <c r="W7" i="3"/>
  <c r="AA7" i="3"/>
  <c r="AA109" i="3" s="1"/>
  <c r="AE7" i="3"/>
  <c r="AI7" i="3"/>
  <c r="AM7" i="3"/>
  <c r="AM109" i="3" s="1"/>
  <c r="AQ7" i="3"/>
  <c r="AS8" i="3"/>
  <c r="AS110" i="3" s="1"/>
  <c r="AO8" i="3"/>
  <c r="AK8" i="3"/>
  <c r="AG8" i="3"/>
  <c r="AG110" i="3" s="1"/>
  <c r="AC8" i="3"/>
  <c r="Y8" i="3"/>
  <c r="U8" i="3"/>
  <c r="U110" i="3" s="1"/>
  <c r="Q8" i="3"/>
  <c r="Y6" i="3"/>
  <c r="U6" i="3"/>
  <c r="U108" i="3" s="1"/>
  <c r="AQ8" i="3"/>
  <c r="AM8" i="3"/>
  <c r="AM110" i="3" s="1"/>
  <c r="AI8" i="3"/>
  <c r="AE8" i="3"/>
  <c r="AA8" i="3"/>
  <c r="AA110" i="3" s="1"/>
  <c r="W8" i="3"/>
  <c r="R114" i="1" l="1"/>
  <c r="AV12" i="1"/>
  <c r="N12" i="1" s="1"/>
  <c r="AX12" i="1"/>
  <c r="G13" i="5" s="1"/>
  <c r="AY13" i="1"/>
  <c r="H14" i="5" s="1"/>
  <c r="U123" i="1"/>
  <c r="AX21" i="1"/>
  <c r="G22" i="5" s="1"/>
  <c r="R116" i="1"/>
  <c r="AX31" i="1"/>
  <c r="G32" i="5" s="1"/>
  <c r="AV31" i="1"/>
  <c r="N31" i="1" s="1"/>
  <c r="R133" i="1"/>
  <c r="AV15" i="1"/>
  <c r="N15" i="1" s="1"/>
  <c r="AX15" i="1"/>
  <c r="G16" i="5" s="1"/>
  <c r="R117" i="1"/>
  <c r="X119" i="1"/>
  <c r="AX17" i="1"/>
  <c r="G18" i="5" s="1"/>
  <c r="X135" i="1"/>
  <c r="X118" i="1"/>
  <c r="AX16" i="1"/>
  <c r="G17" i="5" s="1"/>
  <c r="R130" i="1"/>
  <c r="AX28" i="1"/>
  <c r="G29" i="5" s="1"/>
  <c r="X134" i="1"/>
  <c r="AY9" i="1"/>
  <c r="H10" i="5" s="1"/>
  <c r="R122" i="1"/>
  <c r="AV20" i="1"/>
  <c r="N20" i="1" s="1"/>
  <c r="AX20" i="1"/>
  <c r="G21" i="5" s="1"/>
  <c r="R126" i="1"/>
  <c r="AW32" i="1"/>
  <c r="O32" i="1" s="1"/>
  <c r="R110" i="1"/>
  <c r="AX8" i="1"/>
  <c r="G9" i="5" s="1"/>
  <c r="AV8" i="1"/>
  <c r="N8" i="1" s="1"/>
  <c r="R124" i="1"/>
  <c r="AA9" i="1"/>
  <c r="AA111" i="1" s="1"/>
  <c r="AW13" i="1"/>
  <c r="O13" i="1" s="1"/>
  <c r="AA17" i="1"/>
  <c r="AA119" i="1" s="1"/>
  <c r="AW21" i="1"/>
  <c r="O21" i="1" s="1"/>
  <c r="AA25" i="1"/>
  <c r="AA127" i="1" s="1"/>
  <c r="AA33" i="1"/>
  <c r="AA135" i="1" s="1"/>
  <c r="HP26" i="3"/>
  <c r="FR26" i="3"/>
  <c r="GH26" i="3"/>
  <c r="DD30" i="3"/>
  <c r="R118" i="1"/>
  <c r="R134" i="1"/>
  <c r="R119" i="1"/>
  <c r="AV17" i="1"/>
  <c r="N17" i="1" s="1"/>
  <c r="R127" i="1"/>
  <c r="AV25" i="1"/>
  <c r="N25" i="1" s="1"/>
  <c r="GA117" i="1"/>
  <c r="GA120" i="1"/>
  <c r="GA119" i="1" s="1"/>
  <c r="Y21" i="1"/>
  <c r="AY21" i="1" s="1"/>
  <c r="H22" i="5" s="1"/>
  <c r="X24" i="1"/>
  <c r="X126" i="1" s="1"/>
  <c r="X29" i="1"/>
  <c r="AV29" i="1" s="1"/>
  <c r="N29" i="1" s="1"/>
  <c r="X13" i="1"/>
  <c r="Y19" i="1"/>
  <c r="AK25" i="1"/>
  <c r="AY25" i="1" s="1"/>
  <c r="H26" i="5" s="1"/>
  <c r="AK7" i="1"/>
  <c r="AW7" i="1" s="1"/>
  <c r="O7" i="1" s="1"/>
  <c r="AJ27" i="1"/>
  <c r="AJ129" i="1" s="1"/>
  <c r="AJ19" i="1"/>
  <c r="AJ121" i="1" s="1"/>
  <c r="AJ11" i="1"/>
  <c r="AJ113" i="1" s="1"/>
  <c r="AW113" i="1" s="1"/>
  <c r="I12" i="5" s="1"/>
  <c r="V23" i="1"/>
  <c r="V7" i="1"/>
  <c r="AH10" i="1"/>
  <c r="AS23" i="1"/>
  <c r="AS125" i="1" s="1"/>
  <c r="AS7" i="1"/>
  <c r="AS109" i="1" s="1"/>
  <c r="AB24" i="1"/>
  <c r="AB29" i="1"/>
  <c r="AY29" i="1" s="1"/>
  <c r="H30" i="5" s="1"/>
  <c r="AB21" i="1"/>
  <c r="AB13" i="1"/>
  <c r="AB30" i="1"/>
  <c r="AW30" i="1" s="1"/>
  <c r="O30" i="1" s="1"/>
  <c r="AN28" i="1"/>
  <c r="AN12" i="1"/>
  <c r="AN33" i="1"/>
  <c r="AN25" i="1"/>
  <c r="AN17" i="1"/>
  <c r="AN9" i="1"/>
  <c r="AN22" i="1"/>
  <c r="AM26" i="1"/>
  <c r="AM128" i="1" s="1"/>
  <c r="AM18" i="1"/>
  <c r="AM120" i="1" s="1"/>
  <c r="AW23" i="1"/>
  <c r="O23" i="1" s="1"/>
  <c r="AY23" i="1"/>
  <c r="H24" i="5" s="1"/>
  <c r="AX6" i="1"/>
  <c r="G7" i="5" s="1"/>
  <c r="AV6" i="1"/>
  <c r="N6" i="1" s="1"/>
  <c r="AD26" i="1"/>
  <c r="AD128" i="1" s="1"/>
  <c r="AW128" i="1" s="1"/>
  <c r="I27" i="5" s="1"/>
  <c r="IO7" i="3"/>
  <c r="HP7" i="3"/>
  <c r="DD7" i="3"/>
  <c r="AM13" i="1"/>
  <c r="AM115" i="1" s="1"/>
  <c r="AM21" i="1"/>
  <c r="AM123" i="1" s="1"/>
  <c r="IO27" i="3"/>
  <c r="HP27" i="3"/>
  <c r="DD27" i="3"/>
  <c r="IF27" i="3"/>
  <c r="AM29" i="1"/>
  <c r="AM131" i="1" s="1"/>
  <c r="AQ16" i="1"/>
  <c r="AW16" i="1" s="1"/>
  <c r="O16" i="1" s="1"/>
  <c r="AA16" i="1"/>
  <c r="AA118" i="1" s="1"/>
  <c r="S20" i="1"/>
  <c r="Y20" i="1"/>
  <c r="AW22" i="1"/>
  <c r="O22" i="1" s="1"/>
  <c r="S24" i="1"/>
  <c r="AY28" i="1"/>
  <c r="H29" i="5" s="1"/>
  <c r="AE28" i="1"/>
  <c r="AW28" i="1" s="1"/>
  <c r="O28" i="1" s="1"/>
  <c r="AK28" i="1"/>
  <c r="AQ32" i="1"/>
  <c r="AY32" i="1" s="1"/>
  <c r="H33" i="5" s="1"/>
  <c r="AA32" i="1"/>
  <c r="AA134" i="1" s="1"/>
  <c r="R131" i="1"/>
  <c r="R111" i="1"/>
  <c r="AV9" i="1"/>
  <c r="N9" i="1" s="1"/>
  <c r="Y33" i="1"/>
  <c r="AY33" i="1" s="1"/>
  <c r="H34" i="5" s="1"/>
  <c r="Y17" i="1"/>
  <c r="AY17" i="1" s="1"/>
  <c r="H18" i="5" s="1"/>
  <c r="Y18" i="1"/>
  <c r="AW18" i="1" s="1"/>
  <c r="O18" i="1" s="1"/>
  <c r="Y10" i="1"/>
  <c r="AY10" i="1" s="1"/>
  <c r="H11" i="5" s="1"/>
  <c r="X7" i="1"/>
  <c r="X109" i="1" s="1"/>
  <c r="AW109" i="1" s="1"/>
  <c r="I8" i="5" s="1"/>
  <c r="AK9" i="1"/>
  <c r="AK21" i="1"/>
  <c r="AJ29" i="1"/>
  <c r="AJ131" i="1" s="1"/>
  <c r="AJ13" i="1"/>
  <c r="AJ115" i="1" s="1"/>
  <c r="AW108" i="1"/>
  <c r="I7" i="5" s="1"/>
  <c r="AV108" i="1"/>
  <c r="P6" i="1" s="1"/>
  <c r="AB20" i="1"/>
  <c r="S15" i="1"/>
  <c r="R30" i="1"/>
  <c r="AX23" i="1"/>
  <c r="G24" i="5" s="1"/>
  <c r="AX7" i="1"/>
  <c r="G8" i="5" s="1"/>
  <c r="AY19" i="1"/>
  <c r="H20" i="5" s="1"/>
  <c r="AD19" i="1"/>
  <c r="AD121" i="1" s="1"/>
  <c r="AE19" i="1"/>
  <c r="AW19" i="1" s="1"/>
  <c r="O19" i="1" s="1"/>
  <c r="AW9" i="1"/>
  <c r="O9" i="1" s="1"/>
  <c r="AW25" i="1"/>
  <c r="O25" i="1" s="1"/>
  <c r="CZ120" i="1"/>
  <c r="S12" i="1"/>
  <c r="AM16" i="1"/>
  <c r="AM118" i="1" s="1"/>
  <c r="AE20" i="1"/>
  <c r="AE24" i="1"/>
  <c r="AQ28" i="1"/>
  <c r="AA28" i="1"/>
  <c r="AA130" i="1" s="1"/>
  <c r="AM32" i="1"/>
  <c r="AM134" i="1" s="1"/>
  <c r="S8" i="1"/>
  <c r="V8" i="1"/>
  <c r="R123" i="1"/>
  <c r="AV21" i="1"/>
  <c r="N21" i="1" s="1"/>
  <c r="IM13" i="1"/>
  <c r="HM13" i="1"/>
  <c r="CC13" i="1"/>
  <c r="X25" i="1"/>
  <c r="X9" i="1"/>
  <c r="Y6" i="1"/>
  <c r="AY6" i="1" s="1"/>
  <c r="H7" i="5" s="1"/>
  <c r="AK33" i="1"/>
  <c r="AW33" i="1" s="1"/>
  <c r="O33" i="1" s="1"/>
  <c r="AK17" i="1"/>
  <c r="AW17" i="1" s="1"/>
  <c r="O17" i="1" s="1"/>
  <c r="AK10" i="1"/>
  <c r="AV125" i="1"/>
  <c r="P23" i="1" s="1"/>
  <c r="AW125" i="1"/>
  <c r="I24" i="5" s="1"/>
  <c r="AA18" i="1"/>
  <c r="AA120" i="1" s="1"/>
  <c r="AV120" i="1" s="1"/>
  <c r="P18" i="1" s="1"/>
  <c r="AV129" i="1"/>
  <c r="P27" i="1" s="1"/>
  <c r="AW129" i="1"/>
  <c r="I28" i="5" s="1"/>
  <c r="AY7" i="1"/>
  <c r="H8" i="5" s="1"/>
  <c r="AY31" i="1"/>
  <c r="H32" i="5" s="1"/>
  <c r="AW31" i="1"/>
  <c r="O31" i="1" s="1"/>
  <c r="R112" i="1"/>
  <c r="AX10" i="1"/>
  <c r="G11" i="5" s="1"/>
  <c r="AV10" i="1"/>
  <c r="N10" i="1" s="1"/>
  <c r="R115" i="1"/>
  <c r="AV13" i="1"/>
  <c r="N13" i="1" s="1"/>
  <c r="R135" i="1"/>
  <c r="Y22" i="1"/>
  <c r="AY22" i="1" s="1"/>
  <c r="H23" i="5" s="1"/>
  <c r="Y14" i="1"/>
  <c r="AW14" i="1" s="1"/>
  <c r="O14" i="1" s="1"/>
  <c r="AV113" i="1"/>
  <c r="P11" i="1" s="1"/>
  <c r="AV109" i="1"/>
  <c r="P7" i="1" s="1"/>
  <c r="AV26" i="1"/>
  <c r="N26" i="1" s="1"/>
  <c r="AV18" i="1"/>
  <c r="N18" i="1" s="1"/>
  <c r="AX27" i="1"/>
  <c r="G28" i="5" s="1"/>
  <c r="AV27" i="1"/>
  <c r="N27" i="1" s="1"/>
  <c r="R19" i="1"/>
  <c r="FN114" i="1"/>
  <c r="FO114" i="1"/>
  <c r="FO120" i="1"/>
  <c r="AP30" i="1"/>
  <c r="AP132" i="1" s="1"/>
  <c r="AP22" i="1"/>
  <c r="AP124" i="1" s="1"/>
  <c r="AP14" i="1"/>
  <c r="AP116" i="1" s="1"/>
  <c r="ID6" i="1"/>
  <c r="FS6" i="1"/>
  <c r="G13" i="4"/>
  <c r="G17" i="4" s="1"/>
  <c r="G115" i="1"/>
  <c r="G14" i="4" s="1"/>
  <c r="M22" i="3"/>
  <c r="FQ22" i="1"/>
  <c r="IF22" i="1"/>
  <c r="DC22" i="1"/>
  <c r="DE22" i="1" s="1"/>
  <c r="FR22" i="1"/>
  <c r="HS22" i="1"/>
  <c r="IQ22" i="1"/>
  <c r="HT22" i="1"/>
  <c r="EB22" i="1"/>
  <c r="ED22" i="1" s="1"/>
  <c r="GU22" i="1"/>
  <c r="GV22" i="1" s="1"/>
  <c r="IE22" i="1"/>
  <c r="IG22" i="1" s="1"/>
  <c r="GH22" i="1"/>
  <c r="GI22" i="1" s="1"/>
  <c r="IR22" i="1"/>
  <c r="C23" i="5"/>
  <c r="M19" i="3"/>
  <c r="HE19" i="1"/>
  <c r="HF19" i="1" s="1"/>
  <c r="HK19" i="1"/>
  <c r="HM19" i="1" s="1"/>
  <c r="HW19" i="1"/>
  <c r="IK19" i="1"/>
  <c r="IM19" i="1" s="1"/>
  <c r="IU19" i="1"/>
  <c r="DC19" i="1"/>
  <c r="DE19" i="1" s="1"/>
  <c r="EY19" i="1"/>
  <c r="HP19" i="1"/>
  <c r="HQ19" i="1" s="1"/>
  <c r="HZ19" i="1"/>
  <c r="IO19" i="1"/>
  <c r="IP19" i="1" s="1"/>
  <c r="CB19" i="1"/>
  <c r="EB19" i="1"/>
  <c r="ED19" i="1" s="1"/>
  <c r="FQ19" i="1"/>
  <c r="FS19" i="1" s="1"/>
  <c r="GT19" i="1"/>
  <c r="GV19" i="1" s="1"/>
  <c r="HS19" i="1"/>
  <c r="IB19" i="1"/>
  <c r="ID19" i="1" s="1"/>
  <c r="IQ19" i="1"/>
  <c r="IT19" i="1"/>
  <c r="GU19" i="1"/>
  <c r="HV19" i="1"/>
  <c r="HX19" i="1" s="1"/>
  <c r="IF19" i="1"/>
  <c r="IG19" i="1" s="1"/>
  <c r="C20" i="5"/>
  <c r="HI111" i="1"/>
  <c r="HI113" i="1"/>
  <c r="HX27" i="1"/>
  <c r="CH111" i="1"/>
  <c r="CH112" i="1"/>
  <c r="CH113" i="1"/>
  <c r="D115" i="1"/>
  <c r="D14" i="4" s="1"/>
  <c r="FZ109" i="1"/>
  <c r="FX112" i="1"/>
  <c r="FX113" i="1" s="1"/>
  <c r="FX111" i="1"/>
  <c r="BO111" i="1"/>
  <c r="BO112" i="1"/>
  <c r="BO113" i="1" s="1"/>
  <c r="AQ26" i="1"/>
  <c r="AW26" i="1" s="1"/>
  <c r="O26" i="1" s="1"/>
  <c r="FS10" i="1"/>
  <c r="HU19" i="1"/>
  <c r="IS19" i="1"/>
  <c r="EZ19" i="1"/>
  <c r="K13" i="4"/>
  <c r="K17" i="4" s="1"/>
  <c r="K115" i="1"/>
  <c r="K14" i="4" s="1"/>
  <c r="M10" i="3"/>
  <c r="IF10" i="1"/>
  <c r="IG10" i="1" s="1"/>
  <c r="IR10" i="1"/>
  <c r="IS10" i="1" s="1"/>
  <c r="DC10" i="1"/>
  <c r="DE10" i="1" s="1"/>
  <c r="FR10" i="1"/>
  <c r="HT10" i="1"/>
  <c r="C11" i="5"/>
  <c r="CT111" i="1"/>
  <c r="CT112" i="1"/>
  <c r="CT113" i="1" s="1"/>
  <c r="EL111" i="1"/>
  <c r="EL113" i="1"/>
  <c r="EL120" i="1" s="1"/>
  <c r="EL112" i="1"/>
  <c r="CL112" i="1"/>
  <c r="CL113" i="1" s="1"/>
  <c r="FU112" i="1"/>
  <c r="FU113" i="1" s="1"/>
  <c r="FU111" i="1"/>
  <c r="GY111" i="1"/>
  <c r="GY113" i="1"/>
  <c r="FO111" i="1"/>
  <c r="FO112" i="1"/>
  <c r="FO113" i="1" s="1"/>
  <c r="EU112" i="1"/>
  <c r="EU113" i="1" s="1"/>
  <c r="EU111" i="1"/>
  <c r="DY112" i="1"/>
  <c r="DY113" i="1" s="1"/>
  <c r="DY111" i="1"/>
  <c r="BI112" i="1"/>
  <c r="BI113" i="1" s="1"/>
  <c r="HB112" i="1"/>
  <c r="HB113" i="1" s="1"/>
  <c r="HB111" i="1"/>
  <c r="DJ113" i="1"/>
  <c r="DJ112" i="1"/>
  <c r="DJ111" i="1"/>
  <c r="AE27" i="1"/>
  <c r="AW27" i="1" s="1"/>
  <c r="O27" i="1" s="1"/>
  <c r="AE11" i="1"/>
  <c r="AY11" i="1" s="1"/>
  <c r="H12" i="5" s="1"/>
  <c r="HF10" i="1"/>
  <c r="IP6" i="1"/>
  <c r="HQ6" i="1"/>
  <c r="IA6" i="1"/>
  <c r="EZ6" i="1"/>
  <c r="CC19" i="1"/>
  <c r="GI31" i="1"/>
  <c r="FS30" i="1"/>
  <c r="IJ7" i="1"/>
  <c r="M18" i="3"/>
  <c r="FQ18" i="1"/>
  <c r="HW18" i="1"/>
  <c r="HX18" i="1" s="1"/>
  <c r="IQ18" i="1"/>
  <c r="DC18" i="1"/>
  <c r="DE18" i="1" s="1"/>
  <c r="FR18" i="1"/>
  <c r="IE18" i="1"/>
  <c r="IG18" i="1" s="1"/>
  <c r="IR18" i="1"/>
  <c r="EB18" i="1"/>
  <c r="ED18" i="1" s="1"/>
  <c r="GU18" i="1"/>
  <c r="GV18" i="1" s="1"/>
  <c r="HS18" i="1"/>
  <c r="HU18" i="1" s="1"/>
  <c r="IF18" i="1"/>
  <c r="IU18" i="1"/>
  <c r="IV18" i="1" s="1"/>
  <c r="HD18" i="1"/>
  <c r="HF18" i="1" s="1"/>
  <c r="II18" i="1"/>
  <c r="IJ18" i="1" s="1"/>
  <c r="GH18" i="1"/>
  <c r="GI18" i="1" s="1"/>
  <c r="HT18" i="1"/>
  <c r="C19" i="5"/>
  <c r="CF111" i="1"/>
  <c r="CF112" i="1"/>
  <c r="CF113" i="1" s="1"/>
  <c r="BS113" i="1"/>
  <c r="BS112" i="1"/>
  <c r="BS111" i="1"/>
  <c r="DS112" i="1"/>
  <c r="DS113" i="1"/>
  <c r="DS111" i="1"/>
  <c r="GS109" i="1"/>
  <c r="GQ113" i="1"/>
  <c r="FF111" i="1"/>
  <c r="FF112" i="1"/>
  <c r="FF113" i="1" s="1"/>
  <c r="HU10" i="1"/>
  <c r="HU23" i="1"/>
  <c r="IA19" i="1"/>
  <c r="EZ23" i="1"/>
  <c r="C13" i="4"/>
  <c r="C17" i="4" s="1"/>
  <c r="C115" i="1"/>
  <c r="C14" i="4" s="1"/>
  <c r="M23" i="3"/>
  <c r="EY23" i="1"/>
  <c r="HP23" i="1"/>
  <c r="HQ23" i="1" s="1"/>
  <c r="HZ23" i="1"/>
  <c r="IA23" i="1" s="1"/>
  <c r="IO23" i="1"/>
  <c r="IP23" i="1" s="1"/>
  <c r="DC23" i="1"/>
  <c r="DE23" i="1" s="1"/>
  <c r="EB23" i="1"/>
  <c r="ED23" i="1" s="1"/>
  <c r="FQ23" i="1"/>
  <c r="FS23" i="1" s="1"/>
  <c r="GT23" i="1"/>
  <c r="GV23" i="1" s="1"/>
  <c r="HS23" i="1"/>
  <c r="IB23" i="1"/>
  <c r="ID23" i="1" s="1"/>
  <c r="IQ23" i="1"/>
  <c r="IS23" i="1" s="1"/>
  <c r="CB23" i="1"/>
  <c r="CC23" i="1" s="1"/>
  <c r="GU23" i="1"/>
  <c r="HV23" i="1"/>
  <c r="HX23" i="1" s="1"/>
  <c r="IF23" i="1"/>
  <c r="IG23" i="1" s="1"/>
  <c r="IT23" i="1"/>
  <c r="IV23" i="1" s="1"/>
  <c r="IU23" i="1"/>
  <c r="HE23" i="1"/>
  <c r="HF23" i="1" s="1"/>
  <c r="HK23" i="1"/>
  <c r="HM23" i="1" s="1"/>
  <c r="HW23" i="1"/>
  <c r="C24" i="5"/>
  <c r="IK23" i="1"/>
  <c r="IM23" i="1" s="1"/>
  <c r="FQ17" i="1"/>
  <c r="FS17" i="1" s="1"/>
  <c r="GU17" i="1"/>
  <c r="GV17" i="1" s="1"/>
  <c r="II17" i="1"/>
  <c r="IJ17" i="1" s="1"/>
  <c r="IQ17" i="1"/>
  <c r="IS17" i="1" s="1"/>
  <c r="C18" i="5"/>
  <c r="DZ112" i="1"/>
  <c r="DZ111" i="1"/>
  <c r="DZ113" i="1"/>
  <c r="IV27" i="1"/>
  <c r="D17" i="4"/>
  <c r="D15" i="4"/>
  <c r="D16" i="4"/>
  <c r="H17" i="4"/>
  <c r="H16" i="4"/>
  <c r="GD111" i="1"/>
  <c r="GD112" i="1"/>
  <c r="GD113" i="1" s="1"/>
  <c r="BP113" i="1"/>
  <c r="BP112" i="1"/>
  <c r="EB26" i="1"/>
  <c r="ED26" i="1" s="1"/>
  <c r="FR26" i="1"/>
  <c r="HS26" i="1"/>
  <c r="IQ26" i="1"/>
  <c r="DC26" i="1"/>
  <c r="DE26" i="1" s="1"/>
  <c r="GU26" i="1"/>
  <c r="GV26" i="1" s="1"/>
  <c r="HT26" i="1"/>
  <c r="IR26" i="1"/>
  <c r="GH26" i="1"/>
  <c r="GI26" i="1" s="1"/>
  <c r="IE26" i="1"/>
  <c r="IG26" i="1" s="1"/>
  <c r="IF26" i="1"/>
  <c r="FQ26" i="1"/>
  <c r="C27" i="5"/>
  <c r="ER113" i="1"/>
  <c r="ER112" i="1"/>
  <c r="FN113" i="1"/>
  <c r="FI111" i="1"/>
  <c r="FI113" i="1"/>
  <c r="FG109" i="1"/>
  <c r="FE113" i="1"/>
  <c r="GM109" i="1"/>
  <c r="GK113" i="1"/>
  <c r="BY113" i="1"/>
  <c r="BY112" i="1"/>
  <c r="DA113" i="1"/>
  <c r="CZ117" i="1" s="1"/>
  <c r="DA112" i="1"/>
  <c r="DA111" i="1"/>
  <c r="CZ119" i="1" s="1"/>
  <c r="CG112" i="3"/>
  <c r="CG113" i="3"/>
  <c r="FD112" i="3"/>
  <c r="FD113" i="3"/>
  <c r="M11" i="3"/>
  <c r="DD11" i="1"/>
  <c r="EC11" i="1"/>
  <c r="FR11" i="1"/>
  <c r="GG11" i="1"/>
  <c r="HL11" i="1"/>
  <c r="HT11" i="1"/>
  <c r="IC11" i="1"/>
  <c r="IH11" i="1"/>
  <c r="IL11" i="1"/>
  <c r="IR11" i="1"/>
  <c r="AU11" i="1"/>
  <c r="CA11" i="1"/>
  <c r="EX11" i="1"/>
  <c r="GH11" i="1"/>
  <c r="HD11" i="1"/>
  <c r="HO11" i="1"/>
  <c r="HY11" i="1"/>
  <c r="IE11" i="1"/>
  <c r="II11" i="1"/>
  <c r="IN11" i="1"/>
  <c r="CB11" i="1"/>
  <c r="EY11" i="1"/>
  <c r="GT11" i="1"/>
  <c r="HE11" i="1"/>
  <c r="HP11" i="1"/>
  <c r="HV11" i="1"/>
  <c r="HZ11" i="1"/>
  <c r="IF11" i="1"/>
  <c r="IO11" i="1"/>
  <c r="IT11" i="1"/>
  <c r="HS11" i="1"/>
  <c r="IK11" i="1"/>
  <c r="HW11" i="1"/>
  <c r="IQ11" i="1"/>
  <c r="IS11" i="1" s="1"/>
  <c r="DC11" i="1"/>
  <c r="EB11" i="1"/>
  <c r="IB11" i="1"/>
  <c r="ID11" i="1" s="1"/>
  <c r="IU11" i="1"/>
  <c r="FQ11" i="1"/>
  <c r="FS11" i="1" s="1"/>
  <c r="GU11" i="1"/>
  <c r="HK11" i="1"/>
  <c r="HM11" i="1" s="1"/>
  <c r="C12" i="5"/>
  <c r="O13" i="3"/>
  <c r="E14" i="5"/>
  <c r="M14" i="3"/>
  <c r="HD14" i="1"/>
  <c r="HW14" i="1"/>
  <c r="HX14" i="1" s="1"/>
  <c r="II14" i="1"/>
  <c r="IU14" i="1"/>
  <c r="IV14" i="1" s="1"/>
  <c r="EB14" i="1"/>
  <c r="ED14" i="1" s="1"/>
  <c r="FQ14" i="1"/>
  <c r="GH14" i="1"/>
  <c r="GU14" i="1"/>
  <c r="HS14" i="1"/>
  <c r="IE14" i="1"/>
  <c r="IQ14" i="1"/>
  <c r="IB14" i="1"/>
  <c r="FR14" i="1"/>
  <c r="IF14" i="1"/>
  <c r="HO14" i="1"/>
  <c r="IN14" i="1"/>
  <c r="DC14" i="1"/>
  <c r="DE14" i="1" s="1"/>
  <c r="HE14" i="1"/>
  <c r="HT14" i="1"/>
  <c r="IR14" i="1"/>
  <c r="C15" i="5"/>
  <c r="N21" i="3"/>
  <c r="D22" i="5"/>
  <c r="N25" i="3"/>
  <c r="D26" i="5"/>
  <c r="O49" i="3"/>
  <c r="E50" i="5"/>
  <c r="O41" i="3"/>
  <c r="E42" i="5"/>
  <c r="HD38" i="1"/>
  <c r="HF38" i="1" s="1"/>
  <c r="HS38" i="1"/>
  <c r="II38" i="1"/>
  <c r="IJ38" i="1" s="1"/>
  <c r="EB38" i="1"/>
  <c r="IB38" i="1"/>
  <c r="ID38" i="1" s="1"/>
  <c r="IQ38" i="1"/>
  <c r="GH38" i="1"/>
  <c r="IF38" i="1"/>
  <c r="IN38" i="1"/>
  <c r="IP38" i="1" s="1"/>
  <c r="HO38" i="1"/>
  <c r="HQ38" i="1" s="1"/>
  <c r="IR38" i="1"/>
  <c r="FQ38" i="1"/>
  <c r="FS38" i="1" s="1"/>
  <c r="HT38" i="1"/>
  <c r="C39" i="5"/>
  <c r="N68" i="3"/>
  <c r="D69" i="5"/>
  <c r="N75" i="3"/>
  <c r="D76" i="5"/>
  <c r="N72" i="3"/>
  <c r="D73" i="5"/>
  <c r="N92" i="3"/>
  <c r="D93" i="5"/>
  <c r="CW111" i="1"/>
  <c r="CW112" i="1"/>
  <c r="CW113" i="1" s="1"/>
  <c r="CW120" i="1" s="1"/>
  <c r="CW119" i="1" s="1"/>
  <c r="GP109" i="1"/>
  <c r="GN113" i="1"/>
  <c r="GN112" i="1"/>
  <c r="GN111" i="1"/>
  <c r="M82" i="3"/>
  <c r="GH82" i="1"/>
  <c r="GU82" i="1"/>
  <c r="II82" i="1"/>
  <c r="FQ82" i="1"/>
  <c r="FS82" i="1" s="1"/>
  <c r="HD82" i="1"/>
  <c r="HW82" i="1"/>
  <c r="HX82" i="1" s="1"/>
  <c r="IU82" i="1"/>
  <c r="IV82" i="1" s="1"/>
  <c r="HS82" i="1"/>
  <c r="IE82" i="1"/>
  <c r="IQ82" i="1"/>
  <c r="C83" i="5"/>
  <c r="O92" i="3"/>
  <c r="E93" i="5"/>
  <c r="AZ112" i="1"/>
  <c r="AZ113" i="1" s="1"/>
  <c r="AZ120" i="1" s="1"/>
  <c r="AZ119" i="1" s="1"/>
  <c r="AZ111" i="1"/>
  <c r="FH113" i="1"/>
  <c r="FH112" i="1"/>
  <c r="FJ109" i="1"/>
  <c r="FH111" i="1"/>
  <c r="M84" i="3"/>
  <c r="EC84" i="1"/>
  <c r="FR84" i="1"/>
  <c r="HD84" i="1"/>
  <c r="HS84" i="1"/>
  <c r="HY84" i="1"/>
  <c r="IA84" i="1" s="1"/>
  <c r="IF84" i="1"/>
  <c r="IN84" i="1"/>
  <c r="CA84" i="1"/>
  <c r="DD84" i="1"/>
  <c r="HO84" i="1"/>
  <c r="IC84" i="1"/>
  <c r="II84" i="1"/>
  <c r="IQ84" i="1"/>
  <c r="IS84" i="1" s="1"/>
  <c r="AU84" i="1"/>
  <c r="FQ84" i="1"/>
  <c r="FS84" i="1" s="1"/>
  <c r="HW84" i="1"/>
  <c r="IK84" i="1"/>
  <c r="EX84" i="1"/>
  <c r="GU84" i="1"/>
  <c r="HK84" i="1"/>
  <c r="IB84" i="1"/>
  <c r="ID84" i="1" s="1"/>
  <c r="IO84" i="1"/>
  <c r="GH84" i="1"/>
  <c r="GI84" i="1" s="1"/>
  <c r="HE84" i="1"/>
  <c r="HP84" i="1"/>
  <c r="IE84" i="1"/>
  <c r="IG84" i="1" s="1"/>
  <c r="IR84" i="1"/>
  <c r="DC84" i="1"/>
  <c r="EB84" i="1"/>
  <c r="ED84" i="1" s="1"/>
  <c r="HT84" i="1"/>
  <c r="IU84" i="1"/>
  <c r="C85" i="5"/>
  <c r="M100" i="3"/>
  <c r="AU100" i="1"/>
  <c r="CA100" i="1"/>
  <c r="CC100" i="1" s="1"/>
  <c r="DC100" i="1"/>
  <c r="EC100" i="1"/>
  <c r="EX100" i="1"/>
  <c r="FQ100" i="1"/>
  <c r="HK100" i="1"/>
  <c r="HM100" i="1" s="1"/>
  <c r="HT100" i="1"/>
  <c r="HU100" i="1" s="1"/>
  <c r="IC100" i="1"/>
  <c r="IK100" i="1"/>
  <c r="IM100" i="1" s="1"/>
  <c r="IR100" i="1"/>
  <c r="DD100" i="1"/>
  <c r="FR100" i="1"/>
  <c r="GH100" i="1"/>
  <c r="GU100" i="1"/>
  <c r="HO100" i="1"/>
  <c r="HQ100" i="1" s="1"/>
  <c r="HW100" i="1"/>
  <c r="IE100" i="1"/>
  <c r="IN100" i="1"/>
  <c r="IU100" i="1"/>
  <c r="HD100" i="1"/>
  <c r="HP100" i="1"/>
  <c r="HY100" i="1"/>
  <c r="IF100" i="1"/>
  <c r="IG100" i="1" s="1"/>
  <c r="IO100" i="1"/>
  <c r="C101" i="5"/>
  <c r="EB100" i="1"/>
  <c r="HE100" i="1"/>
  <c r="HS100" i="1"/>
  <c r="IB100" i="1"/>
  <c r="ID100" i="1" s="1"/>
  <c r="II100" i="1"/>
  <c r="IQ100" i="1"/>
  <c r="DO109" i="1"/>
  <c r="DM112" i="1"/>
  <c r="DM113" i="1" s="1"/>
  <c r="DM111" i="1"/>
  <c r="EM111" i="1"/>
  <c r="EM112" i="1"/>
  <c r="EM113" i="1" s="1"/>
  <c r="IS92" i="1"/>
  <c r="FU114" i="1"/>
  <c r="FV114" i="1"/>
  <c r="FV120" i="1"/>
  <c r="GD114" i="1"/>
  <c r="GF113" i="1"/>
  <c r="GD117" i="1" s="1"/>
  <c r="GE114" i="1"/>
  <c r="GE120" i="1"/>
  <c r="FL110" i="3"/>
  <c r="GE110" i="3"/>
  <c r="BV110" i="3"/>
  <c r="HQ14" i="1"/>
  <c r="IP14" i="1"/>
  <c r="GI14" i="1"/>
  <c r="II31" i="3"/>
  <c r="IC26" i="3"/>
  <c r="HE53" i="3"/>
  <c r="DR110" i="1"/>
  <c r="DX110" i="1"/>
  <c r="HF17" i="1"/>
  <c r="GI38" i="1"/>
  <c r="IU47" i="3"/>
  <c r="CB47" i="3"/>
  <c r="HL51" i="3"/>
  <c r="CB51" i="3"/>
  <c r="IC51" i="3"/>
  <c r="HZ55" i="3"/>
  <c r="HC110" i="1"/>
  <c r="HC113" i="1" s="1"/>
  <c r="IM21" i="1"/>
  <c r="HM21" i="1"/>
  <c r="CC21" i="1"/>
  <c r="IA33" i="1"/>
  <c r="EZ46" i="1"/>
  <c r="IA48" i="1"/>
  <c r="HF48" i="1"/>
  <c r="IV48" i="1"/>
  <c r="HX48" i="1"/>
  <c r="GI82" i="1"/>
  <c r="IG60" i="1"/>
  <c r="EZ64" i="1"/>
  <c r="IS41" i="1"/>
  <c r="GI56" i="1"/>
  <c r="HF82" i="1"/>
  <c r="IG82" i="1"/>
  <c r="GV84" i="1"/>
  <c r="IJ84" i="1"/>
  <c r="EZ100" i="1"/>
  <c r="HX100" i="1"/>
  <c r="IV100" i="1"/>
  <c r="IP63" i="1"/>
  <c r="HQ63" i="1"/>
  <c r="DE63" i="1"/>
  <c r="IJ75" i="1"/>
  <c r="IG75" i="1"/>
  <c r="IV79" i="1"/>
  <c r="HX79" i="1"/>
  <c r="IG6" i="1"/>
  <c r="HF6" i="1"/>
  <c r="N15" i="3"/>
  <c r="D16" i="5"/>
  <c r="N13" i="3"/>
  <c r="D14" i="5"/>
  <c r="O21" i="3"/>
  <c r="E22" i="5"/>
  <c r="GU25" i="1"/>
  <c r="GV25" i="1" s="1"/>
  <c r="IU25" i="1"/>
  <c r="FQ25" i="1"/>
  <c r="FS25" i="1" s="1"/>
  <c r="HW25" i="1"/>
  <c r="HX25" i="1" s="1"/>
  <c r="IE25" i="1"/>
  <c r="IG25" i="1" s="1"/>
  <c r="IQ25" i="1"/>
  <c r="C26" i="5"/>
  <c r="FQ33" i="1"/>
  <c r="FS33" i="1" s="1"/>
  <c r="HW33" i="1"/>
  <c r="HX33" i="1" s="1"/>
  <c r="IE33" i="1"/>
  <c r="IG33" i="1" s="1"/>
  <c r="IQ33" i="1"/>
  <c r="IS33" i="1" s="1"/>
  <c r="GU33" i="1"/>
  <c r="GV33" i="1" s="1"/>
  <c r="IU33" i="1"/>
  <c r="IV33" i="1" s="1"/>
  <c r="C34" i="5"/>
  <c r="IM31" i="1"/>
  <c r="HM31" i="1"/>
  <c r="GV31" i="1"/>
  <c r="HF31" i="1"/>
  <c r="O38" i="3"/>
  <c r="E39" i="5"/>
  <c r="IS34" i="1"/>
  <c r="HU30" i="1"/>
  <c r="N38" i="3"/>
  <c r="D39" i="5"/>
  <c r="IV35" i="1"/>
  <c r="N61" i="3"/>
  <c r="D62" i="5"/>
  <c r="O63" i="3"/>
  <c r="E64" i="5"/>
  <c r="O61" i="3"/>
  <c r="E62" i="5"/>
  <c r="N102" i="3"/>
  <c r="D103" i="5"/>
  <c r="O104" i="3"/>
  <c r="E105" i="5"/>
  <c r="EQ109" i="1"/>
  <c r="EO112" i="1"/>
  <c r="EO113" i="1" s="1"/>
  <c r="EO111" i="1"/>
  <c r="O80" i="3"/>
  <c r="E81" i="5"/>
  <c r="N104" i="3"/>
  <c r="D105" i="5"/>
  <c r="DV112" i="1"/>
  <c r="DV113" i="1" s="1"/>
  <c r="DV111" i="1"/>
  <c r="ES111" i="1"/>
  <c r="ES112" i="1"/>
  <c r="ES113" i="1" s="1"/>
  <c r="HX91" i="1"/>
  <c r="HF91" i="1"/>
  <c r="HU91" i="1"/>
  <c r="HU92" i="1"/>
  <c r="HF92" i="1"/>
  <c r="FS96" i="1"/>
  <c r="EF117" i="1"/>
  <c r="E126" i="1" s="1"/>
  <c r="E28" i="4" s="1"/>
  <c r="EH113" i="1"/>
  <c r="EF114" i="1"/>
  <c r="EF118" i="1"/>
  <c r="EF119" i="1"/>
  <c r="EF120" i="1"/>
  <c r="EG114" i="1"/>
  <c r="EG120" i="1"/>
  <c r="EF121" i="1"/>
  <c r="GL110" i="3"/>
  <c r="FY110" i="3"/>
  <c r="DZ110" i="3"/>
  <c r="AV120" i="3"/>
  <c r="AV122" i="3"/>
  <c r="AV136" i="3"/>
  <c r="AV140" i="3"/>
  <c r="AV142" i="3"/>
  <c r="AV163" i="3"/>
  <c r="AV188" i="3"/>
  <c r="AV182" i="3"/>
  <c r="AV176" i="3"/>
  <c r="AV168" i="3"/>
  <c r="AV156" i="3"/>
  <c r="EZ22" i="1"/>
  <c r="HT7" i="3"/>
  <c r="IL7" i="3"/>
  <c r="HL7" i="3"/>
  <c r="CB7" i="3"/>
  <c r="GV14" i="1"/>
  <c r="IJ14" i="1"/>
  <c r="CB27" i="3"/>
  <c r="CB31" i="3"/>
  <c r="HZ31" i="3"/>
  <c r="CB35" i="3"/>
  <c r="CB39" i="3"/>
  <c r="CB43" i="3"/>
  <c r="II26" i="3"/>
  <c r="GU26" i="3"/>
  <c r="II34" i="3"/>
  <c r="GU34" i="3"/>
  <c r="IA9" i="1"/>
  <c r="IO49" i="3"/>
  <c r="CC51" i="1"/>
  <c r="HM51" i="1"/>
  <c r="IM51" i="1"/>
  <c r="HW53" i="3"/>
  <c r="IL53" i="3"/>
  <c r="HZ53" i="3"/>
  <c r="GH53" i="3"/>
  <c r="GU53" i="3"/>
  <c r="HZ57" i="3"/>
  <c r="IA59" i="1"/>
  <c r="II65" i="3"/>
  <c r="GU65" i="3"/>
  <c r="EQ110" i="1"/>
  <c r="BE110" i="1"/>
  <c r="IG38" i="1"/>
  <c r="GH47" i="3"/>
  <c r="EY47" i="3"/>
  <c r="EC47" i="3"/>
  <c r="HE47" i="3"/>
  <c r="IU51" i="3"/>
  <c r="EY51" i="3"/>
  <c r="HE51" i="3"/>
  <c r="II55" i="3"/>
  <c r="IV25" i="1"/>
  <c r="IA42" i="1"/>
  <c r="GV82" i="1"/>
  <c r="IJ82" i="1"/>
  <c r="IA64" i="1"/>
  <c r="IJ64" i="1"/>
  <c r="GV64" i="1"/>
  <c r="IL74" i="3"/>
  <c r="HL74" i="3"/>
  <c r="CB74" i="3"/>
  <c r="IC74" i="3"/>
  <c r="IR74" i="3"/>
  <c r="HT74" i="3"/>
  <c r="GH74" i="3"/>
  <c r="IL90" i="3"/>
  <c r="IR90" i="3"/>
  <c r="IU90" i="3"/>
  <c r="IM41" i="1"/>
  <c r="CC41" i="1"/>
  <c r="HF45" i="1"/>
  <c r="IA45" i="1"/>
  <c r="HF56" i="1"/>
  <c r="IV56" i="1"/>
  <c r="HX56" i="1"/>
  <c r="CC84" i="1"/>
  <c r="HM84" i="1"/>
  <c r="IM84" i="1"/>
  <c r="CC95" i="1"/>
  <c r="HM95" i="1"/>
  <c r="IM95" i="1"/>
  <c r="IA99" i="1"/>
  <c r="GI100" i="1"/>
  <c r="IA100" i="1"/>
  <c r="IA79" i="1"/>
  <c r="HF79" i="1"/>
  <c r="GC112" i="3"/>
  <c r="GC113" i="3"/>
  <c r="BC113" i="3"/>
  <c r="BC111" i="3"/>
  <c r="BC112" i="3"/>
  <c r="BU111" i="3"/>
  <c r="BU112" i="3"/>
  <c r="BU113" i="3"/>
  <c r="DO113" i="3"/>
  <c r="DO111" i="3"/>
  <c r="DO112" i="3"/>
  <c r="GV6" i="1"/>
  <c r="M15" i="3"/>
  <c r="CB15" i="1"/>
  <c r="EY15" i="1"/>
  <c r="GT15" i="1"/>
  <c r="HE15" i="1"/>
  <c r="HP15" i="1"/>
  <c r="HV15" i="1"/>
  <c r="EB15" i="1"/>
  <c r="HS15" i="1"/>
  <c r="IC15" i="1"/>
  <c r="IH15" i="1"/>
  <c r="IL15" i="1"/>
  <c r="IR15" i="1"/>
  <c r="CA15" i="1"/>
  <c r="CC15" i="1" s="1"/>
  <c r="DC15" i="1"/>
  <c r="EC15" i="1"/>
  <c r="EX15" i="1"/>
  <c r="EZ15" i="1" s="1"/>
  <c r="FQ15" i="1"/>
  <c r="FS15" i="1" s="1"/>
  <c r="HD15" i="1"/>
  <c r="HK15" i="1"/>
  <c r="HT15" i="1"/>
  <c r="HY15" i="1"/>
  <c r="IA15" i="1" s="1"/>
  <c r="IE15" i="1"/>
  <c r="II15" i="1"/>
  <c r="IN15" i="1"/>
  <c r="AU15" i="1"/>
  <c r="DD15" i="1"/>
  <c r="FR15" i="1"/>
  <c r="GG15" i="1"/>
  <c r="GI15" i="1" s="1"/>
  <c r="HL15" i="1"/>
  <c r="HZ15" i="1"/>
  <c r="IF15" i="1"/>
  <c r="IO15" i="1"/>
  <c r="IT15" i="1"/>
  <c r="GH15" i="1"/>
  <c r="GU15" i="1"/>
  <c r="HO15" i="1"/>
  <c r="HQ15" i="1" s="1"/>
  <c r="HW15" i="1"/>
  <c r="IB15" i="1"/>
  <c r="IK15" i="1"/>
  <c r="IM15" i="1" s="1"/>
  <c r="IQ15" i="1"/>
  <c r="IS15" i="1" s="1"/>
  <c r="IU15" i="1"/>
  <c r="C16" i="5"/>
  <c r="GH13" i="1"/>
  <c r="HD13" i="1"/>
  <c r="HF13" i="1" s="1"/>
  <c r="HW13" i="1"/>
  <c r="HX13" i="1" s="1"/>
  <c r="IU13" i="1"/>
  <c r="IV13" i="1" s="1"/>
  <c r="II13" i="1"/>
  <c r="IJ13" i="1" s="1"/>
  <c r="IQ13" i="1"/>
  <c r="IS13" i="1" s="1"/>
  <c r="FQ13" i="1"/>
  <c r="FS13" i="1" s="1"/>
  <c r="GU13" i="1"/>
  <c r="GV13" i="1" s="1"/>
  <c r="HS13" i="1"/>
  <c r="HU13" i="1" s="1"/>
  <c r="IE13" i="1"/>
  <c r="IG13" i="1" s="1"/>
  <c r="C14" i="5"/>
  <c r="N31" i="3"/>
  <c r="D32" i="5"/>
  <c r="N35" i="3"/>
  <c r="D36" i="5"/>
  <c r="N34" i="3"/>
  <c r="D35" i="5"/>
  <c r="ID31" i="1"/>
  <c r="IG31" i="1"/>
  <c r="N45" i="3"/>
  <c r="D46" i="5"/>
  <c r="N36" i="3"/>
  <c r="D37" i="5"/>
  <c r="N51" i="3"/>
  <c r="D52" i="5"/>
  <c r="EZ35" i="1"/>
  <c r="O59" i="3"/>
  <c r="E60" i="5"/>
  <c r="M61" i="3"/>
  <c r="HD61" i="1"/>
  <c r="HF61" i="1" s="1"/>
  <c r="HP61" i="1"/>
  <c r="HQ61" i="1" s="1"/>
  <c r="IC61" i="1"/>
  <c r="IO61" i="1"/>
  <c r="IP61" i="1" s="1"/>
  <c r="AU61" i="1"/>
  <c r="EX61" i="1"/>
  <c r="FQ61" i="1"/>
  <c r="HY61" i="1"/>
  <c r="IA61" i="1" s="1"/>
  <c r="IQ61" i="1"/>
  <c r="IS61" i="1" s="1"/>
  <c r="DD61" i="1"/>
  <c r="DE61" i="1" s="1"/>
  <c r="EC61" i="1"/>
  <c r="ED61" i="1" s="1"/>
  <c r="HK61" i="1"/>
  <c r="HM61" i="1" s="1"/>
  <c r="IE61" i="1"/>
  <c r="IG61" i="1" s="1"/>
  <c r="IU61" i="1"/>
  <c r="GH61" i="1"/>
  <c r="GI61" i="1" s="1"/>
  <c r="GU61" i="1"/>
  <c r="GV61" i="1" s="1"/>
  <c r="HS61" i="1"/>
  <c r="HU61" i="1" s="1"/>
  <c r="II61" i="1"/>
  <c r="IJ61" i="1" s="1"/>
  <c r="CA61" i="1"/>
  <c r="CC61" i="1" s="1"/>
  <c r="HW61" i="1"/>
  <c r="IK61" i="1"/>
  <c r="IM61" i="1" s="1"/>
  <c r="C62" i="5"/>
  <c r="O65" i="3"/>
  <c r="E66" i="5"/>
  <c r="FS71" i="1"/>
  <c r="M76" i="3"/>
  <c r="EB76" i="1"/>
  <c r="EX76" i="1"/>
  <c r="FQ76" i="1"/>
  <c r="FS76" i="1" s="1"/>
  <c r="GH76" i="1"/>
  <c r="GI76" i="1" s="1"/>
  <c r="GU76" i="1"/>
  <c r="GV76" i="1" s="1"/>
  <c r="HP76" i="1"/>
  <c r="HW76" i="1"/>
  <c r="IE76" i="1"/>
  <c r="IK76" i="1"/>
  <c r="IM76" i="1" s="1"/>
  <c r="IR76" i="1"/>
  <c r="EC76" i="1"/>
  <c r="FR76" i="1"/>
  <c r="HD76" i="1"/>
  <c r="HS76" i="1"/>
  <c r="HY76" i="1"/>
  <c r="IA76" i="1" s="1"/>
  <c r="IF76" i="1"/>
  <c r="IN76" i="1"/>
  <c r="AU76" i="1"/>
  <c r="DC76" i="1"/>
  <c r="HE76" i="1"/>
  <c r="HK76" i="1"/>
  <c r="HM76" i="1" s="1"/>
  <c r="HT76" i="1"/>
  <c r="IB76" i="1"/>
  <c r="ID76" i="1" s="1"/>
  <c r="IO76" i="1"/>
  <c r="IU76" i="1"/>
  <c r="CA76" i="1"/>
  <c r="CC76" i="1" s="1"/>
  <c r="DD76" i="1"/>
  <c r="HO76" i="1"/>
  <c r="HQ76" i="1" s="1"/>
  <c r="IC76" i="1"/>
  <c r="II76" i="1"/>
  <c r="IJ76" i="1" s="1"/>
  <c r="IQ76" i="1"/>
  <c r="IS76" i="1" s="1"/>
  <c r="C77" i="5"/>
  <c r="O87" i="3"/>
  <c r="E88" i="5"/>
  <c r="O98" i="3"/>
  <c r="E99" i="5"/>
  <c r="FD109" i="1"/>
  <c r="FB112" i="1"/>
  <c r="FB113" i="1" s="1"/>
  <c r="FB111" i="1"/>
  <c r="N80" i="3"/>
  <c r="D81" i="5"/>
  <c r="O84" i="3"/>
  <c r="E85" i="5"/>
  <c r="O94" i="3"/>
  <c r="E95" i="5"/>
  <c r="BX113" i="1"/>
  <c r="BX112" i="1"/>
  <c r="BX111" i="1"/>
  <c r="HH112" i="1"/>
  <c r="HH113" i="1" s="1"/>
  <c r="HJ109" i="1"/>
  <c r="HH111" i="1"/>
  <c r="M86" i="3"/>
  <c r="FQ86" i="1"/>
  <c r="FS86" i="1" s="1"/>
  <c r="HD86" i="1"/>
  <c r="HF86" i="1" s="1"/>
  <c r="HW86" i="1"/>
  <c r="HX86" i="1" s="1"/>
  <c r="IU86" i="1"/>
  <c r="IV86" i="1" s="1"/>
  <c r="IE86" i="1"/>
  <c r="IG86" i="1" s="1"/>
  <c r="GH86" i="1"/>
  <c r="GI86" i="1" s="1"/>
  <c r="GU86" i="1"/>
  <c r="GV86" i="1" s="1"/>
  <c r="II86" i="1"/>
  <c r="IJ86" i="1" s="1"/>
  <c r="HS86" i="1"/>
  <c r="IQ86" i="1"/>
  <c r="C87" i="5"/>
  <c r="M94" i="3"/>
  <c r="FQ94" i="1"/>
  <c r="FS94" i="1" s="1"/>
  <c r="GU94" i="1"/>
  <c r="GV94" i="1" s="1"/>
  <c r="IE94" i="1"/>
  <c r="II94" i="1"/>
  <c r="IJ94" i="1" s="1"/>
  <c r="HS94" i="1"/>
  <c r="HU94" i="1" s="1"/>
  <c r="IQ94" i="1"/>
  <c r="IS94" i="1" s="1"/>
  <c r="GH94" i="1"/>
  <c r="GI94" i="1" s="1"/>
  <c r="HD94" i="1"/>
  <c r="HW94" i="1"/>
  <c r="IU94" i="1"/>
  <c r="C95" i="5"/>
  <c r="FR103" i="1"/>
  <c r="HT103" i="1"/>
  <c r="IF103" i="1"/>
  <c r="IR103" i="1"/>
  <c r="C104" i="5"/>
  <c r="DC103" i="1"/>
  <c r="DE103" i="1" s="1"/>
  <c r="HD103" i="1"/>
  <c r="HW103" i="1"/>
  <c r="II103" i="1"/>
  <c r="IJ103" i="1" s="1"/>
  <c r="IU103" i="1"/>
  <c r="HE103" i="1"/>
  <c r="HO103" i="1"/>
  <c r="HQ103" i="1" s="1"/>
  <c r="IB103" i="1"/>
  <c r="IN103" i="1"/>
  <c r="IP103" i="1" s="1"/>
  <c r="EB103" i="1"/>
  <c r="ED103" i="1" s="1"/>
  <c r="FQ103" i="1"/>
  <c r="FS103" i="1" s="1"/>
  <c r="GH103" i="1"/>
  <c r="GI103" i="1" s="1"/>
  <c r="GU103" i="1"/>
  <c r="GV103" i="1" s="1"/>
  <c r="HS103" i="1"/>
  <c r="IE103" i="1"/>
  <c r="IQ103" i="1"/>
  <c r="IS103" i="1" s="1"/>
  <c r="BE109" i="1"/>
  <c r="BC111" i="1"/>
  <c r="BC113" i="1"/>
  <c r="BC112" i="1"/>
  <c r="DY114" i="1"/>
  <c r="DZ114" i="1"/>
  <c r="DZ120" i="1"/>
  <c r="EU114" i="1"/>
  <c r="EV114" i="1"/>
  <c r="EV120" i="1"/>
  <c r="IS91" i="1"/>
  <c r="IJ91" i="1"/>
  <c r="IV91" i="1"/>
  <c r="IP92" i="1"/>
  <c r="IG92" i="1"/>
  <c r="HQ96" i="1"/>
  <c r="ED96" i="1"/>
  <c r="IJ102" i="1"/>
  <c r="DH110" i="3"/>
  <c r="DA110" i="3"/>
  <c r="GY110" i="3"/>
  <c r="GR110" i="3"/>
  <c r="CO110" i="3"/>
  <c r="CI110" i="3"/>
  <c r="CX110" i="3"/>
  <c r="EZ14" i="1"/>
  <c r="ID14" i="1"/>
  <c r="HW7" i="3"/>
  <c r="EC7" i="3"/>
  <c r="GU27" i="3"/>
  <c r="EC27" i="3"/>
  <c r="IR31" i="3"/>
  <c r="HT31" i="3"/>
  <c r="GU35" i="3"/>
  <c r="EC35" i="3"/>
  <c r="EY39" i="3"/>
  <c r="EC39" i="3"/>
  <c r="EY43" i="3"/>
  <c r="EC43" i="3"/>
  <c r="IR26" i="3"/>
  <c r="IC30" i="3"/>
  <c r="IF53" i="3"/>
  <c r="IO53" i="3"/>
  <c r="IR65" i="3"/>
  <c r="HT65" i="3"/>
  <c r="IC65" i="3"/>
  <c r="FS61" i="1"/>
  <c r="ID61" i="1"/>
  <c r="CV110" i="1"/>
  <c r="ED38" i="1"/>
  <c r="HW47" i="3"/>
  <c r="HW51" i="3"/>
  <c r="FD110" i="1"/>
  <c r="GI13" i="1"/>
  <c r="IS25" i="1"/>
  <c r="IG59" i="1"/>
  <c r="EZ61" i="1"/>
  <c r="HX61" i="1"/>
  <c r="IV61" i="1"/>
  <c r="HX94" i="1"/>
  <c r="IV94" i="1"/>
  <c r="IR95" i="3"/>
  <c r="EC74" i="3"/>
  <c r="EC90" i="3"/>
  <c r="HU41" i="1"/>
  <c r="IJ45" i="1"/>
  <c r="IG56" i="1"/>
  <c r="ED74" i="1"/>
  <c r="EZ76" i="1"/>
  <c r="HX76" i="1"/>
  <c r="IV76" i="1"/>
  <c r="HU78" i="1"/>
  <c r="ED82" i="1"/>
  <c r="HU82" i="1"/>
  <c r="IS82" i="1"/>
  <c r="EZ84" i="1"/>
  <c r="HX84" i="1"/>
  <c r="IV84" i="1"/>
  <c r="HU86" i="1"/>
  <c r="IS86" i="1"/>
  <c r="HF94" i="1"/>
  <c r="IG94" i="1"/>
  <c r="GV100" i="1"/>
  <c r="IJ100" i="1"/>
  <c r="HT96" i="3"/>
  <c r="IV103" i="1"/>
  <c r="HX103" i="1"/>
  <c r="ID103" i="1"/>
  <c r="EQ113" i="3"/>
  <c r="EQ112" i="3"/>
  <c r="IE9" i="1"/>
  <c r="IG9" i="1" s="1"/>
  <c r="HD9" i="1"/>
  <c r="HF9" i="1" s="1"/>
  <c r="II9" i="1"/>
  <c r="IJ9" i="1" s="1"/>
  <c r="GH9" i="1"/>
  <c r="GI9" i="1" s="1"/>
  <c r="IQ9" i="1"/>
  <c r="IS9" i="1" s="1"/>
  <c r="HS9" i="1"/>
  <c r="HU9" i="1" s="1"/>
  <c r="C10" i="5"/>
  <c r="BO113" i="3"/>
  <c r="BO111" i="3"/>
  <c r="BO112" i="3"/>
  <c r="IM6" i="1"/>
  <c r="HM6" i="1"/>
  <c r="IV6" i="1"/>
  <c r="HX6" i="1"/>
  <c r="CC6" i="1"/>
  <c r="HF26" i="1"/>
  <c r="IJ27" i="1"/>
  <c r="GI27" i="1"/>
  <c r="O25" i="3"/>
  <c r="E26" i="5"/>
  <c r="FS31" i="1"/>
  <c r="IA31" i="1"/>
  <c r="EZ31" i="1"/>
  <c r="N41" i="3"/>
  <c r="D42" i="5"/>
  <c r="HU34" i="1"/>
  <c r="IS30" i="1"/>
  <c r="ED35" i="1"/>
  <c r="IA35" i="1"/>
  <c r="M59" i="3"/>
  <c r="FQ59" i="1"/>
  <c r="FS59" i="1" s="1"/>
  <c r="HD59" i="1"/>
  <c r="HF59" i="1" s="1"/>
  <c r="HW59" i="1"/>
  <c r="HX59" i="1" s="1"/>
  <c r="IU59" i="1"/>
  <c r="IV59" i="1" s="1"/>
  <c r="II59" i="1"/>
  <c r="IJ59" i="1" s="1"/>
  <c r="IQ59" i="1"/>
  <c r="IS59" i="1" s="1"/>
  <c r="GH59" i="1"/>
  <c r="GI59" i="1" s="1"/>
  <c r="GU59" i="1"/>
  <c r="GV59" i="1" s="1"/>
  <c r="HS59" i="1"/>
  <c r="HU59" i="1" s="1"/>
  <c r="IE59" i="1"/>
  <c r="C60" i="5"/>
  <c r="HM69" i="1"/>
  <c r="HU71" i="1"/>
  <c r="N74" i="3"/>
  <c r="D75" i="5"/>
  <c r="N56" i="3"/>
  <c r="D57" i="5"/>
  <c r="HS63" i="1"/>
  <c r="HU63" i="1" s="1"/>
  <c r="IQ63" i="1"/>
  <c r="IS63" i="1" s="1"/>
  <c r="FQ63" i="1"/>
  <c r="FS63" i="1" s="1"/>
  <c r="HD63" i="1"/>
  <c r="HF63" i="1" s="1"/>
  <c r="HW63" i="1"/>
  <c r="HX63" i="1" s="1"/>
  <c r="IU63" i="1"/>
  <c r="IV63" i="1" s="1"/>
  <c r="IE63" i="1"/>
  <c r="IG63" i="1" s="1"/>
  <c r="GH63" i="1"/>
  <c r="GI63" i="1" s="1"/>
  <c r="GU63" i="1"/>
  <c r="GV63" i="1" s="1"/>
  <c r="II63" i="1"/>
  <c r="IJ63" i="1" s="1"/>
  <c r="C64" i="5"/>
  <c r="O74" i="3"/>
  <c r="E75" i="5"/>
  <c r="N76" i="3"/>
  <c r="D77" i="5"/>
  <c r="M78" i="3"/>
  <c r="FQ78" i="1"/>
  <c r="FS78" i="1" s="1"/>
  <c r="HD78" i="1"/>
  <c r="HF78" i="1" s="1"/>
  <c r="HW78" i="1"/>
  <c r="HX78" i="1" s="1"/>
  <c r="IU78" i="1"/>
  <c r="IV78" i="1" s="1"/>
  <c r="IE78" i="1"/>
  <c r="IG78" i="1" s="1"/>
  <c r="GH78" i="1"/>
  <c r="GI78" i="1" s="1"/>
  <c r="GU78" i="1"/>
  <c r="GV78" i="1" s="1"/>
  <c r="II78" i="1"/>
  <c r="IJ78" i="1" s="1"/>
  <c r="HS78" i="1"/>
  <c r="C79" i="5"/>
  <c r="IQ78" i="1"/>
  <c r="IS78" i="1" s="1"/>
  <c r="N86" i="3"/>
  <c r="D87" i="5"/>
  <c r="FM109" i="1"/>
  <c r="FK112" i="1"/>
  <c r="FK113" i="1" s="1"/>
  <c r="FK111" i="1"/>
  <c r="M80" i="3"/>
  <c r="CA80" i="1"/>
  <c r="CC80" i="1" s="1"/>
  <c r="DD80" i="1"/>
  <c r="HO80" i="1"/>
  <c r="IC80" i="1"/>
  <c r="II80" i="1"/>
  <c r="IJ80" i="1" s="1"/>
  <c r="IQ80" i="1"/>
  <c r="EB80" i="1"/>
  <c r="EX80" i="1"/>
  <c r="EZ80" i="1" s="1"/>
  <c r="FQ80" i="1"/>
  <c r="FS80" i="1" s="1"/>
  <c r="GH80" i="1"/>
  <c r="GI80" i="1" s="1"/>
  <c r="GU80" i="1"/>
  <c r="GV80" i="1" s="1"/>
  <c r="HP80" i="1"/>
  <c r="HW80" i="1"/>
  <c r="HX80" i="1" s="1"/>
  <c r="IE80" i="1"/>
  <c r="IK80" i="1"/>
  <c r="IM80" i="1" s="1"/>
  <c r="IR80" i="1"/>
  <c r="EC80" i="1"/>
  <c r="FR80" i="1"/>
  <c r="HD80" i="1"/>
  <c r="HS80" i="1"/>
  <c r="HU80" i="1" s="1"/>
  <c r="HY80" i="1"/>
  <c r="IA80" i="1" s="1"/>
  <c r="IF80" i="1"/>
  <c r="IN80" i="1"/>
  <c r="IB80" i="1"/>
  <c r="ID80" i="1" s="1"/>
  <c r="C81" i="5"/>
  <c r="AU80" i="1"/>
  <c r="DC80" i="1"/>
  <c r="DE80" i="1" s="1"/>
  <c r="HK80" i="1"/>
  <c r="HM80" i="1" s="1"/>
  <c r="IO80" i="1"/>
  <c r="HE80" i="1"/>
  <c r="HT80" i="1"/>
  <c r="IU80" i="1"/>
  <c r="IV80" i="1" s="1"/>
  <c r="O82" i="3"/>
  <c r="E83" i="5"/>
  <c r="N100" i="3"/>
  <c r="D101" i="5"/>
  <c r="CK114" i="1"/>
  <c r="CL114" i="1"/>
  <c r="CL120" i="1"/>
  <c r="N84" i="3"/>
  <c r="D85" i="5"/>
  <c r="N103" i="3"/>
  <c r="D104" i="5"/>
  <c r="M104" i="3"/>
  <c r="HD104" i="1"/>
  <c r="HK104" i="1"/>
  <c r="HM104" i="1" s="1"/>
  <c r="HT104" i="1"/>
  <c r="IB104" i="1"/>
  <c r="II104" i="1"/>
  <c r="IJ104" i="1" s="1"/>
  <c r="IQ104" i="1"/>
  <c r="IS104" i="1" s="1"/>
  <c r="EB104" i="1"/>
  <c r="ED104" i="1" s="1"/>
  <c r="EX104" i="1"/>
  <c r="EZ104" i="1" s="1"/>
  <c r="HE104" i="1"/>
  <c r="HO104" i="1"/>
  <c r="IC104" i="1"/>
  <c r="IK104" i="1"/>
  <c r="IM104" i="1" s="1"/>
  <c r="IR104" i="1"/>
  <c r="AU104" i="1"/>
  <c r="CA104" i="1"/>
  <c r="CC104" i="1" s="1"/>
  <c r="DC104" i="1"/>
  <c r="DE104" i="1" s="1"/>
  <c r="EC104" i="1"/>
  <c r="FQ104" i="1"/>
  <c r="GH104" i="1"/>
  <c r="GI104" i="1" s="1"/>
  <c r="HP104" i="1"/>
  <c r="HW104" i="1"/>
  <c r="HX104" i="1" s="1"/>
  <c r="IE104" i="1"/>
  <c r="IN104" i="1"/>
  <c r="IU104" i="1"/>
  <c r="IV104" i="1" s="1"/>
  <c r="DD104" i="1"/>
  <c r="FR104" i="1"/>
  <c r="GU104" i="1"/>
  <c r="GV104" i="1" s="1"/>
  <c r="HS104" i="1"/>
  <c r="HY104" i="1"/>
  <c r="IA104" i="1" s="1"/>
  <c r="IF104" i="1"/>
  <c r="IO104" i="1"/>
  <c r="C105" i="5"/>
  <c r="CN111" i="1"/>
  <c r="CP109" i="1"/>
  <c r="CN112" i="1"/>
  <c r="CN113" i="1" s="1"/>
  <c r="EI112" i="1"/>
  <c r="EI113" i="1" s="1"/>
  <c r="EK109" i="1"/>
  <c r="EI111" i="1"/>
  <c r="IG91" i="1"/>
  <c r="HQ92" i="1"/>
  <c r="IS96" i="1"/>
  <c r="HU96" i="1"/>
  <c r="ET109" i="1"/>
  <c r="AV117" i="3"/>
  <c r="AV128" i="3"/>
  <c r="AV179" i="3"/>
  <c r="AV175" i="3"/>
  <c r="AV187" i="3"/>
  <c r="AV158" i="3"/>
  <c r="AV143" i="3"/>
  <c r="AV139" i="3"/>
  <c r="AV114" i="3"/>
  <c r="AV109" i="3"/>
  <c r="AV111" i="3"/>
  <c r="AV148" i="3"/>
  <c r="AV152" i="3"/>
  <c r="AV150" i="3"/>
  <c r="AV159" i="3"/>
  <c r="AV183" i="3"/>
  <c r="DO120" i="3"/>
  <c r="DO121" i="3"/>
  <c r="DQ113" i="3"/>
  <c r="DO118" i="3"/>
  <c r="DP120" i="3"/>
  <c r="DO114" i="3"/>
  <c r="DO115" i="3" s="1"/>
  <c r="DO117" i="3"/>
  <c r="D130" i="3" s="1"/>
  <c r="O32" i="4" s="1"/>
  <c r="DQ118" i="3"/>
  <c r="DO119" i="3"/>
  <c r="DP114" i="3"/>
  <c r="DP115" i="3" s="1"/>
  <c r="DQ117" i="3"/>
  <c r="DQ119" i="3"/>
  <c r="D131" i="3" s="1"/>
  <c r="O33" i="4" s="1"/>
  <c r="AV186" i="3"/>
  <c r="AV194" i="3"/>
  <c r="AV195" i="3"/>
  <c r="AV171" i="3"/>
  <c r="CR113" i="3"/>
  <c r="CP120" i="3"/>
  <c r="CP121" i="3"/>
  <c r="CP118" i="3"/>
  <c r="CQ120" i="3"/>
  <c r="CP114" i="3"/>
  <c r="CP115" i="3" s="1"/>
  <c r="CP117" i="3"/>
  <c r="C130" i="3" s="1"/>
  <c r="N32" i="4" s="1"/>
  <c r="CR118" i="3"/>
  <c r="CP119" i="3"/>
  <c r="CQ114" i="3"/>
  <c r="CQ115" i="3" s="1"/>
  <c r="CR117" i="3"/>
  <c r="CR119" i="3"/>
  <c r="C131" i="3" s="1"/>
  <c r="N33" i="4" s="1"/>
  <c r="AV174" i="3"/>
  <c r="AV166" i="3"/>
  <c r="AV149" i="3"/>
  <c r="AV141" i="3"/>
  <c r="AV131" i="3"/>
  <c r="AV125" i="3"/>
  <c r="DG114" i="1"/>
  <c r="DG120" i="1"/>
  <c r="DH114" i="1"/>
  <c r="DH120" i="1"/>
  <c r="DI113" i="1"/>
  <c r="AV124" i="3"/>
  <c r="AV126" i="3"/>
  <c r="AV154" i="3"/>
  <c r="AV190" i="3"/>
  <c r="AV180" i="3"/>
  <c r="AV172" i="3"/>
  <c r="AV162" i="3"/>
  <c r="AV121" i="3"/>
  <c r="AV119" i="3"/>
  <c r="AV112" i="3"/>
  <c r="AV115" i="3"/>
  <c r="AV113" i="3"/>
  <c r="AV118" i="3"/>
  <c r="AV132" i="3"/>
  <c r="AV130" i="3"/>
  <c r="AV134" i="3"/>
  <c r="AV138" i="3"/>
  <c r="AV144" i="3"/>
  <c r="AV146" i="3"/>
  <c r="AV167" i="3"/>
  <c r="AV184" i="3"/>
  <c r="AV192" i="3"/>
  <c r="AV196" i="3"/>
  <c r="AV191" i="3"/>
  <c r="AV178" i="3"/>
  <c r="AV170" i="3"/>
  <c r="AV164" i="3"/>
  <c r="AV160" i="3"/>
  <c r="AV151" i="3"/>
  <c r="AV155" i="3"/>
  <c r="AV145" i="3"/>
  <c r="AV133" i="3"/>
  <c r="AV123" i="3"/>
  <c r="CV113" i="3"/>
  <c r="CX109" i="3"/>
  <c r="CV111" i="3"/>
  <c r="CV112" i="3"/>
  <c r="FT113" i="3"/>
  <c r="FV109" i="3"/>
  <c r="FT111" i="3"/>
  <c r="FT112" i="3"/>
  <c r="GW111" i="3"/>
  <c r="GW113" i="3"/>
  <c r="GY109" i="3"/>
  <c r="GW112" i="3"/>
  <c r="CF113" i="3"/>
  <c r="CD120" i="3"/>
  <c r="CD121" i="3"/>
  <c r="CD118" i="3"/>
  <c r="CE120" i="3"/>
  <c r="CD114" i="3"/>
  <c r="CD115" i="3" s="1"/>
  <c r="CD117" i="3"/>
  <c r="C122" i="3" s="1"/>
  <c r="N24" i="4" s="1"/>
  <c r="CF118" i="3"/>
  <c r="CD119" i="3"/>
  <c r="CE114" i="3"/>
  <c r="CE115" i="3" s="1"/>
  <c r="CF117" i="3"/>
  <c r="CF119" i="3"/>
  <c r="C123" i="3" s="1"/>
  <c r="N25" i="4" s="1"/>
  <c r="AV110" i="3"/>
  <c r="AV127" i="3"/>
  <c r="AV135" i="3"/>
  <c r="GN112" i="3"/>
  <c r="GN113" i="3"/>
  <c r="GN111" i="3"/>
  <c r="AV204" i="3"/>
  <c r="FK113" i="3"/>
  <c r="FK112" i="3"/>
  <c r="FK111" i="3"/>
  <c r="AV206" i="3"/>
  <c r="BH114" i="3"/>
  <c r="BH115" i="3" s="1"/>
  <c r="BH117" i="3"/>
  <c r="B126" i="3" s="1"/>
  <c r="M28" i="4" s="1"/>
  <c r="BJ118" i="3"/>
  <c r="BH119" i="3"/>
  <c r="BI114" i="3"/>
  <c r="BI115" i="3" s="1"/>
  <c r="BJ117" i="3"/>
  <c r="BJ119" i="3"/>
  <c r="B127" i="3" s="1"/>
  <c r="M29" i="4" s="1"/>
  <c r="BH121" i="3"/>
  <c r="BH120" i="3"/>
  <c r="BJ113" i="3"/>
  <c r="BH118" i="3"/>
  <c r="BI120" i="3"/>
  <c r="CG114" i="3"/>
  <c r="CG115" i="3" s="1"/>
  <c r="CG117" i="3"/>
  <c r="C124" i="3" s="1"/>
  <c r="N26" i="4" s="1"/>
  <c r="CI118" i="3"/>
  <c r="CG119" i="3"/>
  <c r="CI113" i="3"/>
  <c r="CH114" i="3"/>
  <c r="CH115" i="3" s="1"/>
  <c r="CI117" i="3"/>
  <c r="CI119" i="3"/>
  <c r="C125" i="3" s="1"/>
  <c r="N27" i="4" s="1"/>
  <c r="CG121" i="3"/>
  <c r="CG120" i="3"/>
  <c r="CG118" i="3"/>
  <c r="CH120" i="3"/>
  <c r="DH113" i="3"/>
  <c r="DF114" i="3"/>
  <c r="DF115" i="3" s="1"/>
  <c r="DF117" i="3"/>
  <c r="D124" i="3" s="1"/>
  <c r="O26" i="4" s="1"/>
  <c r="DH118" i="3"/>
  <c r="DF119" i="3"/>
  <c r="DG114" i="3"/>
  <c r="DG115" i="3" s="1"/>
  <c r="DH117" i="3"/>
  <c r="DH119" i="3"/>
  <c r="D125" i="3" s="1"/>
  <c r="O27" i="4" s="1"/>
  <c r="DF121" i="3"/>
  <c r="DF120" i="3"/>
  <c r="DF118" i="3"/>
  <c r="DG120" i="3"/>
  <c r="EG113" i="3"/>
  <c r="EE114" i="3"/>
  <c r="EE115" i="3" s="1"/>
  <c r="EE117" i="3"/>
  <c r="E126" i="3" s="1"/>
  <c r="P28" i="4" s="1"/>
  <c r="EG118" i="3"/>
  <c r="EE119" i="3"/>
  <c r="EF114" i="3"/>
  <c r="EF115" i="3" s="1"/>
  <c r="EG117" i="3"/>
  <c r="EG119" i="3"/>
  <c r="E127" i="3" s="1"/>
  <c r="P29" i="4" s="1"/>
  <c r="EE121" i="3"/>
  <c r="EE120" i="3"/>
  <c r="EE118" i="3"/>
  <c r="EF120" i="3"/>
  <c r="FF113" i="3"/>
  <c r="FD114" i="3"/>
  <c r="FD115" i="3" s="1"/>
  <c r="FD117" i="3"/>
  <c r="F130" i="3" s="1"/>
  <c r="Q32" i="4" s="1"/>
  <c r="FF118" i="3"/>
  <c r="FD119" i="3"/>
  <c r="FE114" i="3"/>
  <c r="FE115" i="3" s="1"/>
  <c r="FF117" i="3"/>
  <c r="FF119" i="3"/>
  <c r="F131" i="3" s="1"/>
  <c r="Q33" i="4" s="1"/>
  <c r="FD121" i="3"/>
  <c r="FD120" i="3"/>
  <c r="FD118" i="3"/>
  <c r="FE120" i="3"/>
  <c r="GE113" i="3"/>
  <c r="GC114" i="3"/>
  <c r="GC115" i="3" s="1"/>
  <c r="GC117" i="3"/>
  <c r="G136" i="3" s="1"/>
  <c r="R38" i="4" s="1"/>
  <c r="GE118" i="3"/>
  <c r="GC119" i="3"/>
  <c r="GD114" i="3"/>
  <c r="GD115" i="3" s="1"/>
  <c r="GE117" i="3"/>
  <c r="GE119" i="3"/>
  <c r="G137" i="3" s="1"/>
  <c r="R39" i="4" s="1"/>
  <c r="GC121" i="3"/>
  <c r="GC120" i="3"/>
  <c r="GC118" i="3"/>
  <c r="GD120" i="3"/>
  <c r="GJ111" i="3"/>
  <c r="GJ113" i="3"/>
  <c r="GL109" i="3"/>
  <c r="GJ112" i="3"/>
  <c r="AV200" i="3"/>
  <c r="EK111" i="3"/>
  <c r="EK113" i="3"/>
  <c r="EM109" i="3"/>
  <c r="EK112" i="3"/>
  <c r="CE111" i="3"/>
  <c r="CE112" i="3"/>
  <c r="CE113" i="3"/>
  <c r="FX112" i="3"/>
  <c r="FX113" i="3"/>
  <c r="FX111" i="3"/>
  <c r="GO109" i="3"/>
  <c r="IO6" i="3"/>
  <c r="HP6" i="3"/>
  <c r="DD6" i="3"/>
  <c r="IF6" i="3"/>
  <c r="CY111" i="3"/>
  <c r="CY113" i="3"/>
  <c r="DA109" i="3"/>
  <c r="CY112" i="3"/>
  <c r="EY7" i="3"/>
  <c r="FR31" i="3"/>
  <c r="IR34" i="3"/>
  <c r="GH34" i="3"/>
  <c r="IP9" i="1"/>
  <c r="HQ9" i="1"/>
  <c r="DE9" i="1"/>
  <c r="M37" i="3"/>
  <c r="DC37" i="1"/>
  <c r="EB37" i="1"/>
  <c r="FR37" i="1"/>
  <c r="HE37" i="1"/>
  <c r="HO37" i="1"/>
  <c r="HT37" i="1"/>
  <c r="IB37" i="1"/>
  <c r="IF37" i="1"/>
  <c r="IN37" i="1"/>
  <c r="IR37" i="1"/>
  <c r="AU37" i="1"/>
  <c r="CA37" i="1"/>
  <c r="DD37" i="1"/>
  <c r="EC37" i="1"/>
  <c r="EX37" i="1"/>
  <c r="HK37" i="1"/>
  <c r="HP37" i="1"/>
  <c r="HY37" i="1"/>
  <c r="IC37" i="1"/>
  <c r="IK37" i="1"/>
  <c r="IO37" i="1"/>
  <c r="EY37" i="1"/>
  <c r="GT37" i="1"/>
  <c r="HD37" i="1"/>
  <c r="HF37" i="1" s="1"/>
  <c r="HW37" i="1"/>
  <c r="IE37" i="1"/>
  <c r="IG37" i="1" s="1"/>
  <c r="IU37" i="1"/>
  <c r="CB37" i="1"/>
  <c r="GU37" i="1"/>
  <c r="HZ37" i="1"/>
  <c r="IH37" i="1"/>
  <c r="GG37" i="1"/>
  <c r="HS37" i="1"/>
  <c r="II37" i="1"/>
  <c r="IQ37" i="1"/>
  <c r="FQ37" i="1"/>
  <c r="GH37" i="1"/>
  <c r="HL37" i="1"/>
  <c r="HV37" i="1"/>
  <c r="HX37" i="1" s="1"/>
  <c r="IL37" i="1"/>
  <c r="IT37" i="1"/>
  <c r="C38" i="5"/>
  <c r="N40" i="3"/>
  <c r="D41" i="5"/>
  <c r="HP53" i="3"/>
  <c r="DD53" i="3"/>
  <c r="O60" i="3"/>
  <c r="E61" i="5"/>
  <c r="BZ38" i="3"/>
  <c r="DC38" i="3"/>
  <c r="EB38" i="3"/>
  <c r="EW38" i="3"/>
  <c r="HJ38" i="3"/>
  <c r="HO38" i="3"/>
  <c r="HX38" i="3"/>
  <c r="IB38" i="3"/>
  <c r="IJ38" i="3"/>
  <c r="IN38" i="3"/>
  <c r="CA38" i="3"/>
  <c r="EX38" i="3"/>
  <c r="FP38" i="3"/>
  <c r="GS38" i="3"/>
  <c r="HN38" i="3"/>
  <c r="HP38" i="3" s="1"/>
  <c r="HU38" i="3"/>
  <c r="IE38" i="3"/>
  <c r="IK38" i="3"/>
  <c r="IP38" i="3"/>
  <c r="FQ38" i="3"/>
  <c r="GF38" i="3"/>
  <c r="GT38" i="3"/>
  <c r="HC38" i="3"/>
  <c r="HV38" i="3"/>
  <c r="IA38" i="3"/>
  <c r="IG38" i="3"/>
  <c r="IQ38" i="3"/>
  <c r="EA38" i="3"/>
  <c r="GG38" i="3"/>
  <c r="HD38" i="3"/>
  <c r="HK38" i="3"/>
  <c r="HR38" i="3"/>
  <c r="IH38" i="3"/>
  <c r="IM38" i="3"/>
  <c r="IO38" i="3" s="1"/>
  <c r="IS38" i="3"/>
  <c r="DB38" i="3"/>
  <c r="DD38" i="3" s="1"/>
  <c r="HS38" i="3"/>
  <c r="HY38" i="3"/>
  <c r="IT38" i="3"/>
  <c r="ID38" i="3"/>
  <c r="IF38" i="3" s="1"/>
  <c r="HZ51" i="3"/>
  <c r="EC51" i="3"/>
  <c r="GU55" i="3"/>
  <c r="N8" i="3"/>
  <c r="D9" i="5"/>
  <c r="GZ110" i="1"/>
  <c r="GZ113" i="1" s="1"/>
  <c r="CM110" i="1"/>
  <c r="CM113" i="1" s="1"/>
  <c r="EZ13" i="1"/>
  <c r="ID13" i="1"/>
  <c r="DL110" i="1"/>
  <c r="EZ17" i="1"/>
  <c r="ID17" i="1"/>
  <c r="EZ21" i="1"/>
  <c r="ID21" i="1"/>
  <c r="ED25" i="1"/>
  <c r="EZ29" i="1"/>
  <c r="ID29" i="1"/>
  <c r="IJ33" i="1"/>
  <c r="IP33" i="1"/>
  <c r="HQ33" i="1"/>
  <c r="DE33" i="1"/>
  <c r="BZ42" i="3"/>
  <c r="CB42" i="3" s="1"/>
  <c r="DC42" i="3"/>
  <c r="EB42" i="3"/>
  <c r="EW42" i="3"/>
  <c r="HJ42" i="3"/>
  <c r="HL42" i="3" s="1"/>
  <c r="HO42" i="3"/>
  <c r="HX42" i="3"/>
  <c r="IB42" i="3"/>
  <c r="IJ42" i="3"/>
  <c r="IL42" i="3" s="1"/>
  <c r="IN42" i="3"/>
  <c r="CA42" i="3"/>
  <c r="EX42" i="3"/>
  <c r="GF42" i="3"/>
  <c r="GH42" i="3" s="1"/>
  <c r="GS42" i="3"/>
  <c r="GU42" i="3" s="1"/>
  <c r="HK42" i="3"/>
  <c r="HU42" i="3"/>
  <c r="HY42" i="3"/>
  <c r="IG42" i="3"/>
  <c r="II42" i="3" s="1"/>
  <c r="IK42" i="3"/>
  <c r="IS42" i="3"/>
  <c r="FP42" i="3"/>
  <c r="FR42" i="3" s="1"/>
  <c r="GG42" i="3"/>
  <c r="GT42" i="3"/>
  <c r="HC42" i="3"/>
  <c r="HR42" i="3"/>
  <c r="HT42" i="3" s="1"/>
  <c r="HV42" i="3"/>
  <c r="ID42" i="3"/>
  <c r="IH42" i="3"/>
  <c r="IP42" i="3"/>
  <c r="IR42" i="3" s="1"/>
  <c r="IT42" i="3"/>
  <c r="EA42" i="3"/>
  <c r="EC42" i="3" s="1"/>
  <c r="FQ42" i="3"/>
  <c r="IA42" i="3"/>
  <c r="IC42" i="3" s="1"/>
  <c r="IQ42" i="3"/>
  <c r="DB42" i="3"/>
  <c r="HD42" i="3"/>
  <c r="HN42" i="3"/>
  <c r="HP42" i="3" s="1"/>
  <c r="IE42" i="3"/>
  <c r="HS42" i="3"/>
  <c r="IM42" i="3"/>
  <c r="ED51" i="1"/>
  <c r="O54" i="3"/>
  <c r="E55" i="5"/>
  <c r="ED59" i="1"/>
  <c r="ED48" i="1"/>
  <c r="HT91" i="3"/>
  <c r="IO91" i="3"/>
  <c r="GH91" i="3"/>
  <c r="EC95" i="3"/>
  <c r="II95" i="3"/>
  <c r="GU95" i="3"/>
  <c r="HW99" i="3"/>
  <c r="HZ99" i="3"/>
  <c r="GH99" i="3"/>
  <c r="IP60" i="1"/>
  <c r="HQ60" i="1"/>
  <c r="DE60" i="1"/>
  <c r="N62" i="3"/>
  <c r="D63" i="5"/>
  <c r="GI64" i="1"/>
  <c r="ID67" i="1"/>
  <c r="DB67" i="3"/>
  <c r="EA67" i="3"/>
  <c r="FQ67" i="3"/>
  <c r="HD67" i="3"/>
  <c r="HN67" i="3"/>
  <c r="HS67" i="3"/>
  <c r="IA67" i="3"/>
  <c r="IE67" i="3"/>
  <c r="IM67" i="3"/>
  <c r="IQ67" i="3"/>
  <c r="BZ67" i="3"/>
  <c r="DC67" i="3"/>
  <c r="EB67" i="3"/>
  <c r="EW67" i="3"/>
  <c r="HJ67" i="3"/>
  <c r="HO67" i="3"/>
  <c r="HX67" i="3"/>
  <c r="HZ67" i="3" s="1"/>
  <c r="IB67" i="3"/>
  <c r="IJ67" i="3"/>
  <c r="IN67" i="3"/>
  <c r="CA67" i="3"/>
  <c r="EX67" i="3"/>
  <c r="GF67" i="3"/>
  <c r="GS67" i="3"/>
  <c r="GU67" i="3" s="1"/>
  <c r="HK67" i="3"/>
  <c r="HU67" i="3"/>
  <c r="HY67" i="3"/>
  <c r="IG67" i="3"/>
  <c r="II67" i="3" s="1"/>
  <c r="IK67" i="3"/>
  <c r="IS67" i="3"/>
  <c r="FP67" i="3"/>
  <c r="FR67" i="3" s="1"/>
  <c r="GG67" i="3"/>
  <c r="GT67" i="3"/>
  <c r="HC67" i="3"/>
  <c r="HR67" i="3"/>
  <c r="HT67" i="3" s="1"/>
  <c r="HV67" i="3"/>
  <c r="ID67" i="3"/>
  <c r="IH67" i="3"/>
  <c r="IP67" i="3"/>
  <c r="IR67" i="3" s="1"/>
  <c r="IT67" i="3"/>
  <c r="EZ41" i="1"/>
  <c r="ID41" i="1"/>
  <c r="IP45" i="1"/>
  <c r="HQ45" i="1"/>
  <c r="DE45" i="1"/>
  <c r="ED56" i="1"/>
  <c r="M66" i="3"/>
  <c r="DC66" i="1"/>
  <c r="EB66" i="1"/>
  <c r="FR66" i="1"/>
  <c r="HE66" i="1"/>
  <c r="HO66" i="1"/>
  <c r="HT66" i="1"/>
  <c r="IB66" i="1"/>
  <c r="IF66" i="1"/>
  <c r="IN66" i="1"/>
  <c r="IR66" i="1"/>
  <c r="AU66" i="1"/>
  <c r="CA66" i="1"/>
  <c r="DD66" i="1"/>
  <c r="EC66" i="1"/>
  <c r="EX66" i="1"/>
  <c r="HK66" i="1"/>
  <c r="HP66" i="1"/>
  <c r="HY66" i="1"/>
  <c r="IC66" i="1"/>
  <c r="IK66" i="1"/>
  <c r="IO66" i="1"/>
  <c r="FQ66" i="1"/>
  <c r="FS66" i="1" s="1"/>
  <c r="GH66" i="1"/>
  <c r="GU66" i="1"/>
  <c r="HD66" i="1"/>
  <c r="HS66" i="1"/>
  <c r="HU66" i="1" s="1"/>
  <c r="HW66" i="1"/>
  <c r="IE66" i="1"/>
  <c r="IG66" i="1" s="1"/>
  <c r="II66" i="1"/>
  <c r="IQ66" i="1"/>
  <c r="IS66" i="1" s="1"/>
  <c r="IU66" i="1"/>
  <c r="CB66" i="1"/>
  <c r="IH66" i="1"/>
  <c r="IJ66" i="1" s="1"/>
  <c r="EY66" i="1"/>
  <c r="HV66" i="1"/>
  <c r="HX66" i="1" s="1"/>
  <c r="IL66" i="1"/>
  <c r="HZ66" i="1"/>
  <c r="GG66" i="1"/>
  <c r="GI66" i="1" s="1"/>
  <c r="GT66" i="1"/>
  <c r="HL66" i="1"/>
  <c r="IT66" i="1"/>
  <c r="IV66" i="1" s="1"/>
  <c r="C67" i="5"/>
  <c r="DB71" i="3"/>
  <c r="EA71" i="3"/>
  <c r="EC71" i="3" s="1"/>
  <c r="FQ71" i="3"/>
  <c r="HD71" i="3"/>
  <c r="HN71" i="3"/>
  <c r="HS71" i="3"/>
  <c r="IA71" i="3"/>
  <c r="IE71" i="3"/>
  <c r="IM71" i="3"/>
  <c r="IQ71" i="3"/>
  <c r="BZ71" i="3"/>
  <c r="CB71" i="3" s="1"/>
  <c r="DC71" i="3"/>
  <c r="EB71" i="3"/>
  <c r="EW71" i="3"/>
  <c r="HJ71" i="3"/>
  <c r="HL71" i="3" s="1"/>
  <c r="HO71" i="3"/>
  <c r="HX71" i="3"/>
  <c r="IB71" i="3"/>
  <c r="IJ71" i="3"/>
  <c r="IL71" i="3" s="1"/>
  <c r="IN71" i="3"/>
  <c r="CA71" i="3"/>
  <c r="EX71" i="3"/>
  <c r="GF71" i="3"/>
  <c r="GH71" i="3" s="1"/>
  <c r="GS71" i="3"/>
  <c r="HK71" i="3"/>
  <c r="HU71" i="3"/>
  <c r="HW71" i="3" s="1"/>
  <c r="HY71" i="3"/>
  <c r="IG71" i="3"/>
  <c r="IK71" i="3"/>
  <c r="IS71" i="3"/>
  <c r="IU71" i="3" s="1"/>
  <c r="FP71" i="3"/>
  <c r="FR71" i="3" s="1"/>
  <c r="GG71" i="3"/>
  <c r="GT71" i="3"/>
  <c r="HC71" i="3"/>
  <c r="HE71" i="3" s="1"/>
  <c r="HR71" i="3"/>
  <c r="HV71" i="3"/>
  <c r="ID71" i="3"/>
  <c r="IF71" i="3" s="1"/>
  <c r="IH71" i="3"/>
  <c r="IP71" i="3"/>
  <c r="IT71" i="3"/>
  <c r="M93" i="3"/>
  <c r="AU93" i="1"/>
  <c r="CA93" i="1"/>
  <c r="CC93" i="1" s="1"/>
  <c r="DD93" i="1"/>
  <c r="EC93" i="1"/>
  <c r="EX93" i="1"/>
  <c r="HK93" i="1"/>
  <c r="HM93" i="1" s="1"/>
  <c r="HP93" i="1"/>
  <c r="HY93" i="1"/>
  <c r="IC93" i="1"/>
  <c r="IK93" i="1"/>
  <c r="IM93" i="1" s="1"/>
  <c r="IO93" i="1"/>
  <c r="CB93" i="1"/>
  <c r="EY93" i="1"/>
  <c r="GG93" i="1"/>
  <c r="GI93" i="1" s="1"/>
  <c r="GT93" i="1"/>
  <c r="HL93" i="1"/>
  <c r="HV93" i="1"/>
  <c r="HX93" i="1" s="1"/>
  <c r="HZ93" i="1"/>
  <c r="IH93" i="1"/>
  <c r="IL93" i="1"/>
  <c r="IT93" i="1"/>
  <c r="IV93" i="1" s="1"/>
  <c r="FQ93" i="1"/>
  <c r="GH93" i="1"/>
  <c r="GU93" i="1"/>
  <c r="HD93" i="1"/>
  <c r="HF93" i="1" s="1"/>
  <c r="HS93" i="1"/>
  <c r="HW93" i="1"/>
  <c r="IE93" i="1"/>
  <c r="II93" i="1"/>
  <c r="IQ93" i="1"/>
  <c r="IU93" i="1"/>
  <c r="DC93" i="1"/>
  <c r="DE93" i="1" s="1"/>
  <c r="EB93" i="1"/>
  <c r="ED93" i="1" s="1"/>
  <c r="FR93" i="1"/>
  <c r="HE93" i="1"/>
  <c r="HO93" i="1"/>
  <c r="HQ93" i="1" s="1"/>
  <c r="HT93" i="1"/>
  <c r="IB93" i="1"/>
  <c r="IF93" i="1"/>
  <c r="IN93" i="1"/>
  <c r="IP93" i="1" s="1"/>
  <c r="IR93" i="1"/>
  <c r="C94" i="5"/>
  <c r="BZ52" i="3"/>
  <c r="DC52" i="3"/>
  <c r="EB52" i="3"/>
  <c r="EW52" i="3"/>
  <c r="HJ52" i="3"/>
  <c r="HO52" i="3"/>
  <c r="HX52" i="3"/>
  <c r="HZ52" i="3" s="1"/>
  <c r="IB52" i="3"/>
  <c r="IJ52" i="3"/>
  <c r="IN52" i="3"/>
  <c r="CA52" i="3"/>
  <c r="EX52" i="3"/>
  <c r="GF52" i="3"/>
  <c r="GS52" i="3"/>
  <c r="HK52" i="3"/>
  <c r="HU52" i="3"/>
  <c r="HW52" i="3" s="1"/>
  <c r="HY52" i="3"/>
  <c r="IG52" i="3"/>
  <c r="IK52" i="3"/>
  <c r="IS52" i="3"/>
  <c r="HN52" i="3"/>
  <c r="HP52" i="3" s="1"/>
  <c r="IE52" i="3"/>
  <c r="IM52" i="3"/>
  <c r="IO52" i="3" s="1"/>
  <c r="DB52" i="3"/>
  <c r="DD52" i="3" s="1"/>
  <c r="FP52" i="3"/>
  <c r="GG52" i="3"/>
  <c r="HC52" i="3"/>
  <c r="HE52" i="3" s="1"/>
  <c r="HS52" i="3"/>
  <c r="IA52" i="3"/>
  <c r="HV52" i="3"/>
  <c r="EA52" i="3"/>
  <c r="EC52" i="3" s="1"/>
  <c r="GT52" i="3"/>
  <c r="IP52" i="3"/>
  <c r="ID52" i="3"/>
  <c r="IF52" i="3" s="1"/>
  <c r="IQ52" i="3"/>
  <c r="FQ52" i="3"/>
  <c r="HD52" i="3"/>
  <c r="HR52" i="3"/>
  <c r="IH52" i="3"/>
  <c r="IT52" i="3"/>
  <c r="DB63" i="3"/>
  <c r="EA63" i="3"/>
  <c r="FQ63" i="3"/>
  <c r="HD63" i="3"/>
  <c r="HN63" i="3"/>
  <c r="HS63" i="3"/>
  <c r="IA63" i="3"/>
  <c r="IC63" i="3" s="1"/>
  <c r="IE63" i="3"/>
  <c r="IM63" i="3"/>
  <c r="IQ63" i="3"/>
  <c r="BZ63" i="3"/>
  <c r="CB63" i="3" s="1"/>
  <c r="DC63" i="3"/>
  <c r="EB63" i="3"/>
  <c r="EW63" i="3"/>
  <c r="HJ63" i="3"/>
  <c r="HL63" i="3" s="1"/>
  <c r="HO63" i="3"/>
  <c r="HX63" i="3"/>
  <c r="IB63" i="3"/>
  <c r="IJ63" i="3"/>
  <c r="IL63" i="3" s="1"/>
  <c r="IN63" i="3"/>
  <c r="CA63" i="3"/>
  <c r="EX63" i="3"/>
  <c r="GF63" i="3"/>
  <c r="GH63" i="3" s="1"/>
  <c r="GS63" i="3"/>
  <c r="GU63" i="3" s="1"/>
  <c r="HK63" i="3"/>
  <c r="HU63" i="3"/>
  <c r="HY63" i="3"/>
  <c r="IG63" i="3"/>
  <c r="II63" i="3" s="1"/>
  <c r="IK63" i="3"/>
  <c r="IS63" i="3"/>
  <c r="FP63" i="3"/>
  <c r="FR63" i="3" s="1"/>
  <c r="GG63" i="3"/>
  <c r="GT63" i="3"/>
  <c r="HC63" i="3"/>
  <c r="HR63" i="3"/>
  <c r="HT63" i="3" s="1"/>
  <c r="HV63" i="3"/>
  <c r="ID63" i="3"/>
  <c r="IH63" i="3"/>
  <c r="IP63" i="3"/>
  <c r="IR63" i="3" s="1"/>
  <c r="IT63" i="3"/>
  <c r="HM70" i="1"/>
  <c r="IA74" i="1"/>
  <c r="CC78" i="1"/>
  <c r="HM78" i="1"/>
  <c r="IM78" i="1"/>
  <c r="IA82" i="1"/>
  <c r="CC86" i="1"/>
  <c r="HM86" i="1"/>
  <c r="IM86" i="1"/>
  <c r="GU88" i="3"/>
  <c r="CC90" i="1"/>
  <c r="HM90" i="1"/>
  <c r="IM90" i="1"/>
  <c r="HW92" i="3"/>
  <c r="CC94" i="1"/>
  <c r="HM94" i="1"/>
  <c r="IM94" i="1"/>
  <c r="CU112" i="1"/>
  <c r="CU113" i="1" s="1"/>
  <c r="CV109" i="1"/>
  <c r="CU111" i="1"/>
  <c r="ED98" i="1"/>
  <c r="DB98" i="3"/>
  <c r="EA98" i="3"/>
  <c r="FQ98" i="3"/>
  <c r="HD98" i="3"/>
  <c r="HN98" i="3"/>
  <c r="HS98" i="3"/>
  <c r="IA98" i="3"/>
  <c r="IC98" i="3" s="1"/>
  <c r="IE98" i="3"/>
  <c r="IM98" i="3"/>
  <c r="IQ98" i="3"/>
  <c r="CA98" i="3"/>
  <c r="EX98" i="3"/>
  <c r="GF98" i="3"/>
  <c r="GS98" i="3"/>
  <c r="HK98" i="3"/>
  <c r="HU98" i="3"/>
  <c r="HW98" i="3" s="1"/>
  <c r="HY98" i="3"/>
  <c r="IG98" i="3"/>
  <c r="IK98" i="3"/>
  <c r="IS98" i="3"/>
  <c r="EB98" i="3"/>
  <c r="EW98" i="3"/>
  <c r="HR98" i="3"/>
  <c r="HT98" i="3" s="1"/>
  <c r="IH98" i="3"/>
  <c r="IP98" i="3"/>
  <c r="IR98" i="3" s="1"/>
  <c r="DC98" i="3"/>
  <c r="HC98" i="3"/>
  <c r="HE98" i="3" s="1"/>
  <c r="HJ98" i="3"/>
  <c r="IB98" i="3"/>
  <c r="IJ98" i="3"/>
  <c r="FP98" i="3"/>
  <c r="FR98" i="3" s="1"/>
  <c r="GG98" i="3"/>
  <c r="HV98" i="3"/>
  <c r="ID98" i="3"/>
  <c r="IT98" i="3"/>
  <c r="HX98" i="3"/>
  <c r="HZ98" i="3" s="1"/>
  <c r="IN98" i="3"/>
  <c r="BZ98" i="3"/>
  <c r="GT98" i="3"/>
  <c r="HO98" i="3"/>
  <c r="M105" i="3"/>
  <c r="FQ105" i="1"/>
  <c r="GH105" i="1"/>
  <c r="GU105" i="1"/>
  <c r="HD105" i="1"/>
  <c r="HS105" i="1"/>
  <c r="HW105" i="1"/>
  <c r="IE105" i="1"/>
  <c r="IG105" i="1" s="1"/>
  <c r="II105" i="1"/>
  <c r="IQ105" i="1"/>
  <c r="IU105" i="1"/>
  <c r="CB105" i="1"/>
  <c r="DD105" i="1"/>
  <c r="GT105" i="1"/>
  <c r="HK105" i="1"/>
  <c r="HM105" i="1" s="1"/>
  <c r="IC105" i="1"/>
  <c r="IH105" i="1"/>
  <c r="IJ105" i="1" s="1"/>
  <c r="IN105" i="1"/>
  <c r="EB105" i="1"/>
  <c r="ED105" i="1" s="1"/>
  <c r="EX105" i="1"/>
  <c r="EZ105" i="1" s="1"/>
  <c r="FR105" i="1"/>
  <c r="HL105" i="1"/>
  <c r="HT105" i="1"/>
  <c r="HY105" i="1"/>
  <c r="IA105" i="1" s="1"/>
  <c r="IO105" i="1"/>
  <c r="IT105" i="1"/>
  <c r="C106" i="5"/>
  <c r="AU105" i="1"/>
  <c r="EC105" i="1"/>
  <c r="EY105" i="1"/>
  <c r="GG105" i="1"/>
  <c r="GI105" i="1" s="1"/>
  <c r="HO105" i="1"/>
  <c r="HZ105" i="1"/>
  <c r="IF105" i="1"/>
  <c r="IK105" i="1"/>
  <c r="IM105" i="1" s="1"/>
  <c r="CA105" i="1"/>
  <c r="CC105" i="1" s="1"/>
  <c r="DC105" i="1"/>
  <c r="DE105" i="1" s="1"/>
  <c r="HE105" i="1"/>
  <c r="HP105" i="1"/>
  <c r="HV105" i="1"/>
  <c r="IB105" i="1"/>
  <c r="IL105" i="1"/>
  <c r="IR105" i="1"/>
  <c r="BB113" i="1"/>
  <c r="AZ117" i="1" s="1"/>
  <c r="AZ114" i="1"/>
  <c r="BA114" i="1"/>
  <c r="BA120" i="1"/>
  <c r="IP75" i="1"/>
  <c r="HQ75" i="1"/>
  <c r="DE75" i="1"/>
  <c r="ED83" i="1"/>
  <c r="CA83" i="3"/>
  <c r="EX83" i="3"/>
  <c r="GF83" i="3"/>
  <c r="GS83" i="3"/>
  <c r="HK83" i="3"/>
  <c r="HU83" i="3"/>
  <c r="HY83" i="3"/>
  <c r="IG83" i="3"/>
  <c r="II83" i="3" s="1"/>
  <c r="IK83" i="3"/>
  <c r="IS83" i="3"/>
  <c r="FP83" i="3"/>
  <c r="GG83" i="3"/>
  <c r="GT83" i="3"/>
  <c r="HC83" i="3"/>
  <c r="HR83" i="3"/>
  <c r="HV83" i="3"/>
  <c r="ID83" i="3"/>
  <c r="IH83" i="3"/>
  <c r="IP83" i="3"/>
  <c r="IT83" i="3"/>
  <c r="DB83" i="3"/>
  <c r="DD83" i="3" s="1"/>
  <c r="EA83" i="3"/>
  <c r="FQ83" i="3"/>
  <c r="HD83" i="3"/>
  <c r="HN83" i="3"/>
  <c r="HS83" i="3"/>
  <c r="IA83" i="3"/>
  <c r="IE83" i="3"/>
  <c r="IM83" i="3"/>
  <c r="IQ83" i="3"/>
  <c r="DC83" i="3"/>
  <c r="EW83" i="3"/>
  <c r="EY83" i="3" s="1"/>
  <c r="HJ83" i="3"/>
  <c r="HL83" i="3" s="1"/>
  <c r="IB83" i="3"/>
  <c r="BZ83" i="3"/>
  <c r="EB83" i="3"/>
  <c r="HO83" i="3"/>
  <c r="IJ83" i="3"/>
  <c r="HX83" i="3"/>
  <c r="HZ83" i="3" s="1"/>
  <c r="IN83" i="3"/>
  <c r="HF73" i="1"/>
  <c r="IV73" i="1"/>
  <c r="HX73" i="1"/>
  <c r="EZ73" i="1"/>
  <c r="CI112" i="1"/>
  <c r="CJ109" i="1"/>
  <c r="CI113" i="1"/>
  <c r="CI111" i="1"/>
  <c r="O97" i="3"/>
  <c r="E98" i="5"/>
  <c r="ED102" i="1"/>
  <c r="ED79" i="1"/>
  <c r="BZ79" i="3"/>
  <c r="CB79" i="3" s="1"/>
  <c r="DC79" i="3"/>
  <c r="EB79" i="3"/>
  <c r="EW79" i="3"/>
  <c r="HJ79" i="3"/>
  <c r="HL79" i="3" s="1"/>
  <c r="HO79" i="3"/>
  <c r="HX79" i="3"/>
  <c r="IB79" i="3"/>
  <c r="IJ79" i="3"/>
  <c r="IL79" i="3" s="1"/>
  <c r="IN79" i="3"/>
  <c r="CA79" i="3"/>
  <c r="EX79" i="3"/>
  <c r="GF79" i="3"/>
  <c r="GH79" i="3" s="1"/>
  <c r="GS79" i="3"/>
  <c r="HK79" i="3"/>
  <c r="HU79" i="3"/>
  <c r="HY79" i="3"/>
  <c r="IG79" i="3"/>
  <c r="IK79" i="3"/>
  <c r="IS79" i="3"/>
  <c r="IU79" i="3" s="1"/>
  <c r="FQ79" i="3"/>
  <c r="GT79" i="3"/>
  <c r="HD79" i="3"/>
  <c r="HV79" i="3"/>
  <c r="ID79" i="3"/>
  <c r="IT79" i="3"/>
  <c r="HN79" i="3"/>
  <c r="HP79" i="3" s="1"/>
  <c r="IE79" i="3"/>
  <c r="IM79" i="3"/>
  <c r="IO79" i="3" s="1"/>
  <c r="EA79" i="3"/>
  <c r="EC79" i="3" s="1"/>
  <c r="HR79" i="3"/>
  <c r="IH79" i="3"/>
  <c r="IP79" i="3"/>
  <c r="DB79" i="3"/>
  <c r="DD79" i="3" s="1"/>
  <c r="FP79" i="3"/>
  <c r="HC79" i="3"/>
  <c r="HE79" i="3" s="1"/>
  <c r="HS79" i="3"/>
  <c r="IA79" i="3"/>
  <c r="GG79" i="3"/>
  <c r="IQ79" i="3"/>
  <c r="EZ87" i="1"/>
  <c r="ID87" i="1"/>
  <c r="IS87" i="1"/>
  <c r="HU87" i="1"/>
  <c r="FS87" i="1"/>
  <c r="N97" i="3"/>
  <c r="D98" i="5"/>
  <c r="EM110" i="3"/>
  <c r="CU110" i="3"/>
  <c r="DT110" i="3"/>
  <c r="AV165" i="3"/>
  <c r="AV169" i="3"/>
  <c r="AV181" i="3"/>
  <c r="GB110" i="3"/>
  <c r="AY113" i="3"/>
  <c r="BA109" i="3"/>
  <c r="AY111" i="3"/>
  <c r="AY112" i="3"/>
  <c r="DK109" i="3"/>
  <c r="DI112" i="3"/>
  <c r="DI113" i="3"/>
  <c r="DI111" i="3"/>
  <c r="HI109" i="3"/>
  <c r="HG112" i="3"/>
  <c r="HG111" i="3"/>
  <c r="HG113" i="3"/>
  <c r="AV193" i="3"/>
  <c r="CL110" i="3"/>
  <c r="AV197" i="3"/>
  <c r="DY112" i="3"/>
  <c r="DY113" i="3"/>
  <c r="DY111" i="3"/>
  <c r="FA120" i="3"/>
  <c r="FA121" i="3"/>
  <c r="FC113" i="3"/>
  <c r="FA118" i="3"/>
  <c r="FB120" i="3"/>
  <c r="FA114" i="3"/>
  <c r="FA115" i="3" s="1"/>
  <c r="FA117" i="3"/>
  <c r="F128" i="3" s="1"/>
  <c r="Q30" i="4" s="1"/>
  <c r="FC118" i="3"/>
  <c r="FA119" i="3"/>
  <c r="FB114" i="3"/>
  <c r="FB115" i="3" s="1"/>
  <c r="FC117" i="3"/>
  <c r="FC119" i="3"/>
  <c r="F129" i="3" s="1"/>
  <c r="Q31" i="4" s="1"/>
  <c r="AV116" i="3"/>
  <c r="EO111" i="3"/>
  <c r="EO112" i="3"/>
  <c r="EO113" i="3"/>
  <c r="FW111" i="3"/>
  <c r="FW113" i="3"/>
  <c r="FY109" i="3"/>
  <c r="FW112" i="3"/>
  <c r="AV202" i="3"/>
  <c r="FN111" i="3"/>
  <c r="FN112" i="3"/>
  <c r="FN113" i="3"/>
  <c r="AV185" i="3"/>
  <c r="AV153" i="3"/>
  <c r="DM113" i="3"/>
  <c r="DM112" i="3"/>
  <c r="DM111" i="3"/>
  <c r="FI109" i="3"/>
  <c r="FG112" i="3"/>
  <c r="FG113" i="3"/>
  <c r="FG111" i="3"/>
  <c r="II6" i="3"/>
  <c r="GU6" i="3"/>
  <c r="FB111" i="3"/>
  <c r="FB112" i="3"/>
  <c r="FB113" i="3"/>
  <c r="BR111" i="3"/>
  <c r="BR112" i="3"/>
  <c r="BR113" i="3"/>
  <c r="CZ113" i="3"/>
  <c r="CZ112" i="3"/>
  <c r="CZ111" i="3"/>
  <c r="AV205" i="3"/>
  <c r="BV113" i="3"/>
  <c r="BT114" i="3"/>
  <c r="BT115" i="3" s="1"/>
  <c r="BT117" i="3"/>
  <c r="B134" i="3" s="1"/>
  <c r="M36" i="4" s="1"/>
  <c r="BV118" i="3"/>
  <c r="BT119" i="3"/>
  <c r="BU114" i="3"/>
  <c r="BU115" i="3" s="1"/>
  <c r="BV117" i="3"/>
  <c r="BV119" i="3"/>
  <c r="B135" i="3" s="1"/>
  <c r="M37" i="4" s="1"/>
  <c r="BT121" i="3"/>
  <c r="BT120" i="3"/>
  <c r="BT118" i="3"/>
  <c r="BU120" i="3"/>
  <c r="CS114" i="3"/>
  <c r="CS115" i="3" s="1"/>
  <c r="CS117" i="3"/>
  <c r="C132" i="3" s="1"/>
  <c r="N34" i="4" s="1"/>
  <c r="CU118" i="3"/>
  <c r="CS119" i="3"/>
  <c r="CT114" i="3"/>
  <c r="CT115" i="3" s="1"/>
  <c r="CU117" i="3"/>
  <c r="CU119" i="3"/>
  <c r="C133" i="3" s="1"/>
  <c r="N35" i="4" s="1"/>
  <c r="CS121" i="3"/>
  <c r="CU113" i="3"/>
  <c r="CS120" i="3"/>
  <c r="CS118" i="3"/>
  <c r="CT120" i="3"/>
  <c r="DT113" i="3"/>
  <c r="DR114" i="3"/>
  <c r="DR115" i="3" s="1"/>
  <c r="DR117" i="3"/>
  <c r="D132" i="3" s="1"/>
  <c r="O34" i="4" s="1"/>
  <c r="DT118" i="3"/>
  <c r="DR119" i="3"/>
  <c r="DS114" i="3"/>
  <c r="DS115" i="3" s="1"/>
  <c r="DT117" i="3"/>
  <c r="DT119" i="3"/>
  <c r="D133" i="3" s="1"/>
  <c r="O35" i="4" s="1"/>
  <c r="DR121" i="3"/>
  <c r="DR120" i="3"/>
  <c r="DR118" i="3"/>
  <c r="DS120" i="3"/>
  <c r="ES113" i="3"/>
  <c r="EQ114" i="3"/>
  <c r="EQ115" i="3" s="1"/>
  <c r="EQ117" i="3"/>
  <c r="E134" i="3" s="1"/>
  <c r="P36" i="4" s="1"/>
  <c r="ES118" i="3"/>
  <c r="EQ119" i="3"/>
  <c r="ER114" i="3"/>
  <c r="ER115" i="3" s="1"/>
  <c r="ES117" i="3"/>
  <c r="ES119" i="3"/>
  <c r="E135" i="3" s="1"/>
  <c r="P37" i="4" s="1"/>
  <c r="EQ121" i="3"/>
  <c r="EQ120" i="3"/>
  <c r="EQ118" i="3"/>
  <c r="ER120" i="3"/>
  <c r="GR113" i="3"/>
  <c r="GP114" i="3"/>
  <c r="GP115" i="3" s="1"/>
  <c r="GP117" i="3"/>
  <c r="H136" i="3" s="1"/>
  <c r="S38" i="4" s="1"/>
  <c r="GR118" i="3"/>
  <c r="GP119" i="3"/>
  <c r="GQ114" i="3"/>
  <c r="GQ115" i="3" s="1"/>
  <c r="GR117" i="3"/>
  <c r="GR119" i="3"/>
  <c r="H137" i="3" s="1"/>
  <c r="S39" i="4" s="1"/>
  <c r="GP121" i="3"/>
  <c r="GP120" i="3"/>
  <c r="GP118" i="3"/>
  <c r="GQ120" i="3"/>
  <c r="CC14" i="1"/>
  <c r="HM14" i="1"/>
  <c r="IM14" i="1"/>
  <c r="FR7" i="3"/>
  <c r="HZ7" i="3"/>
  <c r="II27" i="3"/>
  <c r="HZ27" i="3"/>
  <c r="IL31" i="3"/>
  <c r="HL31" i="3"/>
  <c r="EC31" i="3"/>
  <c r="HE31" i="3"/>
  <c r="II35" i="3"/>
  <c r="HZ35" i="3"/>
  <c r="HZ39" i="3"/>
  <c r="IO39" i="3"/>
  <c r="HP39" i="3"/>
  <c r="DD39" i="3"/>
  <c r="IF39" i="3"/>
  <c r="HZ43" i="3"/>
  <c r="IO43" i="3"/>
  <c r="HP43" i="3"/>
  <c r="DD43" i="3"/>
  <c r="IF43" i="3"/>
  <c r="IO26" i="3"/>
  <c r="HE26" i="3"/>
  <c r="IU26" i="3"/>
  <c r="HW26" i="3"/>
  <c r="EY26" i="3"/>
  <c r="HE30" i="3"/>
  <c r="IR30" i="3"/>
  <c r="HP30" i="3"/>
  <c r="HT30" i="3"/>
  <c r="EY30" i="3"/>
  <c r="IO34" i="3"/>
  <c r="HE34" i="3"/>
  <c r="IU34" i="3"/>
  <c r="HW34" i="3"/>
  <c r="EY34" i="3"/>
  <c r="IM9" i="1"/>
  <c r="HM9" i="1"/>
  <c r="CC9" i="1"/>
  <c r="DB9" i="3"/>
  <c r="EA9" i="3"/>
  <c r="FQ9" i="3"/>
  <c r="HD9" i="3"/>
  <c r="HN9" i="3"/>
  <c r="HS9" i="3"/>
  <c r="IA9" i="3"/>
  <c r="IE9" i="3"/>
  <c r="IM9" i="3"/>
  <c r="IQ9" i="3"/>
  <c r="BZ9" i="3"/>
  <c r="DC9" i="3"/>
  <c r="EB9" i="3"/>
  <c r="EW9" i="3"/>
  <c r="HJ9" i="3"/>
  <c r="HO9" i="3"/>
  <c r="HX9" i="3"/>
  <c r="HZ9" i="3" s="1"/>
  <c r="IB9" i="3"/>
  <c r="IJ9" i="3"/>
  <c r="IN9" i="3"/>
  <c r="CA9" i="3"/>
  <c r="EX9" i="3"/>
  <c r="GF9" i="3"/>
  <c r="GS9" i="3"/>
  <c r="HK9" i="3"/>
  <c r="HU9" i="3"/>
  <c r="HY9" i="3"/>
  <c r="IG9" i="3"/>
  <c r="IK9" i="3"/>
  <c r="IS9" i="3"/>
  <c r="FP9" i="3"/>
  <c r="FR9" i="3" s="1"/>
  <c r="HC9" i="3"/>
  <c r="HE9" i="3" s="1"/>
  <c r="HR9" i="3"/>
  <c r="HT9" i="3" s="1"/>
  <c r="IH9" i="3"/>
  <c r="HV9" i="3"/>
  <c r="ID9" i="3"/>
  <c r="IF9" i="3" s="1"/>
  <c r="IP9" i="3"/>
  <c r="IR9" i="3" s="1"/>
  <c r="GG9" i="3"/>
  <c r="GT9" i="3"/>
  <c r="IT9" i="3"/>
  <c r="N44" i="3"/>
  <c r="D45" i="5"/>
  <c r="HL49" i="3"/>
  <c r="CB49" i="3"/>
  <c r="IC49" i="3"/>
  <c r="IR49" i="3"/>
  <c r="HT49" i="3"/>
  <c r="FR49" i="3"/>
  <c r="IR53" i="3"/>
  <c r="HL53" i="3"/>
  <c r="IL57" i="3"/>
  <c r="HL57" i="3"/>
  <c r="CB57" i="3"/>
  <c r="IC57" i="3"/>
  <c r="IR57" i="3"/>
  <c r="HT57" i="3"/>
  <c r="FR57" i="3"/>
  <c r="GH57" i="3"/>
  <c r="HE65" i="3"/>
  <c r="IU65" i="3"/>
  <c r="HW65" i="3"/>
  <c r="EY65" i="3"/>
  <c r="EC65" i="3"/>
  <c r="ET110" i="1"/>
  <c r="FP110" i="1"/>
  <c r="FP113" i="1" s="1"/>
  <c r="FM110" i="1"/>
  <c r="M20" i="3"/>
  <c r="FQ20" i="1"/>
  <c r="GH20" i="1"/>
  <c r="GU20" i="1"/>
  <c r="HD20" i="1"/>
  <c r="HS20" i="1"/>
  <c r="HW20" i="1"/>
  <c r="IE20" i="1"/>
  <c r="II20" i="1"/>
  <c r="IQ20" i="1"/>
  <c r="IU20" i="1"/>
  <c r="DC20" i="1"/>
  <c r="EB20" i="1"/>
  <c r="FR20" i="1"/>
  <c r="HE20" i="1"/>
  <c r="HO20" i="1"/>
  <c r="HT20" i="1"/>
  <c r="IB20" i="1"/>
  <c r="IF20" i="1"/>
  <c r="IN20" i="1"/>
  <c r="IR20" i="1"/>
  <c r="AU20" i="1"/>
  <c r="CA20" i="1"/>
  <c r="DD20" i="1"/>
  <c r="EC20" i="1"/>
  <c r="EX20" i="1"/>
  <c r="HK20" i="1"/>
  <c r="HP20" i="1"/>
  <c r="HY20" i="1"/>
  <c r="IC20" i="1"/>
  <c r="IK20" i="1"/>
  <c r="IO20" i="1"/>
  <c r="EY20" i="1"/>
  <c r="GG20" i="1"/>
  <c r="GI20" i="1" s="1"/>
  <c r="HZ20" i="1"/>
  <c r="CB20" i="1"/>
  <c r="GT20" i="1"/>
  <c r="HL20" i="1"/>
  <c r="IT20" i="1"/>
  <c r="IV20" i="1" s="1"/>
  <c r="IH20" i="1"/>
  <c r="IJ20" i="1" s="1"/>
  <c r="HV20" i="1"/>
  <c r="IL20" i="1"/>
  <c r="C21" i="5"/>
  <c r="O32" i="3"/>
  <c r="E33" i="5"/>
  <c r="O48" i="3"/>
  <c r="E49" i="5"/>
  <c r="GV38" i="1"/>
  <c r="O40" i="3"/>
  <c r="E41" i="5"/>
  <c r="O44" i="3"/>
  <c r="E45" i="5"/>
  <c r="HZ47" i="3"/>
  <c r="IO47" i="3"/>
  <c r="HP47" i="3"/>
  <c r="DD47" i="3"/>
  <c r="IF47" i="3"/>
  <c r="IL51" i="3"/>
  <c r="IO51" i="3"/>
  <c r="HP51" i="3"/>
  <c r="DD51" i="3"/>
  <c r="IF51" i="3"/>
  <c r="IL55" i="3"/>
  <c r="HL55" i="3"/>
  <c r="CB55" i="3"/>
  <c r="IC55" i="3"/>
  <c r="IR55" i="3"/>
  <c r="HT55" i="3"/>
  <c r="FR55" i="3"/>
  <c r="GH55" i="3"/>
  <c r="CP110" i="1"/>
  <c r="EW110" i="1"/>
  <c r="EW113" i="1" s="1"/>
  <c r="HJ110" i="1"/>
  <c r="IA13" i="1"/>
  <c r="ED13" i="1"/>
  <c r="FW110" i="1"/>
  <c r="FW113" i="1" s="1"/>
  <c r="IA17" i="1"/>
  <c r="ED17" i="1"/>
  <c r="IA21" i="1"/>
  <c r="ED21" i="1"/>
  <c r="IJ25" i="1"/>
  <c r="IP25" i="1"/>
  <c r="HQ25" i="1"/>
  <c r="DE25" i="1"/>
  <c r="IA29" i="1"/>
  <c r="ED29" i="1"/>
  <c r="GI33" i="1"/>
  <c r="IM33" i="1"/>
  <c r="HM33" i="1"/>
  <c r="CC33" i="1"/>
  <c r="FP33" i="3"/>
  <c r="GG33" i="3"/>
  <c r="GT33" i="3"/>
  <c r="HC33" i="3"/>
  <c r="HR33" i="3"/>
  <c r="HV33" i="3"/>
  <c r="ID33" i="3"/>
  <c r="IH33" i="3"/>
  <c r="IP33" i="3"/>
  <c r="IT33" i="3"/>
  <c r="DB33" i="3"/>
  <c r="EA33" i="3"/>
  <c r="FQ33" i="3"/>
  <c r="HD33" i="3"/>
  <c r="HN33" i="3"/>
  <c r="HS33" i="3"/>
  <c r="IA33" i="3"/>
  <c r="IE33" i="3"/>
  <c r="IM33" i="3"/>
  <c r="IQ33" i="3"/>
  <c r="BZ33" i="3"/>
  <c r="DC33" i="3"/>
  <c r="EB33" i="3"/>
  <c r="EW33" i="3"/>
  <c r="HJ33" i="3"/>
  <c r="HO33" i="3"/>
  <c r="HX33" i="3"/>
  <c r="IB33" i="3"/>
  <c r="IJ33" i="3"/>
  <c r="IN33" i="3"/>
  <c r="GF33" i="3"/>
  <c r="GS33" i="3"/>
  <c r="HK33" i="3"/>
  <c r="IS33" i="3"/>
  <c r="IU33" i="3" s="1"/>
  <c r="CA33" i="3"/>
  <c r="IG33" i="3"/>
  <c r="II33" i="3" s="1"/>
  <c r="EX33" i="3"/>
  <c r="HU33" i="3"/>
  <c r="HW33" i="3" s="1"/>
  <c r="IK33" i="3"/>
  <c r="HY33" i="3"/>
  <c r="GV42" i="1"/>
  <c r="O45" i="3"/>
  <c r="E46" i="5"/>
  <c r="BZ46" i="3"/>
  <c r="DC46" i="3"/>
  <c r="EB46" i="3"/>
  <c r="EW46" i="3"/>
  <c r="HJ46" i="3"/>
  <c r="HO46" i="3"/>
  <c r="HX46" i="3"/>
  <c r="HZ46" i="3" s="1"/>
  <c r="IB46" i="3"/>
  <c r="IJ46" i="3"/>
  <c r="IN46" i="3"/>
  <c r="CA46" i="3"/>
  <c r="EX46" i="3"/>
  <c r="GF46" i="3"/>
  <c r="GS46" i="3"/>
  <c r="HK46" i="3"/>
  <c r="HU46" i="3"/>
  <c r="HW46" i="3" s="1"/>
  <c r="HY46" i="3"/>
  <c r="IG46" i="3"/>
  <c r="IK46" i="3"/>
  <c r="IS46" i="3"/>
  <c r="IU46" i="3" s="1"/>
  <c r="FP46" i="3"/>
  <c r="GG46" i="3"/>
  <c r="GT46" i="3"/>
  <c r="HC46" i="3"/>
  <c r="HR46" i="3"/>
  <c r="HV46" i="3"/>
  <c r="ID46" i="3"/>
  <c r="IF46" i="3" s="1"/>
  <c r="IH46" i="3"/>
  <c r="IP46" i="3"/>
  <c r="IT46" i="3"/>
  <c r="EA46" i="3"/>
  <c r="EC46" i="3" s="1"/>
  <c r="FQ46" i="3"/>
  <c r="IA46" i="3"/>
  <c r="IQ46" i="3"/>
  <c r="DB46" i="3"/>
  <c r="DD46" i="3" s="1"/>
  <c r="HD46" i="3"/>
  <c r="HN46" i="3"/>
  <c r="HP46" i="3" s="1"/>
  <c r="IE46" i="3"/>
  <c r="HS46" i="3"/>
  <c r="IM46" i="3"/>
  <c r="IO46" i="3" s="1"/>
  <c r="DE47" i="1"/>
  <c r="M50" i="3"/>
  <c r="DC50" i="1"/>
  <c r="EB50" i="1"/>
  <c r="FR50" i="1"/>
  <c r="HE50" i="1"/>
  <c r="HO50" i="1"/>
  <c r="HT50" i="1"/>
  <c r="IB50" i="1"/>
  <c r="IF50" i="1"/>
  <c r="IN50" i="1"/>
  <c r="IR50" i="1"/>
  <c r="AU50" i="1"/>
  <c r="CA50" i="1"/>
  <c r="DD50" i="1"/>
  <c r="EC50" i="1"/>
  <c r="EX50" i="1"/>
  <c r="HK50" i="1"/>
  <c r="HP50" i="1"/>
  <c r="HY50" i="1"/>
  <c r="IA50" i="1" s="1"/>
  <c r="IC50" i="1"/>
  <c r="IK50" i="1"/>
  <c r="IO50" i="1"/>
  <c r="CB50" i="1"/>
  <c r="EY50" i="1"/>
  <c r="GG50" i="1"/>
  <c r="GT50" i="1"/>
  <c r="GV50" i="1" s="1"/>
  <c r="HL50" i="1"/>
  <c r="HV50" i="1"/>
  <c r="HZ50" i="1"/>
  <c r="IH50" i="1"/>
  <c r="IJ50" i="1" s="1"/>
  <c r="IL50" i="1"/>
  <c r="IT50" i="1"/>
  <c r="FQ50" i="1"/>
  <c r="FS50" i="1" s="1"/>
  <c r="GH50" i="1"/>
  <c r="GU50" i="1"/>
  <c r="HD50" i="1"/>
  <c r="HF50" i="1" s="1"/>
  <c r="HS50" i="1"/>
  <c r="HW50" i="1"/>
  <c r="IE50" i="1"/>
  <c r="IG50" i="1" s="1"/>
  <c r="II50" i="1"/>
  <c r="IQ50" i="1"/>
  <c r="IU50" i="1"/>
  <c r="C51" i="5"/>
  <c r="ID51" i="1"/>
  <c r="DE55" i="1"/>
  <c r="HQ55" i="1"/>
  <c r="IP55" i="1"/>
  <c r="M58" i="3"/>
  <c r="DC58" i="1"/>
  <c r="EB58" i="1"/>
  <c r="FR58" i="1"/>
  <c r="HE58" i="1"/>
  <c r="HO58" i="1"/>
  <c r="HT58" i="1"/>
  <c r="IB58" i="1"/>
  <c r="IF58" i="1"/>
  <c r="IN58" i="1"/>
  <c r="IR58" i="1"/>
  <c r="AU58" i="1"/>
  <c r="CA58" i="1"/>
  <c r="DD58" i="1"/>
  <c r="EC58" i="1"/>
  <c r="EX58" i="1"/>
  <c r="HK58" i="1"/>
  <c r="HP58" i="1"/>
  <c r="HY58" i="1"/>
  <c r="IA58" i="1" s="1"/>
  <c r="IC58" i="1"/>
  <c r="IK58" i="1"/>
  <c r="IO58" i="1"/>
  <c r="CB58" i="1"/>
  <c r="EY58" i="1"/>
  <c r="GG58" i="1"/>
  <c r="GT58" i="1"/>
  <c r="HL58" i="1"/>
  <c r="HV58" i="1"/>
  <c r="HX58" i="1" s="1"/>
  <c r="HZ58" i="1"/>
  <c r="IH58" i="1"/>
  <c r="IL58" i="1"/>
  <c r="IT58" i="1"/>
  <c r="IV58" i="1" s="1"/>
  <c r="FQ58" i="1"/>
  <c r="GH58" i="1"/>
  <c r="GU58" i="1"/>
  <c r="HD58" i="1"/>
  <c r="HF58" i="1" s="1"/>
  <c r="HS58" i="1"/>
  <c r="HW58" i="1"/>
  <c r="IE58" i="1"/>
  <c r="IG58" i="1" s="1"/>
  <c r="II58" i="1"/>
  <c r="IQ58" i="1"/>
  <c r="IU58" i="1"/>
  <c r="C59" i="5"/>
  <c r="ID59" i="1"/>
  <c r="IP48" i="1"/>
  <c r="HQ48" i="1"/>
  <c r="DE48" i="1"/>
  <c r="IG48" i="1"/>
  <c r="O75" i="3"/>
  <c r="E76" i="5"/>
  <c r="O79" i="3"/>
  <c r="E80" i="5"/>
  <c r="O83" i="3"/>
  <c r="E84" i="5"/>
  <c r="IU91" i="3"/>
  <c r="HW91" i="3"/>
  <c r="FR95" i="3"/>
  <c r="HT95" i="3"/>
  <c r="IO95" i="3"/>
  <c r="HP95" i="3"/>
  <c r="DD95" i="3"/>
  <c r="GH95" i="3"/>
  <c r="GU99" i="3"/>
  <c r="IL99" i="3"/>
  <c r="IU99" i="3"/>
  <c r="IC99" i="3"/>
  <c r="IM60" i="1"/>
  <c r="HM60" i="1"/>
  <c r="CC60" i="1"/>
  <c r="IJ60" i="1"/>
  <c r="GV60" i="1"/>
  <c r="DB60" i="3"/>
  <c r="DD60" i="3" s="1"/>
  <c r="EA60" i="3"/>
  <c r="FQ60" i="3"/>
  <c r="HD60" i="3"/>
  <c r="HN60" i="3"/>
  <c r="HS60" i="3"/>
  <c r="IA60" i="3"/>
  <c r="IE60" i="3"/>
  <c r="IM60" i="3"/>
  <c r="IQ60" i="3"/>
  <c r="CA60" i="3"/>
  <c r="EX60" i="3"/>
  <c r="GF60" i="3"/>
  <c r="GH60" i="3" s="1"/>
  <c r="GS60" i="3"/>
  <c r="HK60" i="3"/>
  <c r="HU60" i="3"/>
  <c r="HW60" i="3" s="1"/>
  <c r="HY60" i="3"/>
  <c r="IG60" i="3"/>
  <c r="IK60" i="3"/>
  <c r="IS60" i="3"/>
  <c r="IU60" i="3" s="1"/>
  <c r="FP60" i="3"/>
  <c r="FR60" i="3" s="1"/>
  <c r="GG60" i="3"/>
  <c r="GT60" i="3"/>
  <c r="HC60" i="3"/>
  <c r="HE60" i="3" s="1"/>
  <c r="HR60" i="3"/>
  <c r="HT60" i="3" s="1"/>
  <c r="HV60" i="3"/>
  <c r="ID60" i="3"/>
  <c r="IH60" i="3"/>
  <c r="IP60" i="3"/>
  <c r="IR60" i="3" s="1"/>
  <c r="IT60" i="3"/>
  <c r="DC60" i="3"/>
  <c r="EW60" i="3"/>
  <c r="EY60" i="3" s="1"/>
  <c r="HJ60" i="3"/>
  <c r="HL60" i="3" s="1"/>
  <c r="IB60" i="3"/>
  <c r="BZ60" i="3"/>
  <c r="CB60" i="3" s="1"/>
  <c r="EB60" i="3"/>
  <c r="HO60" i="3"/>
  <c r="IJ60" i="3"/>
  <c r="IL60" i="3" s="1"/>
  <c r="HX60" i="3"/>
  <c r="IN60" i="3"/>
  <c r="IV64" i="1"/>
  <c r="HX64" i="1"/>
  <c r="ED67" i="1"/>
  <c r="DB69" i="3"/>
  <c r="DD69" i="3" s="1"/>
  <c r="EA69" i="3"/>
  <c r="FQ69" i="3"/>
  <c r="HD69" i="3"/>
  <c r="HN69" i="3"/>
  <c r="HP69" i="3" s="1"/>
  <c r="HS69" i="3"/>
  <c r="IA69" i="3"/>
  <c r="IE69" i="3"/>
  <c r="IM69" i="3"/>
  <c r="IO69" i="3" s="1"/>
  <c r="IQ69" i="3"/>
  <c r="BZ69" i="3"/>
  <c r="DC69" i="3"/>
  <c r="EB69" i="3"/>
  <c r="EW69" i="3"/>
  <c r="HJ69" i="3"/>
  <c r="HO69" i="3"/>
  <c r="HX69" i="3"/>
  <c r="HZ69" i="3" s="1"/>
  <c r="IB69" i="3"/>
  <c r="IJ69" i="3"/>
  <c r="IN69" i="3"/>
  <c r="CA69" i="3"/>
  <c r="EX69" i="3"/>
  <c r="GF69" i="3"/>
  <c r="GS69" i="3"/>
  <c r="HK69" i="3"/>
  <c r="HU69" i="3"/>
  <c r="HW69" i="3" s="1"/>
  <c r="HY69" i="3"/>
  <c r="IG69" i="3"/>
  <c r="IK69" i="3"/>
  <c r="IS69" i="3"/>
  <c r="IU69" i="3" s="1"/>
  <c r="FP69" i="3"/>
  <c r="FR69" i="3" s="1"/>
  <c r="GG69" i="3"/>
  <c r="GT69" i="3"/>
  <c r="HC69" i="3"/>
  <c r="HE69" i="3" s="1"/>
  <c r="HR69" i="3"/>
  <c r="HV69" i="3"/>
  <c r="ID69" i="3"/>
  <c r="IF69" i="3" s="1"/>
  <c r="IH69" i="3"/>
  <c r="IP69" i="3"/>
  <c r="IT69" i="3"/>
  <c r="HZ74" i="3"/>
  <c r="DD74" i="3"/>
  <c r="IF74" i="3"/>
  <c r="HL90" i="3"/>
  <c r="HT90" i="3"/>
  <c r="II90" i="3"/>
  <c r="GU90" i="3"/>
  <c r="IO90" i="3"/>
  <c r="HP90" i="3"/>
  <c r="DD90" i="3"/>
  <c r="GI41" i="1"/>
  <c r="HF41" i="1"/>
  <c r="FS41" i="1"/>
  <c r="IA41" i="1"/>
  <c r="ED41" i="1"/>
  <c r="IM45" i="1"/>
  <c r="HM45" i="1"/>
  <c r="CC45" i="1"/>
  <c r="FP45" i="3"/>
  <c r="GG45" i="3"/>
  <c r="GT45" i="3"/>
  <c r="HC45" i="3"/>
  <c r="HE45" i="3" s="1"/>
  <c r="HR45" i="3"/>
  <c r="HV45" i="3"/>
  <c r="ID45" i="3"/>
  <c r="IF45" i="3" s="1"/>
  <c r="IH45" i="3"/>
  <c r="IP45" i="3"/>
  <c r="IT45" i="3"/>
  <c r="DB45" i="3"/>
  <c r="DD45" i="3" s="1"/>
  <c r="EA45" i="3"/>
  <c r="FQ45" i="3"/>
  <c r="HD45" i="3"/>
  <c r="HN45" i="3"/>
  <c r="HP45" i="3" s="1"/>
  <c r="HS45" i="3"/>
  <c r="IA45" i="3"/>
  <c r="IE45" i="3"/>
  <c r="IM45" i="3"/>
  <c r="IO45" i="3" s="1"/>
  <c r="IQ45" i="3"/>
  <c r="BZ45" i="3"/>
  <c r="DC45" i="3"/>
  <c r="EB45" i="3"/>
  <c r="EW45" i="3"/>
  <c r="EY45" i="3" s="1"/>
  <c r="HJ45" i="3"/>
  <c r="HO45" i="3"/>
  <c r="HX45" i="3"/>
  <c r="IB45" i="3"/>
  <c r="IJ45" i="3"/>
  <c r="IN45" i="3"/>
  <c r="IG45" i="3"/>
  <c r="II45" i="3" s="1"/>
  <c r="HU45" i="3"/>
  <c r="HW45" i="3" s="1"/>
  <c r="IK45" i="3"/>
  <c r="EX45" i="3"/>
  <c r="GF45" i="3"/>
  <c r="GH45" i="3" s="1"/>
  <c r="HY45" i="3"/>
  <c r="CA45" i="3"/>
  <c r="GS45" i="3"/>
  <c r="HK45" i="3"/>
  <c r="IS45" i="3"/>
  <c r="IU45" i="3" s="1"/>
  <c r="IP56" i="1"/>
  <c r="HQ56" i="1"/>
  <c r="DE56" i="1"/>
  <c r="O72" i="3"/>
  <c r="E73" i="5"/>
  <c r="O93" i="3"/>
  <c r="E94" i="5"/>
  <c r="ID52" i="1"/>
  <c r="IS52" i="1"/>
  <c r="HU52" i="1"/>
  <c r="FS52" i="1"/>
  <c r="GI52" i="1"/>
  <c r="ED63" i="1"/>
  <c r="CC68" i="1"/>
  <c r="CA68" i="3"/>
  <c r="EX68" i="3"/>
  <c r="GF68" i="3"/>
  <c r="GS68" i="3"/>
  <c r="HK68" i="3"/>
  <c r="HU68" i="3"/>
  <c r="HW68" i="3" s="1"/>
  <c r="HY68" i="3"/>
  <c r="IG68" i="3"/>
  <c r="IK68" i="3"/>
  <c r="IS68" i="3"/>
  <c r="IU68" i="3" s="1"/>
  <c r="FP68" i="3"/>
  <c r="GG68" i="3"/>
  <c r="GT68" i="3"/>
  <c r="HC68" i="3"/>
  <c r="HE68" i="3" s="1"/>
  <c r="HR68" i="3"/>
  <c r="HV68" i="3"/>
  <c r="ID68" i="3"/>
  <c r="IF68" i="3" s="1"/>
  <c r="IH68" i="3"/>
  <c r="IP68" i="3"/>
  <c r="IT68" i="3"/>
  <c r="DB68" i="3"/>
  <c r="DD68" i="3" s="1"/>
  <c r="EA68" i="3"/>
  <c r="FQ68" i="3"/>
  <c r="HD68" i="3"/>
  <c r="HN68" i="3"/>
  <c r="HP68" i="3" s="1"/>
  <c r="HS68" i="3"/>
  <c r="IA68" i="3"/>
  <c r="IE68" i="3"/>
  <c r="IM68" i="3"/>
  <c r="IO68" i="3" s="1"/>
  <c r="IQ68" i="3"/>
  <c r="BZ68" i="3"/>
  <c r="DC68" i="3"/>
  <c r="EB68" i="3"/>
  <c r="EW68" i="3"/>
  <c r="EY68" i="3" s="1"/>
  <c r="HJ68" i="3"/>
  <c r="HO68" i="3"/>
  <c r="HX68" i="3"/>
  <c r="HZ68" i="3" s="1"/>
  <c r="IB68" i="3"/>
  <c r="IJ68" i="3"/>
  <c r="IN68" i="3"/>
  <c r="EZ74" i="1"/>
  <c r="EZ82" i="1"/>
  <c r="IF88" i="3"/>
  <c r="GH88" i="3"/>
  <c r="IL88" i="3"/>
  <c r="HL88" i="3"/>
  <c r="CB88" i="3"/>
  <c r="IC88" i="3"/>
  <c r="HZ92" i="3"/>
  <c r="HE92" i="3"/>
  <c r="IC92" i="3"/>
  <c r="IR96" i="3"/>
  <c r="GH96" i="3"/>
  <c r="IO96" i="3"/>
  <c r="HP96" i="3"/>
  <c r="DD96" i="3"/>
  <c r="IP98" i="1"/>
  <c r="HQ98" i="1"/>
  <c r="DE98" i="1"/>
  <c r="IM103" i="1"/>
  <c r="HM103" i="1"/>
  <c r="CC103" i="1"/>
  <c r="CY113" i="1"/>
  <c r="CW117" i="1" s="1"/>
  <c r="CW114" i="1"/>
  <c r="CX114" i="1"/>
  <c r="CX120" i="1"/>
  <c r="IM75" i="1"/>
  <c r="HM75" i="1"/>
  <c r="CC75" i="1"/>
  <c r="IP83" i="1"/>
  <c r="HQ83" i="1"/>
  <c r="DE83" i="1"/>
  <c r="IG83" i="1"/>
  <c r="BL117" i="1"/>
  <c r="B128" i="1" s="1"/>
  <c r="B30" i="4" s="1"/>
  <c r="BN113" i="1"/>
  <c r="BL114" i="1"/>
  <c r="BL120" i="1"/>
  <c r="BM114" i="1"/>
  <c r="BL119" i="1"/>
  <c r="BM120" i="1"/>
  <c r="IG73" i="1"/>
  <c r="IA73" i="1"/>
  <c r="DB73" i="3"/>
  <c r="EA73" i="3"/>
  <c r="FQ73" i="3"/>
  <c r="HD73" i="3"/>
  <c r="HN73" i="3"/>
  <c r="HS73" i="3"/>
  <c r="IA73" i="3"/>
  <c r="IE73" i="3"/>
  <c r="IM73" i="3"/>
  <c r="IQ73" i="3"/>
  <c r="BZ73" i="3"/>
  <c r="DC73" i="3"/>
  <c r="EB73" i="3"/>
  <c r="EW73" i="3"/>
  <c r="HJ73" i="3"/>
  <c r="HO73" i="3"/>
  <c r="HX73" i="3"/>
  <c r="HZ73" i="3" s="1"/>
  <c r="IB73" i="3"/>
  <c r="IJ73" i="3"/>
  <c r="IN73" i="3"/>
  <c r="CA73" i="3"/>
  <c r="EX73" i="3"/>
  <c r="GF73" i="3"/>
  <c r="GS73" i="3"/>
  <c r="HK73" i="3"/>
  <c r="HU73" i="3"/>
  <c r="HY73" i="3"/>
  <c r="IG73" i="3"/>
  <c r="II73" i="3" s="1"/>
  <c r="IK73" i="3"/>
  <c r="IS73" i="3"/>
  <c r="FP73" i="3"/>
  <c r="FR73" i="3" s="1"/>
  <c r="GG73" i="3"/>
  <c r="GT73" i="3"/>
  <c r="HC73" i="3"/>
  <c r="HR73" i="3"/>
  <c r="HT73" i="3" s="1"/>
  <c r="HV73" i="3"/>
  <c r="ID73" i="3"/>
  <c r="IH73" i="3"/>
  <c r="IP73" i="3"/>
  <c r="IR73" i="3" s="1"/>
  <c r="IT73" i="3"/>
  <c r="M97" i="3"/>
  <c r="AU97" i="1"/>
  <c r="CA97" i="1"/>
  <c r="DD97" i="1"/>
  <c r="EC97" i="1"/>
  <c r="EX97" i="1"/>
  <c r="HK97" i="1"/>
  <c r="HP97" i="1"/>
  <c r="HY97" i="1"/>
  <c r="IC97" i="1"/>
  <c r="IK97" i="1"/>
  <c r="IO97" i="1"/>
  <c r="FQ97" i="1"/>
  <c r="GH97" i="1"/>
  <c r="GU97" i="1"/>
  <c r="HD97" i="1"/>
  <c r="HF97" i="1" s="1"/>
  <c r="HS97" i="1"/>
  <c r="HW97" i="1"/>
  <c r="IE97" i="1"/>
  <c r="IG97" i="1" s="1"/>
  <c r="II97" i="1"/>
  <c r="IQ97" i="1"/>
  <c r="IU97" i="1"/>
  <c r="DC97" i="1"/>
  <c r="EB97" i="1"/>
  <c r="ED97" i="1" s="1"/>
  <c r="FR97" i="1"/>
  <c r="HE97" i="1"/>
  <c r="HO97" i="1"/>
  <c r="HT97" i="1"/>
  <c r="IB97" i="1"/>
  <c r="ID97" i="1" s="1"/>
  <c r="IF97" i="1"/>
  <c r="IN97" i="1"/>
  <c r="IR97" i="1"/>
  <c r="HV97" i="1"/>
  <c r="HX97" i="1" s="1"/>
  <c r="IL97" i="1"/>
  <c r="EY97" i="1"/>
  <c r="GG97" i="1"/>
  <c r="GI97" i="1" s="1"/>
  <c r="HZ97" i="1"/>
  <c r="C98" i="5"/>
  <c r="CB97" i="1"/>
  <c r="GT97" i="1"/>
  <c r="GV97" i="1" s="1"/>
  <c r="HL97" i="1"/>
  <c r="IT97" i="1"/>
  <c r="IV97" i="1" s="1"/>
  <c r="IH97" i="1"/>
  <c r="IP102" i="1"/>
  <c r="HQ102" i="1"/>
  <c r="DE102" i="1"/>
  <c r="IP79" i="1"/>
  <c r="HQ79" i="1"/>
  <c r="DE79" i="1"/>
  <c r="IG79" i="1"/>
  <c r="IA87" i="1"/>
  <c r="ED87" i="1"/>
  <c r="HF87" i="1"/>
  <c r="CA87" i="3"/>
  <c r="EX87" i="3"/>
  <c r="GF87" i="3"/>
  <c r="GS87" i="3"/>
  <c r="GU87" i="3" s="1"/>
  <c r="HK87" i="3"/>
  <c r="HU87" i="3"/>
  <c r="HY87" i="3"/>
  <c r="IG87" i="3"/>
  <c r="II87" i="3" s="1"/>
  <c r="IK87" i="3"/>
  <c r="IS87" i="3"/>
  <c r="FP87" i="3"/>
  <c r="GG87" i="3"/>
  <c r="GT87" i="3"/>
  <c r="HC87" i="3"/>
  <c r="HR87" i="3"/>
  <c r="HT87" i="3" s="1"/>
  <c r="HV87" i="3"/>
  <c r="ID87" i="3"/>
  <c r="IH87" i="3"/>
  <c r="IP87" i="3"/>
  <c r="IR87" i="3" s="1"/>
  <c r="IT87" i="3"/>
  <c r="DB87" i="3"/>
  <c r="EA87" i="3"/>
  <c r="FQ87" i="3"/>
  <c r="HD87" i="3"/>
  <c r="HN87" i="3"/>
  <c r="HS87" i="3"/>
  <c r="IA87" i="3"/>
  <c r="IC87" i="3" s="1"/>
  <c r="IE87" i="3"/>
  <c r="IM87" i="3"/>
  <c r="IQ87" i="3"/>
  <c r="IJ87" i="3"/>
  <c r="IL87" i="3" s="1"/>
  <c r="HX87" i="3"/>
  <c r="IN87" i="3"/>
  <c r="DC87" i="3"/>
  <c r="EW87" i="3"/>
  <c r="EY87" i="3" s="1"/>
  <c r="HJ87" i="3"/>
  <c r="HL87" i="3" s="1"/>
  <c r="IB87" i="3"/>
  <c r="BZ87" i="3"/>
  <c r="CB87" i="3" s="1"/>
  <c r="EB87" i="3"/>
  <c r="HO87" i="3"/>
  <c r="CG109" i="1"/>
  <c r="CE111" i="1"/>
  <c r="CE112" i="1"/>
  <c r="CE113" i="1" s="1"/>
  <c r="BD110" i="3"/>
  <c r="FF110" i="3"/>
  <c r="BP110" i="3"/>
  <c r="EG110" i="3"/>
  <c r="AV177" i="3"/>
  <c r="AV173" i="3"/>
  <c r="FO110" i="3"/>
  <c r="BY110" i="3"/>
  <c r="BK113" i="3"/>
  <c r="BM109" i="3"/>
  <c r="BK112" i="3"/>
  <c r="BK111" i="3"/>
  <c r="EJ109" i="3"/>
  <c r="EH112" i="3"/>
  <c r="EH113" i="3"/>
  <c r="EH111" i="3"/>
  <c r="EV110" i="3"/>
  <c r="BF111" i="3"/>
  <c r="BF112" i="3"/>
  <c r="BF113" i="3"/>
  <c r="BN111" i="3"/>
  <c r="BP109" i="3"/>
  <c r="BN112" i="3"/>
  <c r="BN113" i="3"/>
  <c r="GA111" i="3"/>
  <c r="GA112" i="3"/>
  <c r="GA113" i="3"/>
  <c r="GB109" i="3"/>
  <c r="AV129" i="3"/>
  <c r="AV137" i="3"/>
  <c r="BB111" i="3"/>
  <c r="BB113" i="3"/>
  <c r="BD109" i="3"/>
  <c r="BB112" i="3"/>
  <c r="DU113" i="3"/>
  <c r="DW109" i="3"/>
  <c r="DU111" i="3"/>
  <c r="DU112" i="3"/>
  <c r="GK113" i="3"/>
  <c r="GK112" i="3"/>
  <c r="GK111" i="3"/>
  <c r="CM111" i="3"/>
  <c r="CM113" i="3"/>
  <c r="CO109" i="3"/>
  <c r="CM112" i="3"/>
  <c r="CN113" i="3"/>
  <c r="CN112" i="3"/>
  <c r="CN111" i="3"/>
  <c r="FJ111" i="3"/>
  <c r="FJ113" i="3"/>
  <c r="FL109" i="3"/>
  <c r="FJ112" i="3"/>
  <c r="EP109" i="3"/>
  <c r="EY6" i="3"/>
  <c r="HZ6" i="3"/>
  <c r="CB6" i="3"/>
  <c r="IC6" i="3"/>
  <c r="IR6" i="3"/>
  <c r="HT6" i="3"/>
  <c r="FR6" i="3"/>
  <c r="GH6" i="3"/>
  <c r="IA10" i="1"/>
  <c r="IA18" i="1"/>
  <c r="II7" i="3"/>
  <c r="GU7" i="3"/>
  <c r="EY31" i="3"/>
  <c r="IO31" i="3"/>
  <c r="HP31" i="3"/>
  <c r="DD31" i="3"/>
  <c r="IF31" i="3"/>
  <c r="II39" i="3"/>
  <c r="II43" i="3"/>
  <c r="DD26" i="3"/>
  <c r="IF26" i="3"/>
  <c r="HZ26" i="3"/>
  <c r="II30" i="3"/>
  <c r="GU30" i="3"/>
  <c r="IF30" i="3"/>
  <c r="IU30" i="3"/>
  <c r="HZ30" i="3"/>
  <c r="DD34" i="3"/>
  <c r="IF34" i="3"/>
  <c r="HZ34" i="3"/>
  <c r="EZ9" i="1"/>
  <c r="ID9" i="1"/>
  <c r="IU49" i="3"/>
  <c r="EY49" i="3"/>
  <c r="GU49" i="3"/>
  <c r="HZ49" i="3"/>
  <c r="EC49" i="3"/>
  <c r="HE49" i="3"/>
  <c r="II53" i="3"/>
  <c r="CB53" i="3"/>
  <c r="IC53" i="3"/>
  <c r="EC57" i="3"/>
  <c r="HE57" i="3"/>
  <c r="IU57" i="3"/>
  <c r="HW57" i="3"/>
  <c r="IF65" i="3"/>
  <c r="HZ65" i="3"/>
  <c r="IO65" i="3"/>
  <c r="HP65" i="3"/>
  <c r="DD65" i="3"/>
  <c r="GS110" i="1"/>
  <c r="CS110" i="1"/>
  <c r="GP110" i="1"/>
  <c r="GM110" i="1"/>
  <c r="M16" i="3"/>
  <c r="FQ16" i="1"/>
  <c r="GH16" i="1"/>
  <c r="GU16" i="1"/>
  <c r="HD16" i="1"/>
  <c r="HS16" i="1"/>
  <c r="HW16" i="1"/>
  <c r="IE16" i="1"/>
  <c r="II16" i="1"/>
  <c r="IQ16" i="1"/>
  <c r="IU16" i="1"/>
  <c r="DC16" i="1"/>
  <c r="EB16" i="1"/>
  <c r="FR16" i="1"/>
  <c r="HE16" i="1"/>
  <c r="HO16" i="1"/>
  <c r="HT16" i="1"/>
  <c r="IB16" i="1"/>
  <c r="IF16" i="1"/>
  <c r="IN16" i="1"/>
  <c r="IR16" i="1"/>
  <c r="AU16" i="1"/>
  <c r="CA16" i="1"/>
  <c r="DD16" i="1"/>
  <c r="EC16" i="1"/>
  <c r="EX16" i="1"/>
  <c r="HK16" i="1"/>
  <c r="HP16" i="1"/>
  <c r="HY16" i="1"/>
  <c r="IC16" i="1"/>
  <c r="IK16" i="1"/>
  <c r="IO16" i="1"/>
  <c r="EY16" i="1"/>
  <c r="GG16" i="1"/>
  <c r="GI16" i="1" s="1"/>
  <c r="HZ16" i="1"/>
  <c r="CB16" i="1"/>
  <c r="GT16" i="1"/>
  <c r="GV16" i="1" s="1"/>
  <c r="HL16" i="1"/>
  <c r="IT16" i="1"/>
  <c r="IV16" i="1" s="1"/>
  <c r="IH16" i="1"/>
  <c r="HV16" i="1"/>
  <c r="IL16" i="1"/>
  <c r="C17" i="5"/>
  <c r="M24" i="3"/>
  <c r="FQ24" i="1"/>
  <c r="GH24" i="1"/>
  <c r="GU24" i="1"/>
  <c r="HD24" i="1"/>
  <c r="HS24" i="1"/>
  <c r="HW24" i="1"/>
  <c r="IE24" i="1"/>
  <c r="II24" i="1"/>
  <c r="IQ24" i="1"/>
  <c r="IU24" i="1"/>
  <c r="DC24" i="1"/>
  <c r="EB24" i="1"/>
  <c r="FR24" i="1"/>
  <c r="HE24" i="1"/>
  <c r="HO24" i="1"/>
  <c r="HT24" i="1"/>
  <c r="IB24" i="1"/>
  <c r="IF24" i="1"/>
  <c r="IN24" i="1"/>
  <c r="IR24" i="1"/>
  <c r="AU24" i="1"/>
  <c r="CA24" i="1"/>
  <c r="CC24" i="1" s="1"/>
  <c r="DD24" i="1"/>
  <c r="EC24" i="1"/>
  <c r="EX24" i="1"/>
  <c r="HK24" i="1"/>
  <c r="HP24" i="1"/>
  <c r="HY24" i="1"/>
  <c r="IC24" i="1"/>
  <c r="IK24" i="1"/>
  <c r="IO24" i="1"/>
  <c r="EY24" i="1"/>
  <c r="GG24" i="1"/>
  <c r="HZ24" i="1"/>
  <c r="CB24" i="1"/>
  <c r="GT24" i="1"/>
  <c r="HL24" i="1"/>
  <c r="IT24" i="1"/>
  <c r="IV24" i="1" s="1"/>
  <c r="IH24" i="1"/>
  <c r="IJ24" i="1" s="1"/>
  <c r="HV24" i="1"/>
  <c r="IL24" i="1"/>
  <c r="C25" i="5"/>
  <c r="M28" i="3"/>
  <c r="FQ28" i="1"/>
  <c r="GH28" i="1"/>
  <c r="GU28" i="1"/>
  <c r="HD28" i="1"/>
  <c r="HS28" i="1"/>
  <c r="HW28" i="1"/>
  <c r="IE28" i="1"/>
  <c r="II28" i="1"/>
  <c r="IQ28" i="1"/>
  <c r="IU28" i="1"/>
  <c r="DC28" i="1"/>
  <c r="EB28" i="1"/>
  <c r="FR28" i="1"/>
  <c r="HE28" i="1"/>
  <c r="HO28" i="1"/>
  <c r="HT28" i="1"/>
  <c r="IB28" i="1"/>
  <c r="IF28" i="1"/>
  <c r="IN28" i="1"/>
  <c r="IR28" i="1"/>
  <c r="AU28" i="1"/>
  <c r="CA28" i="1"/>
  <c r="DD28" i="1"/>
  <c r="EC28" i="1"/>
  <c r="EX28" i="1"/>
  <c r="HK28" i="1"/>
  <c r="HP28" i="1"/>
  <c r="HY28" i="1"/>
  <c r="IC28" i="1"/>
  <c r="IK28" i="1"/>
  <c r="IO28" i="1"/>
  <c r="EY28" i="1"/>
  <c r="GG28" i="1"/>
  <c r="HZ28" i="1"/>
  <c r="CB28" i="1"/>
  <c r="GT28" i="1"/>
  <c r="HL28" i="1"/>
  <c r="IT28" i="1"/>
  <c r="IV28" i="1" s="1"/>
  <c r="IH28" i="1"/>
  <c r="IJ28" i="1" s="1"/>
  <c r="HV28" i="1"/>
  <c r="IL28" i="1"/>
  <c r="C29" i="5"/>
  <c r="M32" i="3"/>
  <c r="FQ32" i="1"/>
  <c r="GH32" i="1"/>
  <c r="GU32" i="1"/>
  <c r="HD32" i="1"/>
  <c r="HF32" i="1" s="1"/>
  <c r="HS32" i="1"/>
  <c r="HW32" i="1"/>
  <c r="IE32" i="1"/>
  <c r="II32" i="1"/>
  <c r="IQ32" i="1"/>
  <c r="IU32" i="1"/>
  <c r="DC32" i="1"/>
  <c r="EB32" i="1"/>
  <c r="FR32" i="1"/>
  <c r="HE32" i="1"/>
  <c r="HO32" i="1"/>
  <c r="HT32" i="1"/>
  <c r="IB32" i="1"/>
  <c r="IF32" i="1"/>
  <c r="IN32" i="1"/>
  <c r="IR32" i="1"/>
  <c r="AU32" i="1"/>
  <c r="CA32" i="1"/>
  <c r="DD32" i="1"/>
  <c r="EC32" i="1"/>
  <c r="EX32" i="1"/>
  <c r="HK32" i="1"/>
  <c r="HP32" i="1"/>
  <c r="HY32" i="1"/>
  <c r="IA32" i="1" s="1"/>
  <c r="IC32" i="1"/>
  <c r="IK32" i="1"/>
  <c r="IO32" i="1"/>
  <c r="EY32" i="1"/>
  <c r="GG32" i="1"/>
  <c r="GI32" i="1" s="1"/>
  <c r="HZ32" i="1"/>
  <c r="CB32" i="1"/>
  <c r="GT32" i="1"/>
  <c r="HL32" i="1"/>
  <c r="IT32" i="1"/>
  <c r="IV32" i="1" s="1"/>
  <c r="IH32" i="1"/>
  <c r="HV32" i="1"/>
  <c r="HX32" i="1" s="1"/>
  <c r="IL32" i="1"/>
  <c r="C33" i="5"/>
  <c r="O36" i="3"/>
  <c r="E37" i="5"/>
  <c r="N37" i="3"/>
  <c r="D38" i="5"/>
  <c r="O52" i="3"/>
  <c r="E53" i="5"/>
  <c r="O68" i="3"/>
  <c r="E69" i="5"/>
  <c r="M8" i="3"/>
  <c r="FQ8" i="1"/>
  <c r="GH8" i="1"/>
  <c r="GU8" i="1"/>
  <c r="HD8" i="1"/>
  <c r="HS8" i="1"/>
  <c r="HW8" i="1"/>
  <c r="IE8" i="1"/>
  <c r="II8" i="1"/>
  <c r="IQ8" i="1"/>
  <c r="IU8" i="1"/>
  <c r="DC8" i="1"/>
  <c r="EB8" i="1"/>
  <c r="FR8" i="1"/>
  <c r="HE8" i="1"/>
  <c r="HO8" i="1"/>
  <c r="HT8" i="1"/>
  <c r="IB8" i="1"/>
  <c r="IF8" i="1"/>
  <c r="IN8" i="1"/>
  <c r="IR8" i="1"/>
  <c r="AU8" i="1"/>
  <c r="CA8" i="1"/>
  <c r="DD8" i="1"/>
  <c r="EC8" i="1"/>
  <c r="EX8" i="1"/>
  <c r="HK8" i="1"/>
  <c r="HP8" i="1"/>
  <c r="HY8" i="1"/>
  <c r="IC8" i="1"/>
  <c r="IK8" i="1"/>
  <c r="IO8" i="1"/>
  <c r="HV8" i="1"/>
  <c r="IL8" i="1"/>
  <c r="EY8" i="1"/>
  <c r="GG8" i="1"/>
  <c r="HZ8" i="1"/>
  <c r="CB8" i="1"/>
  <c r="GT8" i="1"/>
  <c r="HL8" i="1"/>
  <c r="IT8" i="1"/>
  <c r="IH8" i="1"/>
  <c r="L109" i="1"/>
  <c r="M109" i="1"/>
  <c r="C9" i="5"/>
  <c r="IM38" i="1"/>
  <c r="HM38" i="1"/>
  <c r="CC38" i="1"/>
  <c r="M40" i="3"/>
  <c r="FQ40" i="1"/>
  <c r="GH40" i="1"/>
  <c r="GU40" i="1"/>
  <c r="HD40" i="1"/>
  <c r="HF40" i="1" s="1"/>
  <c r="HS40" i="1"/>
  <c r="HW40" i="1"/>
  <c r="IE40" i="1"/>
  <c r="II40" i="1"/>
  <c r="IQ40" i="1"/>
  <c r="IU40" i="1"/>
  <c r="DC40" i="1"/>
  <c r="EB40" i="1"/>
  <c r="ED40" i="1" s="1"/>
  <c r="FR40" i="1"/>
  <c r="HE40" i="1"/>
  <c r="HO40" i="1"/>
  <c r="HT40" i="1"/>
  <c r="IB40" i="1"/>
  <c r="ID40" i="1" s="1"/>
  <c r="IF40" i="1"/>
  <c r="IN40" i="1"/>
  <c r="IR40" i="1"/>
  <c r="CA40" i="1"/>
  <c r="CC40" i="1" s="1"/>
  <c r="GG40" i="1"/>
  <c r="GI40" i="1" s="1"/>
  <c r="HP40" i="1"/>
  <c r="HY40" i="1"/>
  <c r="IO40" i="1"/>
  <c r="CB40" i="1"/>
  <c r="EC40" i="1"/>
  <c r="GT40" i="1"/>
  <c r="GV40" i="1" s="1"/>
  <c r="HZ40" i="1"/>
  <c r="IH40" i="1"/>
  <c r="DD40" i="1"/>
  <c r="EX40" i="1"/>
  <c r="HK40" i="1"/>
  <c r="HM40" i="1" s="1"/>
  <c r="IC40" i="1"/>
  <c r="IK40" i="1"/>
  <c r="AU40" i="1"/>
  <c r="EY40" i="1"/>
  <c r="HL40" i="1"/>
  <c r="HV40" i="1"/>
  <c r="HX40" i="1" s="1"/>
  <c r="IL40" i="1"/>
  <c r="IT40" i="1"/>
  <c r="IV40" i="1" s="1"/>
  <c r="C41" i="5"/>
  <c r="M44" i="3"/>
  <c r="FQ44" i="1"/>
  <c r="GH44" i="1"/>
  <c r="GU44" i="1"/>
  <c r="HD44" i="1"/>
  <c r="HS44" i="1"/>
  <c r="HU44" i="1" s="1"/>
  <c r="HW44" i="1"/>
  <c r="IE44" i="1"/>
  <c r="II44" i="1"/>
  <c r="IQ44" i="1"/>
  <c r="IS44" i="1" s="1"/>
  <c r="IU44" i="1"/>
  <c r="DC44" i="1"/>
  <c r="EB44" i="1"/>
  <c r="FR44" i="1"/>
  <c r="HE44" i="1"/>
  <c r="HO44" i="1"/>
  <c r="HT44" i="1"/>
  <c r="IB44" i="1"/>
  <c r="IF44" i="1"/>
  <c r="IN44" i="1"/>
  <c r="IR44" i="1"/>
  <c r="CA44" i="1"/>
  <c r="GG44" i="1"/>
  <c r="GI44" i="1" s="1"/>
  <c r="HP44" i="1"/>
  <c r="HY44" i="1"/>
  <c r="IO44" i="1"/>
  <c r="CB44" i="1"/>
  <c r="EC44" i="1"/>
  <c r="GT44" i="1"/>
  <c r="GV44" i="1" s="1"/>
  <c r="HZ44" i="1"/>
  <c r="IH44" i="1"/>
  <c r="IJ44" i="1" s="1"/>
  <c r="DD44" i="1"/>
  <c r="EX44" i="1"/>
  <c r="HK44" i="1"/>
  <c r="IC44" i="1"/>
  <c r="IK44" i="1"/>
  <c r="AU44" i="1"/>
  <c r="EY44" i="1"/>
  <c r="HL44" i="1"/>
  <c r="HV44" i="1"/>
  <c r="IL44" i="1"/>
  <c r="IT44" i="1"/>
  <c r="IV44" i="1" s="1"/>
  <c r="C45" i="5"/>
  <c r="II47" i="3"/>
  <c r="EC55" i="3"/>
  <c r="HE55" i="3"/>
  <c r="IU55" i="3"/>
  <c r="HW55" i="3"/>
  <c r="EA110" i="1"/>
  <c r="EA113" i="1" s="1"/>
  <c r="IP13" i="1"/>
  <c r="HQ13" i="1"/>
  <c r="DE13" i="1"/>
  <c r="IP17" i="1"/>
  <c r="HQ17" i="1"/>
  <c r="DE17" i="1"/>
  <c r="IJ21" i="1"/>
  <c r="IP21" i="1"/>
  <c r="HQ21" i="1"/>
  <c r="DE21" i="1"/>
  <c r="GI25" i="1"/>
  <c r="IM25" i="1"/>
  <c r="HM25" i="1"/>
  <c r="CC25" i="1"/>
  <c r="FP25" i="3"/>
  <c r="GG25" i="3"/>
  <c r="GT25" i="3"/>
  <c r="HC25" i="3"/>
  <c r="HE25" i="3" s="1"/>
  <c r="HR25" i="3"/>
  <c r="HV25" i="3"/>
  <c r="ID25" i="3"/>
  <c r="IH25" i="3"/>
  <c r="IP25" i="3"/>
  <c r="IT25" i="3"/>
  <c r="DB25" i="3"/>
  <c r="EA25" i="3"/>
  <c r="FQ25" i="3"/>
  <c r="HD25" i="3"/>
  <c r="HN25" i="3"/>
  <c r="HS25" i="3"/>
  <c r="IA25" i="3"/>
  <c r="IE25" i="3"/>
  <c r="IM25" i="3"/>
  <c r="IQ25" i="3"/>
  <c r="BZ25" i="3"/>
  <c r="DC25" i="3"/>
  <c r="EB25" i="3"/>
  <c r="EW25" i="3"/>
  <c r="EY25" i="3" s="1"/>
  <c r="HJ25" i="3"/>
  <c r="HO25" i="3"/>
  <c r="HX25" i="3"/>
  <c r="IB25" i="3"/>
  <c r="IJ25" i="3"/>
  <c r="IN25" i="3"/>
  <c r="HU25" i="3"/>
  <c r="HW25" i="3" s="1"/>
  <c r="IK25" i="3"/>
  <c r="EX25" i="3"/>
  <c r="GF25" i="3"/>
  <c r="GH25" i="3" s="1"/>
  <c r="HY25" i="3"/>
  <c r="CA25" i="3"/>
  <c r="GS25" i="3"/>
  <c r="HK25" i="3"/>
  <c r="IS25" i="3"/>
  <c r="IU25" i="3" s="1"/>
  <c r="IG25" i="3"/>
  <c r="II25" i="3" s="1"/>
  <c r="IJ29" i="1"/>
  <c r="IP29" i="1"/>
  <c r="HQ29" i="1"/>
  <c r="DE29" i="1"/>
  <c r="EZ33" i="1"/>
  <c r="ID33" i="1"/>
  <c r="IM42" i="1"/>
  <c r="HM42" i="1"/>
  <c r="CC42" i="1"/>
  <c r="ED47" i="1"/>
  <c r="O50" i="3"/>
  <c r="E51" i="5"/>
  <c r="ED55" i="1"/>
  <c r="O58" i="3"/>
  <c r="E59" i="5"/>
  <c r="IJ48" i="1"/>
  <c r="GV48" i="1"/>
  <c r="BZ48" i="3"/>
  <c r="DC48" i="3"/>
  <c r="EB48" i="3"/>
  <c r="EW48" i="3"/>
  <c r="HJ48" i="3"/>
  <c r="HO48" i="3"/>
  <c r="HX48" i="3"/>
  <c r="HZ48" i="3" s="1"/>
  <c r="IB48" i="3"/>
  <c r="IJ48" i="3"/>
  <c r="IN48" i="3"/>
  <c r="CA48" i="3"/>
  <c r="EX48" i="3"/>
  <c r="GF48" i="3"/>
  <c r="GS48" i="3"/>
  <c r="HK48" i="3"/>
  <c r="HU48" i="3"/>
  <c r="HY48" i="3"/>
  <c r="IG48" i="3"/>
  <c r="II48" i="3" s="1"/>
  <c r="IK48" i="3"/>
  <c r="IS48" i="3"/>
  <c r="FP48" i="3"/>
  <c r="GG48" i="3"/>
  <c r="GT48" i="3"/>
  <c r="HC48" i="3"/>
  <c r="HR48" i="3"/>
  <c r="HV48" i="3"/>
  <c r="ID48" i="3"/>
  <c r="HS48" i="3"/>
  <c r="IH48" i="3"/>
  <c r="IP48" i="3"/>
  <c r="IR48" i="3" s="1"/>
  <c r="IQ48" i="3"/>
  <c r="EA48" i="3"/>
  <c r="FQ48" i="3"/>
  <c r="IA48" i="3"/>
  <c r="IC48" i="3" s="1"/>
  <c r="IT48" i="3"/>
  <c r="DB48" i="3"/>
  <c r="HD48" i="3"/>
  <c r="HN48" i="3"/>
  <c r="HP48" i="3" s="1"/>
  <c r="IE48" i="3"/>
  <c r="IM48" i="3"/>
  <c r="O62" i="3"/>
  <c r="E63" i="5"/>
  <c r="IR91" i="3"/>
  <c r="IC91" i="3"/>
  <c r="IL95" i="3"/>
  <c r="IU95" i="3"/>
  <c r="HW95" i="3"/>
  <c r="EY99" i="3"/>
  <c r="IF99" i="3"/>
  <c r="EC99" i="3"/>
  <c r="EZ60" i="1"/>
  <c r="ID60" i="1"/>
  <c r="IS60" i="1"/>
  <c r="HU60" i="1"/>
  <c r="FS60" i="1"/>
  <c r="GI60" i="1"/>
  <c r="IM67" i="1"/>
  <c r="HM67" i="1"/>
  <c r="CC67" i="1"/>
  <c r="II74" i="3"/>
  <c r="GU74" i="3"/>
  <c r="FR90" i="3"/>
  <c r="EY90" i="3"/>
  <c r="GH90" i="3"/>
  <c r="IJ41" i="1"/>
  <c r="GV41" i="1"/>
  <c r="HX41" i="1"/>
  <c r="IP41" i="1"/>
  <c r="HQ41" i="1"/>
  <c r="DE41" i="1"/>
  <c r="HU45" i="1"/>
  <c r="IV45" i="1"/>
  <c r="EZ45" i="1"/>
  <c r="ID45" i="1"/>
  <c r="IJ56" i="1"/>
  <c r="GV56" i="1"/>
  <c r="DB56" i="3"/>
  <c r="DD56" i="3" s="1"/>
  <c r="EA56" i="3"/>
  <c r="FQ56" i="3"/>
  <c r="HD56" i="3"/>
  <c r="HN56" i="3"/>
  <c r="HP56" i="3" s="1"/>
  <c r="HS56" i="3"/>
  <c r="IA56" i="3"/>
  <c r="IE56" i="3"/>
  <c r="IM56" i="3"/>
  <c r="IO56" i="3" s="1"/>
  <c r="IQ56" i="3"/>
  <c r="BZ56" i="3"/>
  <c r="DC56" i="3"/>
  <c r="EB56" i="3"/>
  <c r="EW56" i="3"/>
  <c r="HJ56" i="3"/>
  <c r="HO56" i="3"/>
  <c r="HX56" i="3"/>
  <c r="HZ56" i="3" s="1"/>
  <c r="IB56" i="3"/>
  <c r="IJ56" i="3"/>
  <c r="IN56" i="3"/>
  <c r="CA56" i="3"/>
  <c r="EX56" i="3"/>
  <c r="GF56" i="3"/>
  <c r="GS56" i="3"/>
  <c r="HK56" i="3"/>
  <c r="HU56" i="3"/>
  <c r="HW56" i="3" s="1"/>
  <c r="HY56" i="3"/>
  <c r="IG56" i="3"/>
  <c r="IK56" i="3"/>
  <c r="IS56" i="3"/>
  <c r="IU56" i="3" s="1"/>
  <c r="FP56" i="3"/>
  <c r="FR56" i="3" s="1"/>
  <c r="GG56" i="3"/>
  <c r="GT56" i="3"/>
  <c r="HC56" i="3"/>
  <c r="HE56" i="3" s="1"/>
  <c r="HR56" i="3"/>
  <c r="HV56" i="3"/>
  <c r="ID56" i="3"/>
  <c r="IF56" i="3" s="1"/>
  <c r="IH56" i="3"/>
  <c r="IP56" i="3"/>
  <c r="IT56" i="3"/>
  <c r="IS69" i="1"/>
  <c r="M72" i="3"/>
  <c r="FQ72" i="1"/>
  <c r="GH72" i="1"/>
  <c r="GU72" i="1"/>
  <c r="HD72" i="1"/>
  <c r="HF72" i="1" s="1"/>
  <c r="HS72" i="1"/>
  <c r="HW72" i="1"/>
  <c r="IE72" i="1"/>
  <c r="IG72" i="1" s="1"/>
  <c r="II72" i="1"/>
  <c r="IQ72" i="1"/>
  <c r="IU72" i="1"/>
  <c r="AU72" i="1"/>
  <c r="EC72" i="1"/>
  <c r="EY72" i="1"/>
  <c r="GG72" i="1"/>
  <c r="GI72" i="1" s="1"/>
  <c r="HO72" i="1"/>
  <c r="HQ72" i="1" s="1"/>
  <c r="HZ72" i="1"/>
  <c r="IF72" i="1"/>
  <c r="IK72" i="1"/>
  <c r="CA72" i="1"/>
  <c r="DC72" i="1"/>
  <c r="HE72" i="1"/>
  <c r="HP72" i="1"/>
  <c r="HV72" i="1"/>
  <c r="HX72" i="1" s="1"/>
  <c r="IB72" i="1"/>
  <c r="IL72" i="1"/>
  <c r="IR72" i="1"/>
  <c r="CB72" i="1"/>
  <c r="DD72" i="1"/>
  <c r="GT72" i="1"/>
  <c r="HK72" i="1"/>
  <c r="IC72" i="1"/>
  <c r="IH72" i="1"/>
  <c r="IJ72" i="1" s="1"/>
  <c r="IN72" i="1"/>
  <c r="EB72" i="1"/>
  <c r="EX72" i="1"/>
  <c r="EZ72" i="1" s="1"/>
  <c r="FR72" i="1"/>
  <c r="HL72" i="1"/>
  <c r="HT72" i="1"/>
  <c r="HY72" i="1"/>
  <c r="IA72" i="1" s="1"/>
  <c r="IO72" i="1"/>
  <c r="IT72" i="1"/>
  <c r="IV72" i="1" s="1"/>
  <c r="C73" i="5"/>
  <c r="M77" i="3"/>
  <c r="AU77" i="1"/>
  <c r="CA77" i="1"/>
  <c r="DD77" i="1"/>
  <c r="EC77" i="1"/>
  <c r="EX77" i="1"/>
  <c r="HK77" i="1"/>
  <c r="HP77" i="1"/>
  <c r="HY77" i="1"/>
  <c r="IA77" i="1" s="1"/>
  <c r="IC77" i="1"/>
  <c r="IK77" i="1"/>
  <c r="IO77" i="1"/>
  <c r="CB77" i="1"/>
  <c r="EY77" i="1"/>
  <c r="GG77" i="1"/>
  <c r="GT77" i="1"/>
  <c r="HL77" i="1"/>
  <c r="HV77" i="1"/>
  <c r="HX77" i="1" s="1"/>
  <c r="HZ77" i="1"/>
  <c r="IH77" i="1"/>
  <c r="IL77" i="1"/>
  <c r="IT77" i="1"/>
  <c r="IV77" i="1" s="1"/>
  <c r="FQ77" i="1"/>
  <c r="GH77" i="1"/>
  <c r="GU77" i="1"/>
  <c r="HD77" i="1"/>
  <c r="HF77" i="1" s="1"/>
  <c r="HS77" i="1"/>
  <c r="HW77" i="1"/>
  <c r="IE77" i="1"/>
  <c r="IG77" i="1" s="1"/>
  <c r="II77" i="1"/>
  <c r="IQ77" i="1"/>
  <c r="IU77" i="1"/>
  <c r="DC77" i="1"/>
  <c r="DE77" i="1" s="1"/>
  <c r="EB77" i="1"/>
  <c r="FR77" i="1"/>
  <c r="HE77" i="1"/>
  <c r="HO77" i="1"/>
  <c r="HQ77" i="1" s="1"/>
  <c r="HT77" i="1"/>
  <c r="IB77" i="1"/>
  <c r="IF77" i="1"/>
  <c r="IN77" i="1"/>
  <c r="IP77" i="1" s="1"/>
  <c r="IR77" i="1"/>
  <c r="C78" i="5"/>
  <c r="M81" i="3"/>
  <c r="AU81" i="1"/>
  <c r="CA81" i="1"/>
  <c r="CC81" i="1" s="1"/>
  <c r="DD81" i="1"/>
  <c r="EC81" i="1"/>
  <c r="EX81" i="1"/>
  <c r="HK81" i="1"/>
  <c r="HM81" i="1" s="1"/>
  <c r="HP81" i="1"/>
  <c r="HY81" i="1"/>
  <c r="IC81" i="1"/>
  <c r="IK81" i="1"/>
  <c r="IM81" i="1" s="1"/>
  <c r="IO81" i="1"/>
  <c r="CB81" i="1"/>
  <c r="EY81" i="1"/>
  <c r="GG81" i="1"/>
  <c r="GI81" i="1" s="1"/>
  <c r="GT81" i="1"/>
  <c r="HL81" i="1"/>
  <c r="HV81" i="1"/>
  <c r="HX81" i="1" s="1"/>
  <c r="HZ81" i="1"/>
  <c r="IH81" i="1"/>
  <c r="IL81" i="1"/>
  <c r="IT81" i="1"/>
  <c r="IV81" i="1" s="1"/>
  <c r="FQ81" i="1"/>
  <c r="GH81" i="1"/>
  <c r="GU81" i="1"/>
  <c r="HD81" i="1"/>
  <c r="HF81" i="1" s="1"/>
  <c r="HS81" i="1"/>
  <c r="HW81" i="1"/>
  <c r="IE81" i="1"/>
  <c r="II81" i="1"/>
  <c r="IQ81" i="1"/>
  <c r="IU81" i="1"/>
  <c r="DC81" i="1"/>
  <c r="DE81" i="1" s="1"/>
  <c r="EB81" i="1"/>
  <c r="ED81" i="1" s="1"/>
  <c r="FR81" i="1"/>
  <c r="HE81" i="1"/>
  <c r="HO81" i="1"/>
  <c r="HQ81" i="1" s="1"/>
  <c r="HT81" i="1"/>
  <c r="IB81" i="1"/>
  <c r="IF81" i="1"/>
  <c r="IN81" i="1"/>
  <c r="IP81" i="1" s="1"/>
  <c r="IR81" i="1"/>
  <c r="C82" i="5"/>
  <c r="M85" i="3"/>
  <c r="AU85" i="1"/>
  <c r="CA85" i="1"/>
  <c r="CC85" i="1" s="1"/>
  <c r="DD85" i="1"/>
  <c r="EC85" i="1"/>
  <c r="EX85" i="1"/>
  <c r="HK85" i="1"/>
  <c r="HM85" i="1" s="1"/>
  <c r="HP85" i="1"/>
  <c r="HY85" i="1"/>
  <c r="IC85" i="1"/>
  <c r="IK85" i="1"/>
  <c r="IM85" i="1" s="1"/>
  <c r="IO85" i="1"/>
  <c r="CB85" i="1"/>
  <c r="EY85" i="1"/>
  <c r="GG85" i="1"/>
  <c r="GI85" i="1" s="1"/>
  <c r="GT85" i="1"/>
  <c r="GV85" i="1" s="1"/>
  <c r="HL85" i="1"/>
  <c r="HV85" i="1"/>
  <c r="HZ85" i="1"/>
  <c r="IH85" i="1"/>
  <c r="IJ85" i="1" s="1"/>
  <c r="IL85" i="1"/>
  <c r="IT85" i="1"/>
  <c r="FQ85" i="1"/>
  <c r="GH85" i="1"/>
  <c r="GU85" i="1"/>
  <c r="HD85" i="1"/>
  <c r="HS85" i="1"/>
  <c r="HU85" i="1" s="1"/>
  <c r="HW85" i="1"/>
  <c r="IE85" i="1"/>
  <c r="II85" i="1"/>
  <c r="IQ85" i="1"/>
  <c r="IS85" i="1" s="1"/>
  <c r="IU85" i="1"/>
  <c r="DC85" i="1"/>
  <c r="EB85" i="1"/>
  <c r="ED85" i="1" s="1"/>
  <c r="FR85" i="1"/>
  <c r="HE85" i="1"/>
  <c r="HO85" i="1"/>
  <c r="HT85" i="1"/>
  <c r="IB85" i="1"/>
  <c r="ID85" i="1" s="1"/>
  <c r="IF85" i="1"/>
  <c r="IN85" i="1"/>
  <c r="IR85" i="1"/>
  <c r="C86" i="5"/>
  <c r="M89" i="3"/>
  <c r="AU89" i="1"/>
  <c r="CA89" i="1"/>
  <c r="DD89" i="1"/>
  <c r="EC89" i="1"/>
  <c r="EX89" i="1"/>
  <c r="HK89" i="1"/>
  <c r="HP89" i="1"/>
  <c r="HY89" i="1"/>
  <c r="IA89" i="1" s="1"/>
  <c r="IC89" i="1"/>
  <c r="IK89" i="1"/>
  <c r="IO89" i="1"/>
  <c r="CB89" i="1"/>
  <c r="EY89" i="1"/>
  <c r="GG89" i="1"/>
  <c r="GT89" i="1"/>
  <c r="GV89" i="1" s="1"/>
  <c r="HL89" i="1"/>
  <c r="HV89" i="1"/>
  <c r="HZ89" i="1"/>
  <c r="IH89" i="1"/>
  <c r="IJ89" i="1" s="1"/>
  <c r="IL89" i="1"/>
  <c r="IT89" i="1"/>
  <c r="FQ89" i="1"/>
  <c r="GH89" i="1"/>
  <c r="GU89" i="1"/>
  <c r="HD89" i="1"/>
  <c r="HS89" i="1"/>
  <c r="HW89" i="1"/>
  <c r="IE89" i="1"/>
  <c r="II89" i="1"/>
  <c r="IQ89" i="1"/>
  <c r="IU89" i="1"/>
  <c r="DC89" i="1"/>
  <c r="EB89" i="1"/>
  <c r="FR89" i="1"/>
  <c r="HE89" i="1"/>
  <c r="HO89" i="1"/>
  <c r="HT89" i="1"/>
  <c r="IB89" i="1"/>
  <c r="ID89" i="1" s="1"/>
  <c r="IF89" i="1"/>
  <c r="IN89" i="1"/>
  <c r="IR89" i="1"/>
  <c r="C90" i="5"/>
  <c r="ED52" i="1"/>
  <c r="HF52" i="1"/>
  <c r="IV52" i="1"/>
  <c r="HX52" i="1"/>
  <c r="IM63" i="1"/>
  <c r="HM63" i="1"/>
  <c r="CC63" i="1"/>
  <c r="CA70" i="3"/>
  <c r="EX70" i="3"/>
  <c r="GF70" i="3"/>
  <c r="GH70" i="3" s="1"/>
  <c r="GS70" i="3"/>
  <c r="HK70" i="3"/>
  <c r="HU70" i="3"/>
  <c r="HW70" i="3" s="1"/>
  <c r="HY70" i="3"/>
  <c r="IG70" i="3"/>
  <c r="IK70" i="3"/>
  <c r="IS70" i="3"/>
  <c r="IU70" i="3" s="1"/>
  <c r="FP70" i="3"/>
  <c r="GG70" i="3"/>
  <c r="GT70" i="3"/>
  <c r="HC70" i="3"/>
  <c r="HE70" i="3" s="1"/>
  <c r="HR70" i="3"/>
  <c r="HV70" i="3"/>
  <c r="ID70" i="3"/>
  <c r="IH70" i="3"/>
  <c r="IP70" i="3"/>
  <c r="IT70" i="3"/>
  <c r="DB70" i="3"/>
  <c r="EA70" i="3"/>
  <c r="EC70" i="3" s="1"/>
  <c r="FQ70" i="3"/>
  <c r="HD70" i="3"/>
  <c r="HN70" i="3"/>
  <c r="HS70" i="3"/>
  <c r="IA70" i="3"/>
  <c r="IE70" i="3"/>
  <c r="IM70" i="3"/>
  <c r="IQ70" i="3"/>
  <c r="BZ70" i="3"/>
  <c r="CB70" i="3" s="1"/>
  <c r="DC70" i="3"/>
  <c r="EB70" i="3"/>
  <c r="EW70" i="3"/>
  <c r="EY70" i="3" s="1"/>
  <c r="HJ70" i="3"/>
  <c r="HL70" i="3" s="1"/>
  <c r="HO70" i="3"/>
  <c r="HX70" i="3"/>
  <c r="IB70" i="3"/>
  <c r="IJ70" i="3"/>
  <c r="IL70" i="3" s="1"/>
  <c r="IN70" i="3"/>
  <c r="CC74" i="1"/>
  <c r="HM74" i="1"/>
  <c r="IM74" i="1"/>
  <c r="IA78" i="1"/>
  <c r="CC82" i="1"/>
  <c r="HM82" i="1"/>
  <c r="IM82" i="1"/>
  <c r="IA86" i="1"/>
  <c r="IU88" i="3"/>
  <c r="HW88" i="3"/>
  <c r="EY88" i="3"/>
  <c r="EC88" i="3"/>
  <c r="IA90" i="1"/>
  <c r="IF92" i="3"/>
  <c r="EY92" i="3"/>
  <c r="II92" i="3"/>
  <c r="GU92" i="3"/>
  <c r="EC92" i="3"/>
  <c r="IA94" i="1"/>
  <c r="CB96" i="3"/>
  <c r="HL96" i="3"/>
  <c r="IU96" i="3"/>
  <c r="HW96" i="3"/>
  <c r="DP111" i="1"/>
  <c r="DP112" i="1"/>
  <c r="DP113" i="1" s="1"/>
  <c r="DR109" i="1"/>
  <c r="IM98" i="1"/>
  <c r="HM98" i="1"/>
  <c r="CC98" i="1"/>
  <c r="EZ103" i="1"/>
  <c r="EZ75" i="1"/>
  <c r="ID75" i="1"/>
  <c r="IS75" i="1"/>
  <c r="HU75" i="1"/>
  <c r="FS75" i="1"/>
  <c r="IM83" i="1"/>
  <c r="HM83" i="1"/>
  <c r="CC83" i="1"/>
  <c r="CQ111" i="1"/>
  <c r="CS109" i="1"/>
  <c r="CQ112" i="1"/>
  <c r="CQ113" i="1" s="1"/>
  <c r="DL113" i="1"/>
  <c r="DJ117" i="1" s="1"/>
  <c r="DJ114" i="1"/>
  <c r="DJ115" i="1" s="1"/>
  <c r="DJ120" i="1"/>
  <c r="DJ119" i="1" s="1"/>
  <c r="DK114" i="1"/>
  <c r="DK115" i="1" s="1"/>
  <c r="DK120" i="1"/>
  <c r="IJ73" i="1"/>
  <c r="GV73" i="1"/>
  <c r="DB102" i="3"/>
  <c r="EA102" i="3"/>
  <c r="FQ102" i="3"/>
  <c r="HD102" i="3"/>
  <c r="HN102" i="3"/>
  <c r="HS102" i="3"/>
  <c r="IA102" i="3"/>
  <c r="IE102" i="3"/>
  <c r="IM102" i="3"/>
  <c r="IQ102" i="3"/>
  <c r="BZ102" i="3"/>
  <c r="DC102" i="3"/>
  <c r="EB102" i="3"/>
  <c r="EW102" i="3"/>
  <c r="HJ102" i="3"/>
  <c r="HO102" i="3"/>
  <c r="HX102" i="3"/>
  <c r="HZ102" i="3" s="1"/>
  <c r="IB102" i="3"/>
  <c r="IJ102" i="3"/>
  <c r="IN102" i="3"/>
  <c r="CA102" i="3"/>
  <c r="EX102" i="3"/>
  <c r="GF102" i="3"/>
  <c r="GS102" i="3"/>
  <c r="GU102" i="3" s="1"/>
  <c r="HK102" i="3"/>
  <c r="HU102" i="3"/>
  <c r="HY102" i="3"/>
  <c r="IG102" i="3"/>
  <c r="IK102" i="3"/>
  <c r="IS102" i="3"/>
  <c r="ID102" i="3"/>
  <c r="IT102" i="3"/>
  <c r="GG102" i="3"/>
  <c r="HC102" i="3"/>
  <c r="HR102" i="3"/>
  <c r="HT102" i="3" s="1"/>
  <c r="IH102" i="3"/>
  <c r="FP102" i="3"/>
  <c r="FR102" i="3" s="1"/>
  <c r="GT102" i="3"/>
  <c r="HV102" i="3"/>
  <c r="IP102" i="3"/>
  <c r="IR102" i="3" s="1"/>
  <c r="BZ113" i="1"/>
  <c r="BX117" i="1" s="1"/>
  <c r="BX114" i="1"/>
  <c r="BX120" i="1"/>
  <c r="BY114" i="1"/>
  <c r="BX119" i="1"/>
  <c r="BY120" i="1"/>
  <c r="IM79" i="1"/>
  <c r="HM79" i="1"/>
  <c r="CC79" i="1"/>
  <c r="IP87" i="1"/>
  <c r="HQ87" i="1"/>
  <c r="DE87" i="1"/>
  <c r="IG87" i="1"/>
  <c r="O101" i="3"/>
  <c r="E102" i="5"/>
  <c r="AV157" i="3"/>
  <c r="AV161" i="3"/>
  <c r="DP111" i="3"/>
  <c r="DP112" i="3"/>
  <c r="DP113" i="3"/>
  <c r="BW113" i="3"/>
  <c r="BY109" i="3"/>
  <c r="BW111" i="3"/>
  <c r="BW112" i="3"/>
  <c r="ET113" i="3"/>
  <c r="EV109" i="3"/>
  <c r="ET111" i="3"/>
  <c r="ET112" i="3"/>
  <c r="AV198" i="3"/>
  <c r="AV199" i="3"/>
  <c r="CJ113" i="3"/>
  <c r="CL109" i="3"/>
  <c r="CJ112" i="3"/>
  <c r="CJ111" i="3"/>
  <c r="CQ111" i="3"/>
  <c r="CQ112" i="3"/>
  <c r="CQ113" i="3"/>
  <c r="GX112" i="3"/>
  <c r="GX111" i="3"/>
  <c r="GX113" i="3"/>
  <c r="AV108" i="3"/>
  <c r="BG113" i="3"/>
  <c r="BE120" i="3"/>
  <c r="BE121" i="3"/>
  <c r="BE118" i="3"/>
  <c r="BF120" i="3"/>
  <c r="BE114" i="3"/>
  <c r="BE115" i="3" s="1"/>
  <c r="BE117" i="3"/>
  <c r="B124" i="3" s="1"/>
  <c r="M26" i="4" s="1"/>
  <c r="BG118" i="3"/>
  <c r="BE119" i="3"/>
  <c r="BF114" i="3"/>
  <c r="BF115" i="3" s="1"/>
  <c r="BG117" i="3"/>
  <c r="BG119" i="3"/>
  <c r="B125" i="3" s="1"/>
  <c r="M27" i="4" s="1"/>
  <c r="GZ120" i="3"/>
  <c r="GZ121" i="3"/>
  <c r="HB113" i="3"/>
  <c r="GZ118" i="3"/>
  <c r="HA120" i="3"/>
  <c r="GZ114" i="3"/>
  <c r="GZ115" i="3" s="1"/>
  <c r="GZ117" i="3"/>
  <c r="I136" i="3" s="1"/>
  <c r="T38" i="4" s="1"/>
  <c r="HB118" i="3"/>
  <c r="GZ119" i="3"/>
  <c r="HA114" i="3"/>
  <c r="HA115" i="3" s="1"/>
  <c r="HB117" i="3"/>
  <c r="HB119" i="3"/>
  <c r="I137" i="3" s="1"/>
  <c r="T39" i="4" s="1"/>
  <c r="AV147" i="3"/>
  <c r="DL111" i="3"/>
  <c r="DL113" i="3"/>
  <c r="DN109" i="3"/>
  <c r="DL112" i="3"/>
  <c r="AV189" i="3"/>
  <c r="DX111" i="3"/>
  <c r="DX113" i="3"/>
  <c r="DZ109" i="3"/>
  <c r="DX112" i="3"/>
  <c r="BS113" i="3"/>
  <c r="BQ120" i="3"/>
  <c r="BQ121" i="3"/>
  <c r="BQ118" i="3"/>
  <c r="BR120" i="3"/>
  <c r="BQ114" i="3"/>
  <c r="BQ115" i="3" s="1"/>
  <c r="BQ117" i="3"/>
  <c r="B132" i="3" s="1"/>
  <c r="M34" i="4" s="1"/>
  <c r="BS118" i="3"/>
  <c r="BQ119" i="3"/>
  <c r="BR114" i="3"/>
  <c r="BR115" i="3" s="1"/>
  <c r="BS117" i="3"/>
  <c r="BS119" i="3"/>
  <c r="B133" i="3" s="1"/>
  <c r="M35" i="4" s="1"/>
  <c r="FO109" i="3"/>
  <c r="HL6" i="3"/>
  <c r="IL6" i="3"/>
  <c r="EC6" i="3"/>
  <c r="HE6" i="3"/>
  <c r="IU6" i="3"/>
  <c r="HW6" i="3"/>
  <c r="AV201" i="3"/>
  <c r="AV203" i="3"/>
  <c r="HA112" i="3"/>
  <c r="HA113" i="3"/>
  <c r="HA111" i="3"/>
  <c r="EL113" i="3"/>
  <c r="EL112" i="3"/>
  <c r="EL111" i="3"/>
  <c r="AV207" i="3"/>
  <c r="GH7" i="3"/>
  <c r="IC7" i="3"/>
  <c r="IL27" i="3"/>
  <c r="HL27" i="3"/>
  <c r="IC27" i="3"/>
  <c r="IR27" i="3"/>
  <c r="HT27" i="3"/>
  <c r="FR27" i="3"/>
  <c r="IL35" i="3"/>
  <c r="HL35" i="3"/>
  <c r="IC35" i="3"/>
  <c r="IR35" i="3"/>
  <c r="HT35" i="3"/>
  <c r="FR35" i="3"/>
  <c r="IL39" i="3"/>
  <c r="HL39" i="3"/>
  <c r="IC39" i="3"/>
  <c r="IR39" i="3"/>
  <c r="HT39" i="3"/>
  <c r="FR39" i="3"/>
  <c r="IL43" i="3"/>
  <c r="HL43" i="3"/>
  <c r="IC43" i="3"/>
  <c r="IR43" i="3"/>
  <c r="HT43" i="3"/>
  <c r="FR43" i="3"/>
  <c r="FR30" i="3"/>
  <c r="ED9" i="1"/>
  <c r="IL49" i="3"/>
  <c r="HP49" i="3"/>
  <c r="DD49" i="3"/>
  <c r="IF49" i="3"/>
  <c r="EC53" i="3"/>
  <c r="IO57" i="3"/>
  <c r="HP57" i="3"/>
  <c r="DD57" i="3"/>
  <c r="IF57" i="3"/>
  <c r="M12" i="3"/>
  <c r="FQ12" i="1"/>
  <c r="GH12" i="1"/>
  <c r="GU12" i="1"/>
  <c r="HD12" i="1"/>
  <c r="HS12" i="1"/>
  <c r="HW12" i="1"/>
  <c r="IE12" i="1"/>
  <c r="II12" i="1"/>
  <c r="IQ12" i="1"/>
  <c r="IU12" i="1"/>
  <c r="DC12" i="1"/>
  <c r="EB12" i="1"/>
  <c r="FR12" i="1"/>
  <c r="HE12" i="1"/>
  <c r="HO12" i="1"/>
  <c r="HT12" i="1"/>
  <c r="IB12" i="1"/>
  <c r="IF12" i="1"/>
  <c r="IN12" i="1"/>
  <c r="IR12" i="1"/>
  <c r="AU12" i="1"/>
  <c r="CA12" i="1"/>
  <c r="DD12" i="1"/>
  <c r="EC12" i="1"/>
  <c r="EX12" i="1"/>
  <c r="HK12" i="1"/>
  <c r="HP12" i="1"/>
  <c r="HY12" i="1"/>
  <c r="IC12" i="1"/>
  <c r="IK12" i="1"/>
  <c r="IO12" i="1"/>
  <c r="EY12" i="1"/>
  <c r="GG12" i="1"/>
  <c r="HZ12" i="1"/>
  <c r="CB12" i="1"/>
  <c r="GT12" i="1"/>
  <c r="HL12" i="1"/>
  <c r="IT12" i="1"/>
  <c r="IV12" i="1" s="1"/>
  <c r="IH12" i="1"/>
  <c r="IJ12" i="1" s="1"/>
  <c r="HV12" i="1"/>
  <c r="IL12" i="1"/>
  <c r="C13" i="5"/>
  <c r="M36" i="3"/>
  <c r="FQ36" i="1"/>
  <c r="GH36" i="1"/>
  <c r="GU36" i="1"/>
  <c r="HD36" i="1"/>
  <c r="HF36" i="1" s="1"/>
  <c r="HS36" i="1"/>
  <c r="HW36" i="1"/>
  <c r="IE36" i="1"/>
  <c r="IG36" i="1" s="1"/>
  <c r="II36" i="1"/>
  <c r="IQ36" i="1"/>
  <c r="IU36" i="1"/>
  <c r="DC36" i="1"/>
  <c r="DE36" i="1" s="1"/>
  <c r="EB36" i="1"/>
  <c r="ED36" i="1" s="1"/>
  <c r="FR36" i="1"/>
  <c r="HE36" i="1"/>
  <c r="HO36" i="1"/>
  <c r="HT36" i="1"/>
  <c r="IB36" i="1"/>
  <c r="IF36" i="1"/>
  <c r="IN36" i="1"/>
  <c r="IP36" i="1" s="1"/>
  <c r="IR36" i="1"/>
  <c r="CB36" i="1"/>
  <c r="EC36" i="1"/>
  <c r="GT36" i="1"/>
  <c r="GV36" i="1" s="1"/>
  <c r="HZ36" i="1"/>
  <c r="IH36" i="1"/>
  <c r="DD36" i="1"/>
  <c r="EX36" i="1"/>
  <c r="HK36" i="1"/>
  <c r="HM36" i="1" s="1"/>
  <c r="IC36" i="1"/>
  <c r="IK36" i="1"/>
  <c r="AU36" i="1"/>
  <c r="EY36" i="1"/>
  <c r="HL36" i="1"/>
  <c r="HV36" i="1"/>
  <c r="HX36" i="1" s="1"/>
  <c r="IL36" i="1"/>
  <c r="IT36" i="1"/>
  <c r="IV36" i="1" s="1"/>
  <c r="CA36" i="1"/>
  <c r="CC36" i="1" s="1"/>
  <c r="GG36" i="1"/>
  <c r="GI36" i="1" s="1"/>
  <c r="HP36" i="1"/>
  <c r="HY36" i="1"/>
  <c r="IA36" i="1" s="1"/>
  <c r="IO36" i="1"/>
  <c r="C37" i="5"/>
  <c r="O56" i="3"/>
  <c r="E57" i="5"/>
  <c r="O64" i="3"/>
  <c r="E65" i="5"/>
  <c r="O37" i="3"/>
  <c r="E38" i="5"/>
  <c r="IV38" i="1"/>
  <c r="HX38" i="1"/>
  <c r="EZ38" i="1"/>
  <c r="FR47" i="3"/>
  <c r="FR51" i="3"/>
  <c r="FS9" i="1"/>
  <c r="BQ110" i="1"/>
  <c r="BQ113" i="1" s="1"/>
  <c r="BZ13" i="3"/>
  <c r="DC13" i="3"/>
  <c r="EB13" i="3"/>
  <c r="EW13" i="3"/>
  <c r="HJ13" i="3"/>
  <c r="HO13" i="3"/>
  <c r="HX13" i="3"/>
  <c r="IB13" i="3"/>
  <c r="IJ13" i="3"/>
  <c r="IN13" i="3"/>
  <c r="CA13" i="3"/>
  <c r="DB13" i="3"/>
  <c r="DD13" i="3" s="1"/>
  <c r="FQ13" i="3"/>
  <c r="GF13" i="3"/>
  <c r="GT13" i="3"/>
  <c r="HC13" i="3"/>
  <c r="HV13" i="3"/>
  <c r="IA13" i="3"/>
  <c r="IG13" i="3"/>
  <c r="IQ13" i="3"/>
  <c r="EA13" i="3"/>
  <c r="GG13" i="3"/>
  <c r="HD13" i="3"/>
  <c r="HK13" i="3"/>
  <c r="HR13" i="3"/>
  <c r="IH13" i="3"/>
  <c r="IM13" i="3"/>
  <c r="IO13" i="3" s="1"/>
  <c r="IS13" i="3"/>
  <c r="HS13" i="3"/>
  <c r="HY13" i="3"/>
  <c r="ID13" i="3"/>
  <c r="IT13" i="3"/>
  <c r="GS13" i="3"/>
  <c r="HN13" i="3"/>
  <c r="HP13" i="3" s="1"/>
  <c r="IK13" i="3"/>
  <c r="EX13" i="3"/>
  <c r="HU13" i="3"/>
  <c r="HW13" i="3" s="1"/>
  <c r="IP13" i="3"/>
  <c r="FP13" i="3"/>
  <c r="IE13" i="3"/>
  <c r="GI17" i="1"/>
  <c r="CA17" i="3"/>
  <c r="EX17" i="3"/>
  <c r="GF17" i="3"/>
  <c r="GS17" i="3"/>
  <c r="HK17" i="3"/>
  <c r="HU17" i="3"/>
  <c r="HY17" i="3"/>
  <c r="IG17" i="3"/>
  <c r="IK17" i="3"/>
  <c r="IS17" i="3"/>
  <c r="FP17" i="3"/>
  <c r="GG17" i="3"/>
  <c r="GT17" i="3"/>
  <c r="HC17" i="3"/>
  <c r="HR17" i="3"/>
  <c r="HT17" i="3" s="1"/>
  <c r="HV17" i="3"/>
  <c r="ID17" i="3"/>
  <c r="IH17" i="3"/>
  <c r="IP17" i="3"/>
  <c r="IR17" i="3" s="1"/>
  <c r="IT17" i="3"/>
  <c r="DB17" i="3"/>
  <c r="EA17" i="3"/>
  <c r="FQ17" i="3"/>
  <c r="HD17" i="3"/>
  <c r="HN17" i="3"/>
  <c r="HS17" i="3"/>
  <c r="IA17" i="3"/>
  <c r="IC17" i="3" s="1"/>
  <c r="IE17" i="3"/>
  <c r="IM17" i="3"/>
  <c r="IQ17" i="3"/>
  <c r="DC17" i="3"/>
  <c r="EW17" i="3"/>
  <c r="HJ17" i="3"/>
  <c r="HL17" i="3" s="1"/>
  <c r="IB17" i="3"/>
  <c r="BZ17" i="3"/>
  <c r="CB17" i="3" s="1"/>
  <c r="EB17" i="3"/>
  <c r="HO17" i="3"/>
  <c r="IJ17" i="3"/>
  <c r="IL17" i="3" s="1"/>
  <c r="HX17" i="3"/>
  <c r="HZ17" i="3" s="1"/>
  <c r="IN17" i="3"/>
  <c r="GI21" i="1"/>
  <c r="FP21" i="3"/>
  <c r="GG21" i="3"/>
  <c r="GT21" i="3"/>
  <c r="HC21" i="3"/>
  <c r="HR21" i="3"/>
  <c r="HV21" i="3"/>
  <c r="ID21" i="3"/>
  <c r="IH21" i="3"/>
  <c r="IP21" i="3"/>
  <c r="IT21" i="3"/>
  <c r="DB21" i="3"/>
  <c r="EA21" i="3"/>
  <c r="FQ21" i="3"/>
  <c r="BZ21" i="3"/>
  <c r="DC21" i="3"/>
  <c r="EB21" i="3"/>
  <c r="EW21" i="3"/>
  <c r="HJ21" i="3"/>
  <c r="HO21" i="3"/>
  <c r="HX21" i="3"/>
  <c r="IB21" i="3"/>
  <c r="IJ21" i="3"/>
  <c r="IL21" i="3" s="1"/>
  <c r="IN21" i="3"/>
  <c r="GF21" i="3"/>
  <c r="HD21" i="3"/>
  <c r="HK21" i="3"/>
  <c r="HU21" i="3"/>
  <c r="IK21" i="3"/>
  <c r="IS21" i="3"/>
  <c r="CA21" i="3"/>
  <c r="GS21" i="3"/>
  <c r="GU21" i="3" s="1"/>
  <c r="HN21" i="3"/>
  <c r="IE21" i="3"/>
  <c r="IM21" i="3"/>
  <c r="IO21" i="3" s="1"/>
  <c r="EX21" i="3"/>
  <c r="HY21" i="3"/>
  <c r="IG21" i="3"/>
  <c r="II21" i="3" s="1"/>
  <c r="IA21" i="3"/>
  <c r="IC21" i="3" s="1"/>
  <c r="IQ21" i="3"/>
  <c r="HS21" i="3"/>
  <c r="EZ25" i="1"/>
  <c r="ID25" i="1"/>
  <c r="GI29" i="1"/>
  <c r="FP29" i="3"/>
  <c r="GG29" i="3"/>
  <c r="GT29" i="3"/>
  <c r="HC29" i="3"/>
  <c r="HR29" i="3"/>
  <c r="HV29" i="3"/>
  <c r="ID29" i="3"/>
  <c r="IF29" i="3" s="1"/>
  <c r="IH29" i="3"/>
  <c r="IP29" i="3"/>
  <c r="IT29" i="3"/>
  <c r="DB29" i="3"/>
  <c r="EA29" i="3"/>
  <c r="FQ29" i="3"/>
  <c r="HD29" i="3"/>
  <c r="HN29" i="3"/>
  <c r="HS29" i="3"/>
  <c r="IA29" i="3"/>
  <c r="IE29" i="3"/>
  <c r="IM29" i="3"/>
  <c r="IO29" i="3" s="1"/>
  <c r="IQ29" i="3"/>
  <c r="BZ29" i="3"/>
  <c r="GF29" i="3"/>
  <c r="GH29" i="3" s="1"/>
  <c r="HO29" i="3"/>
  <c r="HX29" i="3"/>
  <c r="IN29" i="3"/>
  <c r="CA29" i="3"/>
  <c r="EB29" i="3"/>
  <c r="GS29" i="3"/>
  <c r="HY29" i="3"/>
  <c r="IG29" i="3"/>
  <c r="DC29" i="3"/>
  <c r="EW29" i="3"/>
  <c r="HJ29" i="3"/>
  <c r="IB29" i="3"/>
  <c r="IJ29" i="3"/>
  <c r="EX29" i="3"/>
  <c r="HK29" i="3"/>
  <c r="IS29" i="3"/>
  <c r="IU29" i="3" s="1"/>
  <c r="HU29" i="3"/>
  <c r="HW29" i="3" s="1"/>
  <c r="IK29" i="3"/>
  <c r="ED33" i="1"/>
  <c r="IV42" i="1"/>
  <c r="HX42" i="1"/>
  <c r="EZ42" i="1"/>
  <c r="DE51" i="1"/>
  <c r="HQ51" i="1"/>
  <c r="IP51" i="1"/>
  <c r="M54" i="3"/>
  <c r="DC54" i="1"/>
  <c r="EB54" i="1"/>
  <c r="FR54" i="1"/>
  <c r="HE54" i="1"/>
  <c r="HO54" i="1"/>
  <c r="HT54" i="1"/>
  <c r="IB54" i="1"/>
  <c r="IF54" i="1"/>
  <c r="IN54" i="1"/>
  <c r="IR54" i="1"/>
  <c r="AU54" i="1"/>
  <c r="CA54" i="1"/>
  <c r="CC54" i="1" s="1"/>
  <c r="DD54" i="1"/>
  <c r="EC54" i="1"/>
  <c r="EX54" i="1"/>
  <c r="HK54" i="1"/>
  <c r="HM54" i="1" s="1"/>
  <c r="HP54" i="1"/>
  <c r="HY54" i="1"/>
  <c r="IC54" i="1"/>
  <c r="IK54" i="1"/>
  <c r="IM54" i="1" s="1"/>
  <c r="IO54" i="1"/>
  <c r="CB54" i="1"/>
  <c r="EY54" i="1"/>
  <c r="GG54" i="1"/>
  <c r="GI54" i="1" s="1"/>
  <c r="GT54" i="1"/>
  <c r="HL54" i="1"/>
  <c r="HV54" i="1"/>
  <c r="HX54" i="1" s="1"/>
  <c r="HZ54" i="1"/>
  <c r="IH54" i="1"/>
  <c r="IL54" i="1"/>
  <c r="IT54" i="1"/>
  <c r="IV54" i="1" s="1"/>
  <c r="FQ54" i="1"/>
  <c r="FS54" i="1" s="1"/>
  <c r="GH54" i="1"/>
  <c r="GU54" i="1"/>
  <c r="HD54" i="1"/>
  <c r="HF54" i="1" s="1"/>
  <c r="HS54" i="1"/>
  <c r="HU54" i="1" s="1"/>
  <c r="HW54" i="1"/>
  <c r="IE54" i="1"/>
  <c r="II54" i="1"/>
  <c r="IQ54" i="1"/>
  <c r="IS54" i="1" s="1"/>
  <c r="IU54" i="1"/>
  <c r="C55" i="5"/>
  <c r="ID55" i="1"/>
  <c r="DE59" i="1"/>
  <c r="HQ59" i="1"/>
  <c r="IP59" i="1"/>
  <c r="ID48" i="1"/>
  <c r="IS48" i="1"/>
  <c r="HU48" i="1"/>
  <c r="FS48" i="1"/>
  <c r="M62" i="3"/>
  <c r="DC62" i="1"/>
  <c r="EB62" i="1"/>
  <c r="FR62" i="1"/>
  <c r="HE62" i="1"/>
  <c r="HO62" i="1"/>
  <c r="HT62" i="1"/>
  <c r="IB62" i="1"/>
  <c r="IF62" i="1"/>
  <c r="IN62" i="1"/>
  <c r="IR62" i="1"/>
  <c r="AU62" i="1"/>
  <c r="CA62" i="1"/>
  <c r="DD62" i="1"/>
  <c r="EC62" i="1"/>
  <c r="EX62" i="1"/>
  <c r="HK62" i="1"/>
  <c r="HM62" i="1" s="1"/>
  <c r="HP62" i="1"/>
  <c r="HY62" i="1"/>
  <c r="IC62" i="1"/>
  <c r="IK62" i="1"/>
  <c r="IO62" i="1"/>
  <c r="FQ62" i="1"/>
  <c r="FS62" i="1" s="1"/>
  <c r="GH62" i="1"/>
  <c r="GU62" i="1"/>
  <c r="HD62" i="1"/>
  <c r="HF62" i="1" s="1"/>
  <c r="HS62" i="1"/>
  <c r="HU62" i="1" s="1"/>
  <c r="HW62" i="1"/>
  <c r="IE62" i="1"/>
  <c r="IG62" i="1" s="1"/>
  <c r="II62" i="1"/>
  <c r="IQ62" i="1"/>
  <c r="IS62" i="1" s="1"/>
  <c r="IU62" i="1"/>
  <c r="HZ62" i="1"/>
  <c r="GG62" i="1"/>
  <c r="GI62" i="1" s="1"/>
  <c r="GT62" i="1"/>
  <c r="HL62" i="1"/>
  <c r="IT62" i="1"/>
  <c r="IV62" i="1" s="1"/>
  <c r="CB62" i="1"/>
  <c r="IH62" i="1"/>
  <c r="EY62" i="1"/>
  <c r="HV62" i="1"/>
  <c r="HX62" i="1" s="1"/>
  <c r="IL62" i="1"/>
  <c r="C63" i="5"/>
  <c r="II91" i="3"/>
  <c r="IC95" i="3"/>
  <c r="CB99" i="3"/>
  <c r="ED60" i="1"/>
  <c r="CA64" i="3"/>
  <c r="EX64" i="3"/>
  <c r="GF64" i="3"/>
  <c r="GH64" i="3" s="1"/>
  <c r="GS64" i="3"/>
  <c r="HK64" i="3"/>
  <c r="HU64" i="3"/>
  <c r="HW64" i="3" s="1"/>
  <c r="HY64" i="3"/>
  <c r="IG64" i="3"/>
  <c r="IK64" i="3"/>
  <c r="IS64" i="3"/>
  <c r="IU64" i="3" s="1"/>
  <c r="FP64" i="3"/>
  <c r="GG64" i="3"/>
  <c r="GT64" i="3"/>
  <c r="HC64" i="3"/>
  <c r="HE64" i="3" s="1"/>
  <c r="HR64" i="3"/>
  <c r="HV64" i="3"/>
  <c r="ID64" i="3"/>
  <c r="IH64" i="3"/>
  <c r="IP64" i="3"/>
  <c r="IT64" i="3"/>
  <c r="DB64" i="3"/>
  <c r="EA64" i="3"/>
  <c r="EC64" i="3" s="1"/>
  <c r="FQ64" i="3"/>
  <c r="HD64" i="3"/>
  <c r="HN64" i="3"/>
  <c r="HS64" i="3"/>
  <c r="IA64" i="3"/>
  <c r="IE64" i="3"/>
  <c r="IM64" i="3"/>
  <c r="IQ64" i="3"/>
  <c r="BZ64" i="3"/>
  <c r="CB64" i="3" s="1"/>
  <c r="DC64" i="3"/>
  <c r="EB64" i="3"/>
  <c r="EW64" i="3"/>
  <c r="EY64" i="3" s="1"/>
  <c r="HJ64" i="3"/>
  <c r="HL64" i="3" s="1"/>
  <c r="HO64" i="3"/>
  <c r="HX64" i="3"/>
  <c r="IB64" i="3"/>
  <c r="IJ64" i="3"/>
  <c r="IL64" i="3" s="1"/>
  <c r="IN64" i="3"/>
  <c r="EZ67" i="1"/>
  <c r="FR74" i="3"/>
  <c r="HW90" i="3"/>
  <c r="CB90" i="3"/>
  <c r="IC90" i="3"/>
  <c r="HM41" i="1"/>
  <c r="FP41" i="3"/>
  <c r="GG41" i="3"/>
  <c r="GT41" i="3"/>
  <c r="HC41" i="3"/>
  <c r="HR41" i="3"/>
  <c r="HT41" i="3" s="1"/>
  <c r="HV41" i="3"/>
  <c r="ID41" i="3"/>
  <c r="IH41" i="3"/>
  <c r="IP41" i="3"/>
  <c r="IR41" i="3" s="1"/>
  <c r="IT41" i="3"/>
  <c r="DB41" i="3"/>
  <c r="EA41" i="3"/>
  <c r="FQ41" i="3"/>
  <c r="HD41" i="3"/>
  <c r="HN41" i="3"/>
  <c r="HS41" i="3"/>
  <c r="IA41" i="3"/>
  <c r="IC41" i="3" s="1"/>
  <c r="IE41" i="3"/>
  <c r="IM41" i="3"/>
  <c r="IQ41" i="3"/>
  <c r="BZ41" i="3"/>
  <c r="DC41" i="3"/>
  <c r="EB41" i="3"/>
  <c r="EW41" i="3"/>
  <c r="HJ41" i="3"/>
  <c r="HL41" i="3" s="1"/>
  <c r="HO41" i="3"/>
  <c r="HX41" i="3"/>
  <c r="IB41" i="3"/>
  <c r="IJ41" i="3"/>
  <c r="IN41" i="3"/>
  <c r="IG41" i="3"/>
  <c r="II41" i="3" s="1"/>
  <c r="HU41" i="3"/>
  <c r="IK41" i="3"/>
  <c r="EX41" i="3"/>
  <c r="GF41" i="3"/>
  <c r="HY41" i="3"/>
  <c r="CA41" i="3"/>
  <c r="GS41" i="3"/>
  <c r="GU41" i="3" s="1"/>
  <c r="HK41" i="3"/>
  <c r="IS41" i="3"/>
  <c r="ED45" i="1"/>
  <c r="ID56" i="1"/>
  <c r="IS56" i="1"/>
  <c r="HU56" i="1"/>
  <c r="FS56" i="1"/>
  <c r="O66" i="3"/>
  <c r="E67" i="5"/>
  <c r="O73" i="3"/>
  <c r="E74" i="5"/>
  <c r="O77" i="3"/>
  <c r="E78" i="5"/>
  <c r="O81" i="3"/>
  <c r="E82" i="5"/>
  <c r="O85" i="3"/>
  <c r="E86" i="5"/>
  <c r="O89" i="3"/>
  <c r="E90" i="5"/>
  <c r="IP52" i="1"/>
  <c r="HQ52" i="1"/>
  <c r="DE52" i="1"/>
  <c r="IG52" i="1"/>
  <c r="EZ63" i="1"/>
  <c r="EZ78" i="1"/>
  <c r="EZ86" i="1"/>
  <c r="IO88" i="3"/>
  <c r="HP88" i="3"/>
  <c r="DD88" i="3"/>
  <c r="EZ90" i="1"/>
  <c r="GH92" i="3"/>
  <c r="IO92" i="3"/>
  <c r="EZ94" i="1"/>
  <c r="BR111" i="1"/>
  <c r="BR112" i="1"/>
  <c r="BR113" i="1" s="1"/>
  <c r="BT109" i="1"/>
  <c r="ID98" i="1"/>
  <c r="O102" i="3"/>
  <c r="E103" i="5"/>
  <c r="CA103" i="3"/>
  <c r="EX103" i="3"/>
  <c r="GF103" i="3"/>
  <c r="GH103" i="3" s="1"/>
  <c r="GS103" i="3"/>
  <c r="HK103" i="3"/>
  <c r="HU103" i="3"/>
  <c r="HW103" i="3" s="1"/>
  <c r="HY103" i="3"/>
  <c r="IG103" i="3"/>
  <c r="IK103" i="3"/>
  <c r="IS103" i="3"/>
  <c r="IU103" i="3" s="1"/>
  <c r="FP103" i="3"/>
  <c r="GG103" i="3"/>
  <c r="GT103" i="3"/>
  <c r="HC103" i="3"/>
  <c r="HE103" i="3" s="1"/>
  <c r="HR103" i="3"/>
  <c r="HV103" i="3"/>
  <c r="ID103" i="3"/>
  <c r="IH103" i="3"/>
  <c r="IP103" i="3"/>
  <c r="IT103" i="3"/>
  <c r="DB103" i="3"/>
  <c r="EA103" i="3"/>
  <c r="EC103" i="3" s="1"/>
  <c r="FQ103" i="3"/>
  <c r="HD103" i="3"/>
  <c r="HN103" i="3"/>
  <c r="HS103" i="3"/>
  <c r="IA103" i="3"/>
  <c r="IE103" i="3"/>
  <c r="IM103" i="3"/>
  <c r="IQ103" i="3"/>
  <c r="BZ103" i="3"/>
  <c r="CB103" i="3" s="1"/>
  <c r="EB103" i="3"/>
  <c r="HJ103" i="3"/>
  <c r="HL103" i="3" s="1"/>
  <c r="IB103" i="3"/>
  <c r="DC103" i="3"/>
  <c r="EW103" i="3"/>
  <c r="HO103" i="3"/>
  <c r="IJ103" i="3"/>
  <c r="IL103" i="3" s="1"/>
  <c r="HX103" i="3"/>
  <c r="HZ103" i="3" s="1"/>
  <c r="IN103" i="3"/>
  <c r="O105" i="3"/>
  <c r="E106" i="5"/>
  <c r="BA115" i="1"/>
  <c r="BM115" i="1"/>
  <c r="BY115" i="1"/>
  <c r="CL115" i="1"/>
  <c r="CX115" i="1"/>
  <c r="EV115" i="1"/>
  <c r="FO115" i="1"/>
  <c r="FV115" i="1"/>
  <c r="GB115" i="1"/>
  <c r="HB115" i="1"/>
  <c r="BO115" i="1"/>
  <c r="CZ115" i="1"/>
  <c r="DG115" i="1"/>
  <c r="DY115" i="1"/>
  <c r="EF115" i="1"/>
  <c r="EL115" i="1"/>
  <c r="GD115" i="1"/>
  <c r="GX115" i="1"/>
  <c r="BP115" i="1"/>
  <c r="DA115" i="1"/>
  <c r="DH115" i="1"/>
  <c r="DZ115" i="1"/>
  <c r="EG115" i="1"/>
  <c r="EM115" i="1"/>
  <c r="GE115" i="1"/>
  <c r="GY115" i="1"/>
  <c r="AZ115" i="1"/>
  <c r="BL115" i="1"/>
  <c r="BX115" i="1"/>
  <c r="CK115" i="1"/>
  <c r="CW115" i="1"/>
  <c r="EU115" i="1"/>
  <c r="FN115" i="1"/>
  <c r="FU115" i="1"/>
  <c r="GA115" i="1"/>
  <c r="HA115" i="1"/>
  <c r="ED75" i="1"/>
  <c r="DB75" i="3"/>
  <c r="EA75" i="3"/>
  <c r="FQ75" i="3"/>
  <c r="HD75" i="3"/>
  <c r="HN75" i="3"/>
  <c r="HS75" i="3"/>
  <c r="IA75" i="3"/>
  <c r="IE75" i="3"/>
  <c r="IM75" i="3"/>
  <c r="IQ75" i="3"/>
  <c r="BZ75" i="3"/>
  <c r="DC75" i="3"/>
  <c r="EB75" i="3"/>
  <c r="EW75" i="3"/>
  <c r="HJ75" i="3"/>
  <c r="HO75" i="3"/>
  <c r="HX75" i="3"/>
  <c r="IB75" i="3"/>
  <c r="IJ75" i="3"/>
  <c r="IN75" i="3"/>
  <c r="CA75" i="3"/>
  <c r="EX75" i="3"/>
  <c r="GF75" i="3"/>
  <c r="GS75" i="3"/>
  <c r="HK75" i="3"/>
  <c r="HU75" i="3"/>
  <c r="HW75" i="3" s="1"/>
  <c r="HY75" i="3"/>
  <c r="IG75" i="3"/>
  <c r="IK75" i="3"/>
  <c r="IS75" i="3"/>
  <c r="IU75" i="3" s="1"/>
  <c r="FP75" i="3"/>
  <c r="FR75" i="3" s="1"/>
  <c r="GG75" i="3"/>
  <c r="GT75" i="3"/>
  <c r="HC75" i="3"/>
  <c r="HE75" i="3" s="1"/>
  <c r="HR75" i="3"/>
  <c r="HV75" i="3"/>
  <c r="ID75" i="3"/>
  <c r="IF75" i="3" s="1"/>
  <c r="IH75" i="3"/>
  <c r="IP75" i="3"/>
  <c r="IT75" i="3"/>
  <c r="EZ83" i="1"/>
  <c r="ID83" i="1"/>
  <c r="IS83" i="1"/>
  <c r="HU83" i="1"/>
  <c r="FS83" i="1"/>
  <c r="BJ112" i="1"/>
  <c r="BJ113" i="1" s="1"/>
  <c r="BJ111" i="1"/>
  <c r="DH112" i="1"/>
  <c r="DH113" i="1" s="1"/>
  <c r="DH111" i="1"/>
  <c r="DG119" i="1" s="1"/>
  <c r="N101" i="3"/>
  <c r="D102" i="5"/>
  <c r="IS73" i="1"/>
  <c r="HU73" i="1"/>
  <c r="FS73" i="1"/>
  <c r="GI73" i="1"/>
  <c r="IM73" i="1"/>
  <c r="HM73" i="1"/>
  <c r="CC73" i="1"/>
  <c r="BF111" i="1"/>
  <c r="BH109" i="1"/>
  <c r="BF112" i="1"/>
  <c r="BF113" i="1"/>
  <c r="ID102" i="1"/>
  <c r="DX113" i="1"/>
  <c r="DV114" i="1"/>
  <c r="DV115" i="1" s="1"/>
  <c r="DW114" i="1"/>
  <c r="DW115" i="1" s="1"/>
  <c r="DW120" i="1"/>
  <c r="EZ79" i="1"/>
  <c r="ID79" i="1"/>
  <c r="IS79" i="1"/>
  <c r="HU79" i="1"/>
  <c r="FS79" i="1"/>
  <c r="IM87" i="1"/>
  <c r="HM87" i="1"/>
  <c r="CC87" i="1"/>
  <c r="BW109" i="1"/>
  <c r="BV112" i="1"/>
  <c r="BV113" i="1"/>
  <c r="BV111" i="1"/>
  <c r="DU109" i="1"/>
  <c r="DT112" i="1"/>
  <c r="DT113" i="1"/>
  <c r="DT111" i="1"/>
  <c r="M101" i="3"/>
  <c r="FQ101" i="1"/>
  <c r="GH101" i="1"/>
  <c r="GU101" i="1"/>
  <c r="HD101" i="1"/>
  <c r="HF101" i="1" s="1"/>
  <c r="HS101" i="1"/>
  <c r="HW101" i="1"/>
  <c r="IE101" i="1"/>
  <c r="II101" i="1"/>
  <c r="IQ101" i="1"/>
  <c r="IU101" i="1"/>
  <c r="DC101" i="1"/>
  <c r="EB101" i="1"/>
  <c r="ED101" i="1" s="1"/>
  <c r="FR101" i="1"/>
  <c r="HE101" i="1"/>
  <c r="HO101" i="1"/>
  <c r="HT101" i="1"/>
  <c r="IB101" i="1"/>
  <c r="IF101" i="1"/>
  <c r="IN101" i="1"/>
  <c r="IR101" i="1"/>
  <c r="AU101" i="1"/>
  <c r="EY101" i="1"/>
  <c r="HL101" i="1"/>
  <c r="HV101" i="1"/>
  <c r="HX101" i="1" s="1"/>
  <c r="IL101" i="1"/>
  <c r="IT101" i="1"/>
  <c r="IV101" i="1" s="1"/>
  <c r="CA101" i="1"/>
  <c r="GG101" i="1"/>
  <c r="GI101" i="1" s="1"/>
  <c r="HP101" i="1"/>
  <c r="HY101" i="1"/>
  <c r="IO101" i="1"/>
  <c r="C102" i="5"/>
  <c r="CB101" i="1"/>
  <c r="EC101" i="1"/>
  <c r="GT101" i="1"/>
  <c r="GV101" i="1" s="1"/>
  <c r="HZ101" i="1"/>
  <c r="IH101" i="1"/>
  <c r="DD101" i="1"/>
  <c r="EX101" i="1"/>
  <c r="EZ101" i="1" s="1"/>
  <c r="HK101" i="1"/>
  <c r="HM101" i="1" s="1"/>
  <c r="IC101" i="1"/>
  <c r="IK101" i="1"/>
  <c r="BK109" i="1"/>
  <c r="D126" i="1" l="1"/>
  <c r="D28" i="4" s="1"/>
  <c r="DJ118" i="1"/>
  <c r="DJ121" i="1" s="1"/>
  <c r="DY117" i="1"/>
  <c r="DY120" i="1"/>
  <c r="DY119" i="1" s="1"/>
  <c r="FU117" i="1"/>
  <c r="FU120" i="1"/>
  <c r="FU119" i="1" s="1"/>
  <c r="EU117" i="1"/>
  <c r="EU120" i="1"/>
  <c r="EU119" i="1" s="1"/>
  <c r="C136" i="1"/>
  <c r="C38" i="4" s="1"/>
  <c r="CZ118" i="1"/>
  <c r="DB117" i="1" s="1"/>
  <c r="O27" i="3"/>
  <c r="E28" i="5"/>
  <c r="O26" i="3"/>
  <c r="E27" i="5"/>
  <c r="P18" i="3"/>
  <c r="F19" i="5"/>
  <c r="O17" i="3"/>
  <c r="E18" i="5"/>
  <c r="O7" i="3"/>
  <c r="E8" i="5"/>
  <c r="N29" i="3"/>
  <c r="D30" i="5"/>
  <c r="B136" i="1"/>
  <c r="B38" i="4" s="1"/>
  <c r="BX118" i="1"/>
  <c r="BX121" i="1" s="1"/>
  <c r="FN117" i="1"/>
  <c r="FN120" i="1"/>
  <c r="FN119" i="1" s="1"/>
  <c r="DV120" i="1"/>
  <c r="DV119" i="1" s="1"/>
  <c r="DV117" i="1"/>
  <c r="O33" i="3"/>
  <c r="E34" i="5"/>
  <c r="C134" i="1"/>
  <c r="C36" i="4" s="1"/>
  <c r="CW118" i="1"/>
  <c r="CW121" i="1" s="1"/>
  <c r="G136" i="1"/>
  <c r="G38" i="4" s="1"/>
  <c r="GD118" i="1"/>
  <c r="GD121" i="1" s="1"/>
  <c r="O19" i="3"/>
  <c r="E20" i="5"/>
  <c r="O18" i="3"/>
  <c r="E19" i="5"/>
  <c r="E17" i="5"/>
  <c r="O16" i="3"/>
  <c r="DG117" i="1"/>
  <c r="B120" i="1"/>
  <c r="B22" i="4" s="1"/>
  <c r="AZ118" i="1"/>
  <c r="AZ121" i="1" s="1"/>
  <c r="CK117" i="1"/>
  <c r="CK120" i="1"/>
  <c r="CK119" i="1" s="1"/>
  <c r="O14" i="3"/>
  <c r="E15" i="5"/>
  <c r="O28" i="3"/>
  <c r="E29" i="5"/>
  <c r="O30" i="3"/>
  <c r="E31" i="5"/>
  <c r="IO25" i="3"/>
  <c r="HP25" i="3"/>
  <c r="DD25" i="3"/>
  <c r="IF25" i="3"/>
  <c r="IJ32" i="1"/>
  <c r="IG32" i="1"/>
  <c r="IM28" i="1"/>
  <c r="HM28" i="1"/>
  <c r="GI24" i="1"/>
  <c r="EZ24" i="1"/>
  <c r="IS24" i="1"/>
  <c r="HU24" i="1"/>
  <c r="HX16" i="1"/>
  <c r="IA16" i="1"/>
  <c r="HF16" i="1"/>
  <c r="HZ33" i="3"/>
  <c r="CC20" i="1"/>
  <c r="GD120" i="1"/>
  <c r="GD119" i="1" s="1"/>
  <c r="IS14" i="1"/>
  <c r="ED11" i="1"/>
  <c r="IM11" i="1"/>
  <c r="IP11" i="1"/>
  <c r="HQ11" i="1"/>
  <c r="CC11" i="1"/>
  <c r="IJ11" i="1"/>
  <c r="GI11" i="1"/>
  <c r="FS26" i="1"/>
  <c r="IS26" i="1"/>
  <c r="EA18" i="3"/>
  <c r="EW18" i="3"/>
  <c r="EY18" i="3" s="1"/>
  <c r="IB18" i="3"/>
  <c r="EX18" i="3"/>
  <c r="HU18" i="3"/>
  <c r="IS18" i="3"/>
  <c r="IU18" i="3" s="1"/>
  <c r="FP18" i="3"/>
  <c r="FR18" i="3" s="1"/>
  <c r="IA18" i="3"/>
  <c r="HD18" i="3"/>
  <c r="IE18" i="3"/>
  <c r="BZ18" i="3"/>
  <c r="HJ18" i="3"/>
  <c r="IJ18" i="3"/>
  <c r="GF18" i="3"/>
  <c r="GH18" i="3" s="1"/>
  <c r="HY18" i="3"/>
  <c r="HR18" i="3"/>
  <c r="GG18" i="3"/>
  <c r="IQ18" i="3"/>
  <c r="HV18" i="3"/>
  <c r="IM18" i="3"/>
  <c r="DC18" i="3"/>
  <c r="HO18" i="3"/>
  <c r="IN18" i="3"/>
  <c r="GS18" i="3"/>
  <c r="IG18" i="3"/>
  <c r="IH18" i="3"/>
  <c r="HC18" i="3"/>
  <c r="HE18" i="3" s="1"/>
  <c r="FQ18" i="3"/>
  <c r="ID18" i="3"/>
  <c r="HN18" i="3"/>
  <c r="HP18" i="3" s="1"/>
  <c r="DB18" i="3"/>
  <c r="DD18" i="3" s="1"/>
  <c r="EB18" i="3"/>
  <c r="HX18" i="3"/>
  <c r="CA18" i="3"/>
  <c r="HK18" i="3"/>
  <c r="IK18" i="3"/>
  <c r="IP18" i="3"/>
  <c r="HS18" i="3"/>
  <c r="GT18" i="3"/>
  <c r="IT18" i="3"/>
  <c r="BZ19" i="3"/>
  <c r="CB19" i="3" s="1"/>
  <c r="GT19" i="3"/>
  <c r="ID19" i="3"/>
  <c r="CA19" i="3"/>
  <c r="HN19" i="3"/>
  <c r="IM19" i="3"/>
  <c r="HJ19" i="3"/>
  <c r="IJ19" i="3"/>
  <c r="HK19" i="3"/>
  <c r="EX19" i="3"/>
  <c r="DC19" i="3"/>
  <c r="HC19" i="3"/>
  <c r="IH19" i="3"/>
  <c r="EA19" i="3"/>
  <c r="HS19" i="3"/>
  <c r="IQ19" i="3"/>
  <c r="HO19" i="3"/>
  <c r="IN19" i="3"/>
  <c r="IS19" i="3"/>
  <c r="HU19" i="3"/>
  <c r="FP19" i="3"/>
  <c r="FR19" i="3" s="1"/>
  <c r="HR19" i="3"/>
  <c r="HT19" i="3" s="1"/>
  <c r="IP19" i="3"/>
  <c r="IR19" i="3" s="1"/>
  <c r="FQ19" i="3"/>
  <c r="IA19" i="3"/>
  <c r="EB19" i="3"/>
  <c r="HX19" i="3"/>
  <c r="GF19" i="3"/>
  <c r="IG19" i="3"/>
  <c r="II19" i="3" s="1"/>
  <c r="IK19" i="3"/>
  <c r="GG19" i="3"/>
  <c r="HV19" i="3"/>
  <c r="IT19" i="3"/>
  <c r="HD19" i="3"/>
  <c r="IE19" i="3"/>
  <c r="EW19" i="3"/>
  <c r="IB19" i="3"/>
  <c r="GS19" i="3"/>
  <c r="GU19" i="3" s="1"/>
  <c r="DB19" i="3"/>
  <c r="DD19" i="3" s="1"/>
  <c r="HY19" i="3"/>
  <c r="IS22" i="1"/>
  <c r="AX11" i="1"/>
  <c r="G12" i="5" s="1"/>
  <c r="AX26" i="1"/>
  <c r="G27" i="5" s="1"/>
  <c r="EL117" i="1"/>
  <c r="AW6" i="1"/>
  <c r="O6" i="1" s="1"/>
  <c r="AV112" i="1"/>
  <c r="P10" i="1" s="1"/>
  <c r="AW112" i="1"/>
  <c r="I11" i="5" s="1"/>
  <c r="P27" i="3"/>
  <c r="F28" i="5"/>
  <c r="X111" i="1"/>
  <c r="AX9" i="1"/>
  <c r="G10" i="5" s="1"/>
  <c r="AW10" i="1"/>
  <c r="O10" i="1" s="1"/>
  <c r="AV23" i="1"/>
  <c r="N23" i="1" s="1"/>
  <c r="P6" i="3"/>
  <c r="F7" i="5"/>
  <c r="AV111" i="1"/>
  <c r="P9" i="1" s="1"/>
  <c r="AW111" i="1"/>
  <c r="I10" i="5" s="1"/>
  <c r="AW24" i="1"/>
  <c r="O24" i="1" s="1"/>
  <c r="AY24" i="1"/>
  <c r="H25" i="5" s="1"/>
  <c r="AW20" i="1"/>
  <c r="O20" i="1" s="1"/>
  <c r="AY20" i="1"/>
  <c r="H21" i="5" s="1"/>
  <c r="AY18" i="1"/>
  <c r="H19" i="5" s="1"/>
  <c r="AW120" i="1"/>
  <c r="I19" i="5" s="1"/>
  <c r="AV128" i="1"/>
  <c r="P26" i="1" s="1"/>
  <c r="AV134" i="1"/>
  <c r="P32" i="1" s="1"/>
  <c r="AW134" i="1"/>
  <c r="I33" i="5" s="1"/>
  <c r="AW29" i="1"/>
  <c r="O29" i="1" s="1"/>
  <c r="AY30" i="1"/>
  <c r="H31" i="5" s="1"/>
  <c r="AV110" i="1"/>
  <c r="P8" i="1" s="1"/>
  <c r="AW110" i="1"/>
  <c r="I9" i="5" s="1"/>
  <c r="AV24" i="1"/>
  <c r="N24" i="1" s="1"/>
  <c r="AV122" i="1"/>
  <c r="P20" i="1" s="1"/>
  <c r="AW122" i="1"/>
  <c r="I21" i="5" s="1"/>
  <c r="AV28" i="1"/>
  <c r="N28" i="1" s="1"/>
  <c r="AV116" i="1"/>
  <c r="P14" i="1" s="1"/>
  <c r="AW116" i="1"/>
  <c r="I15" i="5" s="1"/>
  <c r="HZ29" i="3"/>
  <c r="HE29" i="3"/>
  <c r="IF21" i="3"/>
  <c r="EY17" i="3"/>
  <c r="II17" i="3"/>
  <c r="GU17" i="3"/>
  <c r="GU13" i="3"/>
  <c r="EC13" i="3"/>
  <c r="IL13" i="3"/>
  <c r="CB13" i="3"/>
  <c r="GV24" i="1"/>
  <c r="EZ20" i="1"/>
  <c r="IS20" i="1"/>
  <c r="HU20" i="1"/>
  <c r="IU9" i="3"/>
  <c r="HW9" i="3"/>
  <c r="ID15" i="1"/>
  <c r="EH117" i="1"/>
  <c r="DE11" i="1"/>
  <c r="HU11" i="1"/>
  <c r="FF120" i="1"/>
  <c r="FE114" i="1"/>
  <c r="FE115" i="1" s="1"/>
  <c r="FF114" i="1"/>
  <c r="FF115" i="1" s="1"/>
  <c r="FG113" i="1"/>
  <c r="FE117" i="1" s="1"/>
  <c r="HU26" i="1"/>
  <c r="GT23" i="3"/>
  <c r="ID23" i="3"/>
  <c r="DB23" i="3"/>
  <c r="HN23" i="3"/>
  <c r="HP23" i="3" s="1"/>
  <c r="IM23" i="3"/>
  <c r="EB23" i="3"/>
  <c r="HX23" i="3"/>
  <c r="CA23" i="3"/>
  <c r="IG23" i="3"/>
  <c r="GF23" i="3"/>
  <c r="HC23" i="3"/>
  <c r="HE23" i="3" s="1"/>
  <c r="IH23" i="3"/>
  <c r="EA23" i="3"/>
  <c r="EC23" i="3" s="1"/>
  <c r="HS23" i="3"/>
  <c r="IQ23" i="3"/>
  <c r="EW23" i="3"/>
  <c r="IB23" i="3"/>
  <c r="GS23" i="3"/>
  <c r="GU23" i="3" s="1"/>
  <c r="HU23" i="3"/>
  <c r="HY23" i="3"/>
  <c r="FP23" i="3"/>
  <c r="HR23" i="3"/>
  <c r="HT23" i="3" s="1"/>
  <c r="IP23" i="3"/>
  <c r="IR23" i="3" s="1"/>
  <c r="FQ23" i="3"/>
  <c r="IA23" i="3"/>
  <c r="IC23" i="3" s="1"/>
  <c r="BZ23" i="3"/>
  <c r="HJ23" i="3"/>
  <c r="HL23" i="3" s="1"/>
  <c r="IJ23" i="3"/>
  <c r="IL23" i="3" s="1"/>
  <c r="HK23" i="3"/>
  <c r="IK23" i="3"/>
  <c r="GG23" i="3"/>
  <c r="HV23" i="3"/>
  <c r="IT23" i="3"/>
  <c r="HD23" i="3"/>
  <c r="IE23" i="3"/>
  <c r="DC23" i="3"/>
  <c r="HO23" i="3"/>
  <c r="IN23" i="3"/>
  <c r="IS23" i="3"/>
  <c r="IU23" i="3" s="1"/>
  <c r="EX23" i="3"/>
  <c r="GS113" i="1"/>
  <c r="GQ117" i="1"/>
  <c r="H136" i="1" s="1"/>
  <c r="H38" i="4" s="1"/>
  <c r="GQ120" i="1"/>
  <c r="GQ119" i="1" s="1"/>
  <c r="GR120" i="1"/>
  <c r="GQ114" i="1"/>
  <c r="GQ115" i="1" s="1"/>
  <c r="GR114" i="1"/>
  <c r="GR115" i="1" s="1"/>
  <c r="IS18" i="1"/>
  <c r="FP10" i="3"/>
  <c r="FR10" i="3" s="1"/>
  <c r="HR10" i="3"/>
  <c r="HT10" i="3" s="1"/>
  <c r="IP10" i="3"/>
  <c r="IR10" i="3" s="1"/>
  <c r="HJ10" i="3"/>
  <c r="CA10" i="3"/>
  <c r="HK10" i="3"/>
  <c r="IS10" i="3"/>
  <c r="IU10" i="3" s="1"/>
  <c r="HN10" i="3"/>
  <c r="DB10" i="3"/>
  <c r="HU10" i="3"/>
  <c r="HW10" i="3" s="1"/>
  <c r="GG10" i="3"/>
  <c r="HV10" i="3"/>
  <c r="IT10" i="3"/>
  <c r="IB10" i="3"/>
  <c r="EA10" i="3"/>
  <c r="EC10" i="3" s="1"/>
  <c r="HS10" i="3"/>
  <c r="EB10" i="3"/>
  <c r="HY10" i="3"/>
  <c r="HD10" i="3"/>
  <c r="IQ10" i="3"/>
  <c r="GT10" i="3"/>
  <c r="ID10" i="3"/>
  <c r="IF10" i="3" s="1"/>
  <c r="DC10" i="3"/>
  <c r="IG10" i="3"/>
  <c r="EW10" i="3"/>
  <c r="HX10" i="3"/>
  <c r="HZ10" i="3" s="1"/>
  <c r="EX10" i="3"/>
  <c r="IE10" i="3"/>
  <c r="HO10" i="3"/>
  <c r="IA10" i="3"/>
  <c r="IC10" i="3" s="1"/>
  <c r="BZ10" i="3"/>
  <c r="CB10" i="3" s="1"/>
  <c r="HC10" i="3"/>
  <c r="IH10" i="3"/>
  <c r="GS10" i="3"/>
  <c r="GU10" i="3" s="1"/>
  <c r="IM10" i="3"/>
  <c r="IO10" i="3" s="1"/>
  <c r="FQ10" i="3"/>
  <c r="IN10" i="3"/>
  <c r="GF10" i="3"/>
  <c r="GH10" i="3" s="1"/>
  <c r="IJ10" i="3"/>
  <c r="IL10" i="3" s="1"/>
  <c r="IK10" i="3"/>
  <c r="HU22" i="1"/>
  <c r="FS22" i="1"/>
  <c r="AV11" i="1"/>
  <c r="N11" i="1" s="1"/>
  <c r="AX18" i="1"/>
  <c r="G19" i="5" s="1"/>
  <c r="AY27" i="1"/>
  <c r="H28" i="5" s="1"/>
  <c r="AV33" i="1"/>
  <c r="N33" i="1" s="1"/>
  <c r="AW11" i="1"/>
  <c r="O11" i="1" s="1"/>
  <c r="X127" i="1"/>
  <c r="AV127" i="1" s="1"/>
  <c r="P25" i="1" s="1"/>
  <c r="AX25" i="1"/>
  <c r="G26" i="5" s="1"/>
  <c r="AY14" i="1"/>
  <c r="H15" i="5" s="1"/>
  <c r="AV7" i="1"/>
  <c r="N7" i="1" s="1"/>
  <c r="AV30" i="1"/>
  <c r="N30" i="1" s="1"/>
  <c r="AX30" i="1"/>
  <c r="G31" i="5" s="1"/>
  <c r="R132" i="1"/>
  <c r="X115" i="1"/>
  <c r="AW115" i="1" s="1"/>
  <c r="I14" i="5" s="1"/>
  <c r="AX13" i="1"/>
  <c r="G14" i="5" s="1"/>
  <c r="N17" i="3"/>
  <c r="D18" i="5"/>
  <c r="AV16" i="1"/>
  <c r="N16" i="1" s="1"/>
  <c r="AV124" i="1"/>
  <c r="P22" i="1" s="1"/>
  <c r="AW124" i="1"/>
  <c r="I23" i="5" s="1"/>
  <c r="AV126" i="1"/>
  <c r="P24" i="1" s="1"/>
  <c r="AW126" i="1"/>
  <c r="I25" i="5" s="1"/>
  <c r="AY16" i="1"/>
  <c r="H17" i="5" s="1"/>
  <c r="AX32" i="1"/>
  <c r="G33" i="5" s="1"/>
  <c r="AV130" i="1"/>
  <c r="P28" i="1" s="1"/>
  <c r="AW130" i="1"/>
  <c r="I29" i="5" s="1"/>
  <c r="AX33" i="1"/>
  <c r="G34" i="5" s="1"/>
  <c r="AV133" i="1"/>
  <c r="P31" i="1" s="1"/>
  <c r="AW133" i="1"/>
  <c r="I32" i="5" s="1"/>
  <c r="AX14" i="1"/>
  <c r="G15" i="5" s="1"/>
  <c r="N12" i="3"/>
  <c r="D13" i="5"/>
  <c r="HE13" i="3"/>
  <c r="BO117" i="1"/>
  <c r="BO120" i="1"/>
  <c r="BO119" i="1" s="1"/>
  <c r="IM12" i="1"/>
  <c r="HM12" i="1"/>
  <c r="BN117" i="1"/>
  <c r="BL118" i="1"/>
  <c r="BL121" i="1" s="1"/>
  <c r="GV20" i="1"/>
  <c r="IO9" i="3"/>
  <c r="HP9" i="3"/>
  <c r="DD9" i="3"/>
  <c r="HA117" i="1"/>
  <c r="HA120" i="1"/>
  <c r="HA119" i="1" s="1"/>
  <c r="FX117" i="1"/>
  <c r="G132" i="1" s="1"/>
  <c r="G34" i="4" s="1"/>
  <c r="FY120" i="1"/>
  <c r="FX114" i="1"/>
  <c r="FX115" i="1" s="1"/>
  <c r="FZ113" i="1"/>
  <c r="FX120" i="1" s="1"/>
  <c r="FX119" i="1" s="1"/>
  <c r="FY114" i="1"/>
  <c r="FY115" i="1" s="1"/>
  <c r="IV19" i="1"/>
  <c r="DC22" i="3"/>
  <c r="HO22" i="3"/>
  <c r="IN22" i="3"/>
  <c r="GS22" i="3"/>
  <c r="IK22" i="3"/>
  <c r="HC22" i="3"/>
  <c r="IQ22" i="3"/>
  <c r="HK22" i="3"/>
  <c r="IS22" i="3"/>
  <c r="IT22" i="3"/>
  <c r="EB22" i="3"/>
  <c r="HX22" i="3"/>
  <c r="FP22" i="3"/>
  <c r="HN22" i="3"/>
  <c r="HP22" i="3" s="1"/>
  <c r="IP22" i="3"/>
  <c r="IR22" i="3" s="1"/>
  <c r="HV22" i="3"/>
  <c r="FQ22" i="3"/>
  <c r="HR22" i="3"/>
  <c r="HT22" i="3" s="1"/>
  <c r="HS22" i="3"/>
  <c r="CA22" i="3"/>
  <c r="EW22" i="3"/>
  <c r="IB22" i="3"/>
  <c r="DB22" i="3"/>
  <c r="DD22" i="3" s="1"/>
  <c r="HU22" i="3"/>
  <c r="HW22" i="3" s="1"/>
  <c r="GF22" i="3"/>
  <c r="IA22" i="3"/>
  <c r="IC22" i="3" s="1"/>
  <c r="GG22" i="3"/>
  <c r="IH22" i="3"/>
  <c r="EA22" i="3"/>
  <c r="ID22" i="3"/>
  <c r="IF22" i="3" s="1"/>
  <c r="BZ22" i="3"/>
  <c r="CB22" i="3" s="1"/>
  <c r="HJ22" i="3"/>
  <c r="HL22" i="3" s="1"/>
  <c r="IJ22" i="3"/>
  <c r="IL22" i="3" s="1"/>
  <c r="EX22" i="3"/>
  <c r="IE22" i="3"/>
  <c r="GT22" i="3"/>
  <c r="IG22" i="3"/>
  <c r="II22" i="3" s="1"/>
  <c r="HD22" i="3"/>
  <c r="IM22" i="3"/>
  <c r="IO22" i="3" s="1"/>
  <c r="HY22" i="3"/>
  <c r="AY26" i="1"/>
  <c r="H27" i="5" s="1"/>
  <c r="AX19" i="1"/>
  <c r="G20" i="5" s="1"/>
  <c r="AV19" i="1"/>
  <c r="N19" i="1" s="1"/>
  <c r="R121" i="1"/>
  <c r="N18" i="3"/>
  <c r="D19" i="5"/>
  <c r="P11" i="3"/>
  <c r="F12" i="5"/>
  <c r="AV135" i="1"/>
  <c r="P33" i="1" s="1"/>
  <c r="AW135" i="1"/>
  <c r="I34" i="5" s="1"/>
  <c r="N10" i="3"/>
  <c r="D11" i="5"/>
  <c r="AY8" i="1"/>
  <c r="H9" i="5" s="1"/>
  <c r="AW8" i="1"/>
  <c r="O8" i="1" s="1"/>
  <c r="O9" i="3"/>
  <c r="E10" i="5"/>
  <c r="AY15" i="1"/>
  <c r="H16" i="5" s="1"/>
  <c r="AW15" i="1"/>
  <c r="O15" i="1" s="1"/>
  <c r="AV131" i="1"/>
  <c r="P29" i="1" s="1"/>
  <c r="O22" i="3"/>
  <c r="E23" i="5"/>
  <c r="N6" i="3"/>
  <c r="D7" i="5"/>
  <c r="X131" i="1"/>
  <c r="AW131" i="1" s="1"/>
  <c r="I30" i="5" s="1"/>
  <c r="AX29" i="1"/>
  <c r="G30" i="5" s="1"/>
  <c r="G134" i="1"/>
  <c r="G36" i="4" s="1"/>
  <c r="GA118" i="1"/>
  <c r="GA121" i="1" s="1"/>
  <c r="AV119" i="1"/>
  <c r="P17" i="1" s="1"/>
  <c r="AW119" i="1"/>
  <c r="I18" i="5" s="1"/>
  <c r="AV118" i="1"/>
  <c r="P16" i="1" s="1"/>
  <c r="AW118" i="1"/>
  <c r="I17" i="5" s="1"/>
  <c r="AX22" i="1"/>
  <c r="G23" i="5" s="1"/>
  <c r="AV117" i="1"/>
  <c r="P15" i="1" s="1"/>
  <c r="AW117" i="1"/>
  <c r="I16" i="5" s="1"/>
  <c r="AV14" i="1"/>
  <c r="N14" i="1" s="1"/>
  <c r="AV114" i="1"/>
  <c r="P12" i="1" s="1"/>
  <c r="AW114" i="1"/>
  <c r="I13" i="5" s="1"/>
  <c r="GX117" i="1"/>
  <c r="GX120" i="1"/>
  <c r="EL119" i="1"/>
  <c r="CZ121" i="1"/>
  <c r="GK114" i="1"/>
  <c r="GK115" i="1" s="1"/>
  <c r="GM113" i="1"/>
  <c r="GL114" i="1"/>
  <c r="GL115" i="1" s="1"/>
  <c r="GK119" i="1"/>
  <c r="GK117" i="1"/>
  <c r="H132" i="1" s="1"/>
  <c r="H34" i="4" s="1"/>
  <c r="GK120" i="1"/>
  <c r="GL120" i="1"/>
  <c r="GK118" i="1"/>
  <c r="GM117" i="1" s="1"/>
  <c r="FS18" i="1"/>
  <c r="GX119" i="1"/>
  <c r="N27" i="3"/>
  <c r="D28" i="5"/>
  <c r="N26" i="3"/>
  <c r="D27" i="5"/>
  <c r="P7" i="3"/>
  <c r="F8" i="5"/>
  <c r="O31" i="3"/>
  <c r="E32" i="5"/>
  <c r="P23" i="3"/>
  <c r="F24" i="5"/>
  <c r="AV123" i="1"/>
  <c r="P21" i="1" s="1"/>
  <c r="AW123" i="1"/>
  <c r="I22" i="5" s="1"/>
  <c r="AY12" i="1"/>
  <c r="H13" i="5" s="1"/>
  <c r="AW12" i="1"/>
  <c r="O12" i="1" s="1"/>
  <c r="N9" i="3"/>
  <c r="D10" i="5"/>
  <c r="O23" i="3"/>
  <c r="E24" i="5"/>
  <c r="AV32" i="1"/>
  <c r="N32" i="1" s="1"/>
  <c r="AV22" i="1"/>
  <c r="N22" i="1" s="1"/>
  <c r="AX24" i="1"/>
  <c r="G25" i="5" s="1"/>
  <c r="N20" i="3"/>
  <c r="D21" i="5"/>
  <c r="IP104" i="1"/>
  <c r="FP80" i="3"/>
  <c r="HR80" i="3"/>
  <c r="IP80" i="3"/>
  <c r="FQ80" i="3"/>
  <c r="IA80" i="3"/>
  <c r="DC80" i="3"/>
  <c r="IJ80" i="3"/>
  <c r="IL80" i="3" s="1"/>
  <c r="IK80" i="3"/>
  <c r="HO80" i="3"/>
  <c r="EB80" i="3"/>
  <c r="GG80" i="3"/>
  <c r="HV80" i="3"/>
  <c r="IT80" i="3"/>
  <c r="HD80" i="3"/>
  <c r="IE80" i="3"/>
  <c r="EW80" i="3"/>
  <c r="EX80" i="3"/>
  <c r="IS80" i="3"/>
  <c r="IU80" i="3" s="1"/>
  <c r="HX80" i="3"/>
  <c r="GS80" i="3"/>
  <c r="GU80" i="3" s="1"/>
  <c r="GT80" i="3"/>
  <c r="ID80" i="3"/>
  <c r="IF80" i="3" s="1"/>
  <c r="DB80" i="3"/>
  <c r="DD80" i="3" s="1"/>
  <c r="HN80" i="3"/>
  <c r="HP80" i="3" s="1"/>
  <c r="IM80" i="3"/>
  <c r="HJ80" i="3"/>
  <c r="HL80" i="3" s="1"/>
  <c r="HK80" i="3"/>
  <c r="BZ80" i="3"/>
  <c r="IN80" i="3"/>
  <c r="HY80" i="3"/>
  <c r="HC80" i="3"/>
  <c r="HE80" i="3" s="1"/>
  <c r="IH80" i="3"/>
  <c r="EA80" i="3"/>
  <c r="EC80" i="3" s="1"/>
  <c r="HS80" i="3"/>
  <c r="IQ80" i="3"/>
  <c r="IB80" i="3"/>
  <c r="HU80" i="3"/>
  <c r="HW80" i="3" s="1"/>
  <c r="GF80" i="3"/>
  <c r="GH80" i="3" s="1"/>
  <c r="CA80" i="3"/>
  <c r="IG80" i="3"/>
  <c r="II80" i="3" s="1"/>
  <c r="FM118" i="1"/>
  <c r="FK117" i="1"/>
  <c r="F134" i="1" s="1"/>
  <c r="F36" i="4" s="1"/>
  <c r="FL120" i="1"/>
  <c r="FK118" i="1"/>
  <c r="FK121" i="1" s="1"/>
  <c r="FK114" i="1"/>
  <c r="FK115" i="1" s="1"/>
  <c r="FM113" i="1"/>
  <c r="FK120" i="1" s="1"/>
  <c r="FK119" i="1" s="1"/>
  <c r="FM119" i="1"/>
  <c r="F135" i="1" s="1"/>
  <c r="F37" i="4" s="1"/>
  <c r="FM117" i="1"/>
  <c r="FL114" i="1"/>
  <c r="FL115" i="1" s="1"/>
  <c r="BC114" i="1"/>
  <c r="BC115" i="1" s="1"/>
  <c r="BE113" i="1"/>
  <c r="BD114" i="1"/>
  <c r="BD115" i="1" s="1"/>
  <c r="BC117" i="1"/>
  <c r="B122" i="1" s="1"/>
  <c r="B24" i="4" s="1"/>
  <c r="BC120" i="1"/>
  <c r="BC119" i="1" s="1"/>
  <c r="BD120" i="1"/>
  <c r="DE76" i="1"/>
  <c r="IP15" i="1"/>
  <c r="HU15" i="1"/>
  <c r="EX15" i="3"/>
  <c r="HU15" i="3"/>
  <c r="IS15" i="3"/>
  <c r="HC15" i="3"/>
  <c r="IH15" i="3"/>
  <c r="EA15" i="3"/>
  <c r="HS15" i="3"/>
  <c r="IQ15" i="3"/>
  <c r="EW15" i="3"/>
  <c r="EY15" i="3" s="1"/>
  <c r="EB15" i="3"/>
  <c r="GF15" i="3"/>
  <c r="HY15" i="3"/>
  <c r="FP15" i="3"/>
  <c r="HR15" i="3"/>
  <c r="HT15" i="3" s="1"/>
  <c r="IP15" i="3"/>
  <c r="FQ15" i="3"/>
  <c r="IA15" i="3"/>
  <c r="HX15" i="3"/>
  <c r="HZ15" i="3" s="1"/>
  <c r="HJ15" i="3"/>
  <c r="HO15" i="3"/>
  <c r="GS15" i="3"/>
  <c r="IG15" i="3"/>
  <c r="II15" i="3" s="1"/>
  <c r="GG15" i="3"/>
  <c r="HV15" i="3"/>
  <c r="IT15" i="3"/>
  <c r="HD15" i="3"/>
  <c r="IE15" i="3"/>
  <c r="IN15" i="3"/>
  <c r="IB15" i="3"/>
  <c r="IJ15" i="3"/>
  <c r="IL15" i="3" s="1"/>
  <c r="CA15" i="3"/>
  <c r="HK15" i="3"/>
  <c r="IK15" i="3"/>
  <c r="GT15" i="3"/>
  <c r="ID15" i="3"/>
  <c r="IF15" i="3" s="1"/>
  <c r="DB15" i="3"/>
  <c r="HN15" i="3"/>
  <c r="IM15" i="3"/>
  <c r="IO15" i="3" s="1"/>
  <c r="DC15" i="3"/>
  <c r="BZ15" i="3"/>
  <c r="DB100" i="3"/>
  <c r="HN100" i="3"/>
  <c r="IM100" i="3"/>
  <c r="EB100" i="3"/>
  <c r="HX100" i="3"/>
  <c r="CA100" i="3"/>
  <c r="HK100" i="3"/>
  <c r="IK100" i="3"/>
  <c r="GG100" i="3"/>
  <c r="FP100" i="3"/>
  <c r="FR100" i="3" s="1"/>
  <c r="EA100" i="3"/>
  <c r="HS100" i="3"/>
  <c r="IQ100" i="3"/>
  <c r="EW100" i="3"/>
  <c r="EY100" i="3" s="1"/>
  <c r="IB100" i="3"/>
  <c r="EX100" i="3"/>
  <c r="HU100" i="3"/>
  <c r="IS100" i="3"/>
  <c r="HC100" i="3"/>
  <c r="GT100" i="3"/>
  <c r="FQ100" i="3"/>
  <c r="IA100" i="3"/>
  <c r="IC100" i="3" s="1"/>
  <c r="BZ100" i="3"/>
  <c r="HJ100" i="3"/>
  <c r="HL100" i="3" s="1"/>
  <c r="IJ100" i="3"/>
  <c r="IL100" i="3" s="1"/>
  <c r="GF100" i="3"/>
  <c r="GH100" i="3" s="1"/>
  <c r="HY100" i="3"/>
  <c r="ID100" i="3"/>
  <c r="HR100" i="3"/>
  <c r="HT100" i="3" s="1"/>
  <c r="HV100" i="3"/>
  <c r="HD100" i="3"/>
  <c r="IE100" i="3"/>
  <c r="DC100" i="3"/>
  <c r="HO100" i="3"/>
  <c r="IN100" i="3"/>
  <c r="GS100" i="3"/>
  <c r="GU100" i="3" s="1"/>
  <c r="IG100" i="3"/>
  <c r="II100" i="3" s="1"/>
  <c r="IT100" i="3"/>
  <c r="IH100" i="3"/>
  <c r="IP100" i="3"/>
  <c r="IR100" i="3" s="1"/>
  <c r="EW11" i="3"/>
  <c r="IB11" i="3"/>
  <c r="HY11" i="3"/>
  <c r="FP11" i="3"/>
  <c r="IE11" i="3"/>
  <c r="DB11" i="3"/>
  <c r="DD11" i="3" s="1"/>
  <c r="HC11" i="3"/>
  <c r="IQ11" i="3"/>
  <c r="IH11" i="3"/>
  <c r="IM11" i="3"/>
  <c r="IO11" i="3" s="1"/>
  <c r="BZ11" i="3"/>
  <c r="HJ11" i="3"/>
  <c r="IJ11" i="3"/>
  <c r="ID11" i="3"/>
  <c r="IF11" i="3" s="1"/>
  <c r="GS11" i="3"/>
  <c r="IK11" i="3"/>
  <c r="FQ11" i="3"/>
  <c r="HV11" i="3"/>
  <c r="IS11" i="3"/>
  <c r="EA11" i="3"/>
  <c r="DC11" i="3"/>
  <c r="HO11" i="3"/>
  <c r="IN11" i="3"/>
  <c r="IT11" i="3"/>
  <c r="HN11" i="3"/>
  <c r="IP11" i="3"/>
  <c r="IR11" i="3" s="1"/>
  <c r="GF11" i="3"/>
  <c r="IA11" i="3"/>
  <c r="GG11" i="3"/>
  <c r="HR11" i="3"/>
  <c r="HT11" i="3" s="1"/>
  <c r="EB11" i="3"/>
  <c r="HX11" i="3"/>
  <c r="HZ11" i="3" s="1"/>
  <c r="HS11" i="3"/>
  <c r="EX11" i="3"/>
  <c r="HU11" i="3"/>
  <c r="CA11" i="3"/>
  <c r="GT11" i="3"/>
  <c r="IG11" i="3"/>
  <c r="II11" i="3" s="1"/>
  <c r="HK11" i="3"/>
  <c r="HD11" i="3"/>
  <c r="CC101" i="1"/>
  <c r="HQ101" i="1"/>
  <c r="DE101" i="1"/>
  <c r="IG101" i="1"/>
  <c r="HZ75" i="3"/>
  <c r="IO75" i="3"/>
  <c r="HP75" i="3"/>
  <c r="DD75" i="3"/>
  <c r="IC33" i="3"/>
  <c r="IR33" i="3"/>
  <c r="HX20" i="1"/>
  <c r="IO42" i="3"/>
  <c r="IV37" i="1"/>
  <c r="HU37" i="1"/>
  <c r="EI114" i="1"/>
  <c r="EI115" i="1" s="1"/>
  <c r="EI120" i="1"/>
  <c r="EI119" i="1" s="1"/>
  <c r="EK113" i="1"/>
  <c r="EJ114" i="1"/>
  <c r="EJ115" i="1" s="1"/>
  <c r="EJ120" i="1"/>
  <c r="EI117" i="1"/>
  <c r="E128" i="1" s="1"/>
  <c r="E30" i="4" s="1"/>
  <c r="CN117" i="1"/>
  <c r="C128" i="1" s="1"/>
  <c r="C30" i="4" s="1"/>
  <c r="CP113" i="1"/>
  <c r="CN114" i="1"/>
  <c r="CN115" i="1" s="1"/>
  <c r="CN120" i="1"/>
  <c r="CN119" i="1" s="1"/>
  <c r="CO114" i="1"/>
  <c r="CO115" i="1" s="1"/>
  <c r="CO120" i="1"/>
  <c r="IG104" i="1"/>
  <c r="FS104" i="1"/>
  <c r="HQ104" i="1"/>
  <c r="IP80" i="1"/>
  <c r="HF80" i="1"/>
  <c r="ED80" i="1"/>
  <c r="HQ80" i="1"/>
  <c r="HD94" i="3"/>
  <c r="IE94" i="3"/>
  <c r="EX94" i="3"/>
  <c r="HU94" i="3"/>
  <c r="IS94" i="3"/>
  <c r="IH94" i="3"/>
  <c r="HJ94" i="3"/>
  <c r="GG94" i="3"/>
  <c r="BZ94" i="3"/>
  <c r="IN94" i="3"/>
  <c r="DB94" i="3"/>
  <c r="HN94" i="3"/>
  <c r="IM94" i="3"/>
  <c r="IO94" i="3" s="1"/>
  <c r="GF94" i="3"/>
  <c r="HY94" i="3"/>
  <c r="EB94" i="3"/>
  <c r="IP94" i="3"/>
  <c r="IR94" i="3" s="1"/>
  <c r="IB94" i="3"/>
  <c r="HV94" i="3"/>
  <c r="GT94" i="3"/>
  <c r="EA94" i="3"/>
  <c r="EC94" i="3" s="1"/>
  <c r="HS94" i="3"/>
  <c r="IQ94" i="3"/>
  <c r="GS94" i="3"/>
  <c r="GU94" i="3" s="1"/>
  <c r="IG94" i="3"/>
  <c r="II94" i="3" s="1"/>
  <c r="EW94" i="3"/>
  <c r="EY94" i="3" s="1"/>
  <c r="DC94" i="3"/>
  <c r="IJ94" i="3"/>
  <c r="ID94" i="3"/>
  <c r="IF94" i="3" s="1"/>
  <c r="HO94" i="3"/>
  <c r="FQ94" i="3"/>
  <c r="IA94" i="3"/>
  <c r="IC94" i="3" s="1"/>
  <c r="CA94" i="3"/>
  <c r="HK94" i="3"/>
  <c r="IK94" i="3"/>
  <c r="HR94" i="3"/>
  <c r="HT94" i="3" s="1"/>
  <c r="HC94" i="3"/>
  <c r="HE94" i="3" s="1"/>
  <c r="FP94" i="3"/>
  <c r="FR94" i="3" s="1"/>
  <c r="IT94" i="3"/>
  <c r="HX94" i="3"/>
  <c r="HZ94" i="3" s="1"/>
  <c r="HD86" i="3"/>
  <c r="IE86" i="3"/>
  <c r="DC86" i="3"/>
  <c r="HO86" i="3"/>
  <c r="IN86" i="3"/>
  <c r="GS86" i="3"/>
  <c r="IG86" i="3"/>
  <c r="IT86" i="3"/>
  <c r="IH86" i="3"/>
  <c r="IP86" i="3"/>
  <c r="DB86" i="3"/>
  <c r="DD86" i="3" s="1"/>
  <c r="HN86" i="3"/>
  <c r="HP86" i="3" s="1"/>
  <c r="IM86" i="3"/>
  <c r="IO86" i="3" s="1"/>
  <c r="EB86" i="3"/>
  <c r="HX86" i="3"/>
  <c r="CA86" i="3"/>
  <c r="HK86" i="3"/>
  <c r="IK86" i="3"/>
  <c r="FP86" i="3"/>
  <c r="HV86" i="3"/>
  <c r="EA86" i="3"/>
  <c r="EC86" i="3" s="1"/>
  <c r="HS86" i="3"/>
  <c r="IQ86" i="3"/>
  <c r="EW86" i="3"/>
  <c r="EY86" i="3" s="1"/>
  <c r="IB86" i="3"/>
  <c r="EX86" i="3"/>
  <c r="HU86" i="3"/>
  <c r="IS86" i="3"/>
  <c r="IU86" i="3" s="1"/>
  <c r="HC86" i="3"/>
  <c r="HE86" i="3" s="1"/>
  <c r="GG86" i="3"/>
  <c r="FQ86" i="3"/>
  <c r="IA86" i="3"/>
  <c r="BZ86" i="3"/>
  <c r="CB86" i="3" s="1"/>
  <c r="HJ86" i="3"/>
  <c r="IJ86" i="3"/>
  <c r="IL86" i="3" s="1"/>
  <c r="GF86" i="3"/>
  <c r="GH86" i="3" s="1"/>
  <c r="HY86" i="3"/>
  <c r="ID86" i="3"/>
  <c r="IF86" i="3" s="1"/>
  <c r="HR86" i="3"/>
  <c r="HT86" i="3" s="1"/>
  <c r="GT86" i="3"/>
  <c r="HU76" i="1"/>
  <c r="GF61" i="3"/>
  <c r="HY61" i="3"/>
  <c r="DB61" i="3"/>
  <c r="HN61" i="3"/>
  <c r="IM61" i="3"/>
  <c r="EB61" i="3"/>
  <c r="HX61" i="3"/>
  <c r="HZ61" i="3" s="1"/>
  <c r="GG61" i="3"/>
  <c r="IT61" i="3"/>
  <c r="IH61" i="3"/>
  <c r="GS61" i="3"/>
  <c r="GU61" i="3" s="1"/>
  <c r="IG61" i="3"/>
  <c r="II61" i="3" s="1"/>
  <c r="EA61" i="3"/>
  <c r="EC61" i="3" s="1"/>
  <c r="HS61" i="3"/>
  <c r="IQ61" i="3"/>
  <c r="EW61" i="3"/>
  <c r="IB61" i="3"/>
  <c r="GT61" i="3"/>
  <c r="FP61" i="3"/>
  <c r="HV61" i="3"/>
  <c r="CA61" i="3"/>
  <c r="HK61" i="3"/>
  <c r="IK61" i="3"/>
  <c r="FQ61" i="3"/>
  <c r="IA61" i="3"/>
  <c r="IC61" i="3" s="1"/>
  <c r="BZ61" i="3"/>
  <c r="CB61" i="3" s="1"/>
  <c r="HJ61" i="3"/>
  <c r="HL61" i="3" s="1"/>
  <c r="IJ61" i="3"/>
  <c r="IL61" i="3" s="1"/>
  <c r="IP61" i="3"/>
  <c r="HC61" i="3"/>
  <c r="EX61" i="3"/>
  <c r="HU61" i="3"/>
  <c r="HW61" i="3" s="1"/>
  <c r="IS61" i="3"/>
  <c r="IU61" i="3" s="1"/>
  <c r="HD61" i="3"/>
  <c r="IE61" i="3"/>
  <c r="DC61" i="3"/>
  <c r="HO61" i="3"/>
  <c r="IN61" i="3"/>
  <c r="ID61" i="3"/>
  <c r="IF61" i="3" s="1"/>
  <c r="HR61" i="3"/>
  <c r="HT61" i="3" s="1"/>
  <c r="HM15" i="1"/>
  <c r="ED15" i="1"/>
  <c r="GV15" i="1"/>
  <c r="EO117" i="1"/>
  <c r="E132" i="1" s="1"/>
  <c r="E34" i="4" s="1"/>
  <c r="EP120" i="1"/>
  <c r="EO120" i="1"/>
  <c r="EO119" i="1" s="1"/>
  <c r="EQ113" i="1"/>
  <c r="EO114" i="1"/>
  <c r="EO115" i="1" s="1"/>
  <c r="EP114" i="1"/>
  <c r="EP115" i="1" s="1"/>
  <c r="ED100" i="1"/>
  <c r="IP100" i="1"/>
  <c r="IS100" i="1"/>
  <c r="DE100" i="1"/>
  <c r="DE84" i="1"/>
  <c r="HU84" i="1"/>
  <c r="FQ84" i="3"/>
  <c r="IA84" i="3"/>
  <c r="BZ84" i="3"/>
  <c r="HJ84" i="3"/>
  <c r="IJ84" i="3"/>
  <c r="GF84" i="3"/>
  <c r="GH84" i="3" s="1"/>
  <c r="HY84" i="3"/>
  <c r="GG84" i="3"/>
  <c r="IT84" i="3"/>
  <c r="IH84" i="3"/>
  <c r="HD84" i="3"/>
  <c r="IE84" i="3"/>
  <c r="DC84" i="3"/>
  <c r="HO84" i="3"/>
  <c r="IN84" i="3"/>
  <c r="GS84" i="3"/>
  <c r="IG84" i="3"/>
  <c r="GT84" i="3"/>
  <c r="FP84" i="3"/>
  <c r="FR84" i="3" s="1"/>
  <c r="HV84" i="3"/>
  <c r="DB84" i="3"/>
  <c r="DD84" i="3" s="1"/>
  <c r="HN84" i="3"/>
  <c r="HP84" i="3" s="1"/>
  <c r="IM84" i="3"/>
  <c r="IO84" i="3" s="1"/>
  <c r="EB84" i="3"/>
  <c r="HX84" i="3"/>
  <c r="CA84" i="3"/>
  <c r="HK84" i="3"/>
  <c r="IK84" i="3"/>
  <c r="IP84" i="3"/>
  <c r="HC84" i="3"/>
  <c r="HE84" i="3" s="1"/>
  <c r="EA84" i="3"/>
  <c r="EC84" i="3" s="1"/>
  <c r="HS84" i="3"/>
  <c r="IQ84" i="3"/>
  <c r="EW84" i="3"/>
  <c r="EY84" i="3" s="1"/>
  <c r="IB84" i="3"/>
  <c r="EX84" i="3"/>
  <c r="HU84" i="3"/>
  <c r="HW84" i="3" s="1"/>
  <c r="IS84" i="3"/>
  <c r="IU84" i="3" s="1"/>
  <c r="ID84" i="3"/>
  <c r="IF84" i="3" s="1"/>
  <c r="HR84" i="3"/>
  <c r="HT84" i="3" s="1"/>
  <c r="IG14" i="1"/>
  <c r="FS14" i="1"/>
  <c r="GV11" i="1"/>
  <c r="HF11" i="1"/>
  <c r="IM101" i="1"/>
  <c r="GU64" i="3"/>
  <c r="DD42" i="3"/>
  <c r="IC38" i="3"/>
  <c r="FS37" i="1"/>
  <c r="ET113" i="1"/>
  <c r="ER120" i="1" s="1"/>
  <c r="ER119" i="1" s="1"/>
  <c r="ER117" i="1"/>
  <c r="E134" i="1" s="1"/>
  <c r="E36" i="4" s="1"/>
  <c r="ER114" i="1"/>
  <c r="ER115" i="1" s="1"/>
  <c r="ER118" i="1"/>
  <c r="ER121" i="1" s="1"/>
  <c r="ES114" i="1"/>
  <c r="ES115" i="1" s="1"/>
  <c r="ES120" i="1"/>
  <c r="HF104" i="1"/>
  <c r="IG80" i="1"/>
  <c r="IS80" i="1"/>
  <c r="HC78" i="3"/>
  <c r="IH78" i="3"/>
  <c r="EA78" i="3"/>
  <c r="EC78" i="3" s="1"/>
  <c r="HS78" i="3"/>
  <c r="IQ78" i="3"/>
  <c r="IK78" i="3"/>
  <c r="HO78" i="3"/>
  <c r="EB78" i="3"/>
  <c r="DC78" i="3"/>
  <c r="HJ78" i="3"/>
  <c r="FP78" i="3"/>
  <c r="HR78" i="3"/>
  <c r="HT78" i="3" s="1"/>
  <c r="IP78" i="3"/>
  <c r="IR78" i="3" s="1"/>
  <c r="FQ78" i="3"/>
  <c r="IA78" i="3"/>
  <c r="EX78" i="3"/>
  <c r="IS78" i="3"/>
  <c r="HX78" i="3"/>
  <c r="HZ78" i="3" s="1"/>
  <c r="GS78" i="3"/>
  <c r="EW78" i="3"/>
  <c r="EY78" i="3" s="1"/>
  <c r="GG78" i="3"/>
  <c r="HV78" i="3"/>
  <c r="IT78" i="3"/>
  <c r="HD78" i="3"/>
  <c r="IE78" i="3"/>
  <c r="HK78" i="3"/>
  <c r="BZ78" i="3"/>
  <c r="IN78" i="3"/>
  <c r="HY78" i="3"/>
  <c r="IB78" i="3"/>
  <c r="GT78" i="3"/>
  <c r="ID78" i="3"/>
  <c r="IF78" i="3" s="1"/>
  <c r="DB78" i="3"/>
  <c r="DD78" i="3" s="1"/>
  <c r="HN78" i="3"/>
  <c r="HP78" i="3" s="1"/>
  <c r="IM78" i="3"/>
  <c r="IO78" i="3" s="1"/>
  <c r="HU78" i="3"/>
  <c r="GF78" i="3"/>
  <c r="GH78" i="3" s="1"/>
  <c r="CA78" i="3"/>
  <c r="IG78" i="3"/>
  <c r="II78" i="3" s="1"/>
  <c r="IJ78" i="3"/>
  <c r="IG103" i="1"/>
  <c r="FC120" i="1"/>
  <c r="FD113" i="1"/>
  <c r="FB117" i="1" s="1"/>
  <c r="FB114" i="1"/>
  <c r="FB115" i="1" s="1"/>
  <c r="FC114" i="1"/>
  <c r="FC115" i="1" s="1"/>
  <c r="IP76" i="1"/>
  <c r="HF76" i="1"/>
  <c r="ED76" i="1"/>
  <c r="IG15" i="1"/>
  <c r="HF15" i="1"/>
  <c r="DE15" i="1"/>
  <c r="IJ15" i="1"/>
  <c r="HX15" i="1"/>
  <c r="FS100" i="1"/>
  <c r="IP84" i="1"/>
  <c r="HF84" i="1"/>
  <c r="EA82" i="3"/>
  <c r="HS82" i="3"/>
  <c r="IQ82" i="3"/>
  <c r="EW82" i="3"/>
  <c r="IB82" i="3"/>
  <c r="EX82" i="3"/>
  <c r="HU82" i="3"/>
  <c r="IS82" i="3"/>
  <c r="IP82" i="3"/>
  <c r="HC82" i="3"/>
  <c r="HE82" i="3" s="1"/>
  <c r="FQ82" i="3"/>
  <c r="IA82" i="3"/>
  <c r="IC82" i="3" s="1"/>
  <c r="BZ82" i="3"/>
  <c r="HJ82" i="3"/>
  <c r="HL82" i="3" s="1"/>
  <c r="IJ82" i="3"/>
  <c r="GF82" i="3"/>
  <c r="HY82" i="3"/>
  <c r="HV82" i="3"/>
  <c r="ID82" i="3"/>
  <c r="HR82" i="3"/>
  <c r="HD82" i="3"/>
  <c r="IE82" i="3"/>
  <c r="DC82" i="3"/>
  <c r="HO82" i="3"/>
  <c r="IN82" i="3"/>
  <c r="GS82" i="3"/>
  <c r="IG82" i="3"/>
  <c r="GG82" i="3"/>
  <c r="IT82" i="3"/>
  <c r="IH82" i="3"/>
  <c r="DB82" i="3"/>
  <c r="DD82" i="3" s="1"/>
  <c r="HN82" i="3"/>
  <c r="HP82" i="3" s="1"/>
  <c r="IM82" i="3"/>
  <c r="IO82" i="3" s="1"/>
  <c r="EB82" i="3"/>
  <c r="HX82" i="3"/>
  <c r="HZ82" i="3" s="1"/>
  <c r="CA82" i="3"/>
  <c r="HK82" i="3"/>
  <c r="IK82" i="3"/>
  <c r="GT82" i="3"/>
  <c r="FP82" i="3"/>
  <c r="GO120" i="1"/>
  <c r="GP113" i="1"/>
  <c r="GN117" i="1" s="1"/>
  <c r="GN114" i="1"/>
  <c r="GN115" i="1" s="1"/>
  <c r="GO114" i="1"/>
  <c r="GO115" i="1" s="1"/>
  <c r="IS38" i="1"/>
  <c r="HU38" i="1"/>
  <c r="HU14" i="1"/>
  <c r="HF14" i="1"/>
  <c r="IV11" i="1"/>
  <c r="HX11" i="1"/>
  <c r="IG11" i="1"/>
  <c r="GU29" i="3"/>
  <c r="HW21" i="3"/>
  <c r="IG12" i="1"/>
  <c r="IP89" i="1"/>
  <c r="HQ89" i="1"/>
  <c r="DE89" i="1"/>
  <c r="ID81" i="1"/>
  <c r="ED77" i="1"/>
  <c r="GV32" i="1"/>
  <c r="HZ87" i="3"/>
  <c r="IF73" i="3"/>
  <c r="GH33" i="3"/>
  <c r="IR79" i="3"/>
  <c r="IF79" i="3"/>
  <c r="HX105" i="1"/>
  <c r="ID93" i="1"/>
  <c r="IR71" i="3"/>
  <c r="HT71" i="3"/>
  <c r="EC38" i="3"/>
  <c r="IS37" i="1"/>
  <c r="HU104" i="1"/>
  <c r="ID104" i="1"/>
  <c r="DB104" i="3"/>
  <c r="HN104" i="3"/>
  <c r="IM104" i="3"/>
  <c r="EB104" i="3"/>
  <c r="HX104" i="3"/>
  <c r="CA104" i="3"/>
  <c r="IP104" i="3"/>
  <c r="HU104" i="3"/>
  <c r="GS104" i="3"/>
  <c r="GU104" i="3" s="1"/>
  <c r="IT104" i="3"/>
  <c r="EA104" i="3"/>
  <c r="EC104" i="3" s="1"/>
  <c r="HS104" i="3"/>
  <c r="IQ104" i="3"/>
  <c r="EW104" i="3"/>
  <c r="IB104" i="3"/>
  <c r="GF104" i="3"/>
  <c r="FP104" i="3"/>
  <c r="IK104" i="3"/>
  <c r="HC104" i="3"/>
  <c r="GT104" i="3"/>
  <c r="FQ104" i="3"/>
  <c r="IA104" i="3"/>
  <c r="IC104" i="3" s="1"/>
  <c r="BZ104" i="3"/>
  <c r="HJ104" i="3"/>
  <c r="IJ104" i="3"/>
  <c r="IL104" i="3" s="1"/>
  <c r="HR104" i="3"/>
  <c r="HT104" i="3" s="1"/>
  <c r="GG104" i="3"/>
  <c r="IS104" i="3"/>
  <c r="HV104" i="3"/>
  <c r="HY104" i="3"/>
  <c r="HD104" i="3"/>
  <c r="IE104" i="3"/>
  <c r="DC104" i="3"/>
  <c r="HO104" i="3"/>
  <c r="IN104" i="3"/>
  <c r="IH104" i="3"/>
  <c r="HK104" i="3"/>
  <c r="EX104" i="3"/>
  <c r="ID104" i="3"/>
  <c r="IF104" i="3" s="1"/>
  <c r="IG104" i="3"/>
  <c r="II104" i="3" s="1"/>
  <c r="GF59" i="3"/>
  <c r="HY59" i="3"/>
  <c r="FP59" i="3"/>
  <c r="HR59" i="3"/>
  <c r="IP59" i="3"/>
  <c r="FQ59" i="3"/>
  <c r="IA59" i="3"/>
  <c r="BZ59" i="3"/>
  <c r="HJ59" i="3"/>
  <c r="IJ59" i="3"/>
  <c r="IL59" i="3" s="1"/>
  <c r="GS59" i="3"/>
  <c r="IG59" i="3"/>
  <c r="GG59" i="3"/>
  <c r="HV59" i="3"/>
  <c r="IT59" i="3"/>
  <c r="HD59" i="3"/>
  <c r="IE59" i="3"/>
  <c r="DC59" i="3"/>
  <c r="HO59" i="3"/>
  <c r="IN59" i="3"/>
  <c r="CA59" i="3"/>
  <c r="HK59" i="3"/>
  <c r="IK59" i="3"/>
  <c r="GT59" i="3"/>
  <c r="ID59" i="3"/>
  <c r="IF59" i="3" s="1"/>
  <c r="DB59" i="3"/>
  <c r="DD59" i="3" s="1"/>
  <c r="HN59" i="3"/>
  <c r="HP59" i="3" s="1"/>
  <c r="IM59" i="3"/>
  <c r="IO59" i="3" s="1"/>
  <c r="EB59" i="3"/>
  <c r="HX59" i="3"/>
  <c r="HZ59" i="3" s="1"/>
  <c r="EX59" i="3"/>
  <c r="HU59" i="3"/>
  <c r="IS59" i="3"/>
  <c r="IU59" i="3" s="1"/>
  <c r="HC59" i="3"/>
  <c r="HE59" i="3" s="1"/>
  <c r="IH59" i="3"/>
  <c r="EA59" i="3"/>
  <c r="HS59" i="3"/>
  <c r="IQ59" i="3"/>
  <c r="EW59" i="3"/>
  <c r="EY59" i="3" s="1"/>
  <c r="IB59" i="3"/>
  <c r="HU103" i="1"/>
  <c r="HF103" i="1"/>
  <c r="HH114" i="1"/>
  <c r="HH115" i="1" s="1"/>
  <c r="HH120" i="1"/>
  <c r="HH119" i="1" s="1"/>
  <c r="HI114" i="1"/>
  <c r="HI115" i="1" s="1"/>
  <c r="HI120" i="1"/>
  <c r="HH117" i="1"/>
  <c r="J136" i="1" s="1"/>
  <c r="J38" i="4" s="1"/>
  <c r="HJ113" i="1"/>
  <c r="IG76" i="1"/>
  <c r="GG76" i="3"/>
  <c r="HV76" i="3"/>
  <c r="IT76" i="3"/>
  <c r="HD76" i="3"/>
  <c r="IE76" i="3"/>
  <c r="DC76" i="3"/>
  <c r="HO76" i="3"/>
  <c r="IN76" i="3"/>
  <c r="EX76" i="3"/>
  <c r="HK76" i="3"/>
  <c r="GT76" i="3"/>
  <c r="ID76" i="3"/>
  <c r="IF76" i="3" s="1"/>
  <c r="DB76" i="3"/>
  <c r="HN76" i="3"/>
  <c r="HP76" i="3" s="1"/>
  <c r="IM76" i="3"/>
  <c r="IO76" i="3" s="1"/>
  <c r="EB76" i="3"/>
  <c r="HX76" i="3"/>
  <c r="IG76" i="3"/>
  <c r="GF76" i="3"/>
  <c r="GH76" i="3" s="1"/>
  <c r="IS76" i="3"/>
  <c r="CA76" i="3"/>
  <c r="HC76" i="3"/>
  <c r="HE76" i="3" s="1"/>
  <c r="IH76" i="3"/>
  <c r="EA76" i="3"/>
  <c r="EC76" i="3" s="1"/>
  <c r="HS76" i="3"/>
  <c r="IQ76" i="3"/>
  <c r="EW76" i="3"/>
  <c r="EY76" i="3" s="1"/>
  <c r="IB76" i="3"/>
  <c r="HU76" i="3"/>
  <c r="HY76" i="3"/>
  <c r="FP76" i="3"/>
  <c r="FR76" i="3" s="1"/>
  <c r="HR76" i="3"/>
  <c r="HT76" i="3" s="1"/>
  <c r="IP76" i="3"/>
  <c r="FQ76" i="3"/>
  <c r="IA76" i="3"/>
  <c r="IC76" i="3" s="1"/>
  <c r="BZ76" i="3"/>
  <c r="CB76" i="3" s="1"/>
  <c r="HJ76" i="3"/>
  <c r="IJ76" i="3"/>
  <c r="IK76" i="3"/>
  <c r="GS76" i="3"/>
  <c r="IV15" i="1"/>
  <c r="DM114" i="1"/>
  <c r="DM115" i="1" s="1"/>
  <c r="DO113" i="1"/>
  <c r="DM117" i="1" s="1"/>
  <c r="DN114" i="1"/>
  <c r="DN115" i="1" s="1"/>
  <c r="DM120" i="1"/>
  <c r="DM119" i="1" s="1"/>
  <c r="DN120" i="1"/>
  <c r="HF100" i="1"/>
  <c r="HQ84" i="1"/>
  <c r="FH114" i="1"/>
  <c r="FH115" i="1" s="1"/>
  <c r="FH120" i="1"/>
  <c r="FH119" i="1" s="1"/>
  <c r="FI114" i="1"/>
  <c r="FI115" i="1" s="1"/>
  <c r="FI120" i="1"/>
  <c r="FH117" i="1"/>
  <c r="F132" i="1" s="1"/>
  <c r="F34" i="4" s="1"/>
  <c r="FJ113" i="1"/>
  <c r="FP14" i="3"/>
  <c r="HR14" i="3"/>
  <c r="DB14" i="3"/>
  <c r="HK14" i="3"/>
  <c r="IP14" i="3"/>
  <c r="IR14" i="3" s="1"/>
  <c r="HJ14" i="3"/>
  <c r="GS14" i="3"/>
  <c r="IN14" i="3"/>
  <c r="IJ14" i="3"/>
  <c r="IQ14" i="3"/>
  <c r="GG14" i="3"/>
  <c r="HV14" i="3"/>
  <c r="EA14" i="3"/>
  <c r="HS14" i="3"/>
  <c r="IT14" i="3"/>
  <c r="IA14" i="3"/>
  <c r="IC14" i="3" s="1"/>
  <c r="HN14" i="3"/>
  <c r="IS14" i="3"/>
  <c r="IK14" i="3"/>
  <c r="GF14" i="3"/>
  <c r="GH14" i="3" s="1"/>
  <c r="GT14" i="3"/>
  <c r="ID14" i="3"/>
  <c r="EW14" i="3"/>
  <c r="HX14" i="3"/>
  <c r="HZ14" i="3" s="1"/>
  <c r="CA14" i="3"/>
  <c r="IG14" i="3"/>
  <c r="HU14" i="3"/>
  <c r="HO14" i="3"/>
  <c r="EX14" i="3"/>
  <c r="HY14" i="3"/>
  <c r="HC14" i="3"/>
  <c r="BZ14" i="3"/>
  <c r="CB14" i="3" s="1"/>
  <c r="FQ14" i="3"/>
  <c r="IH14" i="3"/>
  <c r="DC14" i="3"/>
  <c r="IM14" i="3"/>
  <c r="IO14" i="3" s="1"/>
  <c r="IB14" i="3"/>
  <c r="IE14" i="3"/>
  <c r="HD14" i="3"/>
  <c r="EB14" i="3"/>
  <c r="IA11" i="1"/>
  <c r="EZ11" i="1"/>
  <c r="IJ101" i="1"/>
  <c r="ID101" i="1"/>
  <c r="IS101" i="1"/>
  <c r="HU101" i="1"/>
  <c r="FS101" i="1"/>
  <c r="IR75" i="3"/>
  <c r="HT75" i="3"/>
  <c r="GH75" i="3"/>
  <c r="IL75" i="3"/>
  <c r="HL75" i="3"/>
  <c r="CB75" i="3"/>
  <c r="IC75" i="3"/>
  <c r="EY103" i="3"/>
  <c r="II103" i="3"/>
  <c r="GU103" i="3"/>
  <c r="GH41" i="3"/>
  <c r="HZ41" i="3"/>
  <c r="IO41" i="3"/>
  <c r="HP41" i="3"/>
  <c r="DD41" i="3"/>
  <c r="IF41" i="3"/>
  <c r="II64" i="3"/>
  <c r="IJ62" i="1"/>
  <c r="GV62" i="1"/>
  <c r="IA62" i="1"/>
  <c r="ED62" i="1"/>
  <c r="IJ54" i="1"/>
  <c r="GV54" i="1"/>
  <c r="IP54" i="1"/>
  <c r="HQ54" i="1"/>
  <c r="DE54" i="1"/>
  <c r="HL29" i="3"/>
  <c r="CB29" i="3"/>
  <c r="IC29" i="3"/>
  <c r="IR29" i="3"/>
  <c r="HT29" i="3"/>
  <c r="FR29" i="3"/>
  <c r="HP21" i="3"/>
  <c r="GH21" i="3"/>
  <c r="HZ21" i="3"/>
  <c r="EC21" i="3"/>
  <c r="HE21" i="3"/>
  <c r="IO17" i="3"/>
  <c r="HP17" i="3"/>
  <c r="DD17" i="3"/>
  <c r="IF17" i="3"/>
  <c r="IR13" i="3"/>
  <c r="IC13" i="3"/>
  <c r="GH13" i="3"/>
  <c r="IJ36" i="1"/>
  <c r="ID36" i="1"/>
  <c r="IS36" i="1"/>
  <c r="HU36" i="1"/>
  <c r="FS36" i="1"/>
  <c r="HX12" i="1"/>
  <c r="GV12" i="1"/>
  <c r="IA12" i="1"/>
  <c r="ED12" i="1"/>
  <c r="HF12" i="1"/>
  <c r="FP12" i="3"/>
  <c r="GG12" i="3"/>
  <c r="GT12" i="3"/>
  <c r="HC12" i="3"/>
  <c r="HR12" i="3"/>
  <c r="HV12" i="3"/>
  <c r="ID12" i="3"/>
  <c r="IF12" i="3" s="1"/>
  <c r="IH12" i="3"/>
  <c r="IP12" i="3"/>
  <c r="IT12" i="3"/>
  <c r="EA12" i="3"/>
  <c r="EW12" i="3"/>
  <c r="FQ12" i="3"/>
  <c r="HK12" i="3"/>
  <c r="HS12" i="3"/>
  <c r="HX12" i="3"/>
  <c r="IN12" i="3"/>
  <c r="IS12" i="3"/>
  <c r="IU12" i="3" s="1"/>
  <c r="BZ12" i="3"/>
  <c r="DB12" i="3"/>
  <c r="EX12" i="3"/>
  <c r="GF12" i="3"/>
  <c r="GH12" i="3" s="1"/>
  <c r="HD12" i="3"/>
  <c r="HY12" i="3"/>
  <c r="IM12" i="3"/>
  <c r="IO12" i="3" s="1"/>
  <c r="HJ12" i="3"/>
  <c r="HL12" i="3" s="1"/>
  <c r="IA12" i="3"/>
  <c r="IC12" i="3" s="1"/>
  <c r="IG12" i="3"/>
  <c r="II12" i="3" s="1"/>
  <c r="GS12" i="3"/>
  <c r="HN12" i="3"/>
  <c r="HU12" i="3"/>
  <c r="HW12" i="3" s="1"/>
  <c r="IB12" i="3"/>
  <c r="IJ12" i="3"/>
  <c r="IQ12" i="3"/>
  <c r="CA12" i="3"/>
  <c r="DC12" i="3"/>
  <c r="IK12" i="3"/>
  <c r="HO12" i="3"/>
  <c r="EB12" i="3"/>
  <c r="IE12" i="3"/>
  <c r="FM120" i="3"/>
  <c r="FM121" i="3"/>
  <c r="FO113" i="3"/>
  <c r="FM118" i="3"/>
  <c r="FN120" i="3"/>
  <c r="FM114" i="3"/>
  <c r="FM115" i="3" s="1"/>
  <c r="FM117" i="3"/>
  <c r="F136" i="3" s="1"/>
  <c r="Q38" i="4" s="1"/>
  <c r="FO118" i="3"/>
  <c r="FM119" i="3"/>
  <c r="FN114" i="3"/>
  <c r="FN115" i="3" s="1"/>
  <c r="FO117" i="3"/>
  <c r="FO119" i="3"/>
  <c r="F137" i="3" s="1"/>
  <c r="Q39" i="4" s="1"/>
  <c r="CJ120" i="3"/>
  <c r="CJ118" i="3"/>
  <c r="CK120" i="3"/>
  <c r="CJ114" i="3"/>
  <c r="CJ115" i="3" s="1"/>
  <c r="CJ117" i="3"/>
  <c r="C126" i="3" s="1"/>
  <c r="N28" i="4" s="1"/>
  <c r="CL118" i="3"/>
  <c r="CJ119" i="3"/>
  <c r="CJ121" i="3"/>
  <c r="CL113" i="3"/>
  <c r="CK114" i="3"/>
  <c r="CK115" i="3" s="1"/>
  <c r="CL117" i="3"/>
  <c r="CL119" i="3"/>
  <c r="C127" i="3" s="1"/>
  <c r="N29" i="4" s="1"/>
  <c r="HE102" i="3"/>
  <c r="IU102" i="3"/>
  <c r="HW102" i="3"/>
  <c r="EY102" i="3"/>
  <c r="EC102" i="3"/>
  <c r="DR113" i="1"/>
  <c r="DP120" i="1" s="1"/>
  <c r="DP119" i="1" s="1"/>
  <c r="DP117" i="1"/>
  <c r="D130" i="1" s="1"/>
  <c r="D32" i="4" s="1"/>
  <c r="DP114" i="1"/>
  <c r="DP115" i="1" s="1"/>
  <c r="DQ114" i="1"/>
  <c r="DQ115" i="1" s="1"/>
  <c r="DQ120" i="1"/>
  <c r="II70" i="3"/>
  <c r="GU70" i="3"/>
  <c r="ED89" i="1"/>
  <c r="HF89" i="1"/>
  <c r="IV89" i="1"/>
  <c r="HX89" i="1"/>
  <c r="EZ89" i="1"/>
  <c r="IP85" i="1"/>
  <c r="HQ85" i="1"/>
  <c r="DE85" i="1"/>
  <c r="IG85" i="1"/>
  <c r="IA85" i="1"/>
  <c r="CA85" i="3"/>
  <c r="EX85" i="3"/>
  <c r="GF85" i="3"/>
  <c r="GH85" i="3" s="1"/>
  <c r="GS85" i="3"/>
  <c r="HK85" i="3"/>
  <c r="HU85" i="3"/>
  <c r="HY85" i="3"/>
  <c r="IG85" i="3"/>
  <c r="IK85" i="3"/>
  <c r="IS85" i="3"/>
  <c r="FP85" i="3"/>
  <c r="GG85" i="3"/>
  <c r="GT85" i="3"/>
  <c r="HC85" i="3"/>
  <c r="HR85" i="3"/>
  <c r="HV85" i="3"/>
  <c r="ID85" i="3"/>
  <c r="IH85" i="3"/>
  <c r="IP85" i="3"/>
  <c r="IT85" i="3"/>
  <c r="DB85" i="3"/>
  <c r="EA85" i="3"/>
  <c r="FQ85" i="3"/>
  <c r="HD85" i="3"/>
  <c r="HN85" i="3"/>
  <c r="HS85" i="3"/>
  <c r="IA85" i="3"/>
  <c r="IC85" i="3" s="1"/>
  <c r="IE85" i="3"/>
  <c r="IM85" i="3"/>
  <c r="IQ85" i="3"/>
  <c r="BZ85" i="3"/>
  <c r="EB85" i="3"/>
  <c r="HO85" i="3"/>
  <c r="IJ85" i="3"/>
  <c r="IL85" i="3" s="1"/>
  <c r="HX85" i="3"/>
  <c r="HZ85" i="3" s="1"/>
  <c r="IN85" i="3"/>
  <c r="DC85" i="3"/>
  <c r="EW85" i="3"/>
  <c r="EY85" i="3" s="1"/>
  <c r="HJ85" i="3"/>
  <c r="IB85" i="3"/>
  <c r="IJ81" i="1"/>
  <c r="GV81" i="1"/>
  <c r="ID77" i="1"/>
  <c r="IS77" i="1"/>
  <c r="HU77" i="1"/>
  <c r="FS77" i="1"/>
  <c r="GI77" i="1"/>
  <c r="IM77" i="1"/>
  <c r="HM77" i="1"/>
  <c r="CC77" i="1"/>
  <c r="IP72" i="1"/>
  <c r="GV72" i="1"/>
  <c r="IS72" i="1"/>
  <c r="HU72" i="1"/>
  <c r="FS72" i="1"/>
  <c r="IR56" i="3"/>
  <c r="HT56" i="3"/>
  <c r="GH56" i="3"/>
  <c r="IL56" i="3"/>
  <c r="HL56" i="3"/>
  <c r="CB56" i="3"/>
  <c r="IC56" i="3"/>
  <c r="IO48" i="3"/>
  <c r="DD48" i="3"/>
  <c r="EC48" i="3"/>
  <c r="HE48" i="3"/>
  <c r="IU48" i="3"/>
  <c r="HW48" i="3"/>
  <c r="EY48" i="3"/>
  <c r="GU25" i="3"/>
  <c r="IL25" i="3"/>
  <c r="HL25" i="3"/>
  <c r="CB25" i="3"/>
  <c r="IC25" i="3"/>
  <c r="IR25" i="3"/>
  <c r="HT25" i="3"/>
  <c r="FR25" i="3"/>
  <c r="HX44" i="1"/>
  <c r="IM44" i="1"/>
  <c r="IP44" i="1"/>
  <c r="HQ44" i="1"/>
  <c r="DE44" i="1"/>
  <c r="IG44" i="1"/>
  <c r="IJ40" i="1"/>
  <c r="L112" i="1"/>
  <c r="L113" i="1"/>
  <c r="GV8" i="1"/>
  <c r="GT109" i="1"/>
  <c r="GT110" i="1"/>
  <c r="EY109" i="1"/>
  <c r="EY110" i="1"/>
  <c r="IM8" i="1"/>
  <c r="IK110" i="1"/>
  <c r="IK109" i="1"/>
  <c r="HM8" i="1"/>
  <c r="HK110" i="1"/>
  <c r="HK109" i="1"/>
  <c r="CC8" i="1"/>
  <c r="CA109" i="1"/>
  <c r="CA110" i="1"/>
  <c r="IF110" i="1"/>
  <c r="IF109" i="1"/>
  <c r="HE110" i="1"/>
  <c r="HE109" i="1"/>
  <c r="IU109" i="1"/>
  <c r="IU110" i="1"/>
  <c r="HW109" i="1"/>
  <c r="HW110" i="1"/>
  <c r="GH109" i="1"/>
  <c r="GH110" i="1"/>
  <c r="EZ32" i="1"/>
  <c r="ID32" i="1"/>
  <c r="IS32" i="1"/>
  <c r="HU32" i="1"/>
  <c r="FS32" i="1"/>
  <c r="HX28" i="1"/>
  <c r="GV28" i="1"/>
  <c r="IA28" i="1"/>
  <c r="ED28" i="1"/>
  <c r="HF28" i="1"/>
  <c r="BZ28" i="3"/>
  <c r="DC28" i="3"/>
  <c r="EB28" i="3"/>
  <c r="EW28" i="3"/>
  <c r="HJ28" i="3"/>
  <c r="HO28" i="3"/>
  <c r="HX28" i="3"/>
  <c r="IB28" i="3"/>
  <c r="IJ28" i="3"/>
  <c r="IN28" i="3"/>
  <c r="CA28" i="3"/>
  <c r="EX28" i="3"/>
  <c r="GF28" i="3"/>
  <c r="GS28" i="3"/>
  <c r="HK28" i="3"/>
  <c r="HU28" i="3"/>
  <c r="HY28" i="3"/>
  <c r="IG28" i="3"/>
  <c r="IK28" i="3"/>
  <c r="IS28" i="3"/>
  <c r="FP28" i="3"/>
  <c r="GG28" i="3"/>
  <c r="GT28" i="3"/>
  <c r="HC28" i="3"/>
  <c r="HR28" i="3"/>
  <c r="IH28" i="3"/>
  <c r="IP28" i="3"/>
  <c r="EA28" i="3"/>
  <c r="EC28" i="3" s="1"/>
  <c r="FQ28" i="3"/>
  <c r="HS28" i="3"/>
  <c r="IA28" i="3"/>
  <c r="IC28" i="3" s="1"/>
  <c r="IQ28" i="3"/>
  <c r="DB28" i="3"/>
  <c r="DD28" i="3" s="1"/>
  <c r="HD28" i="3"/>
  <c r="HV28" i="3"/>
  <c r="ID28" i="3"/>
  <c r="IT28" i="3"/>
  <c r="HN28" i="3"/>
  <c r="HP28" i="3" s="1"/>
  <c r="IE28" i="3"/>
  <c r="IM28" i="3"/>
  <c r="IP24" i="1"/>
  <c r="HQ24" i="1"/>
  <c r="DE24" i="1"/>
  <c r="IG24" i="1"/>
  <c r="IM16" i="1"/>
  <c r="HM16" i="1"/>
  <c r="CC16" i="1"/>
  <c r="EN120" i="3"/>
  <c r="EN121" i="3"/>
  <c r="EP113" i="3"/>
  <c r="EN118" i="3"/>
  <c r="EO120" i="3"/>
  <c r="EN114" i="3"/>
  <c r="EN115" i="3" s="1"/>
  <c r="EN117" i="3"/>
  <c r="E132" i="3" s="1"/>
  <c r="P34" i="4" s="1"/>
  <c r="EP118" i="3"/>
  <c r="EN119" i="3"/>
  <c r="EO114" i="3"/>
  <c r="EO115" i="3" s="1"/>
  <c r="EP117" i="3"/>
  <c r="EP119" i="3"/>
  <c r="E133" i="3" s="1"/>
  <c r="P35" i="4" s="1"/>
  <c r="BB114" i="3"/>
  <c r="BB115" i="3" s="1"/>
  <c r="BB117" i="3"/>
  <c r="B122" i="3" s="1"/>
  <c r="M24" i="4" s="1"/>
  <c r="BD118" i="3"/>
  <c r="BB119" i="3"/>
  <c r="BC114" i="3"/>
  <c r="BC115" i="3" s="1"/>
  <c r="BD117" i="3"/>
  <c r="BD119" i="3"/>
  <c r="B123" i="3" s="1"/>
  <c r="M25" i="4" s="1"/>
  <c r="BD113" i="3"/>
  <c r="BB120" i="3"/>
  <c r="BB118" i="3"/>
  <c r="BC120" i="3"/>
  <c r="BB121" i="3"/>
  <c r="EH120" i="3"/>
  <c r="EH118" i="3"/>
  <c r="EI120" i="3"/>
  <c r="EH114" i="3"/>
  <c r="EH115" i="3" s="1"/>
  <c r="EH117" i="3"/>
  <c r="E128" i="3" s="1"/>
  <c r="P30" i="4" s="1"/>
  <c r="EJ118" i="3"/>
  <c r="EH119" i="3"/>
  <c r="EH121" i="3"/>
  <c r="EJ113" i="3"/>
  <c r="EI114" i="3"/>
  <c r="EI115" i="3" s="1"/>
  <c r="EJ117" i="3"/>
  <c r="EJ119" i="3"/>
  <c r="E129" i="3" s="1"/>
  <c r="P31" i="4" s="1"/>
  <c r="CG113" i="1"/>
  <c r="CE117" i="1"/>
  <c r="C122" i="1" s="1"/>
  <c r="C24" i="4" s="1"/>
  <c r="CE114" i="1"/>
  <c r="CE115" i="1" s="1"/>
  <c r="CE120" i="1"/>
  <c r="CF114" i="1"/>
  <c r="CF115" i="1" s="1"/>
  <c r="CE119" i="1"/>
  <c r="CF120" i="1"/>
  <c r="IO87" i="3"/>
  <c r="HP87" i="3"/>
  <c r="DD87" i="3"/>
  <c r="IF87" i="3"/>
  <c r="EZ97" i="1"/>
  <c r="HE73" i="3"/>
  <c r="IU73" i="3"/>
  <c r="HW73" i="3"/>
  <c r="EY73" i="3"/>
  <c r="EC73" i="3"/>
  <c r="IL68" i="3"/>
  <c r="HL68" i="3"/>
  <c r="CB68" i="3"/>
  <c r="IC68" i="3"/>
  <c r="IR68" i="3"/>
  <c r="HT68" i="3"/>
  <c r="FR68" i="3"/>
  <c r="GH68" i="3"/>
  <c r="IL45" i="3"/>
  <c r="HL45" i="3"/>
  <c r="CB45" i="3"/>
  <c r="IC45" i="3"/>
  <c r="IR45" i="3"/>
  <c r="HT45" i="3"/>
  <c r="FR45" i="3"/>
  <c r="IR69" i="3"/>
  <c r="HT69" i="3"/>
  <c r="GH69" i="3"/>
  <c r="IL69" i="3"/>
  <c r="HL69" i="3"/>
  <c r="CB69" i="3"/>
  <c r="IC69" i="3"/>
  <c r="II60" i="3"/>
  <c r="GU60" i="3"/>
  <c r="EC60" i="3"/>
  <c r="IS58" i="1"/>
  <c r="HU58" i="1"/>
  <c r="FS58" i="1"/>
  <c r="GI58" i="1"/>
  <c r="IM58" i="1"/>
  <c r="HM58" i="1"/>
  <c r="CC58" i="1"/>
  <c r="DB58" i="3"/>
  <c r="EA58" i="3"/>
  <c r="FQ58" i="3"/>
  <c r="HD58" i="3"/>
  <c r="HN58" i="3"/>
  <c r="HS58" i="3"/>
  <c r="IA58" i="3"/>
  <c r="IE58" i="3"/>
  <c r="IM58" i="3"/>
  <c r="IQ58" i="3"/>
  <c r="BZ58" i="3"/>
  <c r="DC58" i="3"/>
  <c r="EB58" i="3"/>
  <c r="EW58" i="3"/>
  <c r="HJ58" i="3"/>
  <c r="HO58" i="3"/>
  <c r="HX58" i="3"/>
  <c r="HZ58" i="3" s="1"/>
  <c r="IB58" i="3"/>
  <c r="IJ58" i="3"/>
  <c r="IN58" i="3"/>
  <c r="CA58" i="3"/>
  <c r="EX58" i="3"/>
  <c r="GF58" i="3"/>
  <c r="GS58" i="3"/>
  <c r="HK58" i="3"/>
  <c r="HU58" i="3"/>
  <c r="HY58" i="3"/>
  <c r="IG58" i="3"/>
  <c r="IK58" i="3"/>
  <c r="IS58" i="3"/>
  <c r="FP58" i="3"/>
  <c r="FR58" i="3" s="1"/>
  <c r="GG58" i="3"/>
  <c r="GT58" i="3"/>
  <c r="HC58" i="3"/>
  <c r="HR58" i="3"/>
  <c r="HV58" i="3"/>
  <c r="ID58" i="3"/>
  <c r="IF58" i="3" s="1"/>
  <c r="IH58" i="3"/>
  <c r="IP58" i="3"/>
  <c r="IT58" i="3"/>
  <c r="IV50" i="1"/>
  <c r="HX50" i="1"/>
  <c r="EZ50" i="1"/>
  <c r="ID50" i="1"/>
  <c r="IC46" i="3"/>
  <c r="IR46" i="3"/>
  <c r="HT46" i="3"/>
  <c r="FR46" i="3"/>
  <c r="GH46" i="3"/>
  <c r="IL46" i="3"/>
  <c r="HL46" i="3"/>
  <c r="CB46" i="3"/>
  <c r="GU33" i="3"/>
  <c r="EY33" i="3"/>
  <c r="EC33" i="3"/>
  <c r="HE33" i="3"/>
  <c r="IP20" i="1"/>
  <c r="HQ20" i="1"/>
  <c r="DE20" i="1"/>
  <c r="IG20" i="1"/>
  <c r="GH9" i="3"/>
  <c r="IL9" i="3"/>
  <c r="HL9" i="3"/>
  <c r="CB9" i="3"/>
  <c r="IC9" i="3"/>
  <c r="FG120" i="3"/>
  <c r="FG118" i="3"/>
  <c r="FH120" i="3"/>
  <c r="FG114" i="3"/>
  <c r="FG115" i="3" s="1"/>
  <c r="FG117" i="3"/>
  <c r="F132" i="3" s="1"/>
  <c r="Q34" i="4" s="1"/>
  <c r="FI118" i="3"/>
  <c r="FG119" i="3"/>
  <c r="FG121" i="3"/>
  <c r="FI113" i="3"/>
  <c r="FH114" i="3"/>
  <c r="FH115" i="3" s="1"/>
  <c r="FI117" i="3"/>
  <c r="FI119" i="3"/>
  <c r="F133" i="3" s="1"/>
  <c r="Q35" i="4" s="1"/>
  <c r="IC79" i="3"/>
  <c r="II79" i="3"/>
  <c r="GU79" i="3"/>
  <c r="CH114" i="1"/>
  <c r="CH115" i="1" s="1"/>
  <c r="CI114" i="1"/>
  <c r="CI115" i="1" s="1"/>
  <c r="CI120" i="1"/>
  <c r="CJ113" i="1"/>
  <c r="CH117" i="1" s="1"/>
  <c r="IL83" i="3"/>
  <c r="EC83" i="3"/>
  <c r="HE83" i="3"/>
  <c r="IU83" i="3"/>
  <c r="HW83" i="3"/>
  <c r="ID105" i="1"/>
  <c r="HF105" i="1"/>
  <c r="CA105" i="3"/>
  <c r="EX105" i="3"/>
  <c r="GF105" i="3"/>
  <c r="GS105" i="3"/>
  <c r="HK105" i="3"/>
  <c r="HU105" i="3"/>
  <c r="HW105" i="3" s="1"/>
  <c r="HY105" i="3"/>
  <c r="IG105" i="3"/>
  <c r="IK105" i="3"/>
  <c r="IS105" i="3"/>
  <c r="IU105" i="3" s="1"/>
  <c r="FP105" i="3"/>
  <c r="GG105" i="3"/>
  <c r="GT105" i="3"/>
  <c r="HC105" i="3"/>
  <c r="HE105" i="3" s="1"/>
  <c r="HR105" i="3"/>
  <c r="HV105" i="3"/>
  <c r="ID105" i="3"/>
  <c r="IF105" i="3" s="1"/>
  <c r="IH105" i="3"/>
  <c r="IP105" i="3"/>
  <c r="IT105" i="3"/>
  <c r="EW105" i="3"/>
  <c r="EY105" i="3" s="1"/>
  <c r="HN105" i="3"/>
  <c r="HP105" i="3" s="1"/>
  <c r="IE105" i="3"/>
  <c r="IM105" i="3"/>
  <c r="BZ105" i="3"/>
  <c r="CB105" i="3" s="1"/>
  <c r="FQ105" i="3"/>
  <c r="HO105" i="3"/>
  <c r="HX105" i="3"/>
  <c r="HZ105" i="3" s="1"/>
  <c r="IN105" i="3"/>
  <c r="DB105" i="3"/>
  <c r="DD105" i="3" s="1"/>
  <c r="EA105" i="3"/>
  <c r="HD105" i="3"/>
  <c r="HS105" i="3"/>
  <c r="IA105" i="3"/>
  <c r="IC105" i="3" s="1"/>
  <c r="IQ105" i="3"/>
  <c r="DC105" i="3"/>
  <c r="EB105" i="3"/>
  <c r="HJ105" i="3"/>
  <c r="HL105" i="3" s="1"/>
  <c r="IB105" i="3"/>
  <c r="IJ105" i="3"/>
  <c r="GH98" i="3"/>
  <c r="IO98" i="3"/>
  <c r="HP98" i="3"/>
  <c r="DD98" i="3"/>
  <c r="IF63" i="3"/>
  <c r="HZ63" i="3"/>
  <c r="IO63" i="3"/>
  <c r="HP63" i="3"/>
  <c r="DD63" i="3"/>
  <c r="IR52" i="3"/>
  <c r="IC52" i="3"/>
  <c r="FR52" i="3"/>
  <c r="GH52" i="3"/>
  <c r="IL52" i="3"/>
  <c r="HL52" i="3"/>
  <c r="CB52" i="3"/>
  <c r="IJ93" i="1"/>
  <c r="GV93" i="1"/>
  <c r="II71" i="3"/>
  <c r="GU71" i="3"/>
  <c r="IA66" i="1"/>
  <c r="ED66" i="1"/>
  <c r="HE67" i="3"/>
  <c r="IU67" i="3"/>
  <c r="HW67" i="3"/>
  <c r="EY67" i="3"/>
  <c r="EC67" i="3"/>
  <c r="IF42" i="3"/>
  <c r="HZ42" i="3"/>
  <c r="GH38" i="3"/>
  <c r="FR38" i="3"/>
  <c r="IL38" i="3"/>
  <c r="HL38" i="3"/>
  <c r="CB38" i="3"/>
  <c r="GI37" i="1"/>
  <c r="IM37" i="1"/>
  <c r="HM37" i="1"/>
  <c r="CC37" i="1"/>
  <c r="FP37" i="3"/>
  <c r="GG37" i="3"/>
  <c r="GT37" i="3"/>
  <c r="HC37" i="3"/>
  <c r="HE37" i="3" s="1"/>
  <c r="HR37" i="3"/>
  <c r="HV37" i="3"/>
  <c r="ID37" i="3"/>
  <c r="IF37" i="3" s="1"/>
  <c r="IH37" i="3"/>
  <c r="IP37" i="3"/>
  <c r="IT37" i="3"/>
  <c r="DB37" i="3"/>
  <c r="EA37" i="3"/>
  <c r="FQ37" i="3"/>
  <c r="HD37" i="3"/>
  <c r="HN37" i="3"/>
  <c r="HS37" i="3"/>
  <c r="IA37" i="3"/>
  <c r="IE37" i="3"/>
  <c r="IM37" i="3"/>
  <c r="IO37" i="3" s="1"/>
  <c r="IQ37" i="3"/>
  <c r="BZ37" i="3"/>
  <c r="EX37" i="3"/>
  <c r="HK37" i="3"/>
  <c r="HU37" i="3"/>
  <c r="HW37" i="3" s="1"/>
  <c r="IK37" i="3"/>
  <c r="IS37" i="3"/>
  <c r="IU37" i="3" s="1"/>
  <c r="GF37" i="3"/>
  <c r="GH37" i="3" s="1"/>
  <c r="HO37" i="3"/>
  <c r="HX37" i="3"/>
  <c r="IN37" i="3"/>
  <c r="CA37" i="3"/>
  <c r="EB37" i="3"/>
  <c r="GS37" i="3"/>
  <c r="HY37" i="3"/>
  <c r="IG37" i="3"/>
  <c r="II37" i="3" s="1"/>
  <c r="DC37" i="3"/>
  <c r="IB37" i="3"/>
  <c r="EW37" i="3"/>
  <c r="EY37" i="3" s="1"/>
  <c r="IJ37" i="3"/>
  <c r="IL37" i="3" s="1"/>
  <c r="HJ37" i="3"/>
  <c r="HL37" i="3" s="1"/>
  <c r="CA101" i="3"/>
  <c r="EX101" i="3"/>
  <c r="GF101" i="3"/>
  <c r="GS101" i="3"/>
  <c r="HK101" i="3"/>
  <c r="HU101" i="3"/>
  <c r="HY101" i="3"/>
  <c r="IG101" i="3"/>
  <c r="IK101" i="3"/>
  <c r="IS101" i="3"/>
  <c r="FP101" i="3"/>
  <c r="GG101" i="3"/>
  <c r="GT101" i="3"/>
  <c r="HC101" i="3"/>
  <c r="HR101" i="3"/>
  <c r="HV101" i="3"/>
  <c r="ID101" i="3"/>
  <c r="IH101" i="3"/>
  <c r="IP101" i="3"/>
  <c r="IT101" i="3"/>
  <c r="DB101" i="3"/>
  <c r="EA101" i="3"/>
  <c r="FQ101" i="3"/>
  <c r="HD101" i="3"/>
  <c r="HN101" i="3"/>
  <c r="HS101" i="3"/>
  <c r="IA101" i="3"/>
  <c r="IE101" i="3"/>
  <c r="IM101" i="3"/>
  <c r="IQ101" i="3"/>
  <c r="BZ101" i="3"/>
  <c r="CB101" i="3" s="1"/>
  <c r="EB101" i="3"/>
  <c r="HJ101" i="3"/>
  <c r="HL101" i="3" s="1"/>
  <c r="IB101" i="3"/>
  <c r="DC101" i="3"/>
  <c r="EW101" i="3"/>
  <c r="HO101" i="3"/>
  <c r="IJ101" i="3"/>
  <c r="IL101" i="3" s="1"/>
  <c r="HX101" i="3"/>
  <c r="HZ101" i="3" s="1"/>
  <c r="IN101" i="3"/>
  <c r="DS114" i="1"/>
  <c r="DS115" i="1" s="1"/>
  <c r="DT114" i="1"/>
  <c r="DT115" i="1" s="1"/>
  <c r="DT120" i="1"/>
  <c r="DU113" i="1"/>
  <c r="DS120" i="1" s="1"/>
  <c r="DS119" i="1" s="1"/>
  <c r="BU114" i="1"/>
  <c r="BU115" i="1" s="1"/>
  <c r="BV114" i="1"/>
  <c r="BV115" i="1" s="1"/>
  <c r="BV120" i="1"/>
  <c r="BW113" i="1"/>
  <c r="BU120" i="1" s="1"/>
  <c r="BU119" i="1" s="1"/>
  <c r="BH113" i="1"/>
  <c r="BF120" i="1" s="1"/>
  <c r="BF119" i="1" s="1"/>
  <c r="BF114" i="1"/>
  <c r="BF115" i="1" s="1"/>
  <c r="BG114" i="1"/>
  <c r="BG115" i="1" s="1"/>
  <c r="BG120" i="1"/>
  <c r="EY75" i="3"/>
  <c r="EC75" i="3"/>
  <c r="IC103" i="3"/>
  <c r="IR103" i="3"/>
  <c r="HT103" i="3"/>
  <c r="FR103" i="3"/>
  <c r="IC64" i="3"/>
  <c r="IR64" i="3"/>
  <c r="HT64" i="3"/>
  <c r="FR64" i="3"/>
  <c r="IP62" i="1"/>
  <c r="HQ62" i="1"/>
  <c r="DE62" i="1"/>
  <c r="DB54" i="3"/>
  <c r="EA54" i="3"/>
  <c r="FQ54" i="3"/>
  <c r="HD54" i="3"/>
  <c r="HN54" i="3"/>
  <c r="HS54" i="3"/>
  <c r="IA54" i="3"/>
  <c r="IE54" i="3"/>
  <c r="IM54" i="3"/>
  <c r="IQ54" i="3"/>
  <c r="BZ54" i="3"/>
  <c r="DC54" i="3"/>
  <c r="EB54" i="3"/>
  <c r="EW54" i="3"/>
  <c r="HJ54" i="3"/>
  <c r="HO54" i="3"/>
  <c r="HX54" i="3"/>
  <c r="IB54" i="3"/>
  <c r="IJ54" i="3"/>
  <c r="IN54" i="3"/>
  <c r="CA54" i="3"/>
  <c r="EX54" i="3"/>
  <c r="GF54" i="3"/>
  <c r="GS54" i="3"/>
  <c r="HK54" i="3"/>
  <c r="HU54" i="3"/>
  <c r="HW54" i="3" s="1"/>
  <c r="HY54" i="3"/>
  <c r="IG54" i="3"/>
  <c r="IK54" i="3"/>
  <c r="IS54" i="3"/>
  <c r="IU54" i="3" s="1"/>
  <c r="FP54" i="3"/>
  <c r="FR54" i="3" s="1"/>
  <c r="GG54" i="3"/>
  <c r="GT54" i="3"/>
  <c r="HC54" i="3"/>
  <c r="HE54" i="3" s="1"/>
  <c r="HR54" i="3"/>
  <c r="HV54" i="3"/>
  <c r="ID54" i="3"/>
  <c r="IF54" i="3" s="1"/>
  <c r="IH54" i="3"/>
  <c r="IP54" i="3"/>
  <c r="IT54" i="3"/>
  <c r="EY29" i="3"/>
  <c r="EC29" i="3"/>
  <c r="DD21" i="3"/>
  <c r="HT13" i="3"/>
  <c r="HL13" i="3"/>
  <c r="BZ36" i="3"/>
  <c r="CB36" i="3" s="1"/>
  <c r="DC36" i="3"/>
  <c r="EB36" i="3"/>
  <c r="EW36" i="3"/>
  <c r="HJ36" i="3"/>
  <c r="HL36" i="3" s="1"/>
  <c r="HO36" i="3"/>
  <c r="HX36" i="3"/>
  <c r="IB36" i="3"/>
  <c r="IJ36" i="3"/>
  <c r="IL36" i="3" s="1"/>
  <c r="IN36" i="3"/>
  <c r="CA36" i="3"/>
  <c r="EX36" i="3"/>
  <c r="GF36" i="3"/>
  <c r="GH36" i="3" s="1"/>
  <c r="GS36" i="3"/>
  <c r="HK36" i="3"/>
  <c r="HU36" i="3"/>
  <c r="HY36" i="3"/>
  <c r="IG36" i="3"/>
  <c r="IK36" i="3"/>
  <c r="IS36" i="3"/>
  <c r="FP36" i="3"/>
  <c r="GG36" i="3"/>
  <c r="GT36" i="3"/>
  <c r="HC36" i="3"/>
  <c r="HR36" i="3"/>
  <c r="HV36" i="3"/>
  <c r="ID36" i="3"/>
  <c r="IH36" i="3"/>
  <c r="IP36" i="3"/>
  <c r="IR36" i="3" s="1"/>
  <c r="IT36" i="3"/>
  <c r="IM36" i="3"/>
  <c r="EA36" i="3"/>
  <c r="EC36" i="3" s="1"/>
  <c r="FQ36" i="3"/>
  <c r="IA36" i="3"/>
  <c r="IQ36" i="3"/>
  <c r="DB36" i="3"/>
  <c r="HD36" i="3"/>
  <c r="HN36" i="3"/>
  <c r="HP36" i="3" s="1"/>
  <c r="IE36" i="3"/>
  <c r="HS36" i="3"/>
  <c r="IP12" i="1"/>
  <c r="HQ12" i="1"/>
  <c r="DE12" i="1"/>
  <c r="IO102" i="3"/>
  <c r="HP102" i="3"/>
  <c r="DD102" i="3"/>
  <c r="IC70" i="3"/>
  <c r="IR70" i="3"/>
  <c r="HT70" i="3"/>
  <c r="FR70" i="3"/>
  <c r="IG89" i="1"/>
  <c r="CA89" i="3"/>
  <c r="EX89" i="3"/>
  <c r="GF89" i="3"/>
  <c r="GS89" i="3"/>
  <c r="HK89" i="3"/>
  <c r="HU89" i="3"/>
  <c r="HY89" i="3"/>
  <c r="IG89" i="3"/>
  <c r="IK89" i="3"/>
  <c r="IS89" i="3"/>
  <c r="FP89" i="3"/>
  <c r="GG89" i="3"/>
  <c r="GT89" i="3"/>
  <c r="HC89" i="3"/>
  <c r="HR89" i="3"/>
  <c r="HV89" i="3"/>
  <c r="ID89" i="3"/>
  <c r="IH89" i="3"/>
  <c r="IP89" i="3"/>
  <c r="IT89" i="3"/>
  <c r="DB89" i="3"/>
  <c r="EA89" i="3"/>
  <c r="FQ89" i="3"/>
  <c r="HD89" i="3"/>
  <c r="HN89" i="3"/>
  <c r="HS89" i="3"/>
  <c r="IA89" i="3"/>
  <c r="IE89" i="3"/>
  <c r="IM89" i="3"/>
  <c r="IQ89" i="3"/>
  <c r="HX89" i="3"/>
  <c r="HZ89" i="3" s="1"/>
  <c r="IN89" i="3"/>
  <c r="DC89" i="3"/>
  <c r="EW89" i="3"/>
  <c r="EY89" i="3" s="1"/>
  <c r="HJ89" i="3"/>
  <c r="HL89" i="3" s="1"/>
  <c r="IB89" i="3"/>
  <c r="BZ89" i="3"/>
  <c r="CB89" i="3" s="1"/>
  <c r="EB89" i="3"/>
  <c r="HO89" i="3"/>
  <c r="IJ89" i="3"/>
  <c r="IL89" i="3" s="1"/>
  <c r="IS81" i="1"/>
  <c r="HU81" i="1"/>
  <c r="FS81" i="1"/>
  <c r="EZ77" i="1"/>
  <c r="ID72" i="1"/>
  <c r="DE72" i="1"/>
  <c r="CA72" i="3"/>
  <c r="EX72" i="3"/>
  <c r="GF72" i="3"/>
  <c r="GS72" i="3"/>
  <c r="HK72" i="3"/>
  <c r="HU72" i="3"/>
  <c r="HY72" i="3"/>
  <c r="IG72" i="3"/>
  <c r="IK72" i="3"/>
  <c r="IS72" i="3"/>
  <c r="FP72" i="3"/>
  <c r="GG72" i="3"/>
  <c r="GT72" i="3"/>
  <c r="HC72" i="3"/>
  <c r="HR72" i="3"/>
  <c r="HV72" i="3"/>
  <c r="ID72" i="3"/>
  <c r="IH72" i="3"/>
  <c r="IP72" i="3"/>
  <c r="IT72" i="3"/>
  <c r="DB72" i="3"/>
  <c r="EA72" i="3"/>
  <c r="FQ72" i="3"/>
  <c r="HD72" i="3"/>
  <c r="HN72" i="3"/>
  <c r="HS72" i="3"/>
  <c r="IA72" i="3"/>
  <c r="IE72" i="3"/>
  <c r="IM72" i="3"/>
  <c r="IQ72" i="3"/>
  <c r="BZ72" i="3"/>
  <c r="DC72" i="3"/>
  <c r="EB72" i="3"/>
  <c r="EW72" i="3"/>
  <c r="EY72" i="3" s="1"/>
  <c r="HJ72" i="3"/>
  <c r="HO72" i="3"/>
  <c r="HX72" i="3"/>
  <c r="HZ72" i="3" s="1"/>
  <c r="IB72" i="3"/>
  <c r="IJ72" i="3"/>
  <c r="IN72" i="3"/>
  <c r="EY56" i="3"/>
  <c r="EC56" i="3"/>
  <c r="IF48" i="3"/>
  <c r="EC25" i="3"/>
  <c r="IS40" i="1"/>
  <c r="HU40" i="1"/>
  <c r="FS40" i="1"/>
  <c r="IJ8" i="1"/>
  <c r="IH109" i="1"/>
  <c r="IH110" i="1"/>
  <c r="CB109" i="1"/>
  <c r="CB110" i="1"/>
  <c r="IL109" i="1"/>
  <c r="IL110" i="1"/>
  <c r="IC110" i="1"/>
  <c r="IC109" i="1"/>
  <c r="EZ8" i="1"/>
  <c r="EX110" i="1"/>
  <c r="EX109" i="1"/>
  <c r="ID8" i="1"/>
  <c r="IB110" i="1"/>
  <c r="IB109" i="1"/>
  <c r="FR110" i="1"/>
  <c r="FR109" i="1"/>
  <c r="IS8" i="1"/>
  <c r="IQ109" i="1"/>
  <c r="IQ110" i="1"/>
  <c r="HU8" i="1"/>
  <c r="HS109" i="1"/>
  <c r="HS110" i="1"/>
  <c r="FS8" i="1"/>
  <c r="FQ109" i="1"/>
  <c r="FQ110" i="1"/>
  <c r="ED32" i="1"/>
  <c r="BZ32" i="3"/>
  <c r="DC32" i="3"/>
  <c r="EB32" i="3"/>
  <c r="EW32" i="3"/>
  <c r="HJ32" i="3"/>
  <c r="HO32" i="3"/>
  <c r="HX32" i="3"/>
  <c r="IB32" i="3"/>
  <c r="IJ32" i="3"/>
  <c r="IN32" i="3"/>
  <c r="CA32" i="3"/>
  <c r="EX32" i="3"/>
  <c r="GF32" i="3"/>
  <c r="GS32" i="3"/>
  <c r="HK32" i="3"/>
  <c r="HU32" i="3"/>
  <c r="HY32" i="3"/>
  <c r="IG32" i="3"/>
  <c r="IK32" i="3"/>
  <c r="IS32" i="3"/>
  <c r="FP32" i="3"/>
  <c r="GG32" i="3"/>
  <c r="GT32" i="3"/>
  <c r="HC32" i="3"/>
  <c r="HR32" i="3"/>
  <c r="HV32" i="3"/>
  <c r="ID32" i="3"/>
  <c r="IH32" i="3"/>
  <c r="IP32" i="3"/>
  <c r="IT32" i="3"/>
  <c r="HS32" i="3"/>
  <c r="FQ32" i="3"/>
  <c r="IM32" i="3"/>
  <c r="DB32" i="3"/>
  <c r="DD32" i="3" s="1"/>
  <c r="IA32" i="3"/>
  <c r="IQ32" i="3"/>
  <c r="EA32" i="3"/>
  <c r="HD32" i="3"/>
  <c r="HN32" i="3"/>
  <c r="HP32" i="3" s="1"/>
  <c r="IE32" i="3"/>
  <c r="IP28" i="1"/>
  <c r="HQ28" i="1"/>
  <c r="DE28" i="1"/>
  <c r="IG28" i="1"/>
  <c r="IM24" i="1"/>
  <c r="HM24" i="1"/>
  <c r="EZ16" i="1"/>
  <c r="ID16" i="1"/>
  <c r="IS16" i="1"/>
  <c r="HU16" i="1"/>
  <c r="FS16" i="1"/>
  <c r="CM114" i="3"/>
  <c r="CM115" i="3" s="1"/>
  <c r="CM117" i="3"/>
  <c r="C128" i="3" s="1"/>
  <c r="N30" i="4" s="1"/>
  <c r="CO118" i="3"/>
  <c r="CM119" i="3"/>
  <c r="CO113" i="3"/>
  <c r="CN114" i="3"/>
  <c r="CN115" i="3" s="1"/>
  <c r="CO117" i="3"/>
  <c r="CO119" i="3"/>
  <c r="C129" i="3" s="1"/>
  <c r="N31" i="4" s="1"/>
  <c r="CM120" i="3"/>
  <c r="CM118" i="3"/>
  <c r="CN120" i="3"/>
  <c r="CM121" i="3"/>
  <c r="DU120" i="3"/>
  <c r="DU118" i="3"/>
  <c r="DV120" i="3"/>
  <c r="DU114" i="3"/>
  <c r="DU115" i="3" s="1"/>
  <c r="DU117" i="3"/>
  <c r="D134" i="3" s="1"/>
  <c r="O36" i="4" s="1"/>
  <c r="DW118" i="3"/>
  <c r="DU119" i="3"/>
  <c r="DU121" i="3"/>
  <c r="DW113" i="3"/>
  <c r="DV114" i="3"/>
  <c r="DV115" i="3" s="1"/>
  <c r="DW117" i="3"/>
  <c r="DW119" i="3"/>
  <c r="D135" i="3" s="1"/>
  <c r="O37" i="4" s="1"/>
  <c r="FZ120" i="3"/>
  <c r="FZ121" i="3"/>
  <c r="GB113" i="3"/>
  <c r="FZ118" i="3"/>
  <c r="GA120" i="3"/>
  <c r="FZ114" i="3"/>
  <c r="FZ115" i="3" s="1"/>
  <c r="FZ117" i="3"/>
  <c r="G134" i="3" s="1"/>
  <c r="R36" i="4" s="1"/>
  <c r="GB118" i="3"/>
  <c r="FZ119" i="3"/>
  <c r="GA114" i="3"/>
  <c r="GA115" i="3" s="1"/>
  <c r="GB117" i="3"/>
  <c r="GB119" i="3"/>
  <c r="G135" i="3" s="1"/>
  <c r="R37" i="4" s="1"/>
  <c r="IS97" i="1"/>
  <c r="HU97" i="1"/>
  <c r="FS97" i="1"/>
  <c r="IA97" i="1"/>
  <c r="CA97" i="3"/>
  <c r="EX97" i="3"/>
  <c r="GF97" i="3"/>
  <c r="GS97" i="3"/>
  <c r="HK97" i="3"/>
  <c r="HU97" i="3"/>
  <c r="HY97" i="3"/>
  <c r="IG97" i="3"/>
  <c r="IK97" i="3"/>
  <c r="IS97" i="3"/>
  <c r="DB97" i="3"/>
  <c r="EA97" i="3"/>
  <c r="FQ97" i="3"/>
  <c r="HD97" i="3"/>
  <c r="HN97" i="3"/>
  <c r="HS97" i="3"/>
  <c r="IA97" i="3"/>
  <c r="IE97" i="3"/>
  <c r="IM97" i="3"/>
  <c r="IO97" i="3" s="1"/>
  <c r="IQ97" i="3"/>
  <c r="EB97" i="3"/>
  <c r="EW97" i="3"/>
  <c r="EY97" i="3" s="1"/>
  <c r="HR97" i="3"/>
  <c r="HT97" i="3" s="1"/>
  <c r="IH97" i="3"/>
  <c r="IP97" i="3"/>
  <c r="DC97" i="3"/>
  <c r="HC97" i="3"/>
  <c r="HJ97" i="3"/>
  <c r="HL97" i="3" s="1"/>
  <c r="IB97" i="3"/>
  <c r="IJ97" i="3"/>
  <c r="IL97" i="3" s="1"/>
  <c r="FP97" i="3"/>
  <c r="FR97" i="3" s="1"/>
  <c r="GG97" i="3"/>
  <c r="HV97" i="3"/>
  <c r="ID97" i="3"/>
  <c r="IF97" i="3" s="1"/>
  <c r="IT97" i="3"/>
  <c r="BZ97" i="3"/>
  <c r="CB97" i="3" s="1"/>
  <c r="IN97" i="3"/>
  <c r="GT97" i="3"/>
  <c r="HO97" i="3"/>
  <c r="HX97" i="3"/>
  <c r="IO73" i="3"/>
  <c r="HP73" i="3"/>
  <c r="DD73" i="3"/>
  <c r="EC68" i="3"/>
  <c r="EC45" i="3"/>
  <c r="EY69" i="3"/>
  <c r="EC69" i="3"/>
  <c r="IO60" i="3"/>
  <c r="HP60" i="3"/>
  <c r="EZ58" i="1"/>
  <c r="ID58" i="1"/>
  <c r="ED50" i="1"/>
  <c r="HE46" i="3"/>
  <c r="EY46" i="3"/>
  <c r="IO33" i="3"/>
  <c r="HP33" i="3"/>
  <c r="DD33" i="3"/>
  <c r="IF33" i="3"/>
  <c r="IM20" i="1"/>
  <c r="HM20" i="1"/>
  <c r="EY9" i="3"/>
  <c r="EC9" i="3"/>
  <c r="IO83" i="3"/>
  <c r="HP83" i="3"/>
  <c r="IF83" i="3"/>
  <c r="HQ105" i="1"/>
  <c r="HL98" i="3"/>
  <c r="IU98" i="3"/>
  <c r="IU52" i="3"/>
  <c r="EY52" i="3"/>
  <c r="IS93" i="1"/>
  <c r="HU93" i="1"/>
  <c r="FS93" i="1"/>
  <c r="IC71" i="3"/>
  <c r="HF66" i="1"/>
  <c r="IP66" i="1"/>
  <c r="HQ66" i="1"/>
  <c r="DE66" i="1"/>
  <c r="IF67" i="3"/>
  <c r="IO67" i="3"/>
  <c r="HP67" i="3"/>
  <c r="DD67" i="3"/>
  <c r="HT38" i="3"/>
  <c r="HW38" i="3"/>
  <c r="EY38" i="3"/>
  <c r="IJ37" i="1"/>
  <c r="GV37" i="1"/>
  <c r="EZ37" i="1"/>
  <c r="ID37" i="1"/>
  <c r="BI114" i="1"/>
  <c r="BI115" i="1" s="1"/>
  <c r="BI120" i="1"/>
  <c r="BI119" i="1" s="1"/>
  <c r="BJ114" i="1"/>
  <c r="BJ115" i="1" s="1"/>
  <c r="BJ120" i="1"/>
  <c r="BK113" i="1"/>
  <c r="BI117" i="1" s="1"/>
  <c r="IP101" i="1"/>
  <c r="IL41" i="3"/>
  <c r="CB41" i="3"/>
  <c r="FR41" i="3"/>
  <c r="IM62" i="1"/>
  <c r="CC62" i="1"/>
  <c r="DB62" i="3"/>
  <c r="EA62" i="3"/>
  <c r="FQ62" i="3"/>
  <c r="HD62" i="3"/>
  <c r="HN62" i="3"/>
  <c r="HS62" i="3"/>
  <c r="IA62" i="3"/>
  <c r="IE62" i="3"/>
  <c r="IM62" i="3"/>
  <c r="IO62" i="3" s="1"/>
  <c r="IQ62" i="3"/>
  <c r="CA62" i="3"/>
  <c r="FP62" i="3"/>
  <c r="FR62" i="3" s="1"/>
  <c r="GG62" i="3"/>
  <c r="GT62" i="3"/>
  <c r="HC62" i="3"/>
  <c r="HR62" i="3"/>
  <c r="HV62" i="3"/>
  <c r="ID62" i="3"/>
  <c r="IH62" i="3"/>
  <c r="IP62" i="3"/>
  <c r="IT62" i="3"/>
  <c r="BZ62" i="3"/>
  <c r="CB62" i="3" s="1"/>
  <c r="EX62" i="3"/>
  <c r="HK62" i="3"/>
  <c r="HU62" i="3"/>
  <c r="HW62" i="3" s="1"/>
  <c r="IK62" i="3"/>
  <c r="IS62" i="3"/>
  <c r="GF62" i="3"/>
  <c r="HO62" i="3"/>
  <c r="HX62" i="3"/>
  <c r="IN62" i="3"/>
  <c r="EB62" i="3"/>
  <c r="GS62" i="3"/>
  <c r="GU62" i="3" s="1"/>
  <c r="HY62" i="3"/>
  <c r="IG62" i="3"/>
  <c r="II62" i="3" s="1"/>
  <c r="DC62" i="3"/>
  <c r="EW62" i="3"/>
  <c r="EY62" i="3" s="1"/>
  <c r="HJ62" i="3"/>
  <c r="IB62" i="3"/>
  <c r="IJ62" i="3"/>
  <c r="EZ54" i="1"/>
  <c r="ID54" i="1"/>
  <c r="IL29" i="3"/>
  <c r="HP29" i="3"/>
  <c r="DD29" i="3"/>
  <c r="HL21" i="3"/>
  <c r="CB21" i="3"/>
  <c r="FR17" i="3"/>
  <c r="GH17" i="3"/>
  <c r="IU13" i="3"/>
  <c r="EY13" i="3"/>
  <c r="EZ36" i="1"/>
  <c r="HQ36" i="1"/>
  <c r="CC12" i="1"/>
  <c r="DX114" i="3"/>
  <c r="DX115" i="3" s="1"/>
  <c r="DX117" i="3"/>
  <c r="D136" i="3" s="1"/>
  <c r="O38" i="4" s="1"/>
  <c r="DZ118" i="3"/>
  <c r="DX119" i="3"/>
  <c r="DY114" i="3"/>
  <c r="DY115" i="3" s="1"/>
  <c r="DZ117" i="3"/>
  <c r="DZ119" i="3"/>
  <c r="D137" i="3" s="1"/>
  <c r="O39" i="4" s="1"/>
  <c r="DZ113" i="3"/>
  <c r="DX120" i="3"/>
  <c r="DX118" i="3"/>
  <c r="DY120" i="3"/>
  <c r="DX121" i="3"/>
  <c r="ET120" i="3"/>
  <c r="ET118" i="3"/>
  <c r="EU120" i="3"/>
  <c r="ET114" i="3"/>
  <c r="ET115" i="3" s="1"/>
  <c r="ET117" i="3"/>
  <c r="E136" i="3" s="1"/>
  <c r="P38" i="4" s="1"/>
  <c r="EV118" i="3"/>
  <c r="ET119" i="3"/>
  <c r="ET121" i="3"/>
  <c r="EV113" i="3"/>
  <c r="EU114" i="3"/>
  <c r="EU115" i="3" s="1"/>
  <c r="EV117" i="3"/>
  <c r="EV119" i="3"/>
  <c r="E137" i="3" s="1"/>
  <c r="P39" i="4" s="1"/>
  <c r="BW120" i="3"/>
  <c r="BW118" i="3"/>
  <c r="BX120" i="3"/>
  <c r="BY113" i="3"/>
  <c r="BW114" i="3"/>
  <c r="BW115" i="3" s="1"/>
  <c r="BW117" i="3"/>
  <c r="B136" i="3" s="1"/>
  <c r="M38" i="4" s="1"/>
  <c r="BY118" i="3"/>
  <c r="BW119" i="3"/>
  <c r="BW121" i="3"/>
  <c r="BX114" i="3"/>
  <c r="BX115" i="3" s="1"/>
  <c r="BY117" i="3"/>
  <c r="BY119" i="3"/>
  <c r="B137" i="3" s="1"/>
  <c r="M39" i="4" s="1"/>
  <c r="II102" i="3"/>
  <c r="CS113" i="1"/>
  <c r="CQ120" i="1" s="1"/>
  <c r="CQ119" i="1" s="1"/>
  <c r="CQ117" i="1"/>
  <c r="C130" i="1" s="1"/>
  <c r="C32" i="4" s="1"/>
  <c r="CQ114" i="1"/>
  <c r="CQ115" i="1" s="1"/>
  <c r="CR114" i="1"/>
  <c r="CR115" i="1" s="1"/>
  <c r="CR120" i="1"/>
  <c r="FS85" i="1"/>
  <c r="EZ81" i="1"/>
  <c r="BZ77" i="3"/>
  <c r="DC77" i="3"/>
  <c r="EB77" i="3"/>
  <c r="EW77" i="3"/>
  <c r="HJ77" i="3"/>
  <c r="HO77" i="3"/>
  <c r="HX77" i="3"/>
  <c r="HZ77" i="3" s="1"/>
  <c r="IB77" i="3"/>
  <c r="IJ77" i="3"/>
  <c r="IN77" i="3"/>
  <c r="CA77" i="3"/>
  <c r="EX77" i="3"/>
  <c r="GF77" i="3"/>
  <c r="GS77" i="3"/>
  <c r="HK77" i="3"/>
  <c r="HU77" i="3"/>
  <c r="HW77" i="3" s="1"/>
  <c r="HY77" i="3"/>
  <c r="IG77" i="3"/>
  <c r="IK77" i="3"/>
  <c r="IS77" i="3"/>
  <c r="IU77" i="3" s="1"/>
  <c r="FP77" i="3"/>
  <c r="GG77" i="3"/>
  <c r="GT77" i="3"/>
  <c r="HC77" i="3"/>
  <c r="HR77" i="3"/>
  <c r="HV77" i="3"/>
  <c r="ID77" i="3"/>
  <c r="IF77" i="3" s="1"/>
  <c r="IH77" i="3"/>
  <c r="IP77" i="3"/>
  <c r="IT77" i="3"/>
  <c r="EA77" i="3"/>
  <c r="EC77" i="3" s="1"/>
  <c r="FQ77" i="3"/>
  <c r="IA77" i="3"/>
  <c r="IQ77" i="3"/>
  <c r="DB77" i="3"/>
  <c r="DD77" i="3" s="1"/>
  <c r="HD77" i="3"/>
  <c r="HN77" i="3"/>
  <c r="HP77" i="3" s="1"/>
  <c r="IE77" i="3"/>
  <c r="HS77" i="3"/>
  <c r="IM77" i="3"/>
  <c r="IO77" i="3" s="1"/>
  <c r="CC72" i="1"/>
  <c r="GU48" i="3"/>
  <c r="HZ25" i="3"/>
  <c r="HM44" i="1"/>
  <c r="CC44" i="1"/>
  <c r="ID44" i="1"/>
  <c r="FS44" i="1"/>
  <c r="EZ40" i="1"/>
  <c r="IA40" i="1"/>
  <c r="BZ40" i="3"/>
  <c r="DC40" i="3"/>
  <c r="EB40" i="3"/>
  <c r="EW40" i="3"/>
  <c r="HJ40" i="3"/>
  <c r="HO40" i="3"/>
  <c r="HX40" i="3"/>
  <c r="HZ40" i="3" s="1"/>
  <c r="IB40" i="3"/>
  <c r="IJ40" i="3"/>
  <c r="IN40" i="3"/>
  <c r="CA40" i="3"/>
  <c r="EX40" i="3"/>
  <c r="GF40" i="3"/>
  <c r="GS40" i="3"/>
  <c r="GU40" i="3" s="1"/>
  <c r="HK40" i="3"/>
  <c r="HU40" i="3"/>
  <c r="HY40" i="3"/>
  <c r="IG40" i="3"/>
  <c r="IK40" i="3"/>
  <c r="IS40" i="3"/>
  <c r="FP40" i="3"/>
  <c r="GG40" i="3"/>
  <c r="GT40" i="3"/>
  <c r="HC40" i="3"/>
  <c r="HR40" i="3"/>
  <c r="HV40" i="3"/>
  <c r="ID40" i="3"/>
  <c r="IH40" i="3"/>
  <c r="IP40" i="3"/>
  <c r="IT40" i="3"/>
  <c r="HS40" i="3"/>
  <c r="IM40" i="3"/>
  <c r="EA40" i="3"/>
  <c r="FQ40" i="3"/>
  <c r="IA40" i="3"/>
  <c r="IQ40" i="3"/>
  <c r="DB40" i="3"/>
  <c r="HD40" i="3"/>
  <c r="HN40" i="3"/>
  <c r="IE40" i="3"/>
  <c r="IV8" i="1"/>
  <c r="IT109" i="1"/>
  <c r="IT110" i="1"/>
  <c r="HZ109" i="1"/>
  <c r="HZ110" i="1"/>
  <c r="HX8" i="1"/>
  <c r="HV109" i="1"/>
  <c r="HV110" i="1"/>
  <c r="IA8" i="1"/>
  <c r="HY110" i="1"/>
  <c r="HY109" i="1"/>
  <c r="EC110" i="1"/>
  <c r="EC109" i="1"/>
  <c r="IR110" i="1"/>
  <c r="IR109" i="1"/>
  <c r="HT110" i="1"/>
  <c r="HT109" i="1"/>
  <c r="ED8" i="1"/>
  <c r="EB109" i="1"/>
  <c r="EB110" i="1"/>
  <c r="II109" i="1"/>
  <c r="II110" i="1"/>
  <c r="HF8" i="1"/>
  <c r="HD109" i="1"/>
  <c r="HD110" i="1"/>
  <c r="CA8" i="3"/>
  <c r="DB8" i="3"/>
  <c r="DC8" i="3"/>
  <c r="EX8" i="3"/>
  <c r="GF8" i="3"/>
  <c r="GS8" i="3"/>
  <c r="HK8" i="3"/>
  <c r="HU8" i="3"/>
  <c r="HY8" i="3"/>
  <c r="IG8" i="3"/>
  <c r="IK8" i="3"/>
  <c r="IS8" i="3"/>
  <c r="FP8" i="3"/>
  <c r="GG8" i="3"/>
  <c r="GT8" i="3"/>
  <c r="HC8" i="3"/>
  <c r="HR8" i="3"/>
  <c r="HV8" i="3"/>
  <c r="ID8" i="3"/>
  <c r="IH8" i="3"/>
  <c r="IP8" i="3"/>
  <c r="IT8" i="3"/>
  <c r="EA8" i="3"/>
  <c r="FQ8" i="3"/>
  <c r="HD8" i="3"/>
  <c r="HN8" i="3"/>
  <c r="HS8" i="3"/>
  <c r="IA8" i="3"/>
  <c r="IE8" i="3"/>
  <c r="IM8" i="3"/>
  <c r="IQ8" i="3"/>
  <c r="BZ8" i="3"/>
  <c r="IJ8" i="3"/>
  <c r="HX8" i="3"/>
  <c r="IN8" i="3"/>
  <c r="EW8" i="3"/>
  <c r="HJ8" i="3"/>
  <c r="IB8" i="3"/>
  <c r="EB8" i="3"/>
  <c r="HO8" i="3"/>
  <c r="M109" i="3"/>
  <c r="L109" i="3"/>
  <c r="IP32" i="1"/>
  <c r="HQ32" i="1"/>
  <c r="DE32" i="1"/>
  <c r="CC28" i="1"/>
  <c r="ID24" i="1"/>
  <c r="FS24" i="1"/>
  <c r="ED16" i="1"/>
  <c r="DB16" i="3"/>
  <c r="EA16" i="3"/>
  <c r="FQ16" i="3"/>
  <c r="HD16" i="3"/>
  <c r="HN16" i="3"/>
  <c r="HS16" i="3"/>
  <c r="IA16" i="3"/>
  <c r="IE16" i="3"/>
  <c r="IM16" i="3"/>
  <c r="IQ16" i="3"/>
  <c r="BZ16" i="3"/>
  <c r="DC16" i="3"/>
  <c r="EB16" i="3"/>
  <c r="EW16" i="3"/>
  <c r="HJ16" i="3"/>
  <c r="HO16" i="3"/>
  <c r="HX16" i="3"/>
  <c r="HZ16" i="3" s="1"/>
  <c r="IB16" i="3"/>
  <c r="IJ16" i="3"/>
  <c r="IN16" i="3"/>
  <c r="CA16" i="3"/>
  <c r="EX16" i="3"/>
  <c r="GF16" i="3"/>
  <c r="GS16" i="3"/>
  <c r="HK16" i="3"/>
  <c r="HU16" i="3"/>
  <c r="HY16" i="3"/>
  <c r="IG16" i="3"/>
  <c r="II16" i="3" s="1"/>
  <c r="IK16" i="3"/>
  <c r="IS16" i="3"/>
  <c r="HV16" i="3"/>
  <c r="GG16" i="3"/>
  <c r="GT16" i="3"/>
  <c r="IP16" i="3"/>
  <c r="IR16" i="3" s="1"/>
  <c r="ID16" i="3"/>
  <c r="IT16" i="3"/>
  <c r="HR16" i="3"/>
  <c r="HC16" i="3"/>
  <c r="IH16" i="3"/>
  <c r="FP16" i="3"/>
  <c r="FR16" i="3" s="1"/>
  <c r="FJ114" i="3"/>
  <c r="FJ115" i="3" s="1"/>
  <c r="FJ117" i="3"/>
  <c r="F134" i="3" s="1"/>
  <c r="Q36" i="4" s="1"/>
  <c r="FL118" i="3"/>
  <c r="FJ119" i="3"/>
  <c r="FK114" i="3"/>
  <c r="FK115" i="3" s="1"/>
  <c r="FL117" i="3"/>
  <c r="FL119" i="3"/>
  <c r="F135" i="3" s="1"/>
  <c r="Q37" i="4" s="1"/>
  <c r="FL113" i="3"/>
  <c r="FJ120" i="3"/>
  <c r="FJ118" i="3"/>
  <c r="FK120" i="3"/>
  <c r="FJ121" i="3"/>
  <c r="FR87" i="3"/>
  <c r="GH87" i="3"/>
  <c r="GU73" i="3"/>
  <c r="HZ45" i="3"/>
  <c r="ED58" i="1"/>
  <c r="IP50" i="1"/>
  <c r="HQ50" i="1"/>
  <c r="DE50" i="1"/>
  <c r="ID20" i="1"/>
  <c r="FS20" i="1"/>
  <c r="BA113" i="3"/>
  <c r="AY120" i="3"/>
  <c r="AY118" i="3"/>
  <c r="AZ120" i="3"/>
  <c r="AY114" i="3"/>
  <c r="AY115" i="3" s="1"/>
  <c r="AY117" i="3"/>
  <c r="B120" i="3" s="1"/>
  <c r="M22" i="4" s="1"/>
  <c r="BA118" i="3"/>
  <c r="AY119" i="3"/>
  <c r="AY121" i="3"/>
  <c r="AZ114" i="3"/>
  <c r="AZ115" i="3" s="1"/>
  <c r="BA117" i="3"/>
  <c r="BA119" i="3"/>
  <c r="B121" i="3" s="1"/>
  <c r="M23" i="4" s="1"/>
  <c r="HW79" i="3"/>
  <c r="EY79" i="3"/>
  <c r="GU83" i="3"/>
  <c r="EZ93" i="1"/>
  <c r="EY71" i="3"/>
  <c r="IM66" i="1"/>
  <c r="HM66" i="1"/>
  <c r="CC66" i="1"/>
  <c r="CA66" i="3"/>
  <c r="EX66" i="3"/>
  <c r="GF66" i="3"/>
  <c r="GS66" i="3"/>
  <c r="GU66" i="3" s="1"/>
  <c r="HK66" i="3"/>
  <c r="HU66" i="3"/>
  <c r="HY66" i="3"/>
  <c r="IG66" i="3"/>
  <c r="II66" i="3" s="1"/>
  <c r="IK66" i="3"/>
  <c r="IS66" i="3"/>
  <c r="FP66" i="3"/>
  <c r="GG66" i="3"/>
  <c r="GT66" i="3"/>
  <c r="HC66" i="3"/>
  <c r="HR66" i="3"/>
  <c r="HV66" i="3"/>
  <c r="ID66" i="3"/>
  <c r="IH66" i="3"/>
  <c r="IP66" i="3"/>
  <c r="IT66" i="3"/>
  <c r="DB66" i="3"/>
  <c r="EA66" i="3"/>
  <c r="FQ66" i="3"/>
  <c r="HD66" i="3"/>
  <c r="HN66" i="3"/>
  <c r="HS66" i="3"/>
  <c r="IA66" i="3"/>
  <c r="IE66" i="3"/>
  <c r="IM66" i="3"/>
  <c r="IQ66" i="3"/>
  <c r="BZ66" i="3"/>
  <c r="CB66" i="3" s="1"/>
  <c r="DC66" i="3"/>
  <c r="EB66" i="3"/>
  <c r="EW66" i="3"/>
  <c r="EY66" i="3" s="1"/>
  <c r="HJ66" i="3"/>
  <c r="HL66" i="3" s="1"/>
  <c r="HO66" i="3"/>
  <c r="HX66" i="3"/>
  <c r="IB66" i="3"/>
  <c r="IJ66" i="3"/>
  <c r="IL66" i="3" s="1"/>
  <c r="IN66" i="3"/>
  <c r="IU38" i="3"/>
  <c r="HE38" i="3"/>
  <c r="IR38" i="3"/>
  <c r="HZ38" i="3"/>
  <c r="IA37" i="1"/>
  <c r="ED37" i="1"/>
  <c r="GM120" i="3"/>
  <c r="GM121" i="3"/>
  <c r="GO113" i="3"/>
  <c r="GM118" i="3"/>
  <c r="GN120" i="3"/>
  <c r="GM114" i="3"/>
  <c r="GM115" i="3" s="1"/>
  <c r="GM117" i="3"/>
  <c r="H134" i="3" s="1"/>
  <c r="S36" i="4" s="1"/>
  <c r="GO118" i="3"/>
  <c r="GM119" i="3"/>
  <c r="GN114" i="3"/>
  <c r="GN115" i="3" s="1"/>
  <c r="GO117" i="3"/>
  <c r="GO119" i="3"/>
  <c r="H135" i="3" s="1"/>
  <c r="S37" i="4" s="1"/>
  <c r="EK114" i="3"/>
  <c r="EK115" i="3" s="1"/>
  <c r="EK117" i="3"/>
  <c r="E130" i="3" s="1"/>
  <c r="P32" i="4" s="1"/>
  <c r="EM118" i="3"/>
  <c r="EK119" i="3"/>
  <c r="EL114" i="3"/>
  <c r="EL115" i="3" s="1"/>
  <c r="EM117" i="3"/>
  <c r="EM119" i="3"/>
  <c r="E131" i="3" s="1"/>
  <c r="P33" i="4" s="1"/>
  <c r="EM113" i="3"/>
  <c r="EK120" i="3"/>
  <c r="EK118" i="3"/>
  <c r="EL120" i="3"/>
  <c r="EK121" i="3"/>
  <c r="GW114" i="3"/>
  <c r="GW115" i="3" s="1"/>
  <c r="GW117" i="3"/>
  <c r="I134" i="3" s="1"/>
  <c r="T36" i="4" s="1"/>
  <c r="GY118" i="3"/>
  <c r="GW119" i="3"/>
  <c r="GX114" i="3"/>
  <c r="GX115" i="3" s="1"/>
  <c r="GY117" i="3"/>
  <c r="GY119" i="3"/>
  <c r="I135" i="3" s="1"/>
  <c r="T37" i="4" s="1"/>
  <c r="GY113" i="3"/>
  <c r="GW120" i="3"/>
  <c r="GW118" i="3"/>
  <c r="GX120" i="3"/>
  <c r="GW121" i="3"/>
  <c r="IA101" i="1"/>
  <c r="II75" i="3"/>
  <c r="GU75" i="3"/>
  <c r="IO103" i="3"/>
  <c r="HP103" i="3"/>
  <c r="DD103" i="3"/>
  <c r="IF103" i="3"/>
  <c r="BT113" i="1"/>
  <c r="BR117" i="1" s="1"/>
  <c r="BR114" i="1"/>
  <c r="BR115" i="1" s="1"/>
  <c r="BS114" i="1"/>
  <c r="BS115" i="1" s="1"/>
  <c r="BS120" i="1"/>
  <c r="IU41" i="3"/>
  <c r="HW41" i="3"/>
  <c r="EY41" i="3"/>
  <c r="EC41" i="3"/>
  <c r="HE41" i="3"/>
  <c r="HZ64" i="3"/>
  <c r="IO64" i="3"/>
  <c r="HP64" i="3"/>
  <c r="DD64" i="3"/>
  <c r="IF64" i="3"/>
  <c r="EZ62" i="1"/>
  <c r="ID62" i="1"/>
  <c r="IG54" i="1"/>
  <c r="IA54" i="1"/>
  <c r="ED54" i="1"/>
  <c r="II29" i="3"/>
  <c r="IU21" i="3"/>
  <c r="EY21" i="3"/>
  <c r="IR21" i="3"/>
  <c r="HT21" i="3"/>
  <c r="FR21" i="3"/>
  <c r="EC17" i="3"/>
  <c r="HE17" i="3"/>
  <c r="IU17" i="3"/>
  <c r="HW17" i="3"/>
  <c r="FR13" i="3"/>
  <c r="IF13" i="3"/>
  <c r="II13" i="3"/>
  <c r="HZ13" i="3"/>
  <c r="IM36" i="1"/>
  <c r="GI12" i="1"/>
  <c r="EZ12" i="1"/>
  <c r="ID12" i="1"/>
  <c r="IS12" i="1"/>
  <c r="HU12" i="1"/>
  <c r="FS12" i="1"/>
  <c r="DL114" i="3"/>
  <c r="DL115" i="3" s="1"/>
  <c r="DL117" i="3"/>
  <c r="D128" i="3" s="1"/>
  <c r="O30" i="4" s="1"/>
  <c r="DN118" i="3"/>
  <c r="DL119" i="3"/>
  <c r="DM114" i="3"/>
  <c r="DM115" i="3" s="1"/>
  <c r="DN117" i="3"/>
  <c r="DN119" i="3"/>
  <c r="D129" i="3" s="1"/>
  <c r="O31" i="4" s="1"/>
  <c r="DN113" i="3"/>
  <c r="DL120" i="3"/>
  <c r="DL118" i="3"/>
  <c r="DM120" i="3"/>
  <c r="DL121" i="3"/>
  <c r="IF102" i="3"/>
  <c r="GH102" i="3"/>
  <c r="IL102" i="3"/>
  <c r="HL102" i="3"/>
  <c r="CB102" i="3"/>
  <c r="IC102" i="3"/>
  <c r="HZ70" i="3"/>
  <c r="IO70" i="3"/>
  <c r="HP70" i="3"/>
  <c r="DD70" i="3"/>
  <c r="IF70" i="3"/>
  <c r="IS89" i="1"/>
  <c r="HU89" i="1"/>
  <c r="FS89" i="1"/>
  <c r="GI89" i="1"/>
  <c r="IM89" i="1"/>
  <c r="HM89" i="1"/>
  <c r="CC89" i="1"/>
  <c r="HF85" i="1"/>
  <c r="IV85" i="1"/>
  <c r="HX85" i="1"/>
  <c r="EZ85" i="1"/>
  <c r="IG81" i="1"/>
  <c r="IA81" i="1"/>
  <c r="BZ81" i="3"/>
  <c r="DC81" i="3"/>
  <c r="EB81" i="3"/>
  <c r="EW81" i="3"/>
  <c r="HJ81" i="3"/>
  <c r="HO81" i="3"/>
  <c r="HX81" i="3"/>
  <c r="IB81" i="3"/>
  <c r="IJ81" i="3"/>
  <c r="IN81" i="3"/>
  <c r="CA81" i="3"/>
  <c r="EX81" i="3"/>
  <c r="GF81" i="3"/>
  <c r="GS81" i="3"/>
  <c r="HK81" i="3"/>
  <c r="HU81" i="3"/>
  <c r="HW81" i="3" s="1"/>
  <c r="HY81" i="3"/>
  <c r="IG81" i="3"/>
  <c r="DB81" i="3"/>
  <c r="DD81" i="3" s="1"/>
  <c r="FP81" i="3"/>
  <c r="FR81" i="3" s="1"/>
  <c r="GG81" i="3"/>
  <c r="HC81" i="3"/>
  <c r="HS81" i="3"/>
  <c r="IA81" i="3"/>
  <c r="IC81" i="3" s="1"/>
  <c r="IS81" i="3"/>
  <c r="FQ81" i="3"/>
  <c r="GT81" i="3"/>
  <c r="HD81" i="3"/>
  <c r="HV81" i="3"/>
  <c r="ID81" i="3"/>
  <c r="IK81" i="3"/>
  <c r="IP81" i="3"/>
  <c r="IT81" i="3"/>
  <c r="HN81" i="3"/>
  <c r="HP81" i="3" s="1"/>
  <c r="IE81" i="3"/>
  <c r="IQ81" i="3"/>
  <c r="EA81" i="3"/>
  <c r="IM81" i="3"/>
  <c r="IO81" i="3" s="1"/>
  <c r="HR81" i="3"/>
  <c r="HT81" i="3" s="1"/>
  <c r="IH81" i="3"/>
  <c r="IJ77" i="1"/>
  <c r="GV77" i="1"/>
  <c r="ED72" i="1"/>
  <c r="HM72" i="1"/>
  <c r="IM72" i="1"/>
  <c r="II56" i="3"/>
  <c r="GU56" i="3"/>
  <c r="HT48" i="3"/>
  <c r="FR48" i="3"/>
  <c r="GH48" i="3"/>
  <c r="IL48" i="3"/>
  <c r="HL48" i="3"/>
  <c r="CB48" i="3"/>
  <c r="EZ44" i="1"/>
  <c r="IA44" i="1"/>
  <c r="ED44" i="1"/>
  <c r="HF44" i="1"/>
  <c r="BZ44" i="3"/>
  <c r="DC44" i="3"/>
  <c r="EB44" i="3"/>
  <c r="EW44" i="3"/>
  <c r="HJ44" i="3"/>
  <c r="HO44" i="3"/>
  <c r="HX44" i="3"/>
  <c r="HZ44" i="3" s="1"/>
  <c r="IB44" i="3"/>
  <c r="IJ44" i="3"/>
  <c r="IN44" i="3"/>
  <c r="CA44" i="3"/>
  <c r="EX44" i="3"/>
  <c r="GF44" i="3"/>
  <c r="GS44" i="3"/>
  <c r="HK44" i="3"/>
  <c r="HU44" i="3"/>
  <c r="HY44" i="3"/>
  <c r="IG44" i="3"/>
  <c r="IK44" i="3"/>
  <c r="IS44" i="3"/>
  <c r="FP44" i="3"/>
  <c r="GG44" i="3"/>
  <c r="GT44" i="3"/>
  <c r="HC44" i="3"/>
  <c r="HR44" i="3"/>
  <c r="HV44" i="3"/>
  <c r="ID44" i="3"/>
  <c r="IF44" i="3" s="1"/>
  <c r="IH44" i="3"/>
  <c r="IP44" i="3"/>
  <c r="IT44" i="3"/>
  <c r="HS44" i="3"/>
  <c r="IM44" i="3"/>
  <c r="EA44" i="3"/>
  <c r="FQ44" i="3"/>
  <c r="IA44" i="3"/>
  <c r="IC44" i="3" s="1"/>
  <c r="IQ44" i="3"/>
  <c r="DB44" i="3"/>
  <c r="HD44" i="3"/>
  <c r="HN44" i="3"/>
  <c r="IE44" i="3"/>
  <c r="IM40" i="1"/>
  <c r="IP40" i="1"/>
  <c r="HQ40" i="1"/>
  <c r="DE40" i="1"/>
  <c r="IG40" i="1"/>
  <c r="C109" i="5"/>
  <c r="M110" i="1"/>
  <c r="C110" i="5" s="1"/>
  <c r="M112" i="1"/>
  <c r="C112" i="5" s="1"/>
  <c r="M114" i="1"/>
  <c r="C114" i="5" s="1"/>
  <c r="M111" i="1"/>
  <c r="C111" i="5" s="1"/>
  <c r="M113" i="1"/>
  <c r="C113" i="5" s="1"/>
  <c r="HL109" i="1"/>
  <c r="HL110" i="1"/>
  <c r="GI8" i="1"/>
  <c r="GG109" i="1"/>
  <c r="GG110" i="1"/>
  <c r="IO110" i="1"/>
  <c r="IO109" i="1"/>
  <c r="HP110" i="1"/>
  <c r="HP109" i="1"/>
  <c r="DD109" i="1"/>
  <c r="DD110" i="1"/>
  <c r="IP8" i="1"/>
  <c r="IN110" i="1"/>
  <c r="IN109" i="1"/>
  <c r="HQ8" i="1"/>
  <c r="HO110" i="1"/>
  <c r="HO109" i="1"/>
  <c r="DE8" i="1"/>
  <c r="DC109" i="1"/>
  <c r="DC110" i="1"/>
  <c r="IG8" i="1"/>
  <c r="IE109" i="1"/>
  <c r="IE110" i="1"/>
  <c r="GU109" i="1"/>
  <c r="GU110" i="1"/>
  <c r="IM32" i="1"/>
  <c r="HM32" i="1"/>
  <c r="CC32" i="1"/>
  <c r="GI28" i="1"/>
  <c r="EZ28" i="1"/>
  <c r="ID28" i="1"/>
  <c r="IS28" i="1"/>
  <c r="HU28" i="1"/>
  <c r="FS28" i="1"/>
  <c r="HX24" i="1"/>
  <c r="IA24" i="1"/>
  <c r="ED24" i="1"/>
  <c r="HF24" i="1"/>
  <c r="BZ24" i="3"/>
  <c r="DC24" i="3"/>
  <c r="EB24" i="3"/>
  <c r="EW24" i="3"/>
  <c r="HJ24" i="3"/>
  <c r="HO24" i="3"/>
  <c r="HX24" i="3"/>
  <c r="IB24" i="3"/>
  <c r="IJ24" i="3"/>
  <c r="IN24" i="3"/>
  <c r="CA24" i="3"/>
  <c r="EX24" i="3"/>
  <c r="GF24" i="3"/>
  <c r="GS24" i="3"/>
  <c r="HK24" i="3"/>
  <c r="HU24" i="3"/>
  <c r="HY24" i="3"/>
  <c r="IG24" i="3"/>
  <c r="IK24" i="3"/>
  <c r="IS24" i="3"/>
  <c r="FP24" i="3"/>
  <c r="GG24" i="3"/>
  <c r="GT24" i="3"/>
  <c r="HC24" i="3"/>
  <c r="HR24" i="3"/>
  <c r="HV24" i="3"/>
  <c r="ID24" i="3"/>
  <c r="IH24" i="3"/>
  <c r="IP24" i="3"/>
  <c r="IT24" i="3"/>
  <c r="IM24" i="3"/>
  <c r="EA24" i="3"/>
  <c r="FQ24" i="3"/>
  <c r="IA24" i="3"/>
  <c r="IQ24" i="3"/>
  <c r="DB24" i="3"/>
  <c r="HD24" i="3"/>
  <c r="HN24" i="3"/>
  <c r="HP24" i="3" s="1"/>
  <c r="IE24" i="3"/>
  <c r="HS24" i="3"/>
  <c r="IJ16" i="1"/>
  <c r="IP16" i="1"/>
  <c r="HQ16" i="1"/>
  <c r="DE16" i="1"/>
  <c r="IG16" i="1"/>
  <c r="BN114" i="3"/>
  <c r="BN115" i="3" s="1"/>
  <c r="BN117" i="3"/>
  <c r="B130" i="3" s="1"/>
  <c r="M32" i="4" s="1"/>
  <c r="BP118" i="3"/>
  <c r="BN119" i="3"/>
  <c r="BO114" i="3"/>
  <c r="BO115" i="3" s="1"/>
  <c r="BP117" i="3"/>
  <c r="BP119" i="3"/>
  <c r="B131" i="3" s="1"/>
  <c r="M33" i="4" s="1"/>
  <c r="BN120" i="3"/>
  <c r="BP113" i="3"/>
  <c r="BN118" i="3"/>
  <c r="BO120" i="3"/>
  <c r="BN121" i="3"/>
  <c r="BK120" i="3"/>
  <c r="BM113" i="3"/>
  <c r="BK118" i="3"/>
  <c r="BL120" i="3"/>
  <c r="BK114" i="3"/>
  <c r="BK115" i="3" s="1"/>
  <c r="BK117" i="3"/>
  <c r="B128" i="3" s="1"/>
  <c r="M30" i="4" s="1"/>
  <c r="BM118" i="3"/>
  <c r="BK119" i="3"/>
  <c r="BK121" i="3"/>
  <c r="BL114" i="3"/>
  <c r="BL115" i="3" s="1"/>
  <c r="BM117" i="3"/>
  <c r="BM119" i="3"/>
  <c r="B129" i="3" s="1"/>
  <c r="M31" i="4" s="1"/>
  <c r="EC87" i="3"/>
  <c r="HE87" i="3"/>
  <c r="IU87" i="3"/>
  <c r="HW87" i="3"/>
  <c r="IJ97" i="1"/>
  <c r="IP97" i="1"/>
  <c r="HQ97" i="1"/>
  <c r="DE97" i="1"/>
  <c r="IM97" i="1"/>
  <c r="HM97" i="1"/>
  <c r="CC97" i="1"/>
  <c r="GH73" i="3"/>
  <c r="IL73" i="3"/>
  <c r="HL73" i="3"/>
  <c r="CB73" i="3"/>
  <c r="IC73" i="3"/>
  <c r="II68" i="3"/>
  <c r="GU68" i="3"/>
  <c r="GU45" i="3"/>
  <c r="II69" i="3"/>
  <c r="GU69" i="3"/>
  <c r="HZ60" i="3"/>
  <c r="IF60" i="3"/>
  <c r="IC60" i="3"/>
  <c r="IJ58" i="1"/>
  <c r="GV58" i="1"/>
  <c r="IP58" i="1"/>
  <c r="HQ58" i="1"/>
  <c r="DE58" i="1"/>
  <c r="IS50" i="1"/>
  <c r="HU50" i="1"/>
  <c r="GI50" i="1"/>
  <c r="IM50" i="1"/>
  <c r="HM50" i="1"/>
  <c r="CC50" i="1"/>
  <c r="BZ50" i="3"/>
  <c r="DC50" i="3"/>
  <c r="EB50" i="3"/>
  <c r="EW50" i="3"/>
  <c r="HJ50" i="3"/>
  <c r="HO50" i="3"/>
  <c r="HX50" i="3"/>
  <c r="IB50" i="3"/>
  <c r="IJ50" i="3"/>
  <c r="IN50" i="3"/>
  <c r="CA50" i="3"/>
  <c r="EX50" i="3"/>
  <c r="GF50" i="3"/>
  <c r="GS50" i="3"/>
  <c r="HK50" i="3"/>
  <c r="HU50" i="3"/>
  <c r="HY50" i="3"/>
  <c r="IG50" i="3"/>
  <c r="IK50" i="3"/>
  <c r="IS50" i="3"/>
  <c r="IU50" i="3" s="1"/>
  <c r="EA50" i="3"/>
  <c r="HR50" i="3"/>
  <c r="IH50" i="3"/>
  <c r="IP50" i="3"/>
  <c r="DB50" i="3"/>
  <c r="DD50" i="3" s="1"/>
  <c r="FP50" i="3"/>
  <c r="GG50" i="3"/>
  <c r="HC50" i="3"/>
  <c r="HE50" i="3" s="1"/>
  <c r="HS50" i="3"/>
  <c r="IA50" i="3"/>
  <c r="IQ50" i="3"/>
  <c r="FQ50" i="3"/>
  <c r="GT50" i="3"/>
  <c r="HD50" i="3"/>
  <c r="HV50" i="3"/>
  <c r="ID50" i="3"/>
  <c r="IF50" i="3" s="1"/>
  <c r="IT50" i="3"/>
  <c r="IE50" i="3"/>
  <c r="IM50" i="3"/>
  <c r="IO50" i="3" s="1"/>
  <c r="HN50" i="3"/>
  <c r="HP50" i="3" s="1"/>
  <c r="II46" i="3"/>
  <c r="GU46" i="3"/>
  <c r="IL33" i="3"/>
  <c r="HL33" i="3"/>
  <c r="CB33" i="3"/>
  <c r="HT33" i="3"/>
  <c r="FR33" i="3"/>
  <c r="IA20" i="1"/>
  <c r="ED20" i="1"/>
  <c r="HF20" i="1"/>
  <c r="BZ20" i="3"/>
  <c r="DC20" i="3"/>
  <c r="EB20" i="3"/>
  <c r="EW20" i="3"/>
  <c r="HJ20" i="3"/>
  <c r="HO20" i="3"/>
  <c r="HX20" i="3"/>
  <c r="IB20" i="3"/>
  <c r="IJ20" i="3"/>
  <c r="IN20" i="3"/>
  <c r="CA20" i="3"/>
  <c r="EX20" i="3"/>
  <c r="GF20" i="3"/>
  <c r="GS20" i="3"/>
  <c r="HK20" i="3"/>
  <c r="HU20" i="3"/>
  <c r="HY20" i="3"/>
  <c r="IG20" i="3"/>
  <c r="IK20" i="3"/>
  <c r="IS20" i="3"/>
  <c r="FP20" i="3"/>
  <c r="GG20" i="3"/>
  <c r="GT20" i="3"/>
  <c r="HC20" i="3"/>
  <c r="HR20" i="3"/>
  <c r="HV20" i="3"/>
  <c r="ID20" i="3"/>
  <c r="IH20" i="3"/>
  <c r="IP20" i="3"/>
  <c r="IT20" i="3"/>
  <c r="HS20" i="3"/>
  <c r="FQ20" i="3"/>
  <c r="IM20" i="3"/>
  <c r="DB20" i="3"/>
  <c r="DD20" i="3" s="1"/>
  <c r="IA20" i="3"/>
  <c r="IQ20" i="3"/>
  <c r="IE20" i="3"/>
  <c r="EA20" i="3"/>
  <c r="EC20" i="3" s="1"/>
  <c r="HD20" i="3"/>
  <c r="HN20" i="3"/>
  <c r="II9" i="3"/>
  <c r="GU9" i="3"/>
  <c r="FW114" i="3"/>
  <c r="FW115" i="3" s="1"/>
  <c r="FW117" i="3"/>
  <c r="G132" i="3" s="1"/>
  <c r="R34" i="4" s="1"/>
  <c r="FY118" i="3"/>
  <c r="FW119" i="3"/>
  <c r="FX114" i="3"/>
  <c r="FX115" i="3" s="1"/>
  <c r="FY117" i="3"/>
  <c r="FY119" i="3"/>
  <c r="G133" i="3" s="1"/>
  <c r="R35" i="4" s="1"/>
  <c r="FY113" i="3"/>
  <c r="FW120" i="3"/>
  <c r="FW118" i="3"/>
  <c r="FX120" i="3"/>
  <c r="FW121" i="3"/>
  <c r="HG120" i="3"/>
  <c r="HG118" i="3"/>
  <c r="HH120" i="3"/>
  <c r="HG114" i="3"/>
  <c r="HG115" i="3" s="1"/>
  <c r="HG117" i="3"/>
  <c r="J136" i="3" s="1"/>
  <c r="U38" i="4" s="1"/>
  <c r="HI118" i="3"/>
  <c r="HG119" i="3"/>
  <c r="HG121" i="3"/>
  <c r="HI113" i="3"/>
  <c r="HH114" i="3"/>
  <c r="HH115" i="3" s="1"/>
  <c r="HI117" i="3"/>
  <c r="HI119" i="3"/>
  <c r="J137" i="3" s="1"/>
  <c r="U39" i="4" s="1"/>
  <c r="DI120" i="3"/>
  <c r="DI118" i="3"/>
  <c r="DJ120" i="3"/>
  <c r="DI114" i="3"/>
  <c r="DI115" i="3" s="1"/>
  <c r="DI117" i="3"/>
  <c r="D126" i="3" s="1"/>
  <c r="O28" i="4" s="1"/>
  <c r="DK118" i="3"/>
  <c r="DI119" i="3"/>
  <c r="DI121" i="3"/>
  <c r="DK113" i="3"/>
  <c r="DJ114" i="3"/>
  <c r="DJ115" i="3" s="1"/>
  <c r="DK117" i="3"/>
  <c r="DK119" i="3"/>
  <c r="D127" i="3" s="1"/>
  <c r="O29" i="4" s="1"/>
  <c r="FR79" i="3"/>
  <c r="HT79" i="3"/>
  <c r="HZ79" i="3"/>
  <c r="CB83" i="3"/>
  <c r="IC83" i="3"/>
  <c r="IR83" i="3"/>
  <c r="HT83" i="3"/>
  <c r="FR83" i="3"/>
  <c r="GH83" i="3"/>
  <c r="IV105" i="1"/>
  <c r="IP105" i="1"/>
  <c r="GV105" i="1"/>
  <c r="IS105" i="1"/>
  <c r="HU105" i="1"/>
  <c r="FS105" i="1"/>
  <c r="CB98" i="3"/>
  <c r="IF98" i="3"/>
  <c r="IL98" i="3"/>
  <c r="EY98" i="3"/>
  <c r="II98" i="3"/>
  <c r="GU98" i="3"/>
  <c r="EC98" i="3"/>
  <c r="CT114" i="1"/>
  <c r="CT115" i="1" s="1"/>
  <c r="CU114" i="1"/>
  <c r="CU115" i="1" s="1"/>
  <c r="CU120" i="1"/>
  <c r="CV113" i="1"/>
  <c r="CT117" i="1" s="1"/>
  <c r="HE63" i="3"/>
  <c r="IU63" i="3"/>
  <c r="HW63" i="3"/>
  <c r="EY63" i="3"/>
  <c r="EC63" i="3"/>
  <c r="HT52" i="3"/>
  <c r="II52" i="3"/>
  <c r="GU52" i="3"/>
  <c r="IG93" i="1"/>
  <c r="IA93" i="1"/>
  <c r="CA93" i="3"/>
  <c r="EX93" i="3"/>
  <c r="GF93" i="3"/>
  <c r="GS93" i="3"/>
  <c r="GU93" i="3" s="1"/>
  <c r="HK93" i="3"/>
  <c r="HU93" i="3"/>
  <c r="HY93" i="3"/>
  <c r="IG93" i="3"/>
  <c r="IK93" i="3"/>
  <c r="IS93" i="3"/>
  <c r="DB93" i="3"/>
  <c r="EA93" i="3"/>
  <c r="EC93" i="3" s="1"/>
  <c r="FQ93" i="3"/>
  <c r="HD93" i="3"/>
  <c r="HN93" i="3"/>
  <c r="HS93" i="3"/>
  <c r="IA93" i="3"/>
  <c r="IE93" i="3"/>
  <c r="IM93" i="3"/>
  <c r="IQ93" i="3"/>
  <c r="EB93" i="3"/>
  <c r="EW93" i="3"/>
  <c r="EY93" i="3" s="1"/>
  <c r="HR93" i="3"/>
  <c r="IH93" i="3"/>
  <c r="IP93" i="3"/>
  <c r="DC93" i="3"/>
  <c r="HC93" i="3"/>
  <c r="HE93" i="3" s="1"/>
  <c r="HJ93" i="3"/>
  <c r="HL93" i="3" s="1"/>
  <c r="IB93" i="3"/>
  <c r="IJ93" i="3"/>
  <c r="FP93" i="3"/>
  <c r="GG93" i="3"/>
  <c r="HV93" i="3"/>
  <c r="ID93" i="3"/>
  <c r="IF93" i="3" s="1"/>
  <c r="IT93" i="3"/>
  <c r="BZ93" i="3"/>
  <c r="CB93" i="3" s="1"/>
  <c r="GT93" i="3"/>
  <c r="HO93" i="3"/>
  <c r="HX93" i="3"/>
  <c r="HZ93" i="3" s="1"/>
  <c r="IN93" i="3"/>
  <c r="HZ71" i="3"/>
  <c r="IO71" i="3"/>
  <c r="HP71" i="3"/>
  <c r="DD71" i="3"/>
  <c r="GV66" i="1"/>
  <c r="EZ66" i="1"/>
  <c r="ID66" i="1"/>
  <c r="GH67" i="3"/>
  <c r="IL67" i="3"/>
  <c r="HL67" i="3"/>
  <c r="CB67" i="3"/>
  <c r="IC67" i="3"/>
  <c r="HE42" i="3"/>
  <c r="IU42" i="3"/>
  <c r="HW42" i="3"/>
  <c r="EY42" i="3"/>
  <c r="II38" i="3"/>
  <c r="GU38" i="3"/>
  <c r="IP37" i="1"/>
  <c r="HQ37" i="1"/>
  <c r="DE37" i="1"/>
  <c r="CY114" i="3"/>
  <c r="CY115" i="3" s="1"/>
  <c r="CY117" i="3"/>
  <c r="C136" i="3" s="1"/>
  <c r="N38" i="4" s="1"/>
  <c r="DA118" i="3"/>
  <c r="CY119" i="3"/>
  <c r="CZ114" i="3"/>
  <c r="CZ115" i="3" s="1"/>
  <c r="DA117" i="3"/>
  <c r="DA119" i="3"/>
  <c r="C137" i="3" s="1"/>
  <c r="N39" i="4" s="1"/>
  <c r="DA113" i="3"/>
  <c r="CY120" i="3"/>
  <c r="CY118" i="3"/>
  <c r="CZ120" i="3"/>
  <c r="CY121" i="3"/>
  <c r="GJ114" i="3"/>
  <c r="GJ115" i="3" s="1"/>
  <c r="GJ117" i="3"/>
  <c r="H132" i="3" s="1"/>
  <c r="S34" i="4" s="1"/>
  <c r="GL118" i="3"/>
  <c r="GJ119" i="3"/>
  <c r="GK114" i="3"/>
  <c r="GK115" i="3" s="1"/>
  <c r="GL117" i="3"/>
  <c r="GL119" i="3"/>
  <c r="H133" i="3" s="1"/>
  <c r="S35" i="4" s="1"/>
  <c r="GL113" i="3"/>
  <c r="GJ120" i="3"/>
  <c r="GJ118" i="3"/>
  <c r="GK120" i="3"/>
  <c r="GJ121" i="3"/>
  <c r="FT120" i="3"/>
  <c r="FT118" i="3"/>
  <c r="FU120" i="3"/>
  <c r="FT114" i="3"/>
  <c r="FT115" i="3" s="1"/>
  <c r="FT117" i="3"/>
  <c r="G130" i="3" s="1"/>
  <c r="R32" i="4" s="1"/>
  <c r="FV118" i="3"/>
  <c r="FT119" i="3"/>
  <c r="FT121" i="3"/>
  <c r="FV113" i="3"/>
  <c r="FU114" i="3"/>
  <c r="FU115" i="3" s="1"/>
  <c r="FV117" i="3"/>
  <c r="FV119" i="3"/>
  <c r="G131" i="3" s="1"/>
  <c r="R33" i="4" s="1"/>
  <c r="CX113" i="3"/>
  <c r="CV120" i="3"/>
  <c r="CV118" i="3"/>
  <c r="CW120" i="3"/>
  <c r="CV114" i="3"/>
  <c r="CV115" i="3" s="1"/>
  <c r="CV117" i="3"/>
  <c r="C134" i="3" s="1"/>
  <c r="N36" i="4" s="1"/>
  <c r="CX118" i="3"/>
  <c r="CV119" i="3"/>
  <c r="CV121" i="3"/>
  <c r="CW114" i="3"/>
  <c r="CW115" i="3" s="1"/>
  <c r="CX117" i="3"/>
  <c r="CX119" i="3"/>
  <c r="C135" i="3" s="1"/>
  <c r="N37" i="4" s="1"/>
  <c r="B132" i="1" l="1"/>
  <c r="B34" i="4" s="1"/>
  <c r="BT117" i="1"/>
  <c r="BR118" i="1"/>
  <c r="BR121" i="1" s="1"/>
  <c r="D128" i="1"/>
  <c r="D30" i="4" s="1"/>
  <c r="DM118" i="1"/>
  <c r="DM121" i="1" s="1"/>
  <c r="GM119" i="1"/>
  <c r="H133" i="1" s="1"/>
  <c r="H35" i="4" s="1"/>
  <c r="GM118" i="1"/>
  <c r="C132" i="1"/>
  <c r="C34" i="4" s="1"/>
  <c r="CV117" i="1"/>
  <c r="CT118" i="1"/>
  <c r="CT121" i="1" s="1"/>
  <c r="P25" i="3"/>
  <c r="F26" i="5"/>
  <c r="F130" i="1"/>
  <c r="F32" i="4" s="1"/>
  <c r="FE118" i="1"/>
  <c r="FE121" i="1" s="1"/>
  <c r="C124" i="1"/>
  <c r="C26" i="4" s="1"/>
  <c r="CJ117" i="1"/>
  <c r="CH118" i="1"/>
  <c r="CH121" i="1" s="1"/>
  <c r="F128" i="1"/>
  <c r="F30" i="4" s="1"/>
  <c r="FB118" i="1"/>
  <c r="FB121" i="1" s="1"/>
  <c r="DB119" i="1"/>
  <c r="C137" i="1" s="1"/>
  <c r="C39" i="4" s="1"/>
  <c r="DB118" i="1"/>
  <c r="B126" i="1"/>
  <c r="B28" i="4" s="1"/>
  <c r="BI118" i="1"/>
  <c r="BI121" i="1" s="1"/>
  <c r="H134" i="1"/>
  <c r="H36" i="4" s="1"/>
  <c r="GN118" i="1"/>
  <c r="GN121" i="1" s="1"/>
  <c r="CT120" i="1"/>
  <c r="CT119" i="1" s="1"/>
  <c r="BF117" i="1"/>
  <c r="BU117" i="1"/>
  <c r="DS117" i="1"/>
  <c r="CH120" i="1"/>
  <c r="CH119" i="1" s="1"/>
  <c r="HW14" i="3"/>
  <c r="EY14" i="3"/>
  <c r="GU14" i="3"/>
  <c r="FB120" i="1"/>
  <c r="FB119" i="1" s="1"/>
  <c r="EO118" i="1"/>
  <c r="EO121" i="1" s="1"/>
  <c r="HP15" i="3"/>
  <c r="BC118" i="1"/>
  <c r="BC121" i="1" s="1"/>
  <c r="N22" i="3"/>
  <c r="D23" i="5"/>
  <c r="GK121" i="1"/>
  <c r="N14" i="3"/>
  <c r="D15" i="5"/>
  <c r="P33" i="3"/>
  <c r="F34" i="5"/>
  <c r="EC22" i="3"/>
  <c r="GH22" i="3"/>
  <c r="EY22" i="3"/>
  <c r="FR22" i="3"/>
  <c r="IU22" i="3"/>
  <c r="FX118" i="1"/>
  <c r="FX121" i="1" s="1"/>
  <c r="I136" i="1"/>
  <c r="I38" i="4" s="1"/>
  <c r="HA118" i="1"/>
  <c r="HA121" i="1" s="1"/>
  <c r="HC117" i="1"/>
  <c r="P31" i="3"/>
  <c r="F32" i="5"/>
  <c r="EY10" i="3"/>
  <c r="DD10" i="3"/>
  <c r="GQ118" i="1"/>
  <c r="CB23" i="3"/>
  <c r="GH23" i="3"/>
  <c r="IF23" i="3"/>
  <c r="P20" i="3"/>
  <c r="F21" i="5"/>
  <c r="AW127" i="1"/>
  <c r="I26" i="5" s="1"/>
  <c r="O24" i="3"/>
  <c r="E25" i="5"/>
  <c r="P10" i="3"/>
  <c r="F11" i="5"/>
  <c r="E130" i="1"/>
  <c r="E32" i="4" s="1"/>
  <c r="EN117" i="1"/>
  <c r="EL118" i="1"/>
  <c r="EL121" i="1" s="1"/>
  <c r="EY19" i="3"/>
  <c r="GH19" i="3"/>
  <c r="HW19" i="3"/>
  <c r="HE19" i="3"/>
  <c r="IL19" i="3"/>
  <c r="IR18" i="3"/>
  <c r="HZ18" i="3"/>
  <c r="IF18" i="3"/>
  <c r="II18" i="3"/>
  <c r="IL18" i="3"/>
  <c r="HW18" i="3"/>
  <c r="EC18" i="3"/>
  <c r="CY117" i="1"/>
  <c r="BZ117" i="1"/>
  <c r="E136" i="1"/>
  <c r="E38" i="4" s="1"/>
  <c r="EU118" i="1"/>
  <c r="EU121" i="1" s="1"/>
  <c r="D136" i="1"/>
  <c r="D38" i="4" s="1"/>
  <c r="DY118" i="1"/>
  <c r="DY121" i="1" s="1"/>
  <c r="IC20" i="3"/>
  <c r="IR24" i="3"/>
  <c r="GH24" i="3"/>
  <c r="IL24" i="3"/>
  <c r="HL24" i="3"/>
  <c r="CB24" i="3"/>
  <c r="BR120" i="1"/>
  <c r="BR119" i="1" s="1"/>
  <c r="CQ118" i="1"/>
  <c r="CQ121" i="1" s="1"/>
  <c r="DP118" i="1"/>
  <c r="FH118" i="1"/>
  <c r="HH118" i="1"/>
  <c r="GN120" i="1"/>
  <c r="GN119" i="1" s="1"/>
  <c r="EQ117" i="1"/>
  <c r="CN118" i="1"/>
  <c r="CN121" i="1" s="1"/>
  <c r="EI118" i="1"/>
  <c r="IC11" i="3"/>
  <c r="EC11" i="3"/>
  <c r="CB15" i="3"/>
  <c r="DD15" i="3"/>
  <c r="N32" i="3"/>
  <c r="D33" i="5"/>
  <c r="P21" i="3"/>
  <c r="F22" i="5"/>
  <c r="I134" i="1"/>
  <c r="I36" i="4" s="1"/>
  <c r="GX118" i="1"/>
  <c r="GX121" i="1" s="1"/>
  <c r="P16" i="3"/>
  <c r="F17" i="5"/>
  <c r="GC117" i="1"/>
  <c r="AV121" i="1"/>
  <c r="P19" i="1" s="1"/>
  <c r="AW121" i="1"/>
  <c r="I20" i="5" s="1"/>
  <c r="HZ22" i="3"/>
  <c r="GU22" i="3"/>
  <c r="P22" i="3"/>
  <c r="F23" i="5"/>
  <c r="N30" i="3"/>
  <c r="D31" i="5"/>
  <c r="HE10" i="3"/>
  <c r="II10" i="3"/>
  <c r="HP10" i="3"/>
  <c r="HL10" i="3"/>
  <c r="FR23" i="3"/>
  <c r="II23" i="3"/>
  <c r="IO23" i="3"/>
  <c r="P14" i="3"/>
  <c r="F15" i="5"/>
  <c r="N24" i="3"/>
  <c r="D25" i="5"/>
  <c r="O29" i="3"/>
  <c r="E30" i="5"/>
  <c r="N23" i="3"/>
  <c r="D24" i="5"/>
  <c r="O6" i="3"/>
  <c r="E7" i="5"/>
  <c r="HZ19" i="3"/>
  <c r="IU19" i="3"/>
  <c r="HL19" i="3"/>
  <c r="IF19" i="3"/>
  <c r="GU18" i="3"/>
  <c r="IO18" i="3"/>
  <c r="HT18" i="3"/>
  <c r="HL18" i="3"/>
  <c r="IC18" i="3"/>
  <c r="C126" i="1"/>
  <c r="C28" i="4" s="1"/>
  <c r="CK118" i="1"/>
  <c r="CK121" i="1" s="1"/>
  <c r="GF117" i="1"/>
  <c r="DL117" i="1"/>
  <c r="II20" i="3"/>
  <c r="GU20" i="3"/>
  <c r="EC24" i="3"/>
  <c r="M115" i="1"/>
  <c r="C115" i="5" s="1"/>
  <c r="CE118" i="1"/>
  <c r="ET117" i="1"/>
  <c r="O12" i="3"/>
  <c r="E13" i="5"/>
  <c r="P15" i="3"/>
  <c r="F16" i="5"/>
  <c r="P29" i="3"/>
  <c r="F30" i="5"/>
  <c r="N19" i="3"/>
  <c r="D20" i="5"/>
  <c r="BN118" i="1"/>
  <c r="BN119" i="1"/>
  <c r="B129" i="1" s="1"/>
  <c r="B31" i="4" s="1"/>
  <c r="B130" i="1"/>
  <c r="B32" i="4" s="1"/>
  <c r="BO118" i="1"/>
  <c r="BO121" i="1" s="1"/>
  <c r="N16" i="3"/>
  <c r="D17" i="5"/>
  <c r="N7" i="3"/>
  <c r="D8" i="5"/>
  <c r="O11" i="3"/>
  <c r="E12" i="5"/>
  <c r="N11" i="3"/>
  <c r="D12" i="5"/>
  <c r="EY23" i="3"/>
  <c r="EH118" i="1"/>
  <c r="EH119" i="1"/>
  <c r="E127" i="1" s="1"/>
  <c r="E29" i="4" s="1"/>
  <c r="N28" i="3"/>
  <c r="D29" i="5"/>
  <c r="P26" i="3"/>
  <c r="F27" i="5"/>
  <c r="E21" i="5"/>
  <c r="O20" i="3"/>
  <c r="P9" i="3"/>
  <c r="F10" i="5"/>
  <c r="O10" i="3"/>
  <c r="E11" i="5"/>
  <c r="AV115" i="1"/>
  <c r="P13" i="1" s="1"/>
  <c r="EC19" i="3"/>
  <c r="IO19" i="3"/>
  <c r="CB18" i="3"/>
  <c r="BB117" i="1"/>
  <c r="D124" i="1"/>
  <c r="D26" i="4" s="1"/>
  <c r="DG118" i="1"/>
  <c r="DG121" i="1" s="1"/>
  <c r="F136" i="1"/>
  <c r="F38" i="4" s="1"/>
  <c r="FN118" i="1"/>
  <c r="FN121" i="1" s="1"/>
  <c r="G130" i="1"/>
  <c r="G32" i="4" s="1"/>
  <c r="FU118" i="1"/>
  <c r="FU121" i="1" s="1"/>
  <c r="CS117" i="1"/>
  <c r="IC32" i="3"/>
  <c r="HZ32" i="3"/>
  <c r="P12" i="3"/>
  <c r="F13" i="5"/>
  <c r="P17" i="3"/>
  <c r="F18" i="5"/>
  <c r="O15" i="3"/>
  <c r="E16" i="5"/>
  <c r="O8" i="3"/>
  <c r="E9" i="5"/>
  <c r="HE22" i="3"/>
  <c r="P28" i="3"/>
  <c r="F29" i="5"/>
  <c r="P24" i="3"/>
  <c r="F25" i="5"/>
  <c r="AW132" i="1"/>
  <c r="I31" i="5" s="1"/>
  <c r="AV132" i="1"/>
  <c r="P30" i="1" s="1"/>
  <c r="N33" i="3"/>
  <c r="D34" i="5"/>
  <c r="HW23" i="3"/>
  <c r="HZ23" i="3"/>
  <c r="DD23" i="3"/>
  <c r="FE120" i="1"/>
  <c r="FE119" i="1" s="1"/>
  <c r="P8" i="3"/>
  <c r="F9" i="5"/>
  <c r="P32" i="3"/>
  <c r="F33" i="5"/>
  <c r="IC19" i="3"/>
  <c r="HP19" i="3"/>
  <c r="D134" i="1"/>
  <c r="D36" i="4" s="1"/>
  <c r="DV118" i="1"/>
  <c r="DV121" i="1" s="1"/>
  <c r="DX117" i="1"/>
  <c r="HT24" i="3"/>
  <c r="HQ110" i="1"/>
  <c r="GI110" i="1"/>
  <c r="HP44" i="3"/>
  <c r="HE62" i="3"/>
  <c r="HW97" i="3"/>
  <c r="IO32" i="3"/>
  <c r="DD36" i="3"/>
  <c r="IU36" i="3"/>
  <c r="HW36" i="3"/>
  <c r="HZ54" i="3"/>
  <c r="IO54" i="3"/>
  <c r="HP54" i="3"/>
  <c r="DD54" i="3"/>
  <c r="EC101" i="3"/>
  <c r="HE101" i="3"/>
  <c r="IU101" i="3"/>
  <c r="HW101" i="3"/>
  <c r="IO28" i="3"/>
  <c r="IF28" i="3"/>
  <c r="HE28" i="3"/>
  <c r="IU28" i="3"/>
  <c r="II85" i="3"/>
  <c r="GU85" i="3"/>
  <c r="II14" i="3"/>
  <c r="IF14" i="3"/>
  <c r="IU14" i="3"/>
  <c r="HL14" i="3"/>
  <c r="HT14" i="3"/>
  <c r="HL76" i="3"/>
  <c r="IR76" i="3"/>
  <c r="HW76" i="3"/>
  <c r="HZ76" i="3"/>
  <c r="DD76" i="3"/>
  <c r="EC59" i="3"/>
  <c r="HW59" i="3"/>
  <c r="II59" i="3"/>
  <c r="CB59" i="3"/>
  <c r="HT59" i="3"/>
  <c r="IU104" i="3"/>
  <c r="HL104" i="3"/>
  <c r="GH104" i="3"/>
  <c r="HW104" i="3"/>
  <c r="CB82" i="3"/>
  <c r="IR82" i="3"/>
  <c r="EC82" i="3"/>
  <c r="IU78" i="3"/>
  <c r="HE78" i="3"/>
  <c r="IR84" i="3"/>
  <c r="HZ84" i="3"/>
  <c r="II84" i="3"/>
  <c r="IL84" i="3"/>
  <c r="HE61" i="3"/>
  <c r="HW86" i="3"/>
  <c r="FR86" i="3"/>
  <c r="HZ86" i="3"/>
  <c r="II86" i="3"/>
  <c r="DD94" i="3"/>
  <c r="HL94" i="3"/>
  <c r="HL11" i="3"/>
  <c r="FR11" i="3"/>
  <c r="IF100" i="3"/>
  <c r="HE15" i="3"/>
  <c r="HZ80" i="3"/>
  <c r="IR80" i="3"/>
  <c r="HL62" i="3"/>
  <c r="IF62" i="3"/>
  <c r="EC62" i="3"/>
  <c r="HE32" i="3"/>
  <c r="IU32" i="3"/>
  <c r="HW32" i="3"/>
  <c r="HE72" i="3"/>
  <c r="IU72" i="3"/>
  <c r="HW72" i="3"/>
  <c r="II89" i="3"/>
  <c r="GU89" i="3"/>
  <c r="IO36" i="3"/>
  <c r="HE58" i="3"/>
  <c r="IU58" i="3"/>
  <c r="HW58" i="3"/>
  <c r="HZ28" i="3"/>
  <c r="HL85" i="3"/>
  <c r="CB85" i="3"/>
  <c r="IR85" i="3"/>
  <c r="HT85" i="3"/>
  <c r="HP14" i="3"/>
  <c r="EC14" i="3"/>
  <c r="IL14" i="3"/>
  <c r="FR14" i="3"/>
  <c r="GU76" i="3"/>
  <c r="IU76" i="3"/>
  <c r="GU59" i="3"/>
  <c r="IC59" i="3"/>
  <c r="FR59" i="3"/>
  <c r="CB104" i="3"/>
  <c r="HE104" i="3"/>
  <c r="IR104" i="3"/>
  <c r="IO104" i="3"/>
  <c r="FR82" i="3"/>
  <c r="HT82" i="3"/>
  <c r="GH82" i="3"/>
  <c r="IU82" i="3"/>
  <c r="EY82" i="3"/>
  <c r="IL78" i="3"/>
  <c r="HW78" i="3"/>
  <c r="GU84" i="3"/>
  <c r="HL84" i="3"/>
  <c r="IR61" i="3"/>
  <c r="IO61" i="3"/>
  <c r="GH61" i="3"/>
  <c r="HL86" i="3"/>
  <c r="IR86" i="3"/>
  <c r="GU86" i="3"/>
  <c r="GH94" i="3"/>
  <c r="HW11" i="3"/>
  <c r="GH11" i="3"/>
  <c r="IU11" i="3"/>
  <c r="GU11" i="3"/>
  <c r="CB11" i="3"/>
  <c r="HE11" i="3"/>
  <c r="CB100" i="3"/>
  <c r="HE100" i="3"/>
  <c r="EC100" i="3"/>
  <c r="IO100" i="3"/>
  <c r="HL15" i="3"/>
  <c r="IR15" i="3"/>
  <c r="GH15" i="3"/>
  <c r="IU15" i="3"/>
  <c r="HT80" i="3"/>
  <c r="FR93" i="3"/>
  <c r="HT93" i="3"/>
  <c r="IO93" i="3"/>
  <c r="HP93" i="3"/>
  <c r="DD93" i="3"/>
  <c r="GH93" i="3"/>
  <c r="IO20" i="3"/>
  <c r="IR20" i="3"/>
  <c r="HT20" i="3"/>
  <c r="FR20" i="3"/>
  <c r="GH20" i="3"/>
  <c r="IL20" i="3"/>
  <c r="HL20" i="3"/>
  <c r="CB20" i="3"/>
  <c r="HZ50" i="3"/>
  <c r="DD44" i="3"/>
  <c r="IC66" i="3"/>
  <c r="IR66" i="3"/>
  <c r="HT66" i="3"/>
  <c r="GH66" i="3"/>
  <c r="HT16" i="3"/>
  <c r="IC40" i="3"/>
  <c r="IF40" i="3"/>
  <c r="DD62" i="3"/>
  <c r="IO72" i="3"/>
  <c r="HP72" i="3"/>
  <c r="DD72" i="3"/>
  <c r="IF72" i="3"/>
  <c r="IR89" i="3"/>
  <c r="HT89" i="3"/>
  <c r="IO58" i="3"/>
  <c r="HP58" i="3"/>
  <c r="DD58" i="3"/>
  <c r="EY104" i="3"/>
  <c r="HP104" i="3"/>
  <c r="II82" i="3"/>
  <c r="IF82" i="3"/>
  <c r="IL82" i="3"/>
  <c r="HW82" i="3"/>
  <c r="CB78" i="3"/>
  <c r="GU78" i="3"/>
  <c r="IC78" i="3"/>
  <c r="FR78" i="3"/>
  <c r="CB84" i="3"/>
  <c r="EY61" i="3"/>
  <c r="HP61" i="3"/>
  <c r="CB94" i="3"/>
  <c r="IU94" i="3"/>
  <c r="IU100" i="3"/>
  <c r="HP100" i="3"/>
  <c r="EC15" i="3"/>
  <c r="HW15" i="3"/>
  <c r="IO80" i="3"/>
  <c r="IC80" i="3"/>
  <c r="FR80" i="3"/>
  <c r="IL93" i="3"/>
  <c r="IC24" i="3"/>
  <c r="II24" i="3"/>
  <c r="GU24" i="3"/>
  <c r="IO44" i="3"/>
  <c r="HE44" i="3"/>
  <c r="IU44" i="3"/>
  <c r="HW44" i="3"/>
  <c r="EC81" i="3"/>
  <c r="IL81" i="3"/>
  <c r="HL81" i="3"/>
  <c r="CB81" i="3"/>
  <c r="GU16" i="3"/>
  <c r="II40" i="3"/>
  <c r="GH97" i="3"/>
  <c r="GH101" i="3"/>
  <c r="HE14" i="3"/>
  <c r="DD14" i="3"/>
  <c r="IL76" i="3"/>
  <c r="II76" i="3"/>
  <c r="HL59" i="3"/>
  <c r="IR59" i="3"/>
  <c r="GH59" i="3"/>
  <c r="FR104" i="3"/>
  <c r="HZ104" i="3"/>
  <c r="DD104" i="3"/>
  <c r="GU82" i="3"/>
  <c r="HL78" i="3"/>
  <c r="IC84" i="3"/>
  <c r="FR61" i="3"/>
  <c r="DD61" i="3"/>
  <c r="IC86" i="3"/>
  <c r="IL94" i="3"/>
  <c r="HP94" i="3"/>
  <c r="HW94" i="3"/>
  <c r="HP11" i="3"/>
  <c r="IL11" i="3"/>
  <c r="EY11" i="3"/>
  <c r="HW100" i="3"/>
  <c r="HZ100" i="3"/>
  <c r="DD100" i="3"/>
  <c r="GU15" i="3"/>
  <c r="IC15" i="3"/>
  <c r="FR15" i="3"/>
  <c r="CB80" i="3"/>
  <c r="EY80" i="3"/>
  <c r="EY81" i="3"/>
  <c r="HL8" i="3"/>
  <c r="HJ109" i="3"/>
  <c r="HJ110" i="3"/>
  <c r="IE110" i="3"/>
  <c r="IE109" i="3"/>
  <c r="HT8" i="3"/>
  <c r="HR110" i="3"/>
  <c r="HR109" i="3"/>
  <c r="HY110" i="3"/>
  <c r="HY109" i="3"/>
  <c r="IT111" i="1"/>
  <c r="IT113" i="1"/>
  <c r="IV109" i="1"/>
  <c r="IT112" i="1"/>
  <c r="IU93" i="3"/>
  <c r="HW93" i="3"/>
  <c r="HP20" i="3"/>
  <c r="HE20" i="3"/>
  <c r="IU20" i="3"/>
  <c r="HW20" i="3"/>
  <c r="EY20" i="3"/>
  <c r="IC50" i="3"/>
  <c r="FR50" i="3"/>
  <c r="HT50" i="3"/>
  <c r="II50" i="3"/>
  <c r="GU50" i="3"/>
  <c r="DD24" i="3"/>
  <c r="HE24" i="3"/>
  <c r="IU24" i="3"/>
  <c r="HW24" i="3"/>
  <c r="EY24" i="3"/>
  <c r="IE112" i="1"/>
  <c r="IE113" i="1" s="1"/>
  <c r="IE111" i="1"/>
  <c r="IG109" i="1"/>
  <c r="DE110" i="1"/>
  <c r="IP109" i="1"/>
  <c r="IN111" i="1"/>
  <c r="IN112" i="1"/>
  <c r="IN113" i="1"/>
  <c r="DD111" i="1"/>
  <c r="DD112" i="1"/>
  <c r="DD113" i="1" s="1"/>
  <c r="II44" i="3"/>
  <c r="GU44" i="3"/>
  <c r="HZ81" i="3"/>
  <c r="EC66" i="3"/>
  <c r="HE66" i="3"/>
  <c r="IU66" i="3"/>
  <c r="HW66" i="3"/>
  <c r="IF16" i="3"/>
  <c r="GH16" i="3"/>
  <c r="IL16" i="3"/>
  <c r="HL16" i="3"/>
  <c r="CB16" i="3"/>
  <c r="IC16" i="3"/>
  <c r="HO109" i="3"/>
  <c r="HO110" i="3"/>
  <c r="EY8" i="3"/>
  <c r="EW109" i="3"/>
  <c r="EW110" i="3"/>
  <c r="CB8" i="3"/>
  <c r="BZ110" i="3"/>
  <c r="BZ109" i="3"/>
  <c r="IC8" i="3"/>
  <c r="IA110" i="3"/>
  <c r="IA109" i="3"/>
  <c r="FQ110" i="3"/>
  <c r="FQ109" i="3"/>
  <c r="IH110" i="3"/>
  <c r="IH109" i="3"/>
  <c r="HE8" i="3"/>
  <c r="HC110" i="3"/>
  <c r="HC109" i="3"/>
  <c r="IU8" i="3"/>
  <c r="IS110" i="3"/>
  <c r="IS109" i="3"/>
  <c r="HW8" i="3"/>
  <c r="HU109" i="3"/>
  <c r="HU110" i="3"/>
  <c r="EX109" i="3"/>
  <c r="EX110" i="3"/>
  <c r="II111" i="1"/>
  <c r="II112" i="1"/>
  <c r="II113" i="1" s="1"/>
  <c r="HT112" i="1"/>
  <c r="HT113" i="1" s="1"/>
  <c r="HT111" i="1"/>
  <c r="EC111" i="1"/>
  <c r="EC112" i="1"/>
  <c r="EC113" i="1" s="1"/>
  <c r="IA110" i="1"/>
  <c r="IV110" i="1"/>
  <c r="DD40" i="3"/>
  <c r="EC40" i="3"/>
  <c r="IR40" i="3"/>
  <c r="HT40" i="3"/>
  <c r="FR40" i="3"/>
  <c r="GH40" i="3"/>
  <c r="IL40" i="3"/>
  <c r="HL40" i="3"/>
  <c r="CB40" i="3"/>
  <c r="II77" i="3"/>
  <c r="GU77" i="3"/>
  <c r="IL62" i="3"/>
  <c r="GH62" i="3"/>
  <c r="IR62" i="3"/>
  <c r="HT62" i="3"/>
  <c r="IR97" i="3"/>
  <c r="IC97" i="3"/>
  <c r="II32" i="3"/>
  <c r="GU32" i="3"/>
  <c r="FQ112" i="1"/>
  <c r="FQ113" i="1" s="1"/>
  <c r="FQ111" i="1"/>
  <c r="FS109" i="1"/>
  <c r="HU110" i="1"/>
  <c r="FR112" i="1"/>
  <c r="FR113" i="1" s="1"/>
  <c r="FR111" i="1"/>
  <c r="ID110" i="1"/>
  <c r="IC111" i="1"/>
  <c r="IC112" i="1"/>
  <c r="IC113" i="1"/>
  <c r="IJ110" i="1"/>
  <c r="II72" i="3"/>
  <c r="GU72" i="3"/>
  <c r="EC89" i="3"/>
  <c r="HE89" i="3"/>
  <c r="IU89" i="3"/>
  <c r="HW89" i="3"/>
  <c r="IF36" i="3"/>
  <c r="HZ36" i="3"/>
  <c r="II54" i="3"/>
  <c r="GU54" i="3"/>
  <c r="IO101" i="3"/>
  <c r="HP101" i="3"/>
  <c r="DD101" i="3"/>
  <c r="IF101" i="3"/>
  <c r="IL105" i="3"/>
  <c r="IO105" i="3"/>
  <c r="II105" i="3"/>
  <c r="GU105" i="3"/>
  <c r="II58" i="3"/>
  <c r="GU58" i="3"/>
  <c r="II28" i="3"/>
  <c r="GU28" i="3"/>
  <c r="IF112" i="1"/>
  <c r="IF113" i="1"/>
  <c r="IF111" i="1"/>
  <c r="CC110" i="1"/>
  <c r="IK112" i="1"/>
  <c r="IK113" i="1" s="1"/>
  <c r="IM109" i="1"/>
  <c r="IK111" i="1"/>
  <c r="EY112" i="1"/>
  <c r="EY113" i="1" s="1"/>
  <c r="EY111" i="1"/>
  <c r="EC85" i="3"/>
  <c r="HE85" i="3"/>
  <c r="IU85" i="3"/>
  <c r="HW85" i="3"/>
  <c r="IL12" i="3"/>
  <c r="GU12" i="3"/>
  <c r="IR12" i="3"/>
  <c r="HT12" i="3"/>
  <c r="FR12" i="3"/>
  <c r="DC111" i="1"/>
  <c r="DE109" i="1"/>
  <c r="DC112" i="1"/>
  <c r="DC113" i="1" s="1"/>
  <c r="IO111" i="1"/>
  <c r="IO112" i="1"/>
  <c r="IO113" i="1" s="1"/>
  <c r="IR81" i="3"/>
  <c r="FR66" i="3"/>
  <c r="M113" i="3"/>
  <c r="X12" i="4" s="1"/>
  <c r="M111" i="3"/>
  <c r="X10" i="4" s="1"/>
  <c r="M112" i="3"/>
  <c r="X11" i="4" s="1"/>
  <c r="M114" i="3"/>
  <c r="X13" i="4" s="1"/>
  <c r="M110" i="3"/>
  <c r="X9" i="4" s="1"/>
  <c r="X8" i="4"/>
  <c r="IL8" i="3"/>
  <c r="IJ109" i="3"/>
  <c r="IJ110" i="3"/>
  <c r="HD109" i="3"/>
  <c r="HD110" i="3"/>
  <c r="IR8" i="3"/>
  <c r="IP109" i="3"/>
  <c r="IP110" i="3"/>
  <c r="FR8" i="3"/>
  <c r="FP110" i="3"/>
  <c r="FP109" i="3"/>
  <c r="GH8" i="3"/>
  <c r="GF109" i="3"/>
  <c r="GF110" i="3"/>
  <c r="CA109" i="3"/>
  <c r="CA110" i="3"/>
  <c r="ED110" i="1"/>
  <c r="HX110" i="1"/>
  <c r="IR93" i="3"/>
  <c r="IC93" i="3"/>
  <c r="IF20" i="3"/>
  <c r="HZ20" i="3"/>
  <c r="EC50" i="3"/>
  <c r="GH50" i="3"/>
  <c r="IL50" i="3"/>
  <c r="HL50" i="3"/>
  <c r="CB50" i="3"/>
  <c r="IO24" i="3"/>
  <c r="IF24" i="3"/>
  <c r="HZ24" i="3"/>
  <c r="IG110" i="1"/>
  <c r="HQ109" i="1"/>
  <c r="HO111" i="1"/>
  <c r="HO112" i="1"/>
  <c r="HO113" i="1" s="1"/>
  <c r="HP111" i="1"/>
  <c r="HP112" i="1"/>
  <c r="HP113" i="1" s="1"/>
  <c r="HL113" i="1"/>
  <c r="HL112" i="1"/>
  <c r="HL111" i="1"/>
  <c r="EC44" i="3"/>
  <c r="IR44" i="3"/>
  <c r="HT44" i="3"/>
  <c r="FR44" i="3"/>
  <c r="GH44" i="3"/>
  <c r="IL44" i="3"/>
  <c r="HL44" i="3"/>
  <c r="CB44" i="3"/>
  <c r="IF81" i="3"/>
  <c r="HE81" i="3"/>
  <c r="II81" i="3"/>
  <c r="GU81" i="3"/>
  <c r="HZ66" i="3"/>
  <c r="IO66" i="3"/>
  <c r="HP66" i="3"/>
  <c r="DD66" i="3"/>
  <c r="IF66" i="3"/>
  <c r="HE16" i="3"/>
  <c r="IU16" i="3"/>
  <c r="HW16" i="3"/>
  <c r="EY16" i="3"/>
  <c r="EC16" i="3"/>
  <c r="EB110" i="3"/>
  <c r="EB109" i="3"/>
  <c r="IN109" i="3"/>
  <c r="IN110" i="3"/>
  <c r="IQ110" i="3"/>
  <c r="IQ109" i="3"/>
  <c r="HS110" i="3"/>
  <c r="HS109" i="3"/>
  <c r="EC8" i="3"/>
  <c r="EA109" i="3"/>
  <c r="EA110" i="3"/>
  <c r="IF8" i="3"/>
  <c r="ID110" i="3"/>
  <c r="ID109" i="3"/>
  <c r="GT109" i="3"/>
  <c r="GT110" i="3"/>
  <c r="IK109" i="3"/>
  <c r="IK110" i="3"/>
  <c r="HK109" i="3"/>
  <c r="HK110" i="3"/>
  <c r="DC109" i="3"/>
  <c r="DC110" i="3"/>
  <c r="HD112" i="1"/>
  <c r="HD113" i="1" s="1"/>
  <c r="HD111" i="1"/>
  <c r="HF109" i="1"/>
  <c r="HZ113" i="1"/>
  <c r="HZ112" i="1"/>
  <c r="HZ111" i="1"/>
  <c r="IO40" i="3"/>
  <c r="HE40" i="3"/>
  <c r="IU40" i="3"/>
  <c r="HW40" i="3"/>
  <c r="EY40" i="3"/>
  <c r="IC77" i="3"/>
  <c r="IR77" i="3"/>
  <c r="HT77" i="3"/>
  <c r="FR77" i="3"/>
  <c r="GH77" i="3"/>
  <c r="IL77" i="3"/>
  <c r="HL77" i="3"/>
  <c r="CB77" i="3"/>
  <c r="IU62" i="3"/>
  <c r="IC62" i="3"/>
  <c r="HZ97" i="3"/>
  <c r="EC97" i="3"/>
  <c r="II97" i="3"/>
  <c r="GU97" i="3"/>
  <c r="EC32" i="3"/>
  <c r="IR32" i="3"/>
  <c r="HT32" i="3"/>
  <c r="FR32" i="3"/>
  <c r="GH32" i="3"/>
  <c r="IL32" i="3"/>
  <c r="HL32" i="3"/>
  <c r="CB32" i="3"/>
  <c r="FS110" i="1"/>
  <c r="EX112" i="1"/>
  <c r="EZ109" i="1"/>
  <c r="EX111" i="1"/>
  <c r="EX113" i="1"/>
  <c r="CB112" i="1"/>
  <c r="CB113" i="1" s="1"/>
  <c r="CB111" i="1"/>
  <c r="IL72" i="3"/>
  <c r="HL72" i="3"/>
  <c r="CB72" i="3"/>
  <c r="IC72" i="3"/>
  <c r="IR72" i="3"/>
  <c r="HT72" i="3"/>
  <c r="FR72" i="3"/>
  <c r="GH72" i="3"/>
  <c r="IO89" i="3"/>
  <c r="HP89" i="3"/>
  <c r="DD89" i="3"/>
  <c r="IF89" i="3"/>
  <c r="IC36" i="3"/>
  <c r="II36" i="3"/>
  <c r="GU36" i="3"/>
  <c r="IR54" i="3"/>
  <c r="HT54" i="3"/>
  <c r="GH54" i="3"/>
  <c r="IL54" i="3"/>
  <c r="HL54" i="3"/>
  <c r="CB54" i="3"/>
  <c r="IC54" i="3"/>
  <c r="EY101" i="3"/>
  <c r="II101" i="3"/>
  <c r="GU101" i="3"/>
  <c r="GU37" i="3"/>
  <c r="HZ37" i="3"/>
  <c r="CB37" i="3"/>
  <c r="IC37" i="3"/>
  <c r="IR37" i="3"/>
  <c r="HT37" i="3"/>
  <c r="FR37" i="3"/>
  <c r="EC105" i="3"/>
  <c r="IR105" i="3"/>
  <c r="HT105" i="3"/>
  <c r="FR105" i="3"/>
  <c r="GH105" i="3"/>
  <c r="IR58" i="3"/>
  <c r="HT58" i="3"/>
  <c r="GH58" i="3"/>
  <c r="IL58" i="3"/>
  <c r="HL58" i="3"/>
  <c r="CB58" i="3"/>
  <c r="IC58" i="3"/>
  <c r="HT28" i="3"/>
  <c r="FR28" i="3"/>
  <c r="GH28" i="3"/>
  <c r="IL28" i="3"/>
  <c r="HL28" i="3"/>
  <c r="CB28" i="3"/>
  <c r="GH111" i="1"/>
  <c r="GH112" i="1"/>
  <c r="GH113" i="1" s="1"/>
  <c r="IU111" i="1"/>
  <c r="IU113" i="1"/>
  <c r="IU112" i="1"/>
  <c r="HK112" i="1"/>
  <c r="HK113" i="1" s="1"/>
  <c r="HM109" i="1"/>
  <c r="HK111" i="1"/>
  <c r="IO85" i="3"/>
  <c r="HP85" i="3"/>
  <c r="DD85" i="3"/>
  <c r="IF85" i="3"/>
  <c r="DD12" i="3"/>
  <c r="HZ12" i="3"/>
  <c r="EY12" i="3"/>
  <c r="HE12" i="3"/>
  <c r="FR24" i="3"/>
  <c r="II93" i="3"/>
  <c r="IR50" i="3"/>
  <c r="HW50" i="3"/>
  <c r="EY50" i="3"/>
  <c r="GU111" i="1"/>
  <c r="GU113" i="1"/>
  <c r="GU112" i="1"/>
  <c r="IP110" i="1"/>
  <c r="GG111" i="1"/>
  <c r="GI109" i="1"/>
  <c r="GG112" i="1"/>
  <c r="GG113" i="1" s="1"/>
  <c r="EY44" i="3"/>
  <c r="IU81" i="3"/>
  <c r="GH81" i="3"/>
  <c r="IO16" i="3"/>
  <c r="HP16" i="3"/>
  <c r="DD16" i="3"/>
  <c r="L112" i="3"/>
  <c r="L113" i="3"/>
  <c r="IB110" i="3"/>
  <c r="IB109" i="3"/>
  <c r="HZ8" i="3"/>
  <c r="HX109" i="3"/>
  <c r="HX110" i="3"/>
  <c r="IO8" i="3"/>
  <c r="IM109" i="3"/>
  <c r="IM110" i="3"/>
  <c r="HP8" i="3"/>
  <c r="HN110" i="3"/>
  <c r="HN109" i="3"/>
  <c r="IT110" i="3"/>
  <c r="IT109" i="3"/>
  <c r="HV109" i="3"/>
  <c r="HV110" i="3"/>
  <c r="GG110" i="3"/>
  <c r="GG109" i="3"/>
  <c r="II8" i="3"/>
  <c r="II110" i="3" s="1"/>
  <c r="IG109" i="3"/>
  <c r="IG110" i="3"/>
  <c r="GU8" i="3"/>
  <c r="GS110" i="3"/>
  <c r="GS109" i="3"/>
  <c r="DD8" i="3"/>
  <c r="DB110" i="3"/>
  <c r="DB109" i="3"/>
  <c r="HF110" i="1"/>
  <c r="ED109" i="1"/>
  <c r="EB111" i="1"/>
  <c r="EB112" i="1"/>
  <c r="EB113" i="1" s="1"/>
  <c r="IR112" i="1"/>
  <c r="IR113" i="1"/>
  <c r="IR111" i="1"/>
  <c r="HY112" i="1"/>
  <c r="IA109" i="1"/>
  <c r="HY111" i="1"/>
  <c r="HY113" i="1"/>
  <c r="HV111" i="1"/>
  <c r="HX109" i="1"/>
  <c r="HV112" i="1"/>
  <c r="HV113" i="1" s="1"/>
  <c r="HP40" i="3"/>
  <c r="HE77" i="3"/>
  <c r="EY77" i="3"/>
  <c r="HZ62" i="3"/>
  <c r="HE97" i="3"/>
  <c r="HP97" i="3"/>
  <c r="DD97" i="3"/>
  <c r="EY32" i="3"/>
  <c r="IQ112" i="1"/>
  <c r="IQ113" i="1" s="1"/>
  <c r="IQ111" i="1"/>
  <c r="IS109" i="1"/>
  <c r="ID109" i="1"/>
  <c r="IB111" i="1"/>
  <c r="IB112" i="1"/>
  <c r="IB113" i="1" s="1"/>
  <c r="EC72" i="3"/>
  <c r="HT36" i="3"/>
  <c r="FR36" i="3"/>
  <c r="EY54" i="3"/>
  <c r="EC54" i="3"/>
  <c r="IC101" i="3"/>
  <c r="IR101" i="3"/>
  <c r="HT101" i="3"/>
  <c r="FR101" i="3"/>
  <c r="EC37" i="3"/>
  <c r="EY58" i="3"/>
  <c r="EC58" i="3"/>
  <c r="HW28" i="3"/>
  <c r="EY28" i="3"/>
  <c r="HE112" i="1"/>
  <c r="HE113" i="1" s="1"/>
  <c r="HE111" i="1"/>
  <c r="IM110" i="1"/>
  <c r="GT111" i="1"/>
  <c r="GV109" i="1"/>
  <c r="GT112" i="1"/>
  <c r="GT113" i="1" s="1"/>
  <c r="CB12" i="3"/>
  <c r="EC12" i="3"/>
  <c r="HP62" i="3"/>
  <c r="IU97" i="3"/>
  <c r="IF32" i="3"/>
  <c r="HS112" i="1"/>
  <c r="HS113" i="1" s="1"/>
  <c r="HS111" i="1"/>
  <c r="HU109" i="1"/>
  <c r="IS110" i="1"/>
  <c r="EZ110" i="1"/>
  <c r="IL112" i="1"/>
  <c r="IL113" i="1" s="1"/>
  <c r="IL111" i="1"/>
  <c r="IH111" i="1"/>
  <c r="IJ109" i="1"/>
  <c r="IH112" i="1"/>
  <c r="IH113" i="1" s="1"/>
  <c r="IC89" i="3"/>
  <c r="FR89" i="3"/>
  <c r="GH89" i="3"/>
  <c r="HE36" i="3"/>
  <c r="EY36" i="3"/>
  <c r="HP37" i="3"/>
  <c r="DD37" i="3"/>
  <c r="IR28" i="3"/>
  <c r="HW111" i="1"/>
  <c r="HW112" i="1"/>
  <c r="HW113" i="1" s="1"/>
  <c r="CA112" i="1"/>
  <c r="CA113" i="1" s="1"/>
  <c r="CC109" i="1"/>
  <c r="CA111" i="1"/>
  <c r="HM110" i="1"/>
  <c r="GV110" i="1"/>
  <c r="FR85" i="3"/>
  <c r="HP12" i="3"/>
  <c r="FW117" i="1" l="1"/>
  <c r="BB118" i="1"/>
  <c r="BB119" i="1"/>
  <c r="B121" i="1" s="1"/>
  <c r="B23" i="4" s="1"/>
  <c r="P13" i="3"/>
  <c r="F14" i="5"/>
  <c r="CE121" i="1"/>
  <c r="CG117" i="1"/>
  <c r="CM117" i="1"/>
  <c r="GC119" i="1"/>
  <c r="G135" i="1" s="1"/>
  <c r="G37" i="4" s="1"/>
  <c r="GC118" i="1"/>
  <c r="GZ117" i="1"/>
  <c r="EQ118" i="1"/>
  <c r="EQ119" i="1"/>
  <c r="E133" i="1" s="1"/>
  <c r="E35" i="4" s="1"/>
  <c r="DR117" i="1"/>
  <c r="DP121" i="1"/>
  <c r="EW117" i="1"/>
  <c r="CY119" i="1"/>
  <c r="C135" i="1" s="1"/>
  <c r="C37" i="4" s="1"/>
  <c r="CY118" i="1"/>
  <c r="BE117" i="1"/>
  <c r="B124" i="1"/>
  <c r="B26" i="4" s="1"/>
  <c r="BF118" i="1"/>
  <c r="BF121" i="1" s="1"/>
  <c r="FG117" i="1"/>
  <c r="P30" i="3"/>
  <c r="F31" i="5"/>
  <c r="DI117" i="1"/>
  <c r="DL119" i="1"/>
  <c r="D127" i="1" s="1"/>
  <c r="D29" i="4" s="1"/>
  <c r="DL118" i="1"/>
  <c r="EA117" i="1"/>
  <c r="BK117" i="1"/>
  <c r="IO110" i="3"/>
  <c r="M115" i="3"/>
  <c r="X14" i="4" s="1"/>
  <c r="DX119" i="1"/>
  <c r="D135" i="1" s="1"/>
  <c r="D37" i="4" s="1"/>
  <c r="DX118" i="1"/>
  <c r="CS119" i="1"/>
  <c r="C131" i="1" s="1"/>
  <c r="C33" i="4" s="1"/>
  <c r="CS118" i="1"/>
  <c r="GF118" i="1"/>
  <c r="GF119" i="1"/>
  <c r="G137" i="1" s="1"/>
  <c r="G39" i="4" s="1"/>
  <c r="EK117" i="1"/>
  <c r="EI121" i="1"/>
  <c r="HJ117" i="1"/>
  <c r="HH121" i="1"/>
  <c r="EN119" i="1"/>
  <c r="E131" i="1" s="1"/>
  <c r="E33" i="4" s="1"/>
  <c r="EN118" i="1"/>
  <c r="GS117" i="1"/>
  <c r="GQ121" i="1"/>
  <c r="D132" i="1"/>
  <c r="D34" i="4" s="1"/>
  <c r="DS118" i="1"/>
  <c r="DS121" i="1" s="1"/>
  <c r="DU117" i="1"/>
  <c r="CJ119" i="1"/>
  <c r="C125" i="1" s="1"/>
  <c r="C27" i="4" s="1"/>
  <c r="CJ118" i="1"/>
  <c r="CV118" i="1"/>
  <c r="CV119" i="1"/>
  <c r="C133" i="1" s="1"/>
  <c r="C35" i="4" s="1"/>
  <c r="BT119" i="1"/>
  <c r="B133" i="1" s="1"/>
  <c r="B35" i="4" s="1"/>
  <c r="BT118" i="1"/>
  <c r="FP117" i="1"/>
  <c r="BQ117" i="1"/>
  <c r="ET118" i="1"/>
  <c r="ET119" i="1"/>
  <c r="E135" i="1" s="1"/>
  <c r="E37" i="4" s="1"/>
  <c r="P19" i="3"/>
  <c r="F20" i="5"/>
  <c r="FJ117" i="1"/>
  <c r="FH121" i="1"/>
  <c r="BZ118" i="1"/>
  <c r="BZ119" i="1"/>
  <c r="B137" i="1" s="1"/>
  <c r="B39" i="4" s="1"/>
  <c r="HC118" i="1"/>
  <c r="HC119" i="1"/>
  <c r="I137" i="1" s="1"/>
  <c r="I39" i="4" s="1"/>
  <c r="FZ117" i="1"/>
  <c r="CP117" i="1"/>
  <c r="B134" i="1"/>
  <c r="B36" i="4" s="1"/>
  <c r="BU118" i="1"/>
  <c r="BU121" i="1" s="1"/>
  <c r="GP117" i="1"/>
  <c r="FD117" i="1"/>
  <c r="DO117" i="1"/>
  <c r="GU110" i="3"/>
  <c r="HY114" i="1"/>
  <c r="HY115" i="1" s="1"/>
  <c r="IA113" i="1"/>
  <c r="HY120" i="1" s="1"/>
  <c r="HZ114" i="1"/>
  <c r="HZ115" i="1" s="1"/>
  <c r="HZ120" i="1"/>
  <c r="HY117" i="1"/>
  <c r="D149" i="1" s="1"/>
  <c r="D52" i="4" s="1"/>
  <c r="ED113" i="1"/>
  <c r="EB120" i="1" s="1"/>
  <c r="EB119" i="1" s="1"/>
  <c r="EB117" i="1"/>
  <c r="D140" i="1" s="1"/>
  <c r="D42" i="4" s="1"/>
  <c r="EB114" i="1"/>
  <c r="EB115" i="1" s="1"/>
  <c r="EC114" i="1"/>
  <c r="EC115" i="1" s="1"/>
  <c r="EC120" i="1"/>
  <c r="DD110" i="3"/>
  <c r="HX111" i="3"/>
  <c r="HX113" i="3"/>
  <c r="HZ109" i="3"/>
  <c r="HX112" i="3"/>
  <c r="DC111" i="3"/>
  <c r="DC112" i="3"/>
  <c r="DC113" i="3"/>
  <c r="IK113" i="3"/>
  <c r="IK112" i="3"/>
  <c r="IK111" i="3"/>
  <c r="EC110" i="3"/>
  <c r="HQ113" i="1"/>
  <c r="HO117" i="1" s="1"/>
  <c r="HO114" i="1"/>
  <c r="HO115" i="1" s="1"/>
  <c r="HP114" i="1"/>
  <c r="HP115" i="1" s="1"/>
  <c r="HP120" i="1"/>
  <c r="GH110" i="3"/>
  <c r="HD111" i="3"/>
  <c r="HD112" i="3"/>
  <c r="HD113" i="3"/>
  <c r="X16" i="4"/>
  <c r="X17" i="4"/>
  <c r="X15" i="4"/>
  <c r="HU113" i="3"/>
  <c r="HW109" i="3"/>
  <c r="HU112" i="3"/>
  <c r="HU111" i="3"/>
  <c r="IU110" i="3"/>
  <c r="IH112" i="3"/>
  <c r="IH111" i="3"/>
  <c r="IH113" i="3"/>
  <c r="IC109" i="3"/>
  <c r="IA112" i="3"/>
  <c r="IA111" i="3"/>
  <c r="IA113" i="3"/>
  <c r="EY110" i="3"/>
  <c r="IE114" i="1"/>
  <c r="IE115" i="1" s="1"/>
  <c r="IF114" i="1"/>
  <c r="IF115" i="1" s="1"/>
  <c r="IF120" i="1"/>
  <c r="IG113" i="1"/>
  <c r="IE117" i="1" s="1"/>
  <c r="CA114" i="1"/>
  <c r="CA115" i="1" s="1"/>
  <c r="CC113" i="1"/>
  <c r="CA117" i="1" s="1"/>
  <c r="CB114" i="1"/>
  <c r="CB115" i="1" s="1"/>
  <c r="CB120" i="1"/>
  <c r="GV113" i="1"/>
  <c r="GT117" i="1" s="1"/>
  <c r="GT114" i="1"/>
  <c r="GT115" i="1" s="1"/>
  <c r="GT120" i="1"/>
  <c r="GT119" i="1" s="1"/>
  <c r="GU114" i="1"/>
  <c r="GU115" i="1" s="1"/>
  <c r="GU120" i="1"/>
  <c r="ID113" i="1"/>
  <c r="IB117" i="1" s="1"/>
  <c r="IB114" i="1"/>
  <c r="IB115" i="1" s="1"/>
  <c r="IC114" i="1"/>
  <c r="IC115" i="1" s="1"/>
  <c r="IC120" i="1"/>
  <c r="GS113" i="3"/>
  <c r="GU109" i="3"/>
  <c r="GS112" i="3"/>
  <c r="GS111" i="3"/>
  <c r="II109" i="3"/>
  <c r="IG112" i="3"/>
  <c r="IG111" i="3"/>
  <c r="IG113" i="3"/>
  <c r="HP109" i="3"/>
  <c r="HN111" i="3"/>
  <c r="HN112" i="3"/>
  <c r="HN113" i="3"/>
  <c r="IO109" i="3"/>
  <c r="IM111" i="3"/>
  <c r="IM112" i="3"/>
  <c r="IM113" i="3"/>
  <c r="HZ110" i="3"/>
  <c r="GI113" i="1"/>
  <c r="GG117" i="1" s="1"/>
  <c r="GG114" i="1"/>
  <c r="GG115" i="1" s="1"/>
  <c r="GG120" i="1"/>
  <c r="GG119" i="1" s="1"/>
  <c r="GH114" i="1"/>
  <c r="GH115" i="1" s="1"/>
  <c r="GH120" i="1"/>
  <c r="IF110" i="3"/>
  <c r="HS112" i="3"/>
  <c r="HS111" i="3"/>
  <c r="HS113" i="3"/>
  <c r="CA113" i="3"/>
  <c r="CA112" i="3"/>
  <c r="CA111" i="3"/>
  <c r="FR109" i="3"/>
  <c r="FP111" i="3"/>
  <c r="FP112" i="3"/>
  <c r="FP113" i="3"/>
  <c r="IR109" i="3"/>
  <c r="IP111" i="3"/>
  <c r="IP112" i="3"/>
  <c r="IP113" i="3"/>
  <c r="HW110" i="3"/>
  <c r="HE109" i="3"/>
  <c r="HC111" i="3"/>
  <c r="HC112" i="3"/>
  <c r="HC113" i="3"/>
  <c r="CB110" i="3"/>
  <c r="HY112" i="3"/>
  <c r="HY111" i="3"/>
  <c r="HY113" i="3"/>
  <c r="HT110" i="3"/>
  <c r="HJ111" i="3"/>
  <c r="HJ113" i="3"/>
  <c r="HL109" i="3"/>
  <c r="HJ112" i="3"/>
  <c r="IQ114" i="1"/>
  <c r="IQ115" i="1" s="1"/>
  <c r="IQ120" i="1"/>
  <c r="J152" i="1" s="1"/>
  <c r="IR114" i="1"/>
  <c r="IR115" i="1" s="1"/>
  <c r="IQ119" i="1"/>
  <c r="J151" i="1" s="1"/>
  <c r="J54" i="4" s="1"/>
  <c r="IR120" i="1"/>
  <c r="IS113" i="1"/>
  <c r="IQ117" i="1"/>
  <c r="J149" i="1" s="1"/>
  <c r="J52" i="4" s="1"/>
  <c r="DD109" i="3"/>
  <c r="DB111" i="3"/>
  <c r="DB112" i="3"/>
  <c r="DB113" i="3"/>
  <c r="HV112" i="3"/>
  <c r="HV111" i="3"/>
  <c r="HV113" i="3"/>
  <c r="IB112" i="3"/>
  <c r="IB113" i="3"/>
  <c r="IB111" i="3"/>
  <c r="EX114" i="1"/>
  <c r="EX115" i="1" s="1"/>
  <c r="EZ113" i="1"/>
  <c r="EX117" i="1" s="1"/>
  <c r="EY114" i="1"/>
  <c r="EY115" i="1" s="1"/>
  <c r="EY120" i="1"/>
  <c r="HK113" i="3"/>
  <c r="HK112" i="3"/>
  <c r="HK111" i="3"/>
  <c r="GT112" i="3"/>
  <c r="GT111" i="3"/>
  <c r="GT113" i="3"/>
  <c r="IN112" i="3"/>
  <c r="IN113" i="3"/>
  <c r="IN111" i="3"/>
  <c r="IR110" i="3"/>
  <c r="IJ111" i="3"/>
  <c r="IJ113" i="3"/>
  <c r="IL109" i="3"/>
  <c r="IJ112" i="3"/>
  <c r="DE113" i="1"/>
  <c r="DC117" i="1"/>
  <c r="C140" i="1" s="1"/>
  <c r="C42" i="4" s="1"/>
  <c r="DC114" i="1"/>
  <c r="DC115" i="1" s="1"/>
  <c r="DC120" i="1"/>
  <c r="DC119" i="1" s="1"/>
  <c r="DD114" i="1"/>
  <c r="DD115" i="1" s="1"/>
  <c r="DD120" i="1"/>
  <c r="IK114" i="1"/>
  <c r="IK115" i="1" s="1"/>
  <c r="IK120" i="1"/>
  <c r="H152" i="1" s="1"/>
  <c r="IM113" i="1"/>
  <c r="IL114" i="1"/>
  <c r="IL115" i="1" s="1"/>
  <c r="IK119" i="1"/>
  <c r="H151" i="1" s="1"/>
  <c r="H54" i="4" s="1"/>
  <c r="IL120" i="1"/>
  <c r="IK117" i="1"/>
  <c r="H149" i="1" s="1"/>
  <c r="H52" i="4" s="1"/>
  <c r="EX112" i="3"/>
  <c r="EX113" i="3"/>
  <c r="EX111" i="3"/>
  <c r="IS113" i="3"/>
  <c r="IU109" i="3"/>
  <c r="IS112" i="3"/>
  <c r="IS111" i="3"/>
  <c r="FQ111" i="3"/>
  <c r="FQ112" i="3"/>
  <c r="FQ113" i="3"/>
  <c r="IC110" i="3"/>
  <c r="HO112" i="3"/>
  <c r="HO113" i="3"/>
  <c r="HO111" i="3"/>
  <c r="IP113" i="1"/>
  <c r="IN117" i="1" s="1"/>
  <c r="IN114" i="1"/>
  <c r="IN115" i="1" s="1"/>
  <c r="IO114" i="1"/>
  <c r="IO115" i="1" s="1"/>
  <c r="IO120" i="1"/>
  <c r="IV113" i="1"/>
  <c r="IT117" i="1" s="1"/>
  <c r="IT114" i="1"/>
  <c r="IT115" i="1" s="1"/>
  <c r="IT120" i="1"/>
  <c r="K152" i="1" s="1"/>
  <c r="IU114" i="1"/>
  <c r="IU115" i="1" s="1"/>
  <c r="IU120" i="1"/>
  <c r="IE111" i="3"/>
  <c r="IE112" i="3"/>
  <c r="IE113" i="3"/>
  <c r="HL110" i="3"/>
  <c r="IJ113" i="1"/>
  <c r="IH117" i="1" s="1"/>
  <c r="IH114" i="1"/>
  <c r="IH115" i="1" s="1"/>
  <c r="IH120" i="1"/>
  <c r="G152" i="1" s="1"/>
  <c r="II114" i="1"/>
  <c r="II115" i="1" s="1"/>
  <c r="II120" i="1"/>
  <c r="HS114" i="1"/>
  <c r="HS115" i="1" s="1"/>
  <c r="HT114" i="1"/>
  <c r="HT115" i="1" s="1"/>
  <c r="HT120" i="1"/>
  <c r="HU113" i="1"/>
  <c r="HS117" i="1" s="1"/>
  <c r="HV117" i="1"/>
  <c r="C149" i="1" s="1"/>
  <c r="C52" i="4" s="1"/>
  <c r="HX113" i="1"/>
  <c r="HV120" i="1" s="1"/>
  <c r="HV114" i="1"/>
  <c r="HV115" i="1" s="1"/>
  <c r="HW114" i="1"/>
  <c r="HW115" i="1" s="1"/>
  <c r="HW120" i="1"/>
  <c r="GG111" i="3"/>
  <c r="GG112" i="3"/>
  <c r="GG113" i="3"/>
  <c r="IT112" i="3"/>
  <c r="IT111" i="3"/>
  <c r="IT113" i="3"/>
  <c r="HP110" i="3"/>
  <c r="HK114" i="1"/>
  <c r="HK115" i="1" s="1"/>
  <c r="HK120" i="1"/>
  <c r="HM113" i="1"/>
  <c r="HL114" i="1"/>
  <c r="HL115" i="1" s="1"/>
  <c r="HK119" i="1"/>
  <c r="HL120" i="1"/>
  <c r="HK117" i="1"/>
  <c r="J140" i="1" s="1"/>
  <c r="J42" i="4" s="1"/>
  <c r="HD114" i="1"/>
  <c r="HD115" i="1" s="1"/>
  <c r="HE114" i="1"/>
  <c r="HE115" i="1" s="1"/>
  <c r="HE120" i="1"/>
  <c r="HF113" i="1"/>
  <c r="HD120" i="1" s="1"/>
  <c r="HD119" i="1" s="1"/>
  <c r="HD117" i="1"/>
  <c r="I140" i="1" s="1"/>
  <c r="I42" i="4" s="1"/>
  <c r="IF109" i="3"/>
  <c r="ID111" i="3"/>
  <c r="ID112" i="3"/>
  <c r="ID113" i="3"/>
  <c r="EC109" i="3"/>
  <c r="EA111" i="3"/>
  <c r="EA112" i="3"/>
  <c r="EA113" i="3"/>
  <c r="IQ112" i="3"/>
  <c r="IQ111" i="3"/>
  <c r="IQ113" i="3"/>
  <c r="EB111" i="3"/>
  <c r="EB112" i="3"/>
  <c r="EB113" i="3"/>
  <c r="GH109" i="3"/>
  <c r="GF112" i="3"/>
  <c r="GF113" i="3"/>
  <c r="GF111" i="3"/>
  <c r="FR110" i="3"/>
  <c r="IL110" i="3"/>
  <c r="FQ114" i="1"/>
  <c r="FQ115" i="1" s="1"/>
  <c r="FR114" i="1"/>
  <c r="FR115" i="1" s="1"/>
  <c r="FR120" i="1"/>
  <c r="FS113" i="1"/>
  <c r="FQ120" i="1" s="1"/>
  <c r="FQ119" i="1" s="1"/>
  <c r="FQ117" i="1"/>
  <c r="F140" i="1" s="1"/>
  <c r="F42" i="4" s="1"/>
  <c r="HE110" i="3"/>
  <c r="BZ111" i="3"/>
  <c r="CB109" i="3"/>
  <c r="BZ112" i="3"/>
  <c r="BZ113" i="3"/>
  <c r="EW111" i="3"/>
  <c r="EW113" i="3"/>
  <c r="EY109" i="3"/>
  <c r="EW112" i="3"/>
  <c r="HT109" i="3"/>
  <c r="HR111" i="3"/>
  <c r="HR112" i="3"/>
  <c r="HR113" i="3"/>
  <c r="H140" i="1" l="1"/>
  <c r="H42" i="4" s="1"/>
  <c r="GT118" i="1"/>
  <c r="GT121" i="1" s="1"/>
  <c r="K140" i="1"/>
  <c r="K42" i="4" s="1"/>
  <c r="HO118" i="1"/>
  <c r="HO121" i="1" s="1"/>
  <c r="B149" i="1"/>
  <c r="B52" i="4" s="1"/>
  <c r="HS118" i="1"/>
  <c r="HU117" i="1" s="1"/>
  <c r="G149" i="1"/>
  <c r="G52" i="4" s="1"/>
  <c r="IH118" i="1"/>
  <c r="IJ117" i="1" s="1"/>
  <c r="F149" i="1"/>
  <c r="F52" i="4" s="1"/>
  <c r="IG117" i="1"/>
  <c r="IE118" i="1"/>
  <c r="D152" i="1"/>
  <c r="HY119" i="1"/>
  <c r="D151" i="1" s="1"/>
  <c r="D54" i="4" s="1"/>
  <c r="K149" i="1"/>
  <c r="K52" i="4" s="1"/>
  <c r="IT118" i="1"/>
  <c r="IV117" i="1" s="1"/>
  <c r="I149" i="1"/>
  <c r="I52" i="4" s="1"/>
  <c r="IP117" i="1"/>
  <c r="IN118" i="1"/>
  <c r="E140" i="1"/>
  <c r="E42" i="4" s="1"/>
  <c r="EX118" i="1"/>
  <c r="EX121" i="1" s="1"/>
  <c r="G140" i="1"/>
  <c r="G42" i="4" s="1"/>
  <c r="GG118" i="1"/>
  <c r="GG121" i="1" s="1"/>
  <c r="GI117" i="1"/>
  <c r="C152" i="1"/>
  <c r="HV119" i="1"/>
  <c r="C151" i="1" s="1"/>
  <c r="C54" i="4" s="1"/>
  <c r="E149" i="1"/>
  <c r="E52" i="4" s="1"/>
  <c r="IB118" i="1"/>
  <c r="B140" i="1"/>
  <c r="B42" i="4" s="1"/>
  <c r="CA118" i="1"/>
  <c r="CA121" i="1" s="1"/>
  <c r="HS120" i="1"/>
  <c r="IN120" i="1"/>
  <c r="EX120" i="1"/>
  <c r="EX119" i="1" s="1"/>
  <c r="IB120" i="1"/>
  <c r="CA120" i="1"/>
  <c r="CA119" i="1" s="1"/>
  <c r="IE120" i="1"/>
  <c r="HO120" i="1"/>
  <c r="HO119" i="1" s="1"/>
  <c r="EB118" i="1"/>
  <c r="HY118" i="1"/>
  <c r="BW117" i="1"/>
  <c r="FZ118" i="1"/>
  <c r="FZ119" i="1"/>
  <c r="G133" i="1" s="1"/>
  <c r="G35" i="4" s="1"/>
  <c r="FP119" i="1"/>
  <c r="F137" i="1" s="1"/>
  <c r="F39" i="4" s="1"/>
  <c r="FP118" i="1"/>
  <c r="EW118" i="1"/>
  <c r="EW119" i="1"/>
  <c r="E137" i="1" s="1"/>
  <c r="E39" i="4" s="1"/>
  <c r="CM118" i="1"/>
  <c r="CM119" i="1"/>
  <c r="C127" i="1" s="1"/>
  <c r="C29" i="4" s="1"/>
  <c r="G55" i="4"/>
  <c r="G155" i="1"/>
  <c r="G58" i="4" s="1"/>
  <c r="K55" i="4"/>
  <c r="K155" i="1"/>
  <c r="K58" i="4" s="1"/>
  <c r="FQ118" i="1"/>
  <c r="FQ121" i="1" s="1"/>
  <c r="HD118" i="1"/>
  <c r="HD121" i="1" s="1"/>
  <c r="HK118" i="1"/>
  <c r="HK121" i="1" s="1"/>
  <c r="HV118" i="1"/>
  <c r="IH119" i="1"/>
  <c r="G151" i="1" s="1"/>
  <c r="G54" i="4" s="1"/>
  <c r="IT119" i="1"/>
  <c r="K151" i="1" s="1"/>
  <c r="K54" i="4" s="1"/>
  <c r="DO119" i="1"/>
  <c r="D129" i="1" s="1"/>
  <c r="D31" i="4" s="1"/>
  <c r="DO118" i="1"/>
  <c r="EK118" i="1"/>
  <c r="EK119" i="1"/>
  <c r="E129" i="1" s="1"/>
  <c r="E31" i="4" s="1"/>
  <c r="FG119" i="1"/>
  <c r="F131" i="1" s="1"/>
  <c r="F33" i="4" s="1"/>
  <c r="FG118" i="1"/>
  <c r="BE119" i="1"/>
  <c r="B123" i="1" s="1"/>
  <c r="B25" i="4" s="1"/>
  <c r="BE118" i="1"/>
  <c r="GZ119" i="1"/>
  <c r="I135" i="1" s="1"/>
  <c r="I37" i="4" s="1"/>
  <c r="GZ118" i="1"/>
  <c r="CG118" i="1"/>
  <c r="CG119" i="1"/>
  <c r="C123" i="1" s="1"/>
  <c r="C25" i="4" s="1"/>
  <c r="IK118" i="1"/>
  <c r="IM117" i="1" s="1"/>
  <c r="H55" i="4"/>
  <c r="H155" i="1"/>
  <c r="H58" i="4" s="1"/>
  <c r="DC118" i="1"/>
  <c r="DC121" i="1" s="1"/>
  <c r="IQ118" i="1"/>
  <c r="J55" i="4"/>
  <c r="J155" i="1"/>
  <c r="J58" i="4" s="1"/>
  <c r="IA117" i="1"/>
  <c r="FD118" i="1"/>
  <c r="FD119" i="1"/>
  <c r="F129" i="1" s="1"/>
  <c r="F31" i="4" s="1"/>
  <c r="FJ119" i="1"/>
  <c r="F133" i="1" s="1"/>
  <c r="F35" i="4" s="1"/>
  <c r="FJ118" i="1"/>
  <c r="BK118" i="1"/>
  <c r="BK119" i="1"/>
  <c r="B127" i="1" s="1"/>
  <c r="B29" i="4" s="1"/>
  <c r="DI118" i="1"/>
  <c r="DI119" i="1"/>
  <c r="D125" i="1" s="1"/>
  <c r="D27" i="4" s="1"/>
  <c r="BH117" i="1"/>
  <c r="DR119" i="1"/>
  <c r="D131" i="1" s="1"/>
  <c r="D33" i="4" s="1"/>
  <c r="DR118" i="1"/>
  <c r="HF117" i="1"/>
  <c r="HM117" i="1"/>
  <c r="GP118" i="1"/>
  <c r="GP119" i="1"/>
  <c r="H135" i="1" s="1"/>
  <c r="H37" i="4" s="1"/>
  <c r="CP118" i="1"/>
  <c r="CP119" i="1"/>
  <c r="C129" i="1" s="1"/>
  <c r="C31" i="4" s="1"/>
  <c r="BQ119" i="1"/>
  <c r="B131" i="1" s="1"/>
  <c r="B33" i="4" s="1"/>
  <c r="BQ118" i="1"/>
  <c r="DU119" i="1"/>
  <c r="D133" i="1" s="1"/>
  <c r="D35" i="4" s="1"/>
  <c r="DU118" i="1"/>
  <c r="GS118" i="1"/>
  <c r="GS119" i="1"/>
  <c r="H137" i="1" s="1"/>
  <c r="H39" i="4" s="1"/>
  <c r="HJ119" i="1"/>
  <c r="J137" i="1" s="1"/>
  <c r="J39" i="4" s="1"/>
  <c r="HJ118" i="1"/>
  <c r="EA118" i="1"/>
  <c r="EA119" i="1"/>
  <c r="D137" i="1" s="1"/>
  <c r="D39" i="4" s="1"/>
  <c r="FW118" i="1"/>
  <c r="FW119" i="1"/>
  <c r="G131" i="1" s="1"/>
  <c r="G33" i="4" s="1"/>
  <c r="HT113" i="3"/>
  <c r="HR114" i="3"/>
  <c r="HR115" i="3" s="1"/>
  <c r="HR117" i="3"/>
  <c r="B149" i="3" s="1"/>
  <c r="M52" i="4" s="1"/>
  <c r="HT118" i="3"/>
  <c r="HR119" i="3"/>
  <c r="B151" i="3" s="1"/>
  <c r="M54" i="4" s="1"/>
  <c r="HS114" i="3"/>
  <c r="HS115" i="3" s="1"/>
  <c r="HT117" i="3"/>
  <c r="HT119" i="3"/>
  <c r="HR121" i="3"/>
  <c r="B153" i="3" s="1"/>
  <c r="M56" i="4" s="1"/>
  <c r="HR120" i="3"/>
  <c r="B152" i="3" s="1"/>
  <c r="M55" i="4" s="1"/>
  <c r="HR118" i="3"/>
  <c r="B150" i="3" s="1"/>
  <c r="M53" i="4" s="1"/>
  <c r="HS120" i="3"/>
  <c r="IR113" i="3"/>
  <c r="IP114" i="3"/>
  <c r="IP115" i="3" s="1"/>
  <c r="IP117" i="3"/>
  <c r="J149" i="3" s="1"/>
  <c r="U52" i="4" s="1"/>
  <c r="IR118" i="3"/>
  <c r="IP119" i="3"/>
  <c r="J151" i="3" s="1"/>
  <c r="U54" i="4" s="1"/>
  <c r="IQ114" i="3"/>
  <c r="IQ115" i="3" s="1"/>
  <c r="IR117" i="3"/>
  <c r="IR119" i="3"/>
  <c r="IP121" i="3"/>
  <c r="J153" i="3" s="1"/>
  <c r="U56" i="4" s="1"/>
  <c r="IP120" i="3"/>
  <c r="J152" i="3" s="1"/>
  <c r="U55" i="4" s="1"/>
  <c r="IP118" i="3"/>
  <c r="J150" i="3" s="1"/>
  <c r="U53" i="4" s="1"/>
  <c r="IQ120" i="3"/>
  <c r="EA120" i="3"/>
  <c r="EA121" i="3"/>
  <c r="EC113" i="3"/>
  <c r="EA118" i="3"/>
  <c r="EB120" i="3"/>
  <c r="EA114" i="3"/>
  <c r="EA115" i="3" s="1"/>
  <c r="EA117" i="3"/>
  <c r="D140" i="3" s="1"/>
  <c r="O42" i="4" s="1"/>
  <c r="EC118" i="3"/>
  <c r="EA119" i="3"/>
  <c r="EB114" i="3"/>
  <c r="EB115" i="3" s="1"/>
  <c r="EC117" i="3"/>
  <c r="EC119" i="3"/>
  <c r="IF113" i="3"/>
  <c r="ID114" i="3"/>
  <c r="ID115" i="3" s="1"/>
  <c r="ID117" i="3"/>
  <c r="F149" i="3" s="1"/>
  <c r="Q52" i="4" s="1"/>
  <c r="IF118" i="3"/>
  <c r="ID119" i="3"/>
  <c r="F151" i="3" s="1"/>
  <c r="Q54" i="4" s="1"/>
  <c r="IE114" i="3"/>
  <c r="IE115" i="3" s="1"/>
  <c r="IF117" i="3"/>
  <c r="IF119" i="3"/>
  <c r="ID121" i="3"/>
  <c r="F153" i="3" s="1"/>
  <c r="Q56" i="4" s="1"/>
  <c r="ID120" i="3"/>
  <c r="F152" i="3" s="1"/>
  <c r="Q55" i="4" s="1"/>
  <c r="ID118" i="3"/>
  <c r="F150" i="3" s="1"/>
  <c r="Q53" i="4" s="1"/>
  <c r="IE120" i="3"/>
  <c r="IA120" i="3"/>
  <c r="E152" i="3" s="1"/>
  <c r="P55" i="4" s="1"/>
  <c r="IA121" i="3"/>
  <c r="E153" i="3" s="1"/>
  <c r="P56" i="4" s="1"/>
  <c r="IC113" i="3"/>
  <c r="IA118" i="3"/>
  <c r="E150" i="3" s="1"/>
  <c r="P53" i="4" s="1"/>
  <c r="IB120" i="3"/>
  <c r="IA114" i="3"/>
  <c r="IA115" i="3" s="1"/>
  <c r="IA117" i="3"/>
  <c r="E149" i="3" s="1"/>
  <c r="P52" i="4" s="1"/>
  <c r="IC118" i="3"/>
  <c r="IA119" i="3"/>
  <c r="E151" i="3" s="1"/>
  <c r="P54" i="4" s="1"/>
  <c r="IB114" i="3"/>
  <c r="IB115" i="3" s="1"/>
  <c r="IC117" i="3"/>
  <c r="IC119" i="3"/>
  <c r="HX114" i="3"/>
  <c r="HX115" i="3" s="1"/>
  <c r="HX117" i="3"/>
  <c r="D149" i="3" s="1"/>
  <c r="O52" i="4" s="1"/>
  <c r="HZ118" i="3"/>
  <c r="HX119" i="3"/>
  <c r="D151" i="3" s="1"/>
  <c r="O54" i="4" s="1"/>
  <c r="HY114" i="3"/>
  <c r="HY115" i="3" s="1"/>
  <c r="HZ117" i="3"/>
  <c r="HZ119" i="3"/>
  <c r="HZ113" i="3"/>
  <c r="HX120" i="3"/>
  <c r="D152" i="3" s="1"/>
  <c r="O55" i="4" s="1"/>
  <c r="HX118" i="3"/>
  <c r="D150" i="3" s="1"/>
  <c r="O53" i="4" s="1"/>
  <c r="HY120" i="3"/>
  <c r="HX121" i="3"/>
  <c r="D153" i="3" s="1"/>
  <c r="O56" i="4" s="1"/>
  <c r="FR113" i="3"/>
  <c r="FP114" i="3"/>
  <c r="FP115" i="3" s="1"/>
  <c r="FP117" i="3"/>
  <c r="F140" i="3" s="1"/>
  <c r="Q42" i="4" s="1"/>
  <c r="FR118" i="3"/>
  <c r="FP119" i="3"/>
  <c r="FQ114" i="3"/>
  <c r="FQ115" i="3" s="1"/>
  <c r="FR117" i="3"/>
  <c r="FR119" i="3"/>
  <c r="FP121" i="3"/>
  <c r="FP120" i="3"/>
  <c r="FP118" i="3"/>
  <c r="FQ120" i="3"/>
  <c r="EW114" i="3"/>
  <c r="EW115" i="3" s="1"/>
  <c r="EW117" i="3"/>
  <c r="E140" i="3" s="1"/>
  <c r="P42" i="4" s="1"/>
  <c r="EY118" i="3"/>
  <c r="EW119" i="3"/>
  <c r="EX114" i="3"/>
  <c r="EX115" i="3" s="1"/>
  <c r="EY117" i="3"/>
  <c r="EY119" i="3"/>
  <c r="EY113" i="3"/>
  <c r="EW120" i="3"/>
  <c r="EW118" i="3"/>
  <c r="EX120" i="3"/>
  <c r="EW121" i="3"/>
  <c r="IS120" i="3"/>
  <c r="K152" i="3" s="1"/>
  <c r="V55" i="4" s="1"/>
  <c r="IS118" i="3"/>
  <c r="K150" i="3" s="1"/>
  <c r="V53" i="4" s="1"/>
  <c r="IT120" i="3"/>
  <c r="IS114" i="3"/>
  <c r="IS115" i="3" s="1"/>
  <c r="IS117" i="3"/>
  <c r="K149" i="3" s="1"/>
  <c r="V52" i="4" s="1"/>
  <c r="IU118" i="3"/>
  <c r="IS119" i="3"/>
  <c r="K151" i="3" s="1"/>
  <c r="V54" i="4" s="1"/>
  <c r="IS121" i="3"/>
  <c r="K153" i="3" s="1"/>
  <c r="V56" i="4" s="1"/>
  <c r="IU113" i="3"/>
  <c r="IT114" i="3"/>
  <c r="IT115" i="3" s="1"/>
  <c r="IU117" i="3"/>
  <c r="IU119" i="3"/>
  <c r="DB120" i="3"/>
  <c r="DB121" i="3"/>
  <c r="DD113" i="3"/>
  <c r="DB118" i="3"/>
  <c r="DC120" i="3"/>
  <c r="DB114" i="3"/>
  <c r="DB115" i="3" s="1"/>
  <c r="DB117" i="3"/>
  <c r="C140" i="3" s="1"/>
  <c r="N42" i="4" s="1"/>
  <c r="DD118" i="3"/>
  <c r="DB119" i="3"/>
  <c r="DC114" i="3"/>
  <c r="DC115" i="3" s="1"/>
  <c r="DD117" i="3"/>
  <c r="DD119" i="3"/>
  <c r="CB113" i="3"/>
  <c r="BZ114" i="3"/>
  <c r="BZ115" i="3" s="1"/>
  <c r="BZ117" i="3"/>
  <c r="B140" i="3" s="1"/>
  <c r="M42" i="4" s="1"/>
  <c r="CB118" i="3"/>
  <c r="BZ119" i="3"/>
  <c r="CA114" i="3"/>
  <c r="CA115" i="3" s="1"/>
  <c r="CB117" i="3"/>
  <c r="CB119" i="3"/>
  <c r="BZ120" i="3"/>
  <c r="BZ118" i="3"/>
  <c r="CA120" i="3"/>
  <c r="BZ121" i="3"/>
  <c r="GF120" i="3"/>
  <c r="GF118" i="3"/>
  <c r="GG120" i="3"/>
  <c r="GF114" i="3"/>
  <c r="GF115" i="3" s="1"/>
  <c r="GF117" i="3"/>
  <c r="G140" i="3" s="1"/>
  <c r="R42" i="4" s="1"/>
  <c r="GH118" i="3"/>
  <c r="GF119" i="3"/>
  <c r="GF121" i="3"/>
  <c r="GH113" i="3"/>
  <c r="GG114" i="3"/>
  <c r="GG115" i="3" s="1"/>
  <c r="GH117" i="3"/>
  <c r="GH119" i="3"/>
  <c r="HE113" i="3"/>
  <c r="HC114" i="3"/>
  <c r="HC115" i="3" s="1"/>
  <c r="HC117" i="3"/>
  <c r="I140" i="3" s="1"/>
  <c r="T42" i="4" s="1"/>
  <c r="HE118" i="3"/>
  <c r="HC119" i="3"/>
  <c r="HD114" i="3"/>
  <c r="HD115" i="3" s="1"/>
  <c r="HE117" i="3"/>
  <c r="HE119" i="3"/>
  <c r="HC121" i="3"/>
  <c r="HC120" i="3"/>
  <c r="HC118" i="3"/>
  <c r="HD120" i="3"/>
  <c r="GS120" i="3"/>
  <c r="GS118" i="3"/>
  <c r="GT120" i="3"/>
  <c r="GS114" i="3"/>
  <c r="GS115" i="3" s="1"/>
  <c r="GS117" i="3"/>
  <c r="H140" i="3" s="1"/>
  <c r="S42" i="4" s="1"/>
  <c r="GU118" i="3"/>
  <c r="GS119" i="3"/>
  <c r="GS121" i="3"/>
  <c r="GU113" i="3"/>
  <c r="GT114" i="3"/>
  <c r="GT115" i="3" s="1"/>
  <c r="GU117" i="3"/>
  <c r="GU119" i="3"/>
  <c r="IJ114" i="3"/>
  <c r="IJ115" i="3" s="1"/>
  <c r="IJ117" i="3"/>
  <c r="H149" i="3" s="1"/>
  <c r="S52" i="4" s="1"/>
  <c r="IL118" i="3"/>
  <c r="IJ119" i="3"/>
  <c r="H151" i="3" s="1"/>
  <c r="S54" i="4" s="1"/>
  <c r="IK114" i="3"/>
  <c r="IK115" i="3" s="1"/>
  <c r="IL117" i="3"/>
  <c r="IL119" i="3"/>
  <c r="IL113" i="3"/>
  <c r="IJ120" i="3"/>
  <c r="H152" i="3" s="1"/>
  <c r="S55" i="4" s="1"/>
  <c r="IJ118" i="3"/>
  <c r="H150" i="3" s="1"/>
  <c r="S53" i="4" s="1"/>
  <c r="IK120" i="3"/>
  <c r="IJ121" i="3"/>
  <c r="H153" i="3" s="1"/>
  <c r="S56" i="4" s="1"/>
  <c r="HJ114" i="3"/>
  <c r="HJ115" i="3" s="1"/>
  <c r="HJ117" i="3"/>
  <c r="J140" i="3" s="1"/>
  <c r="U42" i="4" s="1"/>
  <c r="HL118" i="3"/>
  <c r="HJ119" i="3"/>
  <c r="HK114" i="3"/>
  <c r="HK115" i="3" s="1"/>
  <c r="HL117" i="3"/>
  <c r="HL119" i="3"/>
  <c r="HL113" i="3"/>
  <c r="HJ120" i="3"/>
  <c r="HJ118" i="3"/>
  <c r="HK120" i="3"/>
  <c r="HJ121" i="3"/>
  <c r="IM120" i="3"/>
  <c r="I152" i="3" s="1"/>
  <c r="T55" i="4" s="1"/>
  <c r="IM121" i="3"/>
  <c r="I153" i="3" s="1"/>
  <c r="T56" i="4" s="1"/>
  <c r="IO113" i="3"/>
  <c r="IM118" i="3"/>
  <c r="I150" i="3" s="1"/>
  <c r="T53" i="4" s="1"/>
  <c r="IN120" i="3"/>
  <c r="IM114" i="3"/>
  <c r="IM115" i="3" s="1"/>
  <c r="IM117" i="3"/>
  <c r="I149" i="3" s="1"/>
  <c r="T52" i="4" s="1"/>
  <c r="IO118" i="3"/>
  <c r="IM119" i="3"/>
  <c r="I151" i="3" s="1"/>
  <c r="T54" i="4" s="1"/>
  <c r="IN114" i="3"/>
  <c r="IN115" i="3" s="1"/>
  <c r="IO117" i="3"/>
  <c r="IO119" i="3"/>
  <c r="HN120" i="3"/>
  <c r="HN121" i="3"/>
  <c r="HP113" i="3"/>
  <c r="HN118" i="3"/>
  <c r="HO120" i="3"/>
  <c r="HN114" i="3"/>
  <c r="HN115" i="3" s="1"/>
  <c r="HN117" i="3"/>
  <c r="K140" i="3" s="1"/>
  <c r="V42" i="4" s="1"/>
  <c r="HP118" i="3"/>
  <c r="HN119" i="3"/>
  <c r="HO114" i="3"/>
  <c r="HO115" i="3" s="1"/>
  <c r="HP117" i="3"/>
  <c r="HP119" i="3"/>
  <c r="IG120" i="3"/>
  <c r="G152" i="3" s="1"/>
  <c r="R55" i="4" s="1"/>
  <c r="IG118" i="3"/>
  <c r="G150" i="3" s="1"/>
  <c r="R53" i="4" s="1"/>
  <c r="IH120" i="3"/>
  <c r="IG114" i="3"/>
  <c r="IG115" i="3" s="1"/>
  <c r="IG117" i="3"/>
  <c r="G149" i="3" s="1"/>
  <c r="R52" i="4" s="1"/>
  <c r="II118" i="3"/>
  <c r="IG119" i="3"/>
  <c r="G151" i="3" s="1"/>
  <c r="R54" i="4" s="1"/>
  <c r="IG121" i="3"/>
  <c r="G153" i="3" s="1"/>
  <c r="R56" i="4" s="1"/>
  <c r="II113" i="3"/>
  <c r="IH114" i="3"/>
  <c r="IH115" i="3" s="1"/>
  <c r="II117" i="3"/>
  <c r="II119" i="3"/>
  <c r="HU120" i="3"/>
  <c r="C152" i="3" s="1"/>
  <c r="N55" i="4" s="1"/>
  <c r="HU118" i="3"/>
  <c r="C150" i="3" s="1"/>
  <c r="N53" i="4" s="1"/>
  <c r="HV120" i="3"/>
  <c r="HU114" i="3"/>
  <c r="HU115" i="3" s="1"/>
  <c r="HU117" i="3"/>
  <c r="C149" i="3" s="1"/>
  <c r="N52" i="4" s="1"/>
  <c r="HW118" i="3"/>
  <c r="HU119" i="3"/>
  <c r="C151" i="3" s="1"/>
  <c r="N54" i="4" s="1"/>
  <c r="HU121" i="3"/>
  <c r="C153" i="3" s="1"/>
  <c r="N56" i="4" s="1"/>
  <c r="HW113" i="3"/>
  <c r="HV114" i="3"/>
  <c r="HV115" i="3" s="1"/>
  <c r="HW117" i="3"/>
  <c r="HW119" i="3"/>
  <c r="IJ119" i="1" l="1"/>
  <c r="IJ118" i="1"/>
  <c r="IV119" i="1"/>
  <c r="IV118" i="1"/>
  <c r="IM119" i="1"/>
  <c r="IM118" i="1"/>
  <c r="HU118" i="1"/>
  <c r="HU119" i="1"/>
  <c r="C150" i="1"/>
  <c r="C53" i="4" s="1"/>
  <c r="HV121" i="1"/>
  <c r="C153" i="1" s="1"/>
  <c r="C56" i="4" s="1"/>
  <c r="ED117" i="1"/>
  <c r="EB121" i="1"/>
  <c r="E152" i="1"/>
  <c r="IB119" i="1"/>
  <c r="E151" i="1" s="1"/>
  <c r="E54" i="4" s="1"/>
  <c r="CC117" i="1"/>
  <c r="D55" i="4"/>
  <c r="D155" i="1"/>
  <c r="D58" i="4" s="1"/>
  <c r="HM119" i="1"/>
  <c r="HM118" i="1"/>
  <c r="BH119" i="1"/>
  <c r="B125" i="1" s="1"/>
  <c r="B27" i="4" s="1"/>
  <c r="BH118" i="1"/>
  <c r="J150" i="1"/>
  <c r="J53" i="4" s="1"/>
  <c r="IQ121" i="1"/>
  <c r="J153" i="1" s="1"/>
  <c r="J56" i="4" s="1"/>
  <c r="H150" i="1"/>
  <c r="H53" i="4" s="1"/>
  <c r="IK121" i="1"/>
  <c r="H153" i="1" s="1"/>
  <c r="H56" i="4" s="1"/>
  <c r="HX117" i="1"/>
  <c r="FS117" i="1"/>
  <c r="IS117" i="1"/>
  <c r="I152" i="1"/>
  <c r="IN119" i="1"/>
  <c r="I151" i="1" s="1"/>
  <c r="I54" i="4" s="1"/>
  <c r="I150" i="1"/>
  <c r="I53" i="4" s="1"/>
  <c r="IN121" i="1"/>
  <c r="I153" i="1" s="1"/>
  <c r="I56" i="4" s="1"/>
  <c r="K150" i="1"/>
  <c r="K53" i="4" s="1"/>
  <c r="IT121" i="1"/>
  <c r="K153" i="1" s="1"/>
  <c r="K56" i="4" s="1"/>
  <c r="F150" i="1"/>
  <c r="F53" i="4" s="1"/>
  <c r="IE121" i="1"/>
  <c r="F153" i="1" s="1"/>
  <c r="F56" i="4" s="1"/>
  <c r="G150" i="1"/>
  <c r="G53" i="4" s="1"/>
  <c r="IH121" i="1"/>
  <c r="G153" i="1" s="1"/>
  <c r="G56" i="4" s="1"/>
  <c r="GV117" i="1"/>
  <c r="HF118" i="1"/>
  <c r="HF119" i="1"/>
  <c r="IA119" i="1"/>
  <c r="IA118" i="1"/>
  <c r="BW119" i="1"/>
  <c r="B135" i="1" s="1"/>
  <c r="B37" i="4" s="1"/>
  <c r="BW118" i="1"/>
  <c r="F152" i="1"/>
  <c r="IE119" i="1"/>
  <c r="F151" i="1" s="1"/>
  <c r="F54" i="4" s="1"/>
  <c r="B152" i="1"/>
  <c r="HS119" i="1"/>
  <c r="B151" i="1" s="1"/>
  <c r="B54" i="4" s="1"/>
  <c r="E150" i="1"/>
  <c r="E53" i="4" s="1"/>
  <c r="IB121" i="1"/>
  <c r="E153" i="1" s="1"/>
  <c r="E56" i="4" s="1"/>
  <c r="C55" i="4"/>
  <c r="C155" i="1"/>
  <c r="C58" i="4" s="1"/>
  <c r="IP119" i="1"/>
  <c r="IP118" i="1"/>
  <c r="IG119" i="1"/>
  <c r="IG118" i="1"/>
  <c r="D150" i="1"/>
  <c r="D53" i="4" s="1"/>
  <c r="HY121" i="1"/>
  <c r="D153" i="1" s="1"/>
  <c r="D56" i="4" s="1"/>
  <c r="DE117" i="1"/>
  <c r="ID117" i="1"/>
  <c r="GI118" i="1"/>
  <c r="GI119" i="1"/>
  <c r="EZ117" i="1"/>
  <c r="B150" i="1"/>
  <c r="B53" i="4" s="1"/>
  <c r="HS121" i="1"/>
  <c r="B153" i="1" s="1"/>
  <c r="B56" i="4" s="1"/>
  <c r="HQ117" i="1"/>
  <c r="K154" i="3"/>
  <c r="V57" i="4" s="1"/>
  <c r="K141" i="3"/>
  <c r="V43" i="4" s="1"/>
  <c r="I141" i="3"/>
  <c r="T43" i="4" s="1"/>
  <c r="I154" i="3"/>
  <c r="T57" i="4" s="1"/>
  <c r="G154" i="3"/>
  <c r="R57" i="4" s="1"/>
  <c r="G141" i="3"/>
  <c r="R43" i="4" s="1"/>
  <c r="B141" i="3"/>
  <c r="M43" i="4" s="1"/>
  <c r="B154" i="3"/>
  <c r="M57" i="4" s="1"/>
  <c r="C154" i="3"/>
  <c r="N57" i="4" s="1"/>
  <c r="C141" i="3"/>
  <c r="N43" i="4" s="1"/>
  <c r="F141" i="3"/>
  <c r="Q43" i="4" s="1"/>
  <c r="F154" i="3"/>
  <c r="Q57" i="4" s="1"/>
  <c r="J141" i="3"/>
  <c r="U43" i="4" s="1"/>
  <c r="J154" i="3"/>
  <c r="U57" i="4" s="1"/>
  <c r="E141" i="3"/>
  <c r="P43" i="4" s="1"/>
  <c r="E154" i="3"/>
  <c r="P57" i="4" s="1"/>
  <c r="H141" i="3"/>
  <c r="S43" i="4" s="1"/>
  <c r="H154" i="3"/>
  <c r="S57" i="4" s="1"/>
  <c r="D141" i="3"/>
  <c r="O43" i="4" s="1"/>
  <c r="D154" i="3"/>
  <c r="O57" i="4" s="1"/>
  <c r="EZ118" i="1" l="1"/>
  <c r="EZ119" i="1"/>
  <c r="DE118" i="1"/>
  <c r="DE119" i="1"/>
  <c r="B55" i="4"/>
  <c r="B155" i="1"/>
  <c r="B58" i="4" s="1"/>
  <c r="IS118" i="1"/>
  <c r="IS119" i="1"/>
  <c r="HQ119" i="1"/>
  <c r="HQ118" i="1"/>
  <c r="G154" i="1"/>
  <c r="G57" i="4" s="1"/>
  <c r="G141" i="1"/>
  <c r="G43" i="4" s="1"/>
  <c r="GV119" i="1"/>
  <c r="GV118" i="1"/>
  <c r="FS119" i="1"/>
  <c r="FS118" i="1"/>
  <c r="CC119" i="1"/>
  <c r="CC118" i="1"/>
  <c r="ED119" i="1"/>
  <c r="ED118" i="1"/>
  <c r="F55" i="4"/>
  <c r="F155" i="1"/>
  <c r="F58" i="4" s="1"/>
  <c r="HX118" i="1"/>
  <c r="HX119" i="1"/>
  <c r="J154" i="1"/>
  <c r="J57" i="4" s="1"/>
  <c r="J141" i="1"/>
  <c r="J43" i="4" s="1"/>
  <c r="ID119" i="1"/>
  <c r="ID118" i="1"/>
  <c r="I154" i="1"/>
  <c r="I57" i="4" s="1"/>
  <c r="I141" i="1"/>
  <c r="I43" i="4" s="1"/>
  <c r="I55" i="4"/>
  <c r="I155" i="1"/>
  <c r="I58" i="4" s="1"/>
  <c r="E55" i="4"/>
  <c r="E155" i="1"/>
  <c r="E58" i="4" s="1"/>
  <c r="C141" i="1" l="1"/>
  <c r="C43" i="4" s="1"/>
  <c r="C154" i="1"/>
  <c r="C57" i="4" s="1"/>
  <c r="D141" i="1"/>
  <c r="D43" i="4" s="1"/>
  <c r="D154" i="1"/>
  <c r="D57" i="4" s="1"/>
  <c r="F154" i="1"/>
  <c r="F57" i="4" s="1"/>
  <c r="F141" i="1"/>
  <c r="F43" i="4" s="1"/>
  <c r="E154" i="1"/>
  <c r="E57" i="4" s="1"/>
  <c r="E141" i="1"/>
  <c r="E43" i="4" s="1"/>
  <c r="B141" i="1"/>
  <c r="B43" i="4" s="1"/>
  <c r="B154" i="1"/>
  <c r="B57" i="4" s="1"/>
  <c r="H154" i="1"/>
  <c r="H57" i="4" s="1"/>
  <c r="H141" i="1"/>
  <c r="H43" i="4" s="1"/>
  <c r="K141" i="1"/>
  <c r="K43" i="4" s="1"/>
  <c r="K154" i="1"/>
  <c r="K57" i="4" s="1"/>
</calcChain>
</file>

<file path=xl/sharedStrings.xml><?xml version="1.0" encoding="utf-8"?>
<sst xmlns="http://schemas.openxmlformats.org/spreadsheetml/2006/main" count="2694" uniqueCount="414">
  <si>
    <t>HKG 5</t>
  </si>
  <si>
    <t>n</t>
  </si>
  <si>
    <t>HKG 1</t>
  </si>
  <si>
    <t>Diff. HKG 1 [%]</t>
  </si>
  <si>
    <t>HKG 2</t>
  </si>
  <si>
    <t>Diff. HKG 2 [%]</t>
  </si>
  <si>
    <t>HKG 3</t>
  </si>
  <si>
    <t>Diff. HKG 3 [%]</t>
  </si>
  <si>
    <t>HKG 4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</si>
  <si>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</si>
  <si>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</si>
  <si>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</si>
  <si>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</si>
  <si>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</si>
  <si>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</si>
  <si>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</si>
  <si>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</si>
  <si>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</si>
  <si>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sample 10</t>
  </si>
  <si>
    <t>sample 11</t>
  </si>
  <si>
    <t>sample 12</t>
  </si>
  <si>
    <t>sample 13</t>
  </si>
  <si>
    <t>sample 14</t>
  </si>
  <si>
    <t>sample 15</t>
  </si>
  <si>
    <t>sample 16</t>
  </si>
  <si>
    <t>sample 17</t>
  </si>
  <si>
    <t>sample 18</t>
  </si>
  <si>
    <t>sample 19</t>
  </si>
  <si>
    <t>sample 20</t>
  </si>
  <si>
    <t>sample 21</t>
  </si>
  <si>
    <t>sample 22</t>
  </si>
  <si>
    <t>sample 23</t>
  </si>
  <si>
    <t>sample 24</t>
  </si>
  <si>
    <t>sample 25</t>
  </si>
  <si>
    <t>sample 26</t>
  </si>
  <si>
    <t>sample 27</t>
  </si>
  <si>
    <t>sample 28</t>
  </si>
  <si>
    <t>sample 29</t>
  </si>
  <si>
    <t>sample 30</t>
  </si>
  <si>
    <t>sample 31</t>
  </si>
  <si>
    <t>sample 32</t>
  </si>
  <si>
    <t>sample 33</t>
  </si>
  <si>
    <t>sample 34</t>
  </si>
  <si>
    <t>sample 35</t>
  </si>
  <si>
    <t>sample 36</t>
  </si>
  <si>
    <t>sample 37</t>
  </si>
  <si>
    <t>sample 38</t>
  </si>
  <si>
    <t>sample 39</t>
  </si>
  <si>
    <t>sample 40</t>
  </si>
  <si>
    <t>sample 41</t>
  </si>
  <si>
    <t>sample 42</t>
  </si>
  <si>
    <t>sample 43</t>
  </si>
  <si>
    <t>sample 44</t>
  </si>
  <si>
    <t>sample 45</t>
  </si>
  <si>
    <t>sample 46</t>
  </si>
  <si>
    <t>sample 47</t>
  </si>
  <si>
    <t>sample 48</t>
  </si>
  <si>
    <t>sample 49</t>
  </si>
  <si>
    <t>sample 50</t>
  </si>
  <si>
    <t>sample 51</t>
  </si>
  <si>
    <t>sample 52</t>
  </si>
  <si>
    <t>sample 53</t>
  </si>
  <si>
    <t>sample 54</t>
  </si>
  <si>
    <t>sample 55</t>
  </si>
  <si>
    <t>sample 56</t>
  </si>
  <si>
    <t>sample 57</t>
  </si>
  <si>
    <t>sample 58</t>
  </si>
  <si>
    <t>sample 59</t>
  </si>
  <si>
    <t>sample 60</t>
  </si>
  <si>
    <t>sample 61</t>
  </si>
  <si>
    <t>sample 62</t>
  </si>
  <si>
    <t>sample 63</t>
  </si>
  <si>
    <t>sample 64</t>
  </si>
  <si>
    <t>sample 65</t>
  </si>
  <si>
    <t>sample 66</t>
  </si>
  <si>
    <t>sample 67</t>
  </si>
  <si>
    <t>sample 68</t>
  </si>
  <si>
    <t>sample 69</t>
  </si>
  <si>
    <t>sample 70</t>
  </si>
  <si>
    <t>sample 71</t>
  </si>
  <si>
    <t>sample 72</t>
  </si>
  <si>
    <t>sample 73</t>
  </si>
  <si>
    <t>sample 74</t>
  </si>
  <si>
    <t>sample 75</t>
  </si>
  <si>
    <t>sample 76</t>
  </si>
  <si>
    <t>sample 77</t>
  </si>
  <si>
    <t>sample 78</t>
  </si>
  <si>
    <t>sample 79</t>
  </si>
  <si>
    <t>sample 80</t>
  </si>
  <si>
    <t>sample 81</t>
  </si>
  <si>
    <t>sample 82</t>
  </si>
  <si>
    <t>sample 83</t>
  </si>
  <si>
    <t>sample 84</t>
  </si>
  <si>
    <t>sample 85</t>
  </si>
  <si>
    <t>sample 86</t>
  </si>
  <si>
    <t>sample 87</t>
  </si>
  <si>
    <t>sample 88</t>
  </si>
  <si>
    <t>sample 89</t>
  </si>
  <si>
    <t>sample 90</t>
  </si>
  <si>
    <t>sample 91</t>
  </si>
  <si>
    <t>sample 92</t>
  </si>
  <si>
    <t>sample 93</t>
  </si>
  <si>
    <t>sample 94</t>
  </si>
  <si>
    <t>sample 95</t>
  </si>
  <si>
    <t>sample 96</t>
  </si>
  <si>
    <t>sample 97</t>
  </si>
  <si>
    <t>sample 98</t>
  </si>
  <si>
    <t>sample 99</t>
  </si>
  <si>
    <t>sample 100</t>
  </si>
  <si>
    <t>-</t>
  </si>
  <si>
    <t>p-value</t>
  </si>
  <si>
    <t>N</t>
  </si>
  <si>
    <t>sum</t>
  </si>
  <si>
    <t>mean</t>
  </si>
  <si>
    <t>sums of X^2 and Y^2</t>
  </si>
  <si>
    <t>SS[X], SS[Y], SC[XY]</t>
  </si>
  <si>
    <t>variance</t>
  </si>
  <si>
    <t>standard deviation</t>
  </si>
  <si>
    <t xml:space="preserve">r  </t>
  </si>
  <si>
    <t xml:space="preserve">t </t>
  </si>
  <si>
    <t xml:space="preserve">r^2  </t>
  </si>
  <si>
    <t>P(1-tailed)</t>
  </si>
  <si>
    <t xml:space="preserve">intercept  </t>
  </si>
  <si>
    <t>P(2-tailed)</t>
  </si>
  <si>
    <t xml:space="preserve">slope  </t>
  </si>
  <si>
    <t xml:space="preserve">SE  </t>
  </si>
  <si>
    <t>HKG 10</t>
  </si>
  <si>
    <t>Diff. HKG 10 [%]</t>
  </si>
  <si>
    <t>Diff. HKG 9 [%]</t>
  </si>
  <si>
    <t>HKG 9</t>
  </si>
  <si>
    <t>Diff. HKG 8 [%]</t>
  </si>
  <si>
    <t>HKG 8</t>
  </si>
  <si>
    <t>Diff. HKG 6 [%]</t>
  </si>
  <si>
    <t>HKG 6</t>
  </si>
  <si>
    <t>Diff. HKG 5 [%]</t>
  </si>
  <si>
    <t>Diff. HKG 4 [%]</t>
  </si>
  <si>
    <t>Diff. HKG 1 [CP]</t>
  </si>
  <si>
    <t>Diff. HKG 2 [CP]</t>
  </si>
  <si>
    <t>Diff. HKG 3 [CP]</t>
  </si>
  <si>
    <t>Diff. HKG 4 [CP]</t>
  </si>
  <si>
    <t>Diff. HKG 5 [CP]</t>
  </si>
  <si>
    <t>Diff. HKG 6 [CP]</t>
  </si>
  <si>
    <t>HKG 7</t>
  </si>
  <si>
    <t>Diff. HKG 7 [%]</t>
  </si>
  <si>
    <t>Diff. HKG 7 [CP]</t>
  </si>
  <si>
    <t>Diff. HKG 8 [CP]</t>
  </si>
  <si>
    <t>Diff. HKG 9 [CP]</t>
  </si>
  <si>
    <t>Diff. HKG 10 [CP]</t>
  </si>
  <si>
    <t>Pearson correlation coefficient ( r )</t>
  </si>
  <si>
    <t>BestKeeper</t>
  </si>
  <si>
    <t>Var. [CP]</t>
  </si>
  <si>
    <t>Pearson</t>
  </si>
  <si>
    <t>HKG 1*2</t>
  </si>
  <si>
    <t>HKG 1*3</t>
  </si>
  <si>
    <t>HKG 1*4</t>
  </si>
  <si>
    <t>HKG 1*5</t>
  </si>
  <si>
    <t>geo Mean [CP]</t>
  </si>
  <si>
    <t>ar Mean [CP]</t>
  </si>
  <si>
    <t>min [CP]</t>
  </si>
  <si>
    <t>max [CP]</t>
  </si>
  <si>
    <t>HKG 1*6</t>
  </si>
  <si>
    <t>HKG 1*7</t>
  </si>
  <si>
    <t>HKG 1*8</t>
  </si>
  <si>
    <t>HKG 1*9</t>
  </si>
  <si>
    <t>HKG 1*10</t>
  </si>
  <si>
    <t>BK</t>
  </si>
  <si>
    <t>HKG 1*BK</t>
  </si>
  <si>
    <t>Column data:</t>
  </si>
  <si>
    <t>HKG 2*3</t>
  </si>
  <si>
    <t>HKG 2*BK</t>
  </si>
  <si>
    <t>HKG 2*10</t>
  </si>
  <si>
    <t>HKG 2*9</t>
  </si>
  <si>
    <t>HKG 2*8</t>
  </si>
  <si>
    <t>HKG 2*7</t>
  </si>
  <si>
    <t>HKG 2*6</t>
  </si>
  <si>
    <t>HKG 2*5</t>
  </si>
  <si>
    <t>HKG 2*4</t>
  </si>
  <si>
    <t>HKG 3*BK</t>
  </si>
  <si>
    <t>HKG 3*10</t>
  </si>
  <si>
    <t>HKG 3*9</t>
  </si>
  <si>
    <t>HKG 3*8</t>
  </si>
  <si>
    <t>HKG 3*7</t>
  </si>
  <si>
    <t>HKG 3*6</t>
  </si>
  <si>
    <t>HKG 3*5</t>
  </si>
  <si>
    <t>HKG 3*4</t>
  </si>
  <si>
    <t>vs.</t>
  </si>
  <si>
    <t>HKG 4*BK</t>
  </si>
  <si>
    <t>HKG 4*10</t>
  </si>
  <si>
    <t>HKG 4*9</t>
  </si>
  <si>
    <t>HKG 4*8</t>
  </si>
  <si>
    <t>HKG 4*7</t>
  </si>
  <si>
    <t>HKG 4*6</t>
  </si>
  <si>
    <t>HKG 4*5</t>
  </si>
  <si>
    <t>HKG 5*6</t>
  </si>
  <si>
    <t>HKG 5*7</t>
  </si>
  <si>
    <t>HKG 5*8</t>
  </si>
  <si>
    <t>HKG 5*9</t>
  </si>
  <si>
    <t>HKG 5*10</t>
  </si>
  <si>
    <t>HKG 5*BK</t>
  </si>
  <si>
    <t>HKG 6*BK</t>
  </si>
  <si>
    <t>HKG 6*10</t>
  </si>
  <si>
    <t>HKG 6*9</t>
  </si>
  <si>
    <t>HKG 6*8</t>
  </si>
  <si>
    <t>HKG 6*7</t>
  </si>
  <si>
    <t>HKG 7*8</t>
  </si>
  <si>
    <t>HKG 7*9</t>
  </si>
  <si>
    <t>HKG 7*10</t>
  </si>
  <si>
    <t>HKG 7*BK</t>
  </si>
  <si>
    <t>HKG 8*9</t>
  </si>
  <si>
    <t>HKG 8*10</t>
  </si>
  <si>
    <t>HKG 8*BK</t>
  </si>
  <si>
    <t>HKG 9*10</t>
  </si>
  <si>
    <t>HKG 9*BK</t>
  </si>
  <si>
    <t>HKG 10*BK</t>
  </si>
  <si>
    <t>Direct download (mirror)</t>
  </si>
  <si>
    <t>Direct support</t>
  </si>
  <si>
    <t>http://www.wzw.tum.de/gene-quantification</t>
  </si>
  <si>
    <t>gene.quantification@wzw.tum.de</t>
  </si>
  <si>
    <t>name of the gene</t>
  </si>
  <si>
    <t>BestKeeper ©  - version 1</t>
  </si>
  <si>
    <t>Target Genes</t>
  </si>
  <si>
    <t>efficiency of</t>
  </si>
  <si>
    <t>Housekeeping genes</t>
  </si>
  <si>
    <t>Var. [% CP]</t>
  </si>
  <si>
    <t>--</t>
  </si>
  <si>
    <t>Var [x-fold]</t>
  </si>
  <si>
    <t>CV [% CP]</t>
  </si>
  <si>
    <t>TG 1</t>
  </si>
  <si>
    <t>TG 2</t>
  </si>
  <si>
    <t>TG 3</t>
  </si>
  <si>
    <t>TG 4</t>
  </si>
  <si>
    <t>TG 5</t>
  </si>
  <si>
    <t>TG 6</t>
  </si>
  <si>
    <t>TG 7</t>
  </si>
  <si>
    <t>TG 8</t>
  </si>
  <si>
    <t>TG 9</t>
  </si>
  <si>
    <t>TG 10</t>
  </si>
  <si>
    <t>TG3</t>
  </si>
  <si>
    <t>TG10</t>
  </si>
  <si>
    <t>Diff. TG 1 [CP]</t>
  </si>
  <si>
    <t>Diff. TG 1 [%]</t>
  </si>
  <si>
    <t>Diff. TG 2 [CP]</t>
  </si>
  <si>
    <t>Diff. TG 2 [%]</t>
  </si>
  <si>
    <t>Diff. TG 3 [CP]</t>
  </si>
  <si>
    <t>Diff. TG 3 [%]</t>
  </si>
  <si>
    <t>Diff. TG 4 [CP]</t>
  </si>
  <si>
    <t>Diff. TG 4 [%]</t>
  </si>
  <si>
    <t>Diff. TG 5 [CP]</t>
  </si>
  <si>
    <t>Diff. TG 5 [%]</t>
  </si>
  <si>
    <t>Diff. TG 6 [CP]</t>
  </si>
  <si>
    <t>Diff. TG 6 [%]</t>
  </si>
  <si>
    <t>Diff. TG 7 [CP]</t>
  </si>
  <si>
    <t>Diff. TG 7 [%]</t>
  </si>
  <si>
    <t>Diff. TG 8 [CP]</t>
  </si>
  <si>
    <t>Diff. TG 8 [%]</t>
  </si>
  <si>
    <t>Diff. TG 9 [CP]</t>
  </si>
  <si>
    <t>Diff. TG 9 [%]</t>
  </si>
  <si>
    <t>Diff. TG 10 [CP]</t>
  </si>
  <si>
    <t>Diff. TG 10 [%]</t>
  </si>
  <si>
    <t>TG 1*2</t>
  </si>
  <si>
    <t>TG 1*3</t>
  </si>
  <si>
    <t>TG 1*4</t>
  </si>
  <si>
    <t>TG 1*5</t>
  </si>
  <si>
    <t>TG 1*6</t>
  </si>
  <si>
    <t>TG 1*7</t>
  </si>
  <si>
    <t>TG 1*8</t>
  </si>
  <si>
    <t>TG 1*9</t>
  </si>
  <si>
    <t>TG 1*10</t>
  </si>
  <si>
    <t>TG 1*BK</t>
  </si>
  <si>
    <t>TG 2*3</t>
  </si>
  <si>
    <t>TG 2*4</t>
  </si>
  <si>
    <t>TG 2*5</t>
  </si>
  <si>
    <t>TG 2*6</t>
  </si>
  <si>
    <t>TG 2*7</t>
  </si>
  <si>
    <t>TG 2*8</t>
  </si>
  <si>
    <t>TG 2*9</t>
  </si>
  <si>
    <t>TG 2*10</t>
  </si>
  <si>
    <t>TG 2*BK</t>
  </si>
  <si>
    <t>TG 3*4</t>
  </si>
  <si>
    <t>TG 3*5</t>
  </si>
  <si>
    <t>TG 3*6</t>
  </si>
  <si>
    <t>TG 3*7</t>
  </si>
  <si>
    <t>TG 3*8</t>
  </si>
  <si>
    <t>TG 3*9</t>
  </si>
  <si>
    <t>TG 3*10</t>
  </si>
  <si>
    <t>TG 3*BK</t>
  </si>
  <si>
    <t>TG 4*5</t>
  </si>
  <si>
    <t>TG 4*6</t>
  </si>
  <si>
    <t>TG 4*7</t>
  </si>
  <si>
    <t>TG 4*8</t>
  </si>
  <si>
    <t>TG 4*9</t>
  </si>
  <si>
    <t>TG 4*10</t>
  </si>
  <si>
    <t>TG 4*BK</t>
  </si>
  <si>
    <t>TG 5*6</t>
  </si>
  <si>
    <t>TG 5*7</t>
  </si>
  <si>
    <t>TG 5*8</t>
  </si>
  <si>
    <t>TG 5*9</t>
  </si>
  <si>
    <t>TG 5*10</t>
  </si>
  <si>
    <t>TG 5*BK</t>
  </si>
  <si>
    <t>TG 6*7</t>
  </si>
  <si>
    <t>TG 6*8</t>
  </si>
  <si>
    <t>TG 6*9</t>
  </si>
  <si>
    <t>TG 6*10</t>
  </si>
  <si>
    <t>TG 6*BK</t>
  </si>
  <si>
    <t>TG 7*8</t>
  </si>
  <si>
    <t>TG 7*9</t>
  </si>
  <si>
    <t>TG 7*10</t>
  </si>
  <si>
    <t>TG 7*BK</t>
  </si>
  <si>
    <t>TG 8*9</t>
  </si>
  <si>
    <t>TG 8*10</t>
  </si>
  <si>
    <t>TG 8*BK</t>
  </si>
  <si>
    <t>TG 9*10</t>
  </si>
  <si>
    <t>TG 9*BK</t>
  </si>
  <si>
    <t>TG 10*BK</t>
  </si>
  <si>
    <t>Target Gene(s) = blue</t>
  </si>
  <si>
    <t>min [x-fold]</t>
  </si>
  <si>
    <t>max [x-fold]</t>
  </si>
  <si>
    <t>Pearson Correlation Coefficient</t>
  </si>
  <si>
    <t>BK*HKG 1</t>
  </si>
  <si>
    <t>BK*HKG 2</t>
  </si>
  <si>
    <t>BK*HKG 10</t>
  </si>
  <si>
    <t>BK*HKG 9</t>
  </si>
  <si>
    <t>BK*HKG 8</t>
  </si>
  <si>
    <t>BK*HKG 7</t>
  </si>
  <si>
    <t>BK*HKG 6</t>
  </si>
  <si>
    <t>BK*HKG 5</t>
  </si>
  <si>
    <t>BK*HKG 4</t>
  </si>
  <si>
    <t>BK*HKG 3</t>
  </si>
  <si>
    <t>std dev [± CP]</t>
  </si>
  <si>
    <t>Var. [± CP]</t>
  </si>
  <si>
    <t>Var. [ ± % CP]</t>
  </si>
  <si>
    <t>Var. [± x-fold]</t>
  </si>
  <si>
    <t>Regression Analysis:    HKG vs. BestKeeper</t>
  </si>
  <si>
    <t>intercept [CP]</t>
  </si>
  <si>
    <t>slope [CP]</t>
  </si>
  <si>
    <t>SE [CP]</t>
  </si>
  <si>
    <t>coeff. of corr. [r]</t>
  </si>
  <si>
    <t>coeff. of det. [r^2]</t>
  </si>
  <si>
    <t>Housekeeping Gene(s) = black</t>
  </si>
  <si>
    <t>BK*TG 1</t>
  </si>
  <si>
    <t>BK*TG 2</t>
  </si>
  <si>
    <t>BK*TG 3</t>
  </si>
  <si>
    <t>BK*TG 4</t>
  </si>
  <si>
    <t>BK*TG 5</t>
  </si>
  <si>
    <t>BK*TG 6</t>
  </si>
  <si>
    <t>BK*TG 7</t>
  </si>
  <si>
    <t>BK*TG 8</t>
  </si>
  <si>
    <t>BK*TG 9</t>
  </si>
  <si>
    <t>BK*TG 10</t>
  </si>
  <si>
    <t>Regression of TG vs BK</t>
  </si>
  <si>
    <t>Regression of HKG vs BK</t>
  </si>
  <si>
    <t>std dev [± x-fold]</t>
  </si>
  <si>
    <t>CP data of Target Genes:</t>
  </si>
  <si>
    <t>CP data of housekeeping Genes:</t>
  </si>
  <si>
    <t>Regression Analysis:    TG vs. BestKeeper</t>
  </si>
  <si>
    <t>print result pages</t>
  </si>
  <si>
    <t>print HKG data input pages</t>
  </si>
  <si>
    <t>Target Gene 10</t>
  </si>
  <si>
    <t>print TG data input pages</t>
  </si>
  <si>
    <t>CP data input:</t>
  </si>
  <si>
    <t>Publication</t>
  </si>
  <si>
    <t>BestKeeper  vs.</t>
  </si>
  <si>
    <t>Regression Analysis:    BestKeeper  vs. Target genes</t>
  </si>
  <si>
    <t>© 2003 M.W. Pfaffl</t>
  </si>
  <si>
    <t>Determination of the "most stable" Housekeeping Genes in in real-time PCR by using Repeated Pair-wise Correlation Analysis.</t>
  </si>
  <si>
    <r>
      <t xml:space="preserve">Repeated Pair-wise Correlation &amp; Regression Analysis of the </t>
    </r>
    <r>
      <rPr>
        <b/>
        <i/>
        <sz val="10"/>
        <color indexed="16"/>
        <rFont val="Arial"/>
        <family val="2"/>
      </rPr>
      <t>BestKeeper vs. Housekeeping Genes</t>
    </r>
  </si>
  <si>
    <r>
      <t xml:space="preserve">Repeated Pair-wise Correlation &amp; Regression Analysis of the </t>
    </r>
    <r>
      <rPr>
        <b/>
        <i/>
        <sz val="10"/>
        <color indexed="16"/>
        <rFont val="Arial"/>
        <family val="2"/>
      </rPr>
      <t>BestKeeper vs. Target Genes</t>
    </r>
  </si>
  <si>
    <r>
      <t>Result - Sample integrity:</t>
    </r>
    <r>
      <rPr>
        <sz val="12"/>
        <color indexed="16"/>
        <rFont val="Arial"/>
        <family val="2"/>
      </rPr>
      <t xml:space="preserve">  Variation [InVar] based on selected Housekeeping Genes</t>
    </r>
  </si>
  <si>
    <r>
      <t xml:space="preserve">Determination of sample intergrity, by specific </t>
    </r>
    <r>
      <rPr>
        <b/>
        <sz val="10"/>
        <color indexed="16"/>
        <rFont val="Arial"/>
        <family val="2"/>
      </rPr>
      <t xml:space="preserve">Housekeeping </t>
    </r>
    <r>
      <rPr>
        <b/>
        <i/>
        <sz val="10"/>
        <color indexed="16"/>
        <rFont val="Arial"/>
        <family val="2"/>
      </rPr>
      <t>Gene expression variation [InVar]</t>
    </r>
  </si>
  <si>
    <r>
      <t xml:space="preserve">Calculation of the geometric average of the "best" Housekeeping Genes CPs  =&gt; </t>
    </r>
    <r>
      <rPr>
        <b/>
        <i/>
        <sz val="10"/>
        <color indexed="16"/>
        <rFont val="Arial"/>
        <family val="2"/>
      </rPr>
      <t>CP Index = BestKeeper</t>
    </r>
  </si>
  <si>
    <r>
      <t xml:space="preserve">Determination of the "most stable" Housekeeping Genes in in real-time PCR by using </t>
    </r>
    <r>
      <rPr>
        <b/>
        <i/>
        <sz val="10"/>
        <color indexed="16"/>
        <rFont val="Arial"/>
        <family val="2"/>
      </rPr>
      <t>Repeated Pair-wise Correlation Analysis</t>
    </r>
  </si>
  <si>
    <t>HKG  8</t>
  </si>
  <si>
    <t>HKG  9</t>
  </si>
  <si>
    <t>HKG  7</t>
  </si>
  <si>
    <t>HKG  6</t>
  </si>
  <si>
    <t>HKG  5</t>
  </si>
  <si>
    <t>HKG  4</t>
  </si>
  <si>
    <t>HKG  3</t>
  </si>
  <si>
    <t>HKG  2</t>
  </si>
  <si>
    <t>HKG  1</t>
  </si>
  <si>
    <t>Target Gene  1</t>
  </si>
  <si>
    <t>Target Gene  2</t>
  </si>
  <si>
    <t>Target Gene  3</t>
  </si>
  <si>
    <t>Target Gene  4</t>
  </si>
  <si>
    <t>Target Gene  5</t>
  </si>
  <si>
    <t>Target Gene  6</t>
  </si>
  <si>
    <t>Target Gene  7</t>
  </si>
  <si>
    <t>Target Gene  8</t>
  </si>
  <si>
    <t>Target Gene  9</t>
  </si>
  <si>
    <r>
      <t xml:space="preserve">Calculation of the geometric average of the "most stable" Housekeeping Genes  =&gt; </t>
    </r>
    <r>
      <rPr>
        <b/>
        <i/>
        <sz val="12"/>
        <color indexed="16"/>
        <rFont val="Arial"/>
        <family val="2"/>
      </rPr>
      <t>CP Index = BestKeeper</t>
    </r>
  </si>
  <si>
    <t>InVar. [± CP]</t>
  </si>
  <si>
    <t>InVar. [ ± % CP]</t>
  </si>
  <si>
    <t>InVar. [± x-fold]</t>
  </si>
  <si>
    <r>
      <t>Result - Genes:</t>
    </r>
    <r>
      <rPr>
        <sz val="12"/>
        <color indexed="16"/>
        <rFont val="Arial"/>
        <family val="2"/>
      </rPr>
      <t xml:space="preserve"> Repeated Pair-wise Correlation Analysis &amp; Regression Analysis of </t>
    </r>
    <r>
      <rPr>
        <b/>
        <i/>
        <sz val="12"/>
        <color indexed="16"/>
        <rFont val="Arial"/>
        <family val="2"/>
      </rPr>
      <t>BestKeeper</t>
    </r>
    <r>
      <rPr>
        <b/>
        <sz val="12"/>
        <color indexed="16"/>
        <rFont val="Arial"/>
        <family val="2"/>
      </rPr>
      <t xml:space="preserve"> vs. Housekeeping Genes</t>
    </r>
  </si>
  <si>
    <r>
      <t xml:space="preserve">Repeated Pair-wise Correlation Analysis of </t>
    </r>
    <r>
      <rPr>
        <b/>
        <sz val="12"/>
        <color indexed="16"/>
        <rFont val="Arial"/>
        <family val="2"/>
      </rPr>
      <t xml:space="preserve">   </t>
    </r>
    <r>
      <rPr>
        <b/>
        <i/>
        <sz val="12"/>
        <color indexed="16"/>
        <rFont val="Arial"/>
        <family val="2"/>
      </rPr>
      <t>BestKeeper</t>
    </r>
    <r>
      <rPr>
        <b/>
        <sz val="12"/>
        <color indexed="16"/>
        <rFont val="Arial"/>
        <family val="2"/>
      </rPr>
      <t xml:space="preserve">   vs.  Target Genes.</t>
    </r>
  </si>
  <si>
    <t>Power [x-fold]</t>
  </si>
  <si>
    <t>Power of HKG [x-fold]</t>
  </si>
  <si>
    <t>Power of TG [x-fold]</t>
  </si>
  <si>
    <t>qPCR</t>
  </si>
  <si>
    <t>© 2004 M.W. Pfaffl</t>
  </si>
  <si>
    <t>Biotechnology Letters 26: 509-512</t>
  </si>
  <si>
    <t>http://bioinformatics.gene-quantification.info/bestkeeper.html</t>
  </si>
  <si>
    <t>http://www.wzw.tum.de/gene-quantification/bestkeeper.html</t>
  </si>
  <si>
    <r>
      <t xml:space="preserve">BestKeeper:   </t>
    </r>
    <r>
      <rPr>
        <sz val="10"/>
        <color indexed="16"/>
        <rFont val="Arial"/>
        <family val="2"/>
      </rPr>
      <t>Repeated Pair-wise Correlation Analysis is efficiency corrected real-time qPCR</t>
    </r>
  </si>
  <si>
    <t>ACTB</t>
  </si>
  <si>
    <t>SDHA</t>
  </si>
  <si>
    <t>HPRT1</t>
  </si>
  <si>
    <t>UBC</t>
  </si>
  <si>
    <t>PGK1</t>
  </si>
  <si>
    <t>PPIA</t>
  </si>
  <si>
    <t>ATP5B</t>
  </si>
  <si>
    <t>GUSB</t>
  </si>
  <si>
    <t>GAPDH</t>
  </si>
  <si>
    <t>YWHAZ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</si>
</sst>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"/>
    <numFmt numFmtId="166" formatCode="0.00000"/>
  </numFmts>
  <fonts count="32" x14ac:knownFonts="1">
    <font>
      <sz val="10"/>
      <name val="Arial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62"/>
      <name val="Arial"/>
      <family val="2"/>
    </font>
    <font>
      <u/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0"/>
      <color indexed="62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6"/>
      <name val="Arial"/>
      <family val="2"/>
    </font>
    <font>
      <b/>
      <i/>
      <sz val="10"/>
      <color indexed="16"/>
      <name val="Arial"/>
      <family val="2"/>
    </font>
    <font>
      <b/>
      <sz val="10"/>
      <color indexed="18"/>
      <name val="Arial"/>
      <family val="2"/>
    </font>
    <font>
      <sz val="10"/>
      <color indexed="18"/>
      <name val="Arial"/>
      <family val="2"/>
    </font>
    <font>
      <b/>
      <i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i/>
      <sz val="10"/>
      <color indexed="62"/>
      <name val="Arial"/>
      <family val="2"/>
    </font>
    <font>
      <b/>
      <sz val="10"/>
      <color indexed="22"/>
      <name val="Arial"/>
      <family val="2"/>
    </font>
    <font>
      <sz val="10"/>
      <color indexed="16"/>
      <name val="Arial"/>
      <family val="2"/>
    </font>
    <font>
      <b/>
      <i/>
      <sz val="10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16"/>
      <color indexed="16"/>
      <name val="Arial"/>
      <family val="2"/>
    </font>
    <font>
      <b/>
      <sz val="12"/>
      <color indexed="16"/>
      <name val="Arial"/>
      <family val="2"/>
    </font>
    <font>
      <sz val="12"/>
      <color indexed="16"/>
      <name val="Arial"/>
      <family val="2"/>
    </font>
    <font>
      <b/>
      <i/>
      <sz val="12"/>
      <color indexed="16"/>
      <name val="Arial"/>
      <family val="2"/>
    </font>
    <font>
      <b/>
      <i/>
      <sz val="12"/>
      <color indexed="18"/>
      <name val="Arial"/>
      <family val="2"/>
    </font>
    <font>
      <b/>
      <i/>
      <sz val="12"/>
      <color indexed="62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99">
    <xf numFmtId="0" fontId="0" fillId="0" borderId="0" xfId="0"/>
    <xf numFmtId="0" fontId="2" fillId="0" borderId="0" xfId="0" applyNumberFormat="1" applyFont="1"/>
    <xf numFmtId="164" fontId="2" fillId="0" borderId="0" xfId="0" applyNumberFormat="1" applyFont="1"/>
    <xf numFmtId="0" fontId="2" fillId="0" borderId="0" xfId="0" applyFont="1"/>
    <xf numFmtId="2" fontId="3" fillId="0" borderId="0" xfId="0" applyNumberFormat="1" applyFont="1" applyFill="1" applyAlignment="1">
      <alignment horizontal="center"/>
    </xf>
    <xf numFmtId="2" fontId="2" fillId="0" borderId="0" xfId="0" applyNumberFormat="1" applyFont="1" applyFill="1"/>
    <xf numFmtId="0" fontId="2" fillId="0" borderId="0" xfId="0" applyFont="1" applyFill="1"/>
    <xf numFmtId="2" fontId="3" fillId="2" borderId="0" xfId="0" applyNumberFormat="1" applyFont="1" applyFill="1" applyAlignment="1">
      <alignment horizontal="center"/>
    </xf>
    <xf numFmtId="2" fontId="2" fillId="0" borderId="1" xfId="0" applyNumberFormat="1" applyFont="1" applyBorder="1"/>
    <xf numFmtId="2" fontId="2" fillId="0" borderId="2" xfId="0" applyNumberFormat="1" applyFont="1" applyBorder="1"/>
    <xf numFmtId="2" fontId="2" fillId="0" borderId="0" xfId="0" applyNumberFormat="1" applyFont="1"/>
    <xf numFmtId="2" fontId="2" fillId="0" borderId="0" xfId="0" applyNumberFormat="1" applyFont="1" applyBorder="1"/>
    <xf numFmtId="166" fontId="3" fillId="0" borderId="0" xfId="0" applyNumberFormat="1" applyFont="1" applyAlignment="1">
      <alignment horizontal="left"/>
    </xf>
    <xf numFmtId="166" fontId="2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left"/>
    </xf>
    <xf numFmtId="166" fontId="2" fillId="0" borderId="0" xfId="0" applyNumberFormat="1" applyFont="1" applyAlignment="1">
      <alignment horizontal="right"/>
    </xf>
    <xf numFmtId="166" fontId="3" fillId="0" borderId="0" xfId="0" applyNumberFormat="1" applyFont="1" applyAlignment="1">
      <alignment horizontal="right"/>
    </xf>
    <xf numFmtId="165" fontId="3" fillId="0" borderId="0" xfId="0" applyNumberFormat="1" applyFont="1" applyAlignment="1">
      <alignment horizontal="left"/>
    </xf>
    <xf numFmtId="166" fontId="2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4" fillId="0" borderId="0" xfId="0" applyNumberFormat="1" applyFont="1"/>
    <xf numFmtId="0" fontId="2" fillId="0" borderId="0" xfId="0" applyFont="1" applyBorder="1"/>
    <xf numFmtId="0" fontId="3" fillId="0" borderId="0" xfId="0" applyFont="1" applyBorder="1" applyAlignment="1">
      <alignment horizontal="center"/>
    </xf>
    <xf numFmtId="0" fontId="5" fillId="3" borderId="0" xfId="0" applyFont="1" applyFill="1" applyBorder="1" applyAlignment="1">
      <alignment horizontal="right"/>
    </xf>
    <xf numFmtId="0" fontId="2" fillId="0" borderId="0" xfId="0" applyFont="1" applyBorder="1" applyAlignment="1">
      <alignment horizontal="left"/>
    </xf>
    <xf numFmtId="0" fontId="3" fillId="0" borderId="0" xfId="0" applyFont="1" applyBorder="1" applyAlignment="1">
      <alignment horizontal="right"/>
    </xf>
    <xf numFmtId="2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Protection="1"/>
    <xf numFmtId="0" fontId="2" fillId="0" borderId="0" xfId="0" applyFont="1" applyFill="1" applyAlignment="1" applyProtection="1">
      <alignment horizontal="center"/>
    </xf>
    <xf numFmtId="0" fontId="4" fillId="0" borderId="0" xfId="0" applyFont="1" applyFill="1" applyAlignment="1" applyProtection="1"/>
    <xf numFmtId="0" fontId="2" fillId="0" borderId="0" xfId="0" applyFont="1" applyFill="1" applyProtection="1"/>
    <xf numFmtId="0" fontId="2" fillId="0" borderId="0" xfId="0" applyFont="1" applyFill="1" applyAlignment="1" applyProtection="1"/>
    <xf numFmtId="0" fontId="4" fillId="0" borderId="0" xfId="0" applyFont="1" applyFill="1" applyAlignment="1" applyProtection="1">
      <alignment horizontal="center"/>
    </xf>
    <xf numFmtId="0" fontId="6" fillId="0" borderId="0" xfId="1" applyFont="1" applyFill="1" applyAlignment="1" applyProtection="1"/>
    <xf numFmtId="0" fontId="2" fillId="0" borderId="0" xfId="0" applyFont="1" applyFill="1" applyBorder="1" applyProtection="1"/>
    <xf numFmtId="2" fontId="3" fillId="4" borderId="3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</xf>
    <xf numFmtId="2" fontId="3" fillId="4" borderId="4" xfId="0" applyNumberFormat="1" applyFont="1" applyFill="1" applyBorder="1" applyAlignment="1" applyProtection="1">
      <alignment horizontal="center"/>
      <protection locked="0"/>
    </xf>
    <xf numFmtId="0" fontId="2" fillId="4" borderId="1" xfId="0" applyFont="1" applyFill="1" applyBorder="1" applyProtection="1"/>
    <xf numFmtId="0" fontId="2" fillId="3" borderId="1" xfId="0" applyFont="1" applyFill="1" applyBorder="1" applyProtection="1"/>
    <xf numFmtId="0" fontId="2" fillId="2" borderId="1" xfId="0" applyFont="1" applyFill="1" applyBorder="1" applyProtection="1"/>
    <xf numFmtId="2" fontId="3" fillId="4" borderId="5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Fill="1" applyAlignment="1" applyProtection="1">
      <alignment horizontal="center"/>
    </xf>
    <xf numFmtId="0" fontId="7" fillId="0" borderId="0" xfId="0" applyFont="1" applyFill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9" fillId="3" borderId="0" xfId="0" applyFont="1" applyFill="1" applyBorder="1" applyAlignment="1">
      <alignment horizontal="right"/>
    </xf>
    <xf numFmtId="0" fontId="2" fillId="0" borderId="0" xfId="0" applyFont="1" applyAlignment="1">
      <alignment horizontal="right"/>
    </xf>
    <xf numFmtId="0" fontId="2" fillId="2" borderId="0" xfId="0" applyFont="1" applyFill="1"/>
    <xf numFmtId="2" fontId="10" fillId="2" borderId="0" xfId="0" applyNumberFormat="1" applyFont="1" applyFill="1" applyAlignment="1">
      <alignment horizontal="right"/>
    </xf>
    <xf numFmtId="2" fontId="10" fillId="2" borderId="0" xfId="0" applyNumberFormat="1" applyFont="1" applyFill="1" applyAlignment="1">
      <alignment horizontal="center"/>
    </xf>
    <xf numFmtId="0" fontId="11" fillId="0" borderId="0" xfId="0" applyFont="1"/>
    <xf numFmtId="0" fontId="5" fillId="0" borderId="0" xfId="0" applyFont="1"/>
    <xf numFmtId="0" fontId="12" fillId="0" borderId="0" xfId="0" applyFont="1" applyFill="1" applyAlignment="1" applyProtection="1">
      <alignment horizontal="left"/>
    </xf>
    <xf numFmtId="2" fontId="2" fillId="0" borderId="0" xfId="0" applyNumberFormat="1" applyFont="1" applyAlignment="1">
      <alignment horizontal="center"/>
    </xf>
    <xf numFmtId="1" fontId="2" fillId="0" borderId="0" xfId="0" applyNumberFormat="1" applyFont="1"/>
    <xf numFmtId="0" fontId="3" fillId="0" borderId="0" xfId="0" applyNumberFormat="1" applyFont="1"/>
    <xf numFmtId="2" fontId="10" fillId="0" borderId="0" xfId="0" applyNumberFormat="1" applyFont="1" applyAlignment="1">
      <alignment horizontal="left"/>
    </xf>
    <xf numFmtId="1" fontId="14" fillId="0" borderId="0" xfId="0" applyNumberFormat="1" applyFont="1" applyFill="1" applyAlignment="1">
      <alignment horizontal="center"/>
    </xf>
    <xf numFmtId="2" fontId="9" fillId="0" borderId="0" xfId="0" applyNumberFormat="1" applyFont="1" applyFill="1" applyAlignment="1">
      <alignment horizontal="center"/>
    </xf>
    <xf numFmtId="2" fontId="14" fillId="0" borderId="0" xfId="0" applyNumberFormat="1" applyFont="1" applyFill="1" applyAlignment="1">
      <alignment horizontal="center"/>
    </xf>
    <xf numFmtId="0" fontId="14" fillId="0" borderId="0" xfId="0" applyNumberFormat="1" applyFont="1" applyFill="1" applyAlignment="1">
      <alignment horizontal="center"/>
    </xf>
    <xf numFmtId="164" fontId="14" fillId="0" borderId="0" xfId="0" applyNumberFormat="1" applyFont="1" applyFill="1" applyAlignment="1">
      <alignment horizontal="center"/>
    </xf>
    <xf numFmtId="0" fontId="15" fillId="0" borderId="0" xfId="0" applyFont="1" applyFill="1"/>
    <xf numFmtId="2" fontId="3" fillId="0" borderId="0" xfId="0" applyNumberFormat="1" applyFont="1" applyAlignment="1">
      <alignment horizontal="center"/>
    </xf>
    <xf numFmtId="1" fontId="2" fillId="2" borderId="0" xfId="0" applyNumberFormat="1" applyFont="1" applyFill="1" applyAlignment="1">
      <alignment horizontal="center"/>
    </xf>
    <xf numFmtId="2" fontId="2" fillId="2" borderId="0" xfId="0" applyNumberFormat="1" applyFont="1" applyFill="1" applyAlignment="1">
      <alignment horizontal="center"/>
    </xf>
    <xf numFmtId="2" fontId="2" fillId="5" borderId="0" xfId="0" applyNumberFormat="1" applyFont="1" applyFill="1" applyAlignment="1">
      <alignment horizontal="center"/>
    </xf>
    <xf numFmtId="2" fontId="2" fillId="6" borderId="0" xfId="0" applyNumberFormat="1" applyFont="1" applyFill="1" applyAlignment="1">
      <alignment horizontal="center"/>
    </xf>
    <xf numFmtId="2" fontId="2" fillId="0" borderId="0" xfId="0" applyNumberFormat="1" applyFont="1" applyFill="1" applyAlignment="1">
      <alignment horizontal="center"/>
    </xf>
    <xf numFmtId="1" fontId="2" fillId="0" borderId="0" xfId="0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2" fontId="16" fillId="2" borderId="0" xfId="0" applyNumberFormat="1" applyFont="1" applyFill="1" applyAlignment="1">
      <alignment horizontal="left"/>
    </xf>
    <xf numFmtId="0" fontId="10" fillId="0" borderId="0" xfId="0" applyFont="1" applyFill="1" applyAlignment="1">
      <alignment horizontal="center"/>
    </xf>
    <xf numFmtId="2" fontId="10" fillId="0" borderId="0" xfId="0" applyNumberFormat="1" applyFont="1" applyFill="1" applyAlignment="1">
      <alignment horizontal="center"/>
    </xf>
    <xf numFmtId="2" fontId="2" fillId="7" borderId="0" xfId="0" applyNumberFormat="1" applyFont="1" applyFill="1" applyAlignment="1">
      <alignment horizontal="center"/>
    </xf>
    <xf numFmtId="1" fontId="3" fillId="2" borderId="0" xfId="0" applyNumberFormat="1" applyFont="1" applyFill="1" applyAlignment="1">
      <alignment horizontal="center"/>
    </xf>
    <xf numFmtId="1" fontId="2" fillId="0" borderId="0" xfId="0" applyNumberFormat="1" applyFont="1" applyAlignment="1">
      <alignment horizontal="center"/>
    </xf>
    <xf numFmtId="164" fontId="3" fillId="0" borderId="0" xfId="0" applyNumberFormat="1" applyFont="1" applyFill="1" applyAlignment="1">
      <alignment horizontal="center"/>
    </xf>
    <xf numFmtId="164" fontId="3" fillId="0" borderId="0" xfId="0" applyNumberFormat="1" applyFont="1" applyAlignment="1">
      <alignment horizontal="right"/>
    </xf>
    <xf numFmtId="1" fontId="3" fillId="2" borderId="0" xfId="0" quotePrefix="1" applyNumberFormat="1" applyFont="1" applyFill="1" applyAlignment="1">
      <alignment horizontal="center"/>
    </xf>
    <xf numFmtId="1" fontId="2" fillId="0" borderId="0" xfId="0" applyNumberFormat="1" applyFont="1" applyFill="1"/>
    <xf numFmtId="2" fontId="3" fillId="3" borderId="0" xfId="0" applyNumberFormat="1" applyFont="1" applyFill="1" applyAlignment="1">
      <alignment horizontal="center"/>
    </xf>
    <xf numFmtId="2" fontId="17" fillId="3" borderId="0" xfId="0" applyNumberFormat="1" applyFont="1" applyFill="1" applyAlignment="1">
      <alignment horizontal="left"/>
    </xf>
    <xf numFmtId="2" fontId="9" fillId="3" borderId="0" xfId="0" applyNumberFormat="1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" fontId="7" fillId="3" borderId="0" xfId="0" applyNumberFormat="1" applyFont="1" applyFill="1" applyAlignment="1">
      <alignment horizontal="center"/>
    </xf>
    <xf numFmtId="164" fontId="7" fillId="3" borderId="0" xfId="0" applyNumberFormat="1" applyFont="1" applyFill="1" applyAlignment="1">
      <alignment horizontal="center"/>
    </xf>
    <xf numFmtId="1" fontId="4" fillId="0" borderId="0" xfId="0" applyNumberFormat="1" applyFont="1"/>
    <xf numFmtId="2" fontId="4" fillId="0" borderId="0" xfId="0" applyNumberFormat="1" applyFont="1"/>
    <xf numFmtId="2" fontId="4" fillId="0" borderId="0" xfId="0" applyNumberFormat="1" applyFont="1" applyAlignment="1">
      <alignment horizontal="center"/>
    </xf>
    <xf numFmtId="2" fontId="4" fillId="0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10" fillId="3" borderId="0" xfId="0" applyNumberFormat="1" applyFont="1" applyFill="1" applyAlignment="1">
      <alignment horizontal="right"/>
    </xf>
    <xf numFmtId="2" fontId="10" fillId="3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NumberFormat="1" applyFont="1"/>
    <xf numFmtId="164" fontId="11" fillId="0" borderId="0" xfId="0" applyNumberFormat="1" applyFont="1"/>
    <xf numFmtId="166" fontId="10" fillId="3" borderId="0" xfId="0" applyNumberFormat="1" applyFont="1" applyFill="1" applyAlignment="1">
      <alignment horizontal="right"/>
    </xf>
    <xf numFmtId="164" fontId="10" fillId="3" borderId="0" xfId="0" applyNumberFormat="1" applyFont="1" applyFill="1" applyAlignment="1">
      <alignment horizontal="center"/>
    </xf>
    <xf numFmtId="1" fontId="11" fillId="0" borderId="0" xfId="0" applyNumberFormat="1" applyFont="1"/>
    <xf numFmtId="2" fontId="11" fillId="0" borderId="0" xfId="0" applyNumberFormat="1" applyFont="1"/>
    <xf numFmtId="2" fontId="11" fillId="0" borderId="0" xfId="0" applyNumberFormat="1" applyFont="1" applyAlignment="1">
      <alignment horizontal="center"/>
    </xf>
    <xf numFmtId="2" fontId="11" fillId="0" borderId="0" xfId="0" applyNumberFormat="1" applyFont="1" applyFill="1" applyAlignment="1">
      <alignment horizontal="center"/>
    </xf>
    <xf numFmtId="2" fontId="18" fillId="3" borderId="0" xfId="0" applyNumberFormat="1" applyFont="1" applyFill="1" applyAlignment="1">
      <alignment horizontal="left"/>
    </xf>
    <xf numFmtId="164" fontId="9" fillId="3" borderId="0" xfId="0" applyNumberFormat="1" applyFont="1" applyFill="1" applyAlignment="1">
      <alignment horizontal="center"/>
    </xf>
    <xf numFmtId="0" fontId="9" fillId="3" borderId="0" xfId="0" applyFont="1" applyFill="1" applyBorder="1" applyAlignment="1">
      <alignment horizontal="center"/>
    </xf>
    <xf numFmtId="166" fontId="9" fillId="3" borderId="0" xfId="0" applyNumberFormat="1" applyFont="1" applyFill="1" applyAlignment="1">
      <alignment horizontal="right"/>
    </xf>
    <xf numFmtId="164" fontId="10" fillId="3" borderId="0" xfId="0" applyNumberFormat="1" applyFont="1" applyFill="1" applyBorder="1" applyAlignment="1">
      <alignment horizontal="center"/>
    </xf>
    <xf numFmtId="2" fontId="3" fillId="3" borderId="0" xfId="0" applyNumberFormat="1" applyFont="1" applyFill="1" applyBorder="1" applyAlignment="1">
      <alignment horizontal="center"/>
    </xf>
    <xf numFmtId="0" fontId="13" fillId="0" borderId="0" xfId="0" applyFont="1" applyFill="1" applyAlignment="1" applyProtection="1">
      <alignment horizontal="left"/>
    </xf>
    <xf numFmtId="0" fontId="20" fillId="0" borderId="0" xfId="0" applyFont="1" applyFill="1" applyAlignment="1" applyProtection="1">
      <alignment horizontal="left"/>
    </xf>
    <xf numFmtId="0" fontId="12" fillId="0" borderId="0" xfId="0" applyFont="1" applyFill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center"/>
    </xf>
    <xf numFmtId="0" fontId="8" fillId="4" borderId="6" xfId="0" applyFont="1" applyFill="1" applyBorder="1" applyAlignment="1" applyProtection="1">
      <alignment horizontal="center"/>
      <protection locked="0"/>
    </xf>
    <xf numFmtId="0" fontId="8" fillId="4" borderId="7" xfId="0" applyFont="1" applyFill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left"/>
    </xf>
    <xf numFmtId="0" fontId="8" fillId="0" borderId="0" xfId="0" applyFont="1" applyFill="1" applyProtection="1"/>
    <xf numFmtId="0" fontId="8" fillId="4" borderId="8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0" fontId="3" fillId="0" borderId="0" xfId="0" applyFont="1" applyFill="1" applyProtection="1"/>
    <xf numFmtId="2" fontId="21" fillId="0" borderId="0" xfId="0" applyNumberFormat="1" applyFont="1" applyFill="1" applyAlignment="1">
      <alignment horizontal="left"/>
    </xf>
    <xf numFmtId="2" fontId="15" fillId="0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2" fontId="2" fillId="8" borderId="0" xfId="0" applyNumberFormat="1" applyFont="1" applyFill="1" applyAlignment="1">
      <alignment horizontal="center"/>
    </xf>
    <xf numFmtId="2" fontId="18" fillId="2" borderId="0" xfId="0" applyNumberFormat="1" applyFont="1" applyFill="1" applyAlignment="1">
      <alignment horizontal="left"/>
    </xf>
    <xf numFmtId="2" fontId="3" fillId="7" borderId="0" xfId="0" applyNumberFormat="1" applyFont="1" applyFill="1" applyAlignment="1">
      <alignment horizontal="center"/>
    </xf>
    <xf numFmtId="2" fontId="3" fillId="8" borderId="0" xfId="0" applyNumberFormat="1" applyFont="1" applyFill="1" applyAlignment="1">
      <alignment horizontal="center"/>
    </xf>
    <xf numFmtId="0" fontId="2" fillId="7" borderId="0" xfId="0" applyNumberFormat="1" applyFont="1" applyFill="1" applyAlignment="1">
      <alignment horizontal="center"/>
    </xf>
    <xf numFmtId="1" fontId="10" fillId="3" borderId="0" xfId="0" applyNumberFormat="1" applyFont="1" applyFill="1" applyAlignment="1">
      <alignment horizontal="center"/>
    </xf>
    <xf numFmtId="1" fontId="9" fillId="3" borderId="0" xfId="0" applyNumberFormat="1" applyFont="1" applyFill="1" applyAlignment="1">
      <alignment horizontal="center"/>
    </xf>
    <xf numFmtId="0" fontId="22" fillId="0" borderId="0" xfId="0" applyFont="1" applyFill="1" applyAlignment="1">
      <alignment horizontal="center"/>
    </xf>
    <xf numFmtId="2" fontId="22" fillId="0" borderId="0" xfId="0" applyNumberFormat="1" applyFont="1" applyFill="1" applyAlignment="1">
      <alignment horizontal="center"/>
    </xf>
    <xf numFmtId="0" fontId="10" fillId="0" borderId="0" xfId="0" applyFont="1" applyAlignment="1">
      <alignment horizontal="right"/>
    </xf>
    <xf numFmtId="1" fontId="3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1" fontId="2" fillId="0" borderId="0" xfId="0" applyNumberFormat="1" applyFont="1" applyFill="1" applyAlignment="1">
      <alignment horizontal="left"/>
    </xf>
    <xf numFmtId="2" fontId="2" fillId="0" borderId="0" xfId="0" applyNumberFormat="1" applyFont="1" applyFill="1" applyAlignment="1">
      <alignment horizontal="left"/>
    </xf>
    <xf numFmtId="2" fontId="21" fillId="0" borderId="0" xfId="0" applyNumberFormat="1" applyFont="1" applyFill="1" applyAlignment="1">
      <alignment horizontal="center"/>
    </xf>
    <xf numFmtId="1" fontId="3" fillId="0" borderId="0" xfId="0" applyNumberFormat="1" applyFont="1" applyFill="1" applyAlignment="1">
      <alignment horizontal="center"/>
    </xf>
    <xf numFmtId="2" fontId="10" fillId="2" borderId="0" xfId="0" applyNumberFormat="1" applyFont="1" applyFill="1" applyAlignment="1">
      <alignment horizontal="left"/>
    </xf>
    <xf numFmtId="2" fontId="17" fillId="2" borderId="0" xfId="0" applyNumberFormat="1" applyFont="1" applyFill="1" applyAlignment="1">
      <alignment horizontal="left"/>
    </xf>
    <xf numFmtId="2" fontId="5" fillId="2" borderId="0" xfId="0" applyNumberFormat="1" applyFont="1" applyFill="1" applyAlignment="1">
      <alignment horizontal="center"/>
    </xf>
    <xf numFmtId="1" fontId="9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2" fontId="3" fillId="2" borderId="0" xfId="0" quotePrefix="1" applyNumberFormat="1" applyFont="1" applyFill="1" applyAlignment="1">
      <alignment horizontal="center"/>
    </xf>
    <xf numFmtId="2" fontId="2" fillId="0" borderId="0" xfId="0" applyNumberFormat="1" applyFont="1" applyFill="1" applyAlignment="1">
      <alignment horizontal="right"/>
    </xf>
    <xf numFmtId="2" fontId="3" fillId="3" borderId="0" xfId="0" applyNumberFormat="1" applyFont="1" applyFill="1" applyAlignment="1">
      <alignment horizontal="right"/>
    </xf>
    <xf numFmtId="164" fontId="3" fillId="3" borderId="0" xfId="0" applyNumberFormat="1" applyFont="1" applyFill="1" applyAlignment="1">
      <alignment horizontal="right"/>
    </xf>
    <xf numFmtId="1" fontId="23" fillId="0" borderId="0" xfId="0" applyNumberFormat="1" applyFont="1"/>
    <xf numFmtId="2" fontId="23" fillId="0" borderId="0" xfId="0" applyNumberFormat="1" applyFont="1"/>
    <xf numFmtId="2" fontId="23" fillId="0" borderId="0" xfId="0" applyNumberFormat="1" applyFont="1" applyAlignment="1">
      <alignment horizontal="center"/>
    </xf>
    <xf numFmtId="0" fontId="23" fillId="0" borderId="0" xfId="0" applyFont="1"/>
    <xf numFmtId="1" fontId="7" fillId="3" borderId="0" xfId="0" applyNumberFormat="1" applyFont="1" applyFill="1" applyAlignment="1">
      <alignment horizontal="right"/>
    </xf>
    <xf numFmtId="1" fontId="3" fillId="3" borderId="0" xfId="0" applyNumberFormat="1" applyFont="1" applyFill="1" applyAlignment="1">
      <alignment horizontal="right"/>
    </xf>
    <xf numFmtId="164" fontId="7" fillId="3" borderId="0" xfId="0" applyNumberFormat="1" applyFont="1" applyFill="1" applyAlignment="1">
      <alignment horizontal="right"/>
    </xf>
    <xf numFmtId="1" fontId="17" fillId="0" borderId="0" xfId="0" applyNumberFormat="1" applyFont="1"/>
    <xf numFmtId="2" fontId="17" fillId="0" borderId="0" xfId="0" applyNumberFormat="1" applyFont="1"/>
    <xf numFmtId="2" fontId="17" fillId="0" borderId="0" xfId="0" applyNumberFormat="1" applyFont="1" applyAlignment="1">
      <alignment horizontal="center"/>
    </xf>
    <xf numFmtId="0" fontId="17" fillId="0" borderId="0" xfId="0" applyFont="1"/>
    <xf numFmtId="0" fontId="24" fillId="0" borderId="0" xfId="0" applyFont="1" applyFill="1" applyAlignment="1" applyProtection="1">
      <alignment horizontal="left"/>
    </xf>
    <xf numFmtId="0" fontId="25" fillId="0" borderId="0" xfId="0" applyFont="1" applyFill="1" applyAlignment="1" applyProtection="1">
      <alignment horizontal="left"/>
    </xf>
    <xf numFmtId="0" fontId="26" fillId="0" borderId="0" xfId="0" applyFont="1" applyFill="1" applyAlignment="1" applyProtection="1">
      <alignment horizontal="left"/>
    </xf>
    <xf numFmtId="0" fontId="4" fillId="0" borderId="0" xfId="0" applyFont="1" applyAlignment="1" applyProtection="1">
      <alignment horizontal="center"/>
    </xf>
    <xf numFmtId="2" fontId="28" fillId="2" borderId="0" xfId="0" applyNumberFormat="1" applyFont="1" applyFill="1" applyAlignment="1">
      <alignment horizontal="left"/>
    </xf>
    <xf numFmtId="2" fontId="28" fillId="3" borderId="0" xfId="0" applyNumberFormat="1" applyFont="1" applyFill="1" applyAlignment="1">
      <alignment horizontal="left"/>
    </xf>
    <xf numFmtId="2" fontId="29" fillId="3" borderId="0" xfId="0" applyNumberFormat="1" applyFont="1" applyFill="1" applyAlignment="1">
      <alignment horizontal="left"/>
    </xf>
    <xf numFmtId="2" fontId="0" fillId="4" borderId="6" xfId="0" applyNumberFormat="1" applyFill="1" applyBorder="1" applyAlignment="1" applyProtection="1">
      <alignment horizontal="center"/>
      <protection locked="0"/>
    </xf>
    <xf numFmtId="2" fontId="0" fillId="4" borderId="9" xfId="0" applyNumberFormat="1" applyFill="1" applyBorder="1" applyAlignment="1" applyProtection="1">
      <alignment horizontal="center"/>
      <protection locked="0"/>
    </xf>
    <xf numFmtId="2" fontId="2" fillId="4" borderId="9" xfId="0" applyNumberFormat="1" applyFont="1" applyFill="1" applyBorder="1" applyAlignment="1" applyProtection="1">
      <alignment horizontal="center" vertical="center" wrapText="1"/>
      <protection locked="0"/>
    </xf>
    <xf numFmtId="2" fontId="0" fillId="4" borderId="7" xfId="0" applyNumberFormat="1" applyFill="1" applyBorder="1" applyAlignment="1" applyProtection="1">
      <alignment horizontal="center"/>
      <protection locked="0"/>
    </xf>
    <xf numFmtId="2" fontId="0" fillId="4" borderId="0" xfId="0" applyNumberFormat="1" applyFill="1" applyBorder="1" applyAlignment="1" applyProtection="1">
      <alignment horizontal="center"/>
      <protection locked="0"/>
    </xf>
    <xf numFmtId="2" fontId="2" fillId="4" borderId="0" xfId="0" applyNumberFormat="1" applyFont="1" applyFill="1" applyBorder="1" applyAlignment="1" applyProtection="1">
      <alignment horizontal="center"/>
      <protection locked="0"/>
    </xf>
    <xf numFmtId="2" fontId="2" fillId="4" borderId="0" xfId="0" applyNumberFormat="1" applyFont="1" applyFill="1" applyBorder="1" applyAlignment="1" applyProtection="1">
      <alignment horizontal="center" vertical="center" wrapText="1"/>
      <protection locked="0"/>
    </xf>
    <xf numFmtId="0" fontId="2" fillId="4" borderId="0" xfId="0" applyFont="1" applyFill="1" applyBorder="1" applyAlignment="1" applyProtection="1">
      <alignment horizontal="center" vertical="center" wrapText="1"/>
      <protection locked="0"/>
    </xf>
    <xf numFmtId="2" fontId="2" fillId="4" borderId="4" xfId="0" applyNumberFormat="1" applyFont="1" applyFill="1" applyBorder="1" applyAlignment="1" applyProtection="1">
      <alignment horizontal="center" vertical="center" wrapText="1"/>
      <protection locked="0"/>
    </xf>
    <xf numFmtId="2" fontId="2" fillId="4" borderId="7" xfId="0" applyNumberFormat="1" applyFont="1" applyFill="1" applyBorder="1" applyAlignment="1" applyProtection="1">
      <alignment horizontal="center"/>
      <protection locked="0"/>
    </xf>
    <xf numFmtId="2" fontId="2" fillId="4" borderId="4" xfId="0" applyNumberFormat="1" applyFont="1" applyFill="1" applyBorder="1" applyProtection="1">
      <protection locked="0"/>
    </xf>
    <xf numFmtId="2" fontId="2" fillId="4" borderId="4" xfId="0" applyNumberFormat="1" applyFont="1" applyFill="1" applyBorder="1" applyAlignment="1" applyProtection="1">
      <alignment horizontal="center"/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2" fontId="2" fillId="4" borderId="7" xfId="0" applyNumberFormat="1" applyFont="1" applyFill="1" applyBorder="1" applyAlignment="1" applyProtection="1">
      <alignment horizontal="center" vertical="center" wrapText="1"/>
      <protection locked="0"/>
    </xf>
    <xf numFmtId="2" fontId="2" fillId="4" borderId="8" xfId="0" applyNumberFormat="1" applyFont="1" applyFill="1" applyBorder="1" applyAlignment="1" applyProtection="1">
      <alignment horizontal="center" vertical="center" wrapText="1"/>
      <protection locked="0"/>
    </xf>
    <xf numFmtId="0" fontId="2" fillId="4" borderId="10" xfId="0" applyFont="1" applyFill="1" applyBorder="1" applyAlignment="1" applyProtection="1">
      <alignment horizontal="center" vertical="center" wrapText="1"/>
      <protection locked="0"/>
    </xf>
    <xf numFmtId="2" fontId="2" fillId="4" borderId="10" xfId="0" applyNumberFormat="1" applyFont="1" applyFill="1" applyBorder="1" applyAlignment="1" applyProtection="1">
      <alignment horizontal="center"/>
      <protection locked="0"/>
    </xf>
    <xf numFmtId="2" fontId="2" fillId="4" borderId="10" xfId="0" applyNumberFormat="1" applyFont="1" applyFill="1" applyBorder="1" applyAlignment="1" applyProtection="1">
      <alignment horizontal="center" vertical="center" wrapText="1"/>
      <protection locked="0"/>
    </xf>
    <xf numFmtId="2" fontId="2" fillId="4" borderId="5" xfId="0" applyNumberFormat="1" applyFont="1" applyFill="1" applyBorder="1" applyAlignment="1" applyProtection="1">
      <alignment horizontal="center"/>
      <protection locked="0"/>
    </xf>
    <xf numFmtId="2" fontId="2" fillId="4" borderId="9" xfId="0" applyNumberFormat="1" applyFont="1" applyFill="1" applyBorder="1" applyProtection="1">
      <protection locked="0"/>
    </xf>
    <xf numFmtId="0" fontId="2" fillId="4" borderId="9" xfId="0" applyFont="1" applyFill="1" applyBorder="1" applyProtection="1">
      <protection locked="0"/>
    </xf>
    <xf numFmtId="2" fontId="2" fillId="4" borderId="3" xfId="0" applyNumberFormat="1" applyFont="1" applyFill="1" applyBorder="1" applyProtection="1">
      <protection locked="0"/>
    </xf>
    <xf numFmtId="2" fontId="2" fillId="4" borderId="0" xfId="0" applyNumberFormat="1" applyFont="1" applyFill="1" applyBorder="1" applyProtection="1">
      <protection locked="0"/>
    </xf>
    <xf numFmtId="0" fontId="2" fillId="4" borderId="0" xfId="0" applyFont="1" applyFill="1" applyBorder="1" applyProtection="1">
      <protection locked="0"/>
    </xf>
    <xf numFmtId="2" fontId="2" fillId="4" borderId="5" xfId="0" applyNumberFormat="1" applyFont="1" applyFill="1" applyBorder="1" applyAlignment="1" applyProtection="1">
      <alignment horizontal="center" vertical="center" wrapText="1"/>
      <protection locked="0"/>
    </xf>
    <xf numFmtId="2" fontId="2" fillId="0" borderId="0" xfId="0" applyNumberFormat="1" applyFont="1" applyAlignment="1" applyProtection="1">
      <alignment horizontal="center"/>
    </xf>
    <xf numFmtId="1" fontId="2" fillId="0" borderId="0" xfId="0" applyNumberFormat="1" applyFont="1" applyProtection="1"/>
    <xf numFmtId="2" fontId="2" fillId="0" borderId="0" xfId="0" applyNumberFormat="1" applyFont="1" applyProtection="1"/>
    <xf numFmtId="0" fontId="3" fillId="0" borderId="0" xfId="0" applyNumberFormat="1" applyFont="1" applyProtection="1"/>
    <xf numFmtId="0" fontId="2" fillId="0" borderId="0" xfId="0" applyNumberFormat="1" applyFont="1" applyProtection="1"/>
    <xf numFmtId="164" fontId="2" fillId="0" borderId="0" xfId="0" applyNumberFormat="1" applyFont="1" applyProtection="1"/>
    <xf numFmtId="2" fontId="10" fillId="0" borderId="0" xfId="0" applyNumberFormat="1" applyFont="1" applyAlignment="1" applyProtection="1">
      <alignment horizontal="left"/>
    </xf>
    <xf numFmtId="2" fontId="7" fillId="0" borderId="0" xfId="0" applyNumberFormat="1" applyFont="1" applyFill="1" applyAlignment="1" applyProtection="1">
      <alignment horizontal="left"/>
    </xf>
    <xf numFmtId="2" fontId="7" fillId="0" borderId="0" xfId="0" applyNumberFormat="1" applyFont="1" applyAlignment="1" applyProtection="1">
      <alignment horizontal="center"/>
    </xf>
    <xf numFmtId="2" fontId="7" fillId="0" borderId="0" xfId="0" applyNumberFormat="1" applyFont="1" applyFill="1" applyAlignment="1" applyProtection="1">
      <alignment horizontal="center"/>
    </xf>
    <xf numFmtId="1" fontId="14" fillId="0" borderId="0" xfId="0" applyNumberFormat="1" applyFont="1" applyFill="1" applyAlignment="1" applyProtection="1">
      <alignment horizontal="center"/>
    </xf>
    <xf numFmtId="2" fontId="9" fillId="0" borderId="0" xfId="0" applyNumberFormat="1" applyFont="1" applyFill="1" applyAlignment="1" applyProtection="1">
      <alignment horizontal="center"/>
    </xf>
    <xf numFmtId="2" fontId="14" fillId="0" borderId="0" xfId="0" applyNumberFormat="1" applyFont="1" applyFill="1" applyAlignment="1" applyProtection="1">
      <alignment horizontal="center"/>
    </xf>
    <xf numFmtId="0" fontId="15" fillId="0" borderId="0" xfId="0" applyFont="1" applyFill="1" applyAlignment="1" applyProtection="1">
      <alignment horizontal="center"/>
    </xf>
    <xf numFmtId="0" fontId="14" fillId="0" borderId="0" xfId="0" applyNumberFormat="1" applyFont="1" applyFill="1" applyAlignment="1" applyProtection="1">
      <alignment horizontal="center"/>
    </xf>
    <xf numFmtId="164" fontId="14" fillId="0" borderId="0" xfId="0" applyNumberFormat="1" applyFont="1" applyFill="1" applyAlignment="1" applyProtection="1">
      <alignment horizontal="center"/>
    </xf>
    <xf numFmtId="0" fontId="15" fillId="0" borderId="0" xfId="0" applyFont="1" applyFill="1" applyProtection="1"/>
    <xf numFmtId="1" fontId="2" fillId="2" borderId="0" xfId="0" applyNumberFormat="1" applyFont="1" applyFill="1" applyAlignment="1" applyProtection="1">
      <alignment horizontal="center"/>
    </xf>
    <xf numFmtId="2" fontId="2" fillId="2" borderId="0" xfId="0" applyNumberFormat="1" applyFont="1" applyFill="1" applyAlignment="1" applyProtection="1">
      <alignment horizontal="center"/>
    </xf>
    <xf numFmtId="2" fontId="2" fillId="5" borderId="0" xfId="0" applyNumberFormat="1" applyFont="1" applyFill="1" applyAlignment="1" applyProtection="1">
      <alignment horizontal="center"/>
    </xf>
    <xf numFmtId="2" fontId="2" fillId="6" borderId="0" xfId="0" applyNumberFormat="1" applyFont="1" applyFill="1" applyAlignment="1" applyProtection="1">
      <alignment horizontal="center"/>
    </xf>
    <xf numFmtId="2" fontId="2" fillId="0" borderId="0" xfId="0" applyNumberFormat="1" applyFont="1" applyFill="1" applyAlignment="1" applyProtection="1">
      <alignment horizontal="center"/>
    </xf>
    <xf numFmtId="2" fontId="3" fillId="0" borderId="0" xfId="0" applyNumberFormat="1" applyFont="1" applyFill="1" applyAlignment="1" applyProtection="1">
      <alignment horizontal="center"/>
    </xf>
    <xf numFmtId="1" fontId="2" fillId="0" borderId="0" xfId="0" applyNumberFormat="1" applyFont="1" applyFill="1" applyAlignment="1" applyProtection="1">
      <alignment horizontal="center"/>
    </xf>
    <xf numFmtId="164" fontId="2" fillId="0" borderId="0" xfId="0" applyNumberFormat="1" applyFont="1" applyFill="1" applyAlignment="1" applyProtection="1">
      <alignment horizontal="center"/>
    </xf>
    <xf numFmtId="2" fontId="2" fillId="0" borderId="0" xfId="0" applyNumberFormat="1" applyFont="1" applyFill="1" applyProtection="1"/>
    <xf numFmtId="2" fontId="16" fillId="2" borderId="0" xfId="0" applyNumberFormat="1" applyFont="1" applyFill="1" applyAlignment="1" applyProtection="1">
      <alignment horizontal="left"/>
    </xf>
    <xf numFmtId="2" fontId="3" fillId="2" borderId="0" xfId="0" applyNumberFormat="1" applyFont="1" applyFill="1" applyAlignment="1" applyProtection="1">
      <alignment horizontal="center"/>
    </xf>
    <xf numFmtId="0" fontId="10" fillId="0" borderId="0" xfId="0" applyFont="1" applyFill="1" applyAlignment="1" applyProtection="1">
      <alignment horizontal="center"/>
    </xf>
    <xf numFmtId="2" fontId="10" fillId="0" borderId="0" xfId="0" applyNumberFormat="1" applyFont="1" applyFill="1" applyAlignment="1" applyProtection="1">
      <alignment horizontal="center"/>
    </xf>
    <xf numFmtId="2" fontId="2" fillId="7" borderId="0" xfId="0" applyNumberFormat="1" applyFont="1" applyFill="1" applyAlignment="1" applyProtection="1">
      <alignment horizontal="center"/>
    </xf>
    <xf numFmtId="1" fontId="3" fillId="2" borderId="0" xfId="0" applyNumberFormat="1" applyFont="1" applyFill="1" applyAlignment="1" applyProtection="1">
      <alignment horizontal="center"/>
    </xf>
    <xf numFmtId="1" fontId="2" fillId="0" borderId="0" xfId="0" applyNumberFormat="1" applyFont="1" applyAlignment="1" applyProtection="1">
      <alignment horizontal="center"/>
    </xf>
    <xf numFmtId="164" fontId="3" fillId="0" borderId="0" xfId="0" applyNumberFormat="1" applyFont="1" applyFill="1" applyAlignment="1" applyProtection="1">
      <alignment horizontal="center"/>
    </xf>
    <xf numFmtId="164" fontId="3" fillId="0" borderId="0" xfId="0" applyNumberFormat="1" applyFont="1" applyAlignment="1" applyProtection="1">
      <alignment horizontal="right"/>
    </xf>
    <xf numFmtId="2" fontId="2" fillId="0" borderId="1" xfId="0" applyNumberFormat="1" applyFont="1" applyBorder="1" applyProtection="1"/>
    <xf numFmtId="2" fontId="2" fillId="0" borderId="2" xfId="0" applyNumberFormat="1" applyFont="1" applyBorder="1" applyProtection="1"/>
    <xf numFmtId="1" fontId="3" fillId="2" borderId="0" xfId="0" quotePrefix="1" applyNumberFormat="1" applyFont="1" applyFill="1" applyAlignment="1" applyProtection="1">
      <alignment horizontal="center"/>
    </xf>
    <xf numFmtId="2" fontId="2" fillId="0" borderId="0" xfId="0" applyNumberFormat="1" applyFont="1" applyBorder="1" applyProtection="1"/>
    <xf numFmtId="1" fontId="2" fillId="0" borderId="0" xfId="0" applyNumberFormat="1" applyFont="1" applyFill="1" applyProtection="1"/>
    <xf numFmtId="2" fontId="16" fillId="3" borderId="0" xfId="0" applyNumberFormat="1" applyFont="1" applyFill="1" applyAlignment="1" applyProtection="1">
      <alignment horizontal="left"/>
    </xf>
    <xf numFmtId="2" fontId="3" fillId="3" borderId="0" xfId="0" applyNumberFormat="1" applyFont="1" applyFill="1" applyAlignment="1" applyProtection="1">
      <alignment horizontal="center"/>
    </xf>
    <xf numFmtId="166" fontId="3" fillId="0" borderId="0" xfId="0" applyNumberFormat="1" applyFont="1" applyAlignment="1" applyProtection="1">
      <alignment horizontal="right"/>
    </xf>
    <xf numFmtId="166" fontId="3" fillId="0" borderId="0" xfId="0" applyNumberFormat="1" applyFont="1" applyAlignment="1" applyProtection="1">
      <alignment horizontal="left"/>
    </xf>
    <xf numFmtId="166" fontId="2" fillId="0" borderId="0" xfId="0" applyNumberFormat="1" applyFont="1" applyAlignment="1" applyProtection="1">
      <alignment horizontal="center"/>
    </xf>
    <xf numFmtId="166" fontId="2" fillId="0" borderId="0" xfId="0" applyNumberFormat="1" applyFont="1" applyAlignment="1" applyProtection="1">
      <alignment horizontal="left"/>
    </xf>
    <xf numFmtId="2" fontId="17" fillId="3" borderId="0" xfId="0" applyNumberFormat="1" applyFont="1" applyFill="1" applyAlignment="1" applyProtection="1">
      <alignment horizontal="left"/>
    </xf>
    <xf numFmtId="2" fontId="9" fillId="3" borderId="0" xfId="0" applyNumberFormat="1" applyFont="1" applyFill="1" applyAlignment="1" applyProtection="1">
      <alignment horizontal="center"/>
    </xf>
    <xf numFmtId="166" fontId="2" fillId="0" borderId="0" xfId="0" applyNumberFormat="1" applyFont="1" applyAlignment="1" applyProtection="1">
      <alignment horizontal="right"/>
    </xf>
    <xf numFmtId="164" fontId="3" fillId="3" borderId="0" xfId="0" applyNumberFormat="1" applyFont="1" applyFill="1" applyAlignment="1" applyProtection="1">
      <alignment horizontal="center"/>
    </xf>
    <xf numFmtId="165" fontId="3" fillId="0" borderId="0" xfId="0" applyNumberFormat="1" applyFont="1" applyAlignment="1" applyProtection="1">
      <alignment horizontal="left"/>
    </xf>
    <xf numFmtId="1" fontId="7" fillId="3" borderId="0" xfId="0" applyNumberFormat="1" applyFont="1" applyFill="1" applyAlignment="1" applyProtection="1">
      <alignment horizontal="center"/>
    </xf>
    <xf numFmtId="164" fontId="7" fillId="3" borderId="0" xfId="0" applyNumberFormat="1" applyFont="1" applyFill="1" applyAlignment="1" applyProtection="1">
      <alignment horizontal="center"/>
    </xf>
    <xf numFmtId="1" fontId="4" fillId="0" borderId="0" xfId="0" applyNumberFormat="1" applyFont="1" applyProtection="1"/>
    <xf numFmtId="2" fontId="4" fillId="0" borderId="0" xfId="0" applyNumberFormat="1" applyFont="1" applyProtection="1"/>
    <xf numFmtId="2" fontId="4" fillId="0" borderId="0" xfId="0" applyNumberFormat="1" applyFont="1" applyAlignment="1" applyProtection="1">
      <alignment horizontal="center"/>
    </xf>
    <xf numFmtId="2" fontId="4" fillId="0" borderId="0" xfId="0" applyNumberFormat="1" applyFont="1" applyFill="1" applyAlignment="1" applyProtection="1">
      <alignment horizontal="center"/>
    </xf>
    <xf numFmtId="166" fontId="2" fillId="0" borderId="0" xfId="0" applyNumberFormat="1" applyFont="1" applyProtection="1"/>
    <xf numFmtId="0" fontId="4" fillId="0" borderId="0" xfId="0" applyFont="1" applyProtection="1"/>
    <xf numFmtId="1" fontId="3" fillId="3" borderId="0" xfId="0" applyNumberFormat="1" applyFont="1" applyFill="1" applyAlignment="1" applyProtection="1">
      <alignment horizontal="center"/>
    </xf>
    <xf numFmtId="164" fontId="2" fillId="0" borderId="0" xfId="0" applyNumberFormat="1" applyFont="1" applyAlignment="1" applyProtection="1">
      <alignment horizontal="center"/>
    </xf>
    <xf numFmtId="164" fontId="4" fillId="0" borderId="0" xfId="0" applyNumberFormat="1" applyFont="1" applyAlignment="1" applyProtection="1">
      <alignment horizontal="center"/>
    </xf>
    <xf numFmtId="164" fontId="4" fillId="0" borderId="0" xfId="0" applyNumberFormat="1" applyFont="1" applyProtection="1"/>
    <xf numFmtId="0" fontId="4" fillId="0" borderId="0" xfId="0" applyNumberFormat="1" applyFont="1" applyProtection="1"/>
    <xf numFmtId="164" fontId="10" fillId="3" borderId="0" xfId="0" applyNumberFormat="1" applyFont="1" applyFill="1" applyAlignment="1" applyProtection="1">
      <alignment horizontal="right"/>
    </xf>
    <xf numFmtId="2" fontId="10" fillId="3" borderId="0" xfId="0" applyNumberFormat="1" applyFont="1" applyFill="1" applyAlignment="1" applyProtection="1">
      <alignment horizontal="center"/>
    </xf>
    <xf numFmtId="0" fontId="11" fillId="0" borderId="0" xfId="0" applyFont="1" applyAlignment="1" applyProtection="1">
      <alignment horizontal="center"/>
    </xf>
    <xf numFmtId="0" fontId="11" fillId="0" borderId="0" xfId="0" applyNumberFormat="1" applyFont="1" applyProtection="1"/>
    <xf numFmtId="164" fontId="11" fillId="0" borderId="0" xfId="0" applyNumberFormat="1" applyFont="1" applyProtection="1"/>
    <xf numFmtId="0" fontId="11" fillId="0" borderId="0" xfId="0" applyFont="1" applyProtection="1"/>
    <xf numFmtId="166" fontId="10" fillId="3" borderId="0" xfId="0" applyNumberFormat="1" applyFont="1" applyFill="1" applyAlignment="1" applyProtection="1">
      <alignment horizontal="right"/>
    </xf>
    <xf numFmtId="164" fontId="10" fillId="3" borderId="0" xfId="0" applyNumberFormat="1" applyFont="1" applyFill="1" applyAlignment="1" applyProtection="1">
      <alignment horizontal="center"/>
    </xf>
    <xf numFmtId="1" fontId="11" fillId="0" borderId="0" xfId="0" applyNumberFormat="1" applyFont="1" applyProtection="1"/>
    <xf numFmtId="2" fontId="11" fillId="0" borderId="0" xfId="0" applyNumberFormat="1" applyFont="1" applyProtection="1"/>
    <xf numFmtId="2" fontId="11" fillId="0" borderId="0" xfId="0" applyNumberFormat="1" applyFont="1" applyAlignment="1" applyProtection="1">
      <alignment horizontal="center"/>
    </xf>
    <xf numFmtId="2" fontId="11" fillId="0" borderId="0" xfId="0" applyNumberFormat="1" applyFont="1" applyFill="1" applyAlignment="1" applyProtection="1">
      <alignment horizontal="center"/>
    </xf>
    <xf numFmtId="2" fontId="3" fillId="0" borderId="0" xfId="0" applyNumberFormat="1" applyFont="1" applyAlignment="1" applyProtection="1">
      <alignment horizontal="center"/>
    </xf>
    <xf numFmtId="0" fontId="3" fillId="0" borderId="0" xfId="0" applyFont="1" applyBorder="1" applyProtection="1"/>
    <xf numFmtId="0" fontId="3" fillId="0" borderId="0" xfId="0" applyFont="1" applyBorder="1" applyAlignment="1" applyProtection="1">
      <alignment horizontal="center"/>
    </xf>
    <xf numFmtId="2" fontId="18" fillId="3" borderId="0" xfId="0" applyNumberFormat="1" applyFont="1" applyFill="1" applyAlignment="1" applyProtection="1">
      <alignment horizontal="left"/>
    </xf>
    <xf numFmtId="0" fontId="2" fillId="0" borderId="0" xfId="0" applyFont="1" applyBorder="1" applyProtection="1"/>
    <xf numFmtId="164" fontId="9" fillId="3" borderId="0" xfId="0" applyNumberFormat="1" applyFont="1" applyFill="1" applyAlignment="1" applyProtection="1">
      <alignment horizontal="center"/>
    </xf>
    <xf numFmtId="0" fontId="9" fillId="3" borderId="0" xfId="0" applyFont="1" applyFill="1" applyBorder="1" applyAlignment="1" applyProtection="1">
      <alignment horizontal="right"/>
    </xf>
    <xf numFmtId="0" fontId="9" fillId="3" borderId="0" xfId="0" applyFont="1" applyFill="1" applyBorder="1" applyAlignment="1" applyProtection="1">
      <alignment horizontal="center"/>
    </xf>
    <xf numFmtId="166" fontId="9" fillId="3" borderId="0" xfId="0" applyNumberFormat="1" applyFont="1" applyFill="1" applyAlignment="1" applyProtection="1">
      <alignment horizontal="right"/>
    </xf>
    <xf numFmtId="164" fontId="10" fillId="3" borderId="0" xfId="0" applyNumberFormat="1" applyFont="1" applyFill="1" applyBorder="1" applyAlignment="1" applyProtection="1">
      <alignment horizontal="center"/>
    </xf>
    <xf numFmtId="0" fontId="2" fillId="0" borderId="0" xfId="0" applyFont="1" applyBorder="1" applyAlignment="1" applyProtection="1">
      <alignment horizontal="left"/>
    </xf>
    <xf numFmtId="0" fontId="3" fillId="0" borderId="0" xfId="0" applyFont="1" applyBorder="1" applyAlignment="1" applyProtection="1">
      <alignment horizontal="right"/>
    </xf>
    <xf numFmtId="2" fontId="3" fillId="3" borderId="0" xfId="0" applyNumberFormat="1" applyFont="1" applyFill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3" fillId="0" borderId="0" xfId="0" applyFont="1" applyProtection="1"/>
    <xf numFmtId="0" fontId="19" fillId="7" borderId="0" xfId="0" applyFont="1" applyFill="1" applyAlignment="1" applyProtection="1">
      <alignment horizontal="center"/>
    </xf>
    <xf numFmtId="2" fontId="19" fillId="7" borderId="0" xfId="0" applyNumberFormat="1" applyFont="1" applyFill="1" applyAlignment="1" applyProtection="1">
      <alignment horizontal="center"/>
    </xf>
    <xf numFmtId="0" fontId="7" fillId="0" borderId="0" xfId="1" applyFont="1" applyFill="1" applyAlignment="1" applyProtection="1"/>
    <xf numFmtId="0" fontId="1" fillId="0" borderId="0" xfId="1" applyFill="1" applyAlignment="1" applyProtection="1"/>
    <xf numFmtId="0" fontId="0" fillId="9" borderId="0" xfId="0" applyFill="1" applyProtection="1">
      <protection locked="0"/>
    </xf>
    <xf numFmtId="0" fontId="31" fillId="9" borderId="0" xfId="0" applyFont="1" applyFill="1" applyProtection="1">
      <protection locked="0"/>
    </xf>
    <xf numFmtId="0" fontId="30" fillId="9" borderId="0" xfId="0" applyFont="1" applyFill="1" applyProtection="1">
      <protection locked="0"/>
    </xf>
    <xf numFmtId="0" fontId="0" fillId="9" borderId="1" xfId="0" applyFill="1" applyBorder="1" applyProtection="1">
      <protection locked="0"/>
    </xf>
  </cellXfs>
  <cellStyles count="2">
    <cellStyle name="Hyperlink" xfId="1" builtinId="8"/>
    <cellStyle name="Normal" xfId="0" builtinId="0"/>
  </cellStyles>
  <dxfs count="17"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CPs  of  Housekeeping Genes</a:t>
            </a:r>
          </a:p>
        </c:rich>
      </c:tx>
      <c:layout>
        <c:manualLayout>
          <c:xMode val="edge"/>
          <c:yMode val="edge"/>
          <c:x val="0.34126163391933817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372881355932204"/>
          <c:w val="0.83971044467425027"/>
          <c:h val="0.76610169491525426"/>
        </c:manualLayout>
      </c:layout>
      <c:scatterChart>
        <c:scatterStyle val="lineMarker"/>
        <c:varyColors val="0"/>
        <c:ser>
          <c:idx val="0"/>
          <c:order val="0"/>
          <c:tx>
            <c:strRef>
              <c:f>Intro!$B$17</c:f>
              <c:strCache>
                <c:ptCount val="1"/>
                <c:pt idx="0">
                  <c:v>ACTB</c:v>
                </c:pt>
              </c:strCache>
            </c:strRef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28"/>
                <c:pt idx="0">
                  <c:v>21,60</c:v>
                </c:pt>
                <c:pt idx="1">
                  <c:v>22,31</c:v>
                </c:pt>
                <c:pt idx="2">
                  <c:v>23,38</c:v>
                </c:pt>
                <c:pt idx="3">
                  <c:v>22,66</c:v>
                </c:pt>
                <c:pt idx="4">
                  <c:v>21,15</c:v>
                </c:pt>
                <c:pt idx="5">
                  <c:v>20,74</c:v>
                </c:pt>
                <c:pt idx="6">
                  <c:v>25,95</c:v>
                </c:pt>
                <c:pt idx="7">
                  <c:v>21,29</c:v>
                </c:pt>
                <c:pt idx="8">
                  <c:v>23,64</c:v>
                </c:pt>
                <c:pt idx="9">
                  <c:v>22,67</c:v>
                </c:pt>
                <c:pt idx="10">
                  <c:v>20,18</c:v>
                </c:pt>
                <c:pt idx="11">
                  <c:v>21,98</c:v>
                </c:pt>
                <c:pt idx="12">
                  <c:v>21,50</c:v>
                </c:pt>
                <c:pt idx="13">
                  <c:v>23,52</c:v>
                </c:pt>
                <c:pt idx="14">
                  <c:v>19,92</c:v>
                </c:pt>
                <c:pt idx="15">
                  <c:v>21,74</c:v>
                </c:pt>
                <c:pt idx="16">
                  <c:v>19,95</c:v>
                </c:pt>
                <c:pt idx="17">
                  <c:v>21,29</c:v>
                </c:pt>
                <c:pt idx="18">
                  <c:v>20,97</c:v>
                </c:pt>
                <c:pt idx="19">
                  <c:v>21,34</c:v>
                </c:pt>
                <c:pt idx="20">
                  <c:v>21,34</c:v>
                </c:pt>
                <c:pt idx="21">
                  <c:v>20,92</c:v>
                </c:pt>
                <c:pt idx="22">
                  <c:v>20,97</c:v>
                </c:pt>
                <c:pt idx="23">
                  <c:v>21,26</c:v>
                </c:pt>
                <c:pt idx="24">
                  <c:v>21,19</c:v>
                </c:pt>
                <c:pt idx="25">
                  <c:v>21,78</c:v>
                </c:pt>
                <c:pt idx="26">
                  <c:v>19,98</c:v>
                </c:pt>
                <c:pt idx="27">
                  <c:v>20,57</c:v>
                </c:pt>
              </c:strCache>
            </c:strRef>
          </c:xVal>
          <c:yVal>
            <c:numRef>
              <c:f>'HKG vs. BK'!$B$6:$B$105</c:f>
              <c:numCache>
                <c:formatCode>General</c:formatCode>
                <c:ptCount val="100"/>
                <c:pt idx="0">
                  <c:v>19.829999999999998</c:v>
                </c:pt>
                <c:pt idx="1">
                  <c:v>20.36</c:v>
                </c:pt>
                <c:pt idx="2">
                  <c:v>20.77</c:v>
                </c:pt>
                <c:pt idx="3">
                  <c:v>21.22</c:v>
                </c:pt>
                <c:pt idx="4">
                  <c:v>18.68</c:v>
                </c:pt>
                <c:pt idx="5">
                  <c:v>17.88</c:v>
                </c:pt>
                <c:pt idx="6">
                  <c:v>23.12</c:v>
                </c:pt>
                <c:pt idx="7">
                  <c:v>19.38</c:v>
                </c:pt>
                <c:pt idx="8">
                  <c:v>20.8</c:v>
                </c:pt>
                <c:pt idx="9">
                  <c:v>19.04</c:v>
                </c:pt>
                <c:pt idx="10">
                  <c:v>17.5</c:v>
                </c:pt>
                <c:pt idx="11">
                  <c:v>19.52</c:v>
                </c:pt>
                <c:pt idx="12">
                  <c:v>18.7</c:v>
                </c:pt>
                <c:pt idx="13">
                  <c:v>20.59</c:v>
                </c:pt>
                <c:pt idx="14">
                  <c:v>17.309999999999999</c:v>
                </c:pt>
                <c:pt idx="15">
                  <c:v>18.8</c:v>
                </c:pt>
                <c:pt idx="16">
                  <c:v>17.34</c:v>
                </c:pt>
                <c:pt idx="17">
                  <c:v>18.7</c:v>
                </c:pt>
                <c:pt idx="18">
                  <c:v>19.39</c:v>
                </c:pt>
                <c:pt idx="19">
                  <c:v>19.350000000000001</c:v>
                </c:pt>
                <c:pt idx="20">
                  <c:v>18.28</c:v>
                </c:pt>
                <c:pt idx="21">
                  <c:v>18.03</c:v>
                </c:pt>
                <c:pt idx="22">
                  <c:v>18.239999999999998</c:v>
                </c:pt>
                <c:pt idx="23">
                  <c:v>18.100000000000001</c:v>
                </c:pt>
                <c:pt idx="24">
                  <c:v>18.48</c:v>
                </c:pt>
                <c:pt idx="25">
                  <c:v>18.989999999999998</c:v>
                </c:pt>
                <c:pt idx="26">
                  <c:v>16.84</c:v>
                </c:pt>
                <c:pt idx="27">
                  <c:v>17.260000000000002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3-44FA-A2BF-6D3FA6ABB755}"/>
            </c:ext>
          </c:extLst>
        </c:ser>
        <c:ser>
          <c:idx val="1"/>
          <c:order val="1"/>
          <c:tx>
            <c:strRef>
              <c:f>Intro!$B$18</c:f>
              <c:strCache>
                <c:ptCount val="1"/>
                <c:pt idx="0">
                  <c:v>SDHA</c:v>
                </c:pt>
              </c:strCache>
            </c:strRef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28"/>
                <c:pt idx="0">
                  <c:v>21,60</c:v>
                </c:pt>
                <c:pt idx="1">
                  <c:v>22,31</c:v>
                </c:pt>
                <c:pt idx="2">
                  <c:v>23,38</c:v>
                </c:pt>
                <c:pt idx="3">
                  <c:v>22,66</c:v>
                </c:pt>
                <c:pt idx="4">
                  <c:v>21,15</c:v>
                </c:pt>
                <c:pt idx="5">
                  <c:v>20,74</c:v>
                </c:pt>
                <c:pt idx="6">
                  <c:v>25,95</c:v>
                </c:pt>
                <c:pt idx="7">
                  <c:v>21,29</c:v>
                </c:pt>
                <c:pt idx="8">
                  <c:v>23,64</c:v>
                </c:pt>
                <c:pt idx="9">
                  <c:v>22,67</c:v>
                </c:pt>
                <c:pt idx="10">
                  <c:v>20,18</c:v>
                </c:pt>
                <c:pt idx="11">
                  <c:v>21,98</c:v>
                </c:pt>
                <c:pt idx="12">
                  <c:v>21,50</c:v>
                </c:pt>
                <c:pt idx="13">
                  <c:v>23,52</c:v>
                </c:pt>
                <c:pt idx="14">
                  <c:v>19,92</c:v>
                </c:pt>
                <c:pt idx="15">
                  <c:v>21,74</c:v>
                </c:pt>
                <c:pt idx="16">
                  <c:v>19,95</c:v>
                </c:pt>
                <c:pt idx="17">
                  <c:v>21,29</c:v>
                </c:pt>
                <c:pt idx="18">
                  <c:v>20,97</c:v>
                </c:pt>
                <c:pt idx="19">
                  <c:v>21,34</c:v>
                </c:pt>
                <c:pt idx="20">
                  <c:v>21,34</c:v>
                </c:pt>
                <c:pt idx="21">
                  <c:v>20,92</c:v>
                </c:pt>
                <c:pt idx="22">
                  <c:v>20,97</c:v>
                </c:pt>
                <c:pt idx="23">
                  <c:v>21,26</c:v>
                </c:pt>
                <c:pt idx="24">
                  <c:v>21,19</c:v>
                </c:pt>
                <c:pt idx="25">
                  <c:v>21,78</c:v>
                </c:pt>
                <c:pt idx="26">
                  <c:v>19,98</c:v>
                </c:pt>
                <c:pt idx="27">
                  <c:v>20,57</c:v>
                </c:pt>
              </c:strCache>
            </c:strRef>
          </c:xVal>
          <c:yVal>
            <c:numRef>
              <c:f>'HKG vs. BK'!$C$6:$C$105</c:f>
              <c:numCache>
                <c:formatCode>General</c:formatCode>
                <c:ptCount val="100"/>
                <c:pt idx="0">
                  <c:v>23.37</c:v>
                </c:pt>
                <c:pt idx="1">
                  <c:v>22.01</c:v>
                </c:pt>
                <c:pt idx="2">
                  <c:v>28.07</c:v>
                </c:pt>
                <c:pt idx="3">
                  <c:v>24.27</c:v>
                </c:pt>
                <c:pt idx="4">
                  <c:v>24.06</c:v>
                </c:pt>
                <c:pt idx="5">
                  <c:v>22.24</c:v>
                </c:pt>
                <c:pt idx="6">
                  <c:v>30.22</c:v>
                </c:pt>
                <c:pt idx="7">
                  <c:v>25.14</c:v>
                </c:pt>
                <c:pt idx="8">
                  <c:v>25.22</c:v>
                </c:pt>
                <c:pt idx="9">
                  <c:v>27.8</c:v>
                </c:pt>
                <c:pt idx="10">
                  <c:v>22.04</c:v>
                </c:pt>
                <c:pt idx="11">
                  <c:v>23.68</c:v>
                </c:pt>
                <c:pt idx="12">
                  <c:v>24.09</c:v>
                </c:pt>
                <c:pt idx="13">
                  <c:v>26.42</c:v>
                </c:pt>
                <c:pt idx="14">
                  <c:v>21.21</c:v>
                </c:pt>
                <c:pt idx="15">
                  <c:v>22.73</c:v>
                </c:pt>
                <c:pt idx="16">
                  <c:v>20.65</c:v>
                </c:pt>
                <c:pt idx="17">
                  <c:v>22.52</c:v>
                </c:pt>
                <c:pt idx="18">
                  <c:v>24.9</c:v>
                </c:pt>
                <c:pt idx="19">
                  <c:v>24.11</c:v>
                </c:pt>
                <c:pt idx="20">
                  <c:v>23.71</c:v>
                </c:pt>
                <c:pt idx="21">
                  <c:v>22.84</c:v>
                </c:pt>
                <c:pt idx="22">
                  <c:v>22.09</c:v>
                </c:pt>
                <c:pt idx="23">
                  <c:v>23.61</c:v>
                </c:pt>
                <c:pt idx="24">
                  <c:v>24.52</c:v>
                </c:pt>
                <c:pt idx="25">
                  <c:v>25.11</c:v>
                </c:pt>
                <c:pt idx="26">
                  <c:v>22.23</c:v>
                </c:pt>
                <c:pt idx="27">
                  <c:v>24.5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33-44FA-A2BF-6D3FA6ABB755}"/>
            </c:ext>
          </c:extLst>
        </c:ser>
        <c:ser>
          <c:idx val="2"/>
          <c:order val="2"/>
          <c:tx>
            <c:strRef>
              <c:f>Intro!$B$19</c:f>
              <c:strCache>
                <c:ptCount val="1"/>
                <c:pt idx="0">
                  <c:v>HPRT1</c:v>
                </c:pt>
              </c:strCache>
            </c:strRef>
          </c:tx>
          <c:spPr>
            <a:ln w="19050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28"/>
                <c:pt idx="0">
                  <c:v>21,60</c:v>
                </c:pt>
                <c:pt idx="1">
                  <c:v>22,31</c:v>
                </c:pt>
                <c:pt idx="2">
                  <c:v>23,38</c:v>
                </c:pt>
                <c:pt idx="3">
                  <c:v>22,66</c:v>
                </c:pt>
                <c:pt idx="4">
                  <c:v>21,15</c:v>
                </c:pt>
                <c:pt idx="5">
                  <c:v>20,74</c:v>
                </c:pt>
                <c:pt idx="6">
                  <c:v>25,95</c:v>
                </c:pt>
                <c:pt idx="7">
                  <c:v>21,29</c:v>
                </c:pt>
                <c:pt idx="8">
                  <c:v>23,64</c:v>
                </c:pt>
                <c:pt idx="9">
                  <c:v>22,67</c:v>
                </c:pt>
                <c:pt idx="10">
                  <c:v>20,18</c:v>
                </c:pt>
                <c:pt idx="11">
                  <c:v>21,98</c:v>
                </c:pt>
                <c:pt idx="12">
                  <c:v>21,50</c:v>
                </c:pt>
                <c:pt idx="13">
                  <c:v>23,52</c:v>
                </c:pt>
                <c:pt idx="14">
                  <c:v>19,92</c:v>
                </c:pt>
                <c:pt idx="15">
                  <c:v>21,74</c:v>
                </c:pt>
                <c:pt idx="16">
                  <c:v>19,95</c:v>
                </c:pt>
                <c:pt idx="17">
                  <c:v>21,29</c:v>
                </c:pt>
                <c:pt idx="18">
                  <c:v>20,97</c:v>
                </c:pt>
                <c:pt idx="19">
                  <c:v>21,34</c:v>
                </c:pt>
                <c:pt idx="20">
                  <c:v>21,34</c:v>
                </c:pt>
                <c:pt idx="21">
                  <c:v>20,92</c:v>
                </c:pt>
                <c:pt idx="22">
                  <c:v>20,97</c:v>
                </c:pt>
                <c:pt idx="23">
                  <c:v>21,26</c:v>
                </c:pt>
                <c:pt idx="24">
                  <c:v>21,19</c:v>
                </c:pt>
                <c:pt idx="25">
                  <c:v>21,78</c:v>
                </c:pt>
                <c:pt idx="26">
                  <c:v>19,98</c:v>
                </c:pt>
                <c:pt idx="27">
                  <c:v>20,57</c:v>
                </c:pt>
              </c:strCache>
            </c:strRef>
          </c:xVal>
          <c:yVal>
            <c:numRef>
              <c:f>'HKG vs. BK'!$D$6:$D$105</c:f>
              <c:numCache>
                <c:formatCode>General</c:formatCode>
                <c:ptCount val="100"/>
                <c:pt idx="0">
                  <c:v>26.2</c:v>
                </c:pt>
                <c:pt idx="1">
                  <c:v>27.51</c:v>
                </c:pt>
                <c:pt idx="2">
                  <c:v>27.93</c:v>
                </c:pt>
                <c:pt idx="3">
                  <c:v>26.5</c:v>
                </c:pt>
                <c:pt idx="4">
                  <c:v>24.99</c:v>
                </c:pt>
                <c:pt idx="5">
                  <c:v>24.47</c:v>
                </c:pt>
                <c:pt idx="6">
                  <c:v>29.05</c:v>
                </c:pt>
                <c:pt idx="7">
                  <c:v>25.89</c:v>
                </c:pt>
                <c:pt idx="8">
                  <c:v>26.92</c:v>
                </c:pt>
                <c:pt idx="9">
                  <c:v>26.72</c:v>
                </c:pt>
                <c:pt idx="10">
                  <c:v>25.11</c:v>
                </c:pt>
                <c:pt idx="11">
                  <c:v>26.64</c:v>
                </c:pt>
                <c:pt idx="12">
                  <c:v>26.16</c:v>
                </c:pt>
                <c:pt idx="13">
                  <c:v>24.49</c:v>
                </c:pt>
                <c:pt idx="14">
                  <c:v>25.14</c:v>
                </c:pt>
                <c:pt idx="15">
                  <c:v>25.44</c:v>
                </c:pt>
                <c:pt idx="16">
                  <c:v>24.53</c:v>
                </c:pt>
                <c:pt idx="17">
                  <c:v>26.53</c:v>
                </c:pt>
                <c:pt idx="18">
                  <c:v>24.87</c:v>
                </c:pt>
                <c:pt idx="19">
                  <c:v>25.8</c:v>
                </c:pt>
                <c:pt idx="20">
                  <c:v>25.39</c:v>
                </c:pt>
                <c:pt idx="21">
                  <c:v>26.66</c:v>
                </c:pt>
                <c:pt idx="22">
                  <c:v>25.69</c:v>
                </c:pt>
                <c:pt idx="23">
                  <c:v>24.92</c:v>
                </c:pt>
                <c:pt idx="24">
                  <c:v>25.3</c:v>
                </c:pt>
                <c:pt idx="25">
                  <c:v>23.5</c:v>
                </c:pt>
                <c:pt idx="26">
                  <c:v>24.05</c:v>
                </c:pt>
                <c:pt idx="27">
                  <c:v>23.72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33-44FA-A2BF-6D3FA6ABB755}"/>
            </c:ext>
          </c:extLst>
        </c:ser>
        <c:ser>
          <c:idx val="3"/>
          <c:order val="3"/>
          <c:tx>
            <c:strRef>
              <c:f>Intro!$B$20</c:f>
              <c:strCache>
                <c:ptCount val="1"/>
                <c:pt idx="0">
                  <c:v>UBC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28"/>
                <c:pt idx="0">
                  <c:v>21,60</c:v>
                </c:pt>
                <c:pt idx="1">
                  <c:v>22,31</c:v>
                </c:pt>
                <c:pt idx="2">
                  <c:v>23,38</c:v>
                </c:pt>
                <c:pt idx="3">
                  <c:v>22,66</c:v>
                </c:pt>
                <c:pt idx="4">
                  <c:v>21,15</c:v>
                </c:pt>
                <c:pt idx="5">
                  <c:v>20,74</c:v>
                </c:pt>
                <c:pt idx="6">
                  <c:v>25,95</c:v>
                </c:pt>
                <c:pt idx="7">
                  <c:v>21,29</c:v>
                </c:pt>
                <c:pt idx="8">
                  <c:v>23,64</c:v>
                </c:pt>
                <c:pt idx="9">
                  <c:v>22,67</c:v>
                </c:pt>
                <c:pt idx="10">
                  <c:v>20,18</c:v>
                </c:pt>
                <c:pt idx="11">
                  <c:v>21,98</c:v>
                </c:pt>
                <c:pt idx="12">
                  <c:v>21,50</c:v>
                </c:pt>
                <c:pt idx="13">
                  <c:v>23,52</c:v>
                </c:pt>
                <c:pt idx="14">
                  <c:v>19,92</c:v>
                </c:pt>
                <c:pt idx="15">
                  <c:v>21,74</c:v>
                </c:pt>
                <c:pt idx="16">
                  <c:v>19,95</c:v>
                </c:pt>
                <c:pt idx="17">
                  <c:v>21,29</c:v>
                </c:pt>
                <c:pt idx="18">
                  <c:v>20,97</c:v>
                </c:pt>
                <c:pt idx="19">
                  <c:v>21,34</c:v>
                </c:pt>
                <c:pt idx="20">
                  <c:v>21,34</c:v>
                </c:pt>
                <c:pt idx="21">
                  <c:v>20,92</c:v>
                </c:pt>
                <c:pt idx="22">
                  <c:v>20,97</c:v>
                </c:pt>
                <c:pt idx="23">
                  <c:v>21,26</c:v>
                </c:pt>
                <c:pt idx="24">
                  <c:v>21,19</c:v>
                </c:pt>
                <c:pt idx="25">
                  <c:v>21,78</c:v>
                </c:pt>
                <c:pt idx="26">
                  <c:v>19,98</c:v>
                </c:pt>
                <c:pt idx="27">
                  <c:v>20,57</c:v>
                </c:pt>
              </c:strCache>
            </c:strRef>
          </c:xVal>
          <c:yVal>
            <c:numRef>
              <c:f>'HKG vs. BK'!$E$6:$E$105</c:f>
              <c:numCache>
                <c:formatCode>General</c:formatCode>
                <c:ptCount val="100"/>
                <c:pt idx="0">
                  <c:v>19.309999999999999</c:v>
                </c:pt>
                <c:pt idx="1">
                  <c:v>20.28</c:v>
                </c:pt>
                <c:pt idx="2">
                  <c:v>19.66</c:v>
                </c:pt>
                <c:pt idx="3">
                  <c:v>20.46</c:v>
                </c:pt>
                <c:pt idx="4">
                  <c:v>18.059999999999999</c:v>
                </c:pt>
                <c:pt idx="5">
                  <c:v>17.79</c:v>
                </c:pt>
                <c:pt idx="6">
                  <c:v>22.05</c:v>
                </c:pt>
                <c:pt idx="7">
                  <c:v>19.18</c:v>
                </c:pt>
                <c:pt idx="8">
                  <c:v>21.59</c:v>
                </c:pt>
                <c:pt idx="9">
                  <c:v>18.02</c:v>
                </c:pt>
                <c:pt idx="10">
                  <c:v>17.170000000000002</c:v>
                </c:pt>
                <c:pt idx="11">
                  <c:v>18.739999999999998</c:v>
                </c:pt>
                <c:pt idx="12">
                  <c:v>18.010000000000002</c:v>
                </c:pt>
                <c:pt idx="13">
                  <c:v>20.67</c:v>
                </c:pt>
                <c:pt idx="14">
                  <c:v>16.96</c:v>
                </c:pt>
                <c:pt idx="15">
                  <c:v>17.82</c:v>
                </c:pt>
                <c:pt idx="16">
                  <c:v>17.440000000000001</c:v>
                </c:pt>
                <c:pt idx="17">
                  <c:v>18.63</c:v>
                </c:pt>
                <c:pt idx="18">
                  <c:v>18.329999999999998</c:v>
                </c:pt>
                <c:pt idx="19">
                  <c:v>18.899999999999999</c:v>
                </c:pt>
                <c:pt idx="20">
                  <c:v>18.09</c:v>
                </c:pt>
                <c:pt idx="21">
                  <c:v>18.38</c:v>
                </c:pt>
                <c:pt idx="22">
                  <c:v>18.600000000000001</c:v>
                </c:pt>
                <c:pt idx="23">
                  <c:v>18.579999999999998</c:v>
                </c:pt>
                <c:pt idx="24">
                  <c:v>17.43</c:v>
                </c:pt>
                <c:pt idx="25">
                  <c:v>19.3</c:v>
                </c:pt>
                <c:pt idx="26">
                  <c:v>17.29</c:v>
                </c:pt>
                <c:pt idx="27">
                  <c:v>17.809999999999999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33-44FA-A2BF-6D3FA6ABB755}"/>
            </c:ext>
          </c:extLst>
        </c:ser>
        <c:ser>
          <c:idx val="4"/>
          <c:order val="4"/>
          <c:tx>
            <c:strRef>
              <c:f>Intro!$B$21</c:f>
              <c:strCache>
                <c:ptCount val="1"/>
                <c:pt idx="0">
                  <c:v>PGK1</c:v>
                </c:pt>
              </c:strCache>
            </c:strRef>
          </c:tx>
          <c:spPr>
            <a:ln w="19050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28"/>
                <c:pt idx="0">
                  <c:v>21,60</c:v>
                </c:pt>
                <c:pt idx="1">
                  <c:v>22,31</c:v>
                </c:pt>
                <c:pt idx="2">
                  <c:v>23,38</c:v>
                </c:pt>
                <c:pt idx="3">
                  <c:v>22,66</c:v>
                </c:pt>
                <c:pt idx="4">
                  <c:v>21,15</c:v>
                </c:pt>
                <c:pt idx="5">
                  <c:v>20,74</c:v>
                </c:pt>
                <c:pt idx="6">
                  <c:v>25,95</c:v>
                </c:pt>
                <c:pt idx="7">
                  <c:v>21,29</c:v>
                </c:pt>
                <c:pt idx="8">
                  <c:v>23,64</c:v>
                </c:pt>
                <c:pt idx="9">
                  <c:v>22,67</c:v>
                </c:pt>
                <c:pt idx="10">
                  <c:v>20,18</c:v>
                </c:pt>
                <c:pt idx="11">
                  <c:v>21,98</c:v>
                </c:pt>
                <c:pt idx="12">
                  <c:v>21,50</c:v>
                </c:pt>
                <c:pt idx="13">
                  <c:v>23,52</c:v>
                </c:pt>
                <c:pt idx="14">
                  <c:v>19,92</c:v>
                </c:pt>
                <c:pt idx="15">
                  <c:v>21,74</c:v>
                </c:pt>
                <c:pt idx="16">
                  <c:v>19,95</c:v>
                </c:pt>
                <c:pt idx="17">
                  <c:v>21,29</c:v>
                </c:pt>
                <c:pt idx="18">
                  <c:v>20,97</c:v>
                </c:pt>
                <c:pt idx="19">
                  <c:v>21,34</c:v>
                </c:pt>
                <c:pt idx="20">
                  <c:v>21,34</c:v>
                </c:pt>
                <c:pt idx="21">
                  <c:v>20,92</c:v>
                </c:pt>
                <c:pt idx="22">
                  <c:v>20,97</c:v>
                </c:pt>
                <c:pt idx="23">
                  <c:v>21,26</c:v>
                </c:pt>
                <c:pt idx="24">
                  <c:v>21,19</c:v>
                </c:pt>
                <c:pt idx="25">
                  <c:v>21,78</c:v>
                </c:pt>
                <c:pt idx="26">
                  <c:v>19,98</c:v>
                </c:pt>
                <c:pt idx="27">
                  <c:v>20,57</c:v>
                </c:pt>
              </c:strCache>
            </c:strRef>
          </c:xVal>
          <c:yVal>
            <c:numRef>
              <c:f>'HKG vs. BK'!$F$6:$F$105</c:f>
              <c:numCache>
                <c:formatCode>General</c:formatCode>
                <c:ptCount val="100"/>
                <c:pt idx="0">
                  <c:v>22.57</c:v>
                </c:pt>
                <c:pt idx="1">
                  <c:v>24.24</c:v>
                </c:pt>
                <c:pt idx="2">
                  <c:v>23.83</c:v>
                </c:pt>
                <c:pt idx="3">
                  <c:v>21.62</c:v>
                </c:pt>
                <c:pt idx="4">
                  <c:v>22.09</c:v>
                </c:pt>
                <c:pt idx="5">
                  <c:v>21.63</c:v>
                </c:pt>
                <c:pt idx="6">
                  <c:v>28.82</c:v>
                </c:pt>
                <c:pt idx="7">
                  <c:v>22.52</c:v>
                </c:pt>
                <c:pt idx="8">
                  <c:v>25.34</c:v>
                </c:pt>
                <c:pt idx="9">
                  <c:v>23.33</c:v>
                </c:pt>
                <c:pt idx="10">
                  <c:v>20.99</c:v>
                </c:pt>
                <c:pt idx="11">
                  <c:v>23.27</c:v>
                </c:pt>
                <c:pt idx="12">
                  <c:v>22.16</c:v>
                </c:pt>
                <c:pt idx="13">
                  <c:v>25.63</c:v>
                </c:pt>
                <c:pt idx="14">
                  <c:v>20.78</c:v>
                </c:pt>
                <c:pt idx="15">
                  <c:v>23.4</c:v>
                </c:pt>
                <c:pt idx="16">
                  <c:v>21.4</c:v>
                </c:pt>
                <c:pt idx="17">
                  <c:v>21.77</c:v>
                </c:pt>
                <c:pt idx="18">
                  <c:v>22.57</c:v>
                </c:pt>
                <c:pt idx="19">
                  <c:v>20.94</c:v>
                </c:pt>
                <c:pt idx="20">
                  <c:v>21.27</c:v>
                </c:pt>
                <c:pt idx="21">
                  <c:v>21.76</c:v>
                </c:pt>
                <c:pt idx="22">
                  <c:v>22.35</c:v>
                </c:pt>
                <c:pt idx="23">
                  <c:v>21.45</c:v>
                </c:pt>
                <c:pt idx="24">
                  <c:v>22.2</c:v>
                </c:pt>
                <c:pt idx="25">
                  <c:v>22.39</c:v>
                </c:pt>
                <c:pt idx="26">
                  <c:v>21.22</c:v>
                </c:pt>
                <c:pt idx="27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C33-44FA-A2BF-6D3FA6ABB755}"/>
            </c:ext>
          </c:extLst>
        </c:ser>
        <c:ser>
          <c:idx val="5"/>
          <c:order val="5"/>
          <c:tx>
            <c:strRef>
              <c:f>Intro!$B$22</c:f>
              <c:strCache>
                <c:ptCount val="1"/>
                <c:pt idx="0">
                  <c:v>PPIA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28"/>
                <c:pt idx="0">
                  <c:v>21,60</c:v>
                </c:pt>
                <c:pt idx="1">
                  <c:v>22,31</c:v>
                </c:pt>
                <c:pt idx="2">
                  <c:v>23,38</c:v>
                </c:pt>
                <c:pt idx="3">
                  <c:v>22,66</c:v>
                </c:pt>
                <c:pt idx="4">
                  <c:v>21,15</c:v>
                </c:pt>
                <c:pt idx="5">
                  <c:v>20,74</c:v>
                </c:pt>
                <c:pt idx="6">
                  <c:v>25,95</c:v>
                </c:pt>
                <c:pt idx="7">
                  <c:v>21,29</c:v>
                </c:pt>
                <c:pt idx="8">
                  <c:v>23,64</c:v>
                </c:pt>
                <c:pt idx="9">
                  <c:v>22,67</c:v>
                </c:pt>
                <c:pt idx="10">
                  <c:v>20,18</c:v>
                </c:pt>
                <c:pt idx="11">
                  <c:v>21,98</c:v>
                </c:pt>
                <c:pt idx="12">
                  <c:v>21,50</c:v>
                </c:pt>
                <c:pt idx="13">
                  <c:v>23,52</c:v>
                </c:pt>
                <c:pt idx="14">
                  <c:v>19,92</c:v>
                </c:pt>
                <c:pt idx="15">
                  <c:v>21,74</c:v>
                </c:pt>
                <c:pt idx="16">
                  <c:v>19,95</c:v>
                </c:pt>
                <c:pt idx="17">
                  <c:v>21,29</c:v>
                </c:pt>
                <c:pt idx="18">
                  <c:v>20,97</c:v>
                </c:pt>
                <c:pt idx="19">
                  <c:v>21,34</c:v>
                </c:pt>
                <c:pt idx="20">
                  <c:v>21,34</c:v>
                </c:pt>
                <c:pt idx="21">
                  <c:v>20,92</c:v>
                </c:pt>
                <c:pt idx="22">
                  <c:v>20,97</c:v>
                </c:pt>
                <c:pt idx="23">
                  <c:v>21,26</c:v>
                </c:pt>
                <c:pt idx="24">
                  <c:v>21,19</c:v>
                </c:pt>
                <c:pt idx="25">
                  <c:v>21,78</c:v>
                </c:pt>
                <c:pt idx="26">
                  <c:v>19,98</c:v>
                </c:pt>
                <c:pt idx="27">
                  <c:v>20,57</c:v>
                </c:pt>
              </c:strCache>
            </c:strRef>
          </c:xVal>
          <c:yVal>
            <c:numRef>
              <c:f>'HKG vs. BK'!$G$6:$G$105</c:f>
              <c:numCache>
                <c:formatCode>General</c:formatCode>
                <c:ptCount val="100"/>
                <c:pt idx="0">
                  <c:v>20.309999999999999</c:v>
                </c:pt>
                <c:pt idx="1">
                  <c:v>20.63</c:v>
                </c:pt>
                <c:pt idx="2">
                  <c:v>20.77</c:v>
                </c:pt>
                <c:pt idx="3">
                  <c:v>20.77</c:v>
                </c:pt>
                <c:pt idx="4">
                  <c:v>19.87</c:v>
                </c:pt>
                <c:pt idx="5">
                  <c:v>19.57</c:v>
                </c:pt>
                <c:pt idx="6">
                  <c:v>23.07</c:v>
                </c:pt>
                <c:pt idx="7">
                  <c:v>19.2</c:v>
                </c:pt>
                <c:pt idx="8">
                  <c:v>22.19</c:v>
                </c:pt>
                <c:pt idx="9">
                  <c:v>21.64</c:v>
                </c:pt>
                <c:pt idx="10">
                  <c:v>19.5</c:v>
                </c:pt>
                <c:pt idx="11">
                  <c:v>21.37</c:v>
                </c:pt>
                <c:pt idx="12">
                  <c:v>21.17</c:v>
                </c:pt>
                <c:pt idx="13">
                  <c:v>22.47</c:v>
                </c:pt>
                <c:pt idx="14">
                  <c:v>19.260000000000002</c:v>
                </c:pt>
                <c:pt idx="15">
                  <c:v>21.38</c:v>
                </c:pt>
                <c:pt idx="16">
                  <c:v>20.49</c:v>
                </c:pt>
                <c:pt idx="17">
                  <c:v>20.86</c:v>
                </c:pt>
                <c:pt idx="18">
                  <c:v>19</c:v>
                </c:pt>
                <c:pt idx="19">
                  <c:v>20.239999999999998</c:v>
                </c:pt>
                <c:pt idx="20">
                  <c:v>20.329999999999998</c:v>
                </c:pt>
                <c:pt idx="21">
                  <c:v>20.65</c:v>
                </c:pt>
                <c:pt idx="22">
                  <c:v>21.12</c:v>
                </c:pt>
                <c:pt idx="23">
                  <c:v>20.329999999999998</c:v>
                </c:pt>
                <c:pt idx="24">
                  <c:v>20.54</c:v>
                </c:pt>
                <c:pt idx="25">
                  <c:v>21.08</c:v>
                </c:pt>
                <c:pt idx="26">
                  <c:v>19.59</c:v>
                </c:pt>
                <c:pt idx="27">
                  <c:v>20.100000000000001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C33-44FA-A2BF-6D3FA6ABB755}"/>
            </c:ext>
          </c:extLst>
        </c:ser>
        <c:ser>
          <c:idx val="6"/>
          <c:order val="6"/>
          <c:tx>
            <c:strRef>
              <c:f>Intro!$B$23</c:f>
              <c:strCache>
                <c:ptCount val="1"/>
                <c:pt idx="0">
                  <c:v>ATP5B</c:v>
                </c:pt>
              </c:strCache>
            </c:strRef>
          </c:tx>
          <c:spPr>
            <a:ln w="19050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28"/>
                <c:pt idx="0">
                  <c:v>21,60</c:v>
                </c:pt>
                <c:pt idx="1">
                  <c:v>22,31</c:v>
                </c:pt>
                <c:pt idx="2">
                  <c:v>23,38</c:v>
                </c:pt>
                <c:pt idx="3">
                  <c:v>22,66</c:v>
                </c:pt>
                <c:pt idx="4">
                  <c:v>21,15</c:v>
                </c:pt>
                <c:pt idx="5">
                  <c:v>20,74</c:v>
                </c:pt>
                <c:pt idx="6">
                  <c:v>25,95</c:v>
                </c:pt>
                <c:pt idx="7">
                  <c:v>21,29</c:v>
                </c:pt>
                <c:pt idx="8">
                  <c:v>23,64</c:v>
                </c:pt>
                <c:pt idx="9">
                  <c:v>22,67</c:v>
                </c:pt>
                <c:pt idx="10">
                  <c:v>20,18</c:v>
                </c:pt>
                <c:pt idx="11">
                  <c:v>21,98</c:v>
                </c:pt>
                <c:pt idx="12">
                  <c:v>21,50</c:v>
                </c:pt>
                <c:pt idx="13">
                  <c:v>23,52</c:v>
                </c:pt>
                <c:pt idx="14">
                  <c:v>19,92</c:v>
                </c:pt>
                <c:pt idx="15">
                  <c:v>21,74</c:v>
                </c:pt>
                <c:pt idx="16">
                  <c:v>19,95</c:v>
                </c:pt>
                <c:pt idx="17">
                  <c:v>21,29</c:v>
                </c:pt>
                <c:pt idx="18">
                  <c:v>20,97</c:v>
                </c:pt>
                <c:pt idx="19">
                  <c:v>21,34</c:v>
                </c:pt>
                <c:pt idx="20">
                  <c:v>21,34</c:v>
                </c:pt>
                <c:pt idx="21">
                  <c:v>20,92</c:v>
                </c:pt>
                <c:pt idx="22">
                  <c:v>20,97</c:v>
                </c:pt>
                <c:pt idx="23">
                  <c:v>21,26</c:v>
                </c:pt>
                <c:pt idx="24">
                  <c:v>21,19</c:v>
                </c:pt>
                <c:pt idx="25">
                  <c:v>21,78</c:v>
                </c:pt>
                <c:pt idx="26">
                  <c:v>19,98</c:v>
                </c:pt>
                <c:pt idx="27">
                  <c:v>20,57</c:v>
                </c:pt>
              </c:strCache>
            </c:strRef>
          </c:xVal>
          <c:yVal>
            <c:numRef>
              <c:f>'HKG vs. BK'!$H$6:$H$105</c:f>
              <c:numCache>
                <c:formatCode>General</c:formatCode>
                <c:ptCount val="100"/>
                <c:pt idx="0">
                  <c:v>19.93</c:v>
                </c:pt>
                <c:pt idx="1">
                  <c:v>19.32</c:v>
                </c:pt>
                <c:pt idx="2">
                  <c:v>20.3</c:v>
                </c:pt>
                <c:pt idx="3">
                  <c:v>20.329999999999998</c:v>
                </c:pt>
                <c:pt idx="4">
                  <c:v>20</c:v>
                </c:pt>
                <c:pt idx="5">
                  <c:v>18.88</c:v>
                </c:pt>
                <c:pt idx="6">
                  <c:v>23.42</c:v>
                </c:pt>
                <c:pt idx="7">
                  <c:v>18.399999999999999</c:v>
                </c:pt>
                <c:pt idx="8">
                  <c:v>21.68</c:v>
                </c:pt>
                <c:pt idx="9">
                  <c:v>22.06</c:v>
                </c:pt>
                <c:pt idx="10">
                  <c:v>18.98</c:v>
                </c:pt>
                <c:pt idx="11">
                  <c:v>19.86</c:v>
                </c:pt>
                <c:pt idx="12">
                  <c:v>19.87</c:v>
                </c:pt>
                <c:pt idx="13">
                  <c:v>21.39</c:v>
                </c:pt>
                <c:pt idx="14">
                  <c:v>18.98</c:v>
                </c:pt>
                <c:pt idx="15">
                  <c:v>20.04</c:v>
                </c:pt>
                <c:pt idx="16">
                  <c:v>18.37</c:v>
                </c:pt>
                <c:pt idx="17">
                  <c:v>19.18</c:v>
                </c:pt>
                <c:pt idx="18">
                  <c:v>18.28</c:v>
                </c:pt>
                <c:pt idx="19">
                  <c:v>19.45</c:v>
                </c:pt>
                <c:pt idx="20">
                  <c:v>19.86</c:v>
                </c:pt>
                <c:pt idx="21">
                  <c:v>19.059999999999999</c:v>
                </c:pt>
                <c:pt idx="22">
                  <c:v>18.670000000000002</c:v>
                </c:pt>
                <c:pt idx="23">
                  <c:v>19.96</c:v>
                </c:pt>
                <c:pt idx="24">
                  <c:v>19.61</c:v>
                </c:pt>
                <c:pt idx="25">
                  <c:v>19.72</c:v>
                </c:pt>
                <c:pt idx="26">
                  <c:v>18.93</c:v>
                </c:pt>
                <c:pt idx="27">
                  <c:v>19.010000000000002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C33-44FA-A2BF-6D3FA6ABB755}"/>
            </c:ext>
          </c:extLst>
        </c:ser>
        <c:ser>
          <c:idx val="7"/>
          <c:order val="7"/>
          <c:tx>
            <c:strRef>
              <c:f>Intro!$B$24</c:f>
              <c:strCache>
                <c:ptCount val="1"/>
                <c:pt idx="0">
                  <c:v>GUSB</c:v>
                </c:pt>
              </c:strCache>
            </c:strRef>
          </c:tx>
          <c:spPr>
            <a:ln w="19050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28"/>
                <c:pt idx="0">
                  <c:v>21,60</c:v>
                </c:pt>
                <c:pt idx="1">
                  <c:v>22,31</c:v>
                </c:pt>
                <c:pt idx="2">
                  <c:v>23,38</c:v>
                </c:pt>
                <c:pt idx="3">
                  <c:v>22,66</c:v>
                </c:pt>
                <c:pt idx="4">
                  <c:v>21,15</c:v>
                </c:pt>
                <c:pt idx="5">
                  <c:v>20,74</c:v>
                </c:pt>
                <c:pt idx="6">
                  <c:v>25,95</c:v>
                </c:pt>
                <c:pt idx="7">
                  <c:v>21,29</c:v>
                </c:pt>
                <c:pt idx="8">
                  <c:v>23,64</c:v>
                </c:pt>
                <c:pt idx="9">
                  <c:v>22,67</c:v>
                </c:pt>
                <c:pt idx="10">
                  <c:v>20,18</c:v>
                </c:pt>
                <c:pt idx="11">
                  <c:v>21,98</c:v>
                </c:pt>
                <c:pt idx="12">
                  <c:v>21,50</c:v>
                </c:pt>
                <c:pt idx="13">
                  <c:v>23,52</c:v>
                </c:pt>
                <c:pt idx="14">
                  <c:v>19,92</c:v>
                </c:pt>
                <c:pt idx="15">
                  <c:v>21,74</c:v>
                </c:pt>
                <c:pt idx="16">
                  <c:v>19,95</c:v>
                </c:pt>
                <c:pt idx="17">
                  <c:v>21,29</c:v>
                </c:pt>
                <c:pt idx="18">
                  <c:v>20,97</c:v>
                </c:pt>
                <c:pt idx="19">
                  <c:v>21,34</c:v>
                </c:pt>
                <c:pt idx="20">
                  <c:v>21,34</c:v>
                </c:pt>
                <c:pt idx="21">
                  <c:v>20,92</c:v>
                </c:pt>
                <c:pt idx="22">
                  <c:v>20,97</c:v>
                </c:pt>
                <c:pt idx="23">
                  <c:v>21,26</c:v>
                </c:pt>
                <c:pt idx="24">
                  <c:v>21,19</c:v>
                </c:pt>
                <c:pt idx="25">
                  <c:v>21,78</c:v>
                </c:pt>
                <c:pt idx="26">
                  <c:v>19,98</c:v>
                </c:pt>
                <c:pt idx="27">
                  <c:v>20,57</c:v>
                </c:pt>
              </c:strCache>
            </c:strRef>
          </c:xVal>
          <c:yVal>
            <c:numRef>
              <c:f>'HKG vs. BK'!$I$6:$I$105</c:f>
              <c:numCache>
                <c:formatCode>General</c:formatCode>
                <c:ptCount val="100"/>
                <c:pt idx="0">
                  <c:v>24.78</c:v>
                </c:pt>
                <c:pt idx="1">
                  <c:v>27.26</c:v>
                </c:pt>
                <c:pt idx="2">
                  <c:v>33.409999999999997</c:v>
                </c:pt>
                <c:pt idx="3">
                  <c:v>27.02</c:v>
                </c:pt>
                <c:pt idx="4">
                  <c:v>24.59</c:v>
                </c:pt>
                <c:pt idx="5">
                  <c:v>27.39</c:v>
                </c:pt>
                <c:pt idx="6">
                  <c:v>30.37</c:v>
                </c:pt>
                <c:pt idx="7">
                  <c:v>25.3</c:v>
                </c:pt>
                <c:pt idx="8">
                  <c:v>27.84</c:v>
                </c:pt>
                <c:pt idx="9">
                  <c:v>27.69</c:v>
                </c:pt>
                <c:pt idx="10">
                  <c:v>23.74</c:v>
                </c:pt>
                <c:pt idx="11">
                  <c:v>26.32</c:v>
                </c:pt>
                <c:pt idx="12">
                  <c:v>25.33</c:v>
                </c:pt>
                <c:pt idx="13">
                  <c:v>29.06</c:v>
                </c:pt>
                <c:pt idx="14">
                  <c:v>23.74</c:v>
                </c:pt>
                <c:pt idx="15">
                  <c:v>26.93</c:v>
                </c:pt>
                <c:pt idx="16">
                  <c:v>23.24</c:v>
                </c:pt>
                <c:pt idx="17">
                  <c:v>25.17</c:v>
                </c:pt>
                <c:pt idx="18">
                  <c:v>25.2</c:v>
                </c:pt>
                <c:pt idx="19">
                  <c:v>25.01</c:v>
                </c:pt>
                <c:pt idx="20">
                  <c:v>27.04</c:v>
                </c:pt>
                <c:pt idx="21">
                  <c:v>21.35</c:v>
                </c:pt>
                <c:pt idx="22">
                  <c:v>23.16</c:v>
                </c:pt>
                <c:pt idx="23">
                  <c:v>25.89</c:v>
                </c:pt>
                <c:pt idx="24">
                  <c:v>26.55</c:v>
                </c:pt>
                <c:pt idx="25">
                  <c:v>27.78</c:v>
                </c:pt>
                <c:pt idx="26">
                  <c:v>22.52</c:v>
                </c:pt>
                <c:pt idx="27">
                  <c:v>23.08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C33-44FA-A2BF-6D3FA6ABB755}"/>
            </c:ext>
          </c:extLst>
        </c:ser>
        <c:ser>
          <c:idx val="8"/>
          <c:order val="8"/>
          <c:tx>
            <c:strRef>
              <c:f>Intro!$B$25</c:f>
              <c:strCache>
                <c:ptCount val="1"/>
                <c:pt idx="0">
                  <c:v>GAPDH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28"/>
                <c:pt idx="0">
                  <c:v>21,60</c:v>
                </c:pt>
                <c:pt idx="1">
                  <c:v>22,31</c:v>
                </c:pt>
                <c:pt idx="2">
                  <c:v>23,38</c:v>
                </c:pt>
                <c:pt idx="3">
                  <c:v>22,66</c:v>
                </c:pt>
                <c:pt idx="4">
                  <c:v>21,15</c:v>
                </c:pt>
                <c:pt idx="5">
                  <c:v>20,74</c:v>
                </c:pt>
                <c:pt idx="6">
                  <c:v>25,95</c:v>
                </c:pt>
                <c:pt idx="7">
                  <c:v>21,29</c:v>
                </c:pt>
                <c:pt idx="8">
                  <c:v>23,64</c:v>
                </c:pt>
                <c:pt idx="9">
                  <c:v>22,67</c:v>
                </c:pt>
                <c:pt idx="10">
                  <c:v>20,18</c:v>
                </c:pt>
                <c:pt idx="11">
                  <c:v>21,98</c:v>
                </c:pt>
                <c:pt idx="12">
                  <c:v>21,50</c:v>
                </c:pt>
                <c:pt idx="13">
                  <c:v>23,52</c:v>
                </c:pt>
                <c:pt idx="14">
                  <c:v>19,92</c:v>
                </c:pt>
                <c:pt idx="15">
                  <c:v>21,74</c:v>
                </c:pt>
                <c:pt idx="16">
                  <c:v>19,95</c:v>
                </c:pt>
                <c:pt idx="17">
                  <c:v>21,29</c:v>
                </c:pt>
                <c:pt idx="18">
                  <c:v>20,97</c:v>
                </c:pt>
                <c:pt idx="19">
                  <c:v>21,34</c:v>
                </c:pt>
                <c:pt idx="20">
                  <c:v>21,34</c:v>
                </c:pt>
                <c:pt idx="21">
                  <c:v>20,92</c:v>
                </c:pt>
                <c:pt idx="22">
                  <c:v>20,97</c:v>
                </c:pt>
                <c:pt idx="23">
                  <c:v>21,26</c:v>
                </c:pt>
                <c:pt idx="24">
                  <c:v>21,19</c:v>
                </c:pt>
                <c:pt idx="25">
                  <c:v>21,78</c:v>
                </c:pt>
                <c:pt idx="26">
                  <c:v>19,98</c:v>
                </c:pt>
                <c:pt idx="27">
                  <c:v>20,57</c:v>
                </c:pt>
              </c:strCache>
            </c:strRef>
          </c:xVal>
          <c:yVal>
            <c:numRef>
              <c:f>'HKG vs. BK'!$J$6:$J$105</c:f>
              <c:numCache>
                <c:formatCode>General</c:formatCode>
                <c:ptCount val="100"/>
                <c:pt idx="0">
                  <c:v>17.190000000000001</c:v>
                </c:pt>
                <c:pt idx="1">
                  <c:v>19.22</c:v>
                </c:pt>
                <c:pt idx="2">
                  <c:v>18.96</c:v>
                </c:pt>
                <c:pt idx="3">
                  <c:v>18.690000000000001</c:v>
                </c:pt>
                <c:pt idx="4">
                  <c:v>17.34</c:v>
                </c:pt>
                <c:pt idx="5">
                  <c:v>16.649999999999999</c:v>
                </c:pt>
                <c:pt idx="6">
                  <c:v>22.02</c:v>
                </c:pt>
                <c:pt idx="7">
                  <c:v>16.66</c:v>
                </c:pt>
                <c:pt idx="8">
                  <c:v>19.16</c:v>
                </c:pt>
                <c:pt idx="9">
                  <c:v>18.64</c:v>
                </c:pt>
                <c:pt idx="10">
                  <c:v>16.239999999999998</c:v>
                </c:pt>
                <c:pt idx="11">
                  <c:v>17.399999999999999</c:v>
                </c:pt>
                <c:pt idx="12">
                  <c:v>17.48</c:v>
                </c:pt>
                <c:pt idx="13">
                  <c:v>20.53</c:v>
                </c:pt>
                <c:pt idx="14">
                  <c:v>15.83</c:v>
                </c:pt>
                <c:pt idx="15">
                  <c:v>17.7</c:v>
                </c:pt>
                <c:pt idx="16">
                  <c:v>15.93</c:v>
                </c:pt>
                <c:pt idx="17">
                  <c:v>18.14</c:v>
                </c:pt>
                <c:pt idx="18">
                  <c:v>16.12</c:v>
                </c:pt>
                <c:pt idx="19">
                  <c:v>17.350000000000001</c:v>
                </c:pt>
                <c:pt idx="20">
                  <c:v>17.559999999999999</c:v>
                </c:pt>
                <c:pt idx="21">
                  <c:v>18.04</c:v>
                </c:pt>
                <c:pt idx="22">
                  <c:v>17.57</c:v>
                </c:pt>
                <c:pt idx="23">
                  <c:v>17.66</c:v>
                </c:pt>
                <c:pt idx="24">
                  <c:v>16.8</c:v>
                </c:pt>
                <c:pt idx="25">
                  <c:v>18.739999999999998</c:v>
                </c:pt>
                <c:pt idx="26">
                  <c:v>16.489999999999998</c:v>
                </c:pt>
                <c:pt idx="27">
                  <c:v>17.93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C33-44FA-A2BF-6D3FA6ABB755}"/>
            </c:ext>
          </c:extLst>
        </c:ser>
        <c:ser>
          <c:idx val="9"/>
          <c:order val="9"/>
          <c:tx>
            <c:strRef>
              <c:f>Intro!$B$26</c:f>
              <c:strCache>
                <c:ptCount val="1"/>
                <c:pt idx="0">
                  <c:v>YWHAZ</c:v>
                </c:pt>
              </c:strCache>
            </c:strRef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28"/>
                <c:pt idx="0">
                  <c:v>21,60</c:v>
                </c:pt>
                <c:pt idx="1">
                  <c:v>22,31</c:v>
                </c:pt>
                <c:pt idx="2">
                  <c:v>23,38</c:v>
                </c:pt>
                <c:pt idx="3">
                  <c:v>22,66</c:v>
                </c:pt>
                <c:pt idx="4">
                  <c:v>21,15</c:v>
                </c:pt>
                <c:pt idx="5">
                  <c:v>20,74</c:v>
                </c:pt>
                <c:pt idx="6">
                  <c:v>25,95</c:v>
                </c:pt>
                <c:pt idx="7">
                  <c:v>21,29</c:v>
                </c:pt>
                <c:pt idx="8">
                  <c:v>23,64</c:v>
                </c:pt>
                <c:pt idx="9">
                  <c:v>22,67</c:v>
                </c:pt>
                <c:pt idx="10">
                  <c:v>20,18</c:v>
                </c:pt>
                <c:pt idx="11">
                  <c:v>21,98</c:v>
                </c:pt>
                <c:pt idx="12">
                  <c:v>21,50</c:v>
                </c:pt>
                <c:pt idx="13">
                  <c:v>23,52</c:v>
                </c:pt>
                <c:pt idx="14">
                  <c:v>19,92</c:v>
                </c:pt>
                <c:pt idx="15">
                  <c:v>21,74</c:v>
                </c:pt>
                <c:pt idx="16">
                  <c:v>19,95</c:v>
                </c:pt>
                <c:pt idx="17">
                  <c:v>21,29</c:v>
                </c:pt>
                <c:pt idx="18">
                  <c:v>20,97</c:v>
                </c:pt>
                <c:pt idx="19">
                  <c:v>21,34</c:v>
                </c:pt>
                <c:pt idx="20">
                  <c:v>21,34</c:v>
                </c:pt>
                <c:pt idx="21">
                  <c:v>20,92</c:v>
                </c:pt>
                <c:pt idx="22">
                  <c:v>20,97</c:v>
                </c:pt>
                <c:pt idx="23">
                  <c:v>21,26</c:v>
                </c:pt>
                <c:pt idx="24">
                  <c:v>21,19</c:v>
                </c:pt>
                <c:pt idx="25">
                  <c:v>21,78</c:v>
                </c:pt>
                <c:pt idx="26">
                  <c:v>19,98</c:v>
                </c:pt>
                <c:pt idx="27">
                  <c:v>20,57</c:v>
                </c:pt>
              </c:strCache>
            </c:strRef>
          </c:xVal>
          <c:yVal>
            <c:numRef>
              <c:f>'HKG vs. BK'!$K$6:$K$105</c:f>
              <c:numCache>
                <c:formatCode>General</c:formatCode>
                <c:ptCount val="100"/>
                <c:pt idx="0">
                  <c:v>24.18</c:v>
                </c:pt>
                <c:pt idx="1">
                  <c:v>24.16</c:v>
                </c:pt>
                <c:pt idx="2">
                  <c:v>23.93</c:v>
                </c:pt>
                <c:pt idx="3">
                  <c:v>27.72</c:v>
                </c:pt>
                <c:pt idx="4">
                  <c:v>23.61</c:v>
                </c:pt>
                <c:pt idx="5">
                  <c:v>23.33</c:v>
                </c:pt>
                <c:pt idx="6">
                  <c:v>29.68</c:v>
                </c:pt>
                <c:pt idx="7">
                  <c:v>23.58</c:v>
                </c:pt>
                <c:pt idx="8">
                  <c:v>27.44</c:v>
                </c:pt>
                <c:pt idx="9">
                  <c:v>24.48</c:v>
                </c:pt>
                <c:pt idx="10">
                  <c:v>22.48</c:v>
                </c:pt>
                <c:pt idx="11">
                  <c:v>25.22</c:v>
                </c:pt>
                <c:pt idx="12">
                  <c:v>24.08</c:v>
                </c:pt>
                <c:pt idx="13">
                  <c:v>25.57</c:v>
                </c:pt>
                <c:pt idx="14">
                  <c:v>22.06</c:v>
                </c:pt>
                <c:pt idx="15">
                  <c:v>25.44</c:v>
                </c:pt>
                <c:pt idx="16">
                  <c:v>21.91</c:v>
                </c:pt>
                <c:pt idx="17">
                  <c:v>23.1</c:v>
                </c:pt>
                <c:pt idx="18">
                  <c:v>23.46</c:v>
                </c:pt>
                <c:pt idx="19">
                  <c:v>24.1</c:v>
                </c:pt>
                <c:pt idx="20">
                  <c:v>24.14</c:v>
                </c:pt>
                <c:pt idx="21">
                  <c:v>24.09</c:v>
                </c:pt>
                <c:pt idx="22">
                  <c:v>23.76</c:v>
                </c:pt>
                <c:pt idx="23">
                  <c:v>23.99</c:v>
                </c:pt>
                <c:pt idx="24">
                  <c:v>22.93</c:v>
                </c:pt>
                <c:pt idx="25">
                  <c:v>22.95</c:v>
                </c:pt>
                <c:pt idx="26">
                  <c:v>22.29</c:v>
                </c:pt>
                <c:pt idx="27">
                  <c:v>22.19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C33-44FA-A2BF-6D3FA6ABB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45199"/>
        <c:axId val="1"/>
      </c:scatterChart>
      <c:valAx>
        <c:axId val="232045199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sample number</a:t>
                </a:r>
              </a:p>
            </c:rich>
          </c:tx>
          <c:layout>
            <c:manualLayout>
              <c:xMode val="edge"/>
              <c:yMode val="edge"/>
              <c:x val="0.41778697001034126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crossing point (CP)</a:t>
                </a:r>
              </a:p>
            </c:rich>
          </c:tx>
          <c:layout>
            <c:manualLayout>
              <c:xMode val="edge"/>
              <c:yMode val="edge"/>
              <c:x val="5.170630816959669E-3"/>
              <c:y val="0.3779661016949152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2045199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10548086866598"/>
          <c:y val="0.12372881355932204"/>
          <c:w val="2.0682523267838676E-2"/>
          <c:h val="0.3406779661016949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CPs  of  Target Genes</a:t>
            </a:r>
          </a:p>
        </c:rich>
      </c:tx>
      <c:layout>
        <c:manualLayout>
          <c:xMode val="edge"/>
          <c:yMode val="edge"/>
          <c:x val="0.38262668045501552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203389830508475"/>
          <c:w val="0.83971044467425027"/>
          <c:h val="0.76779661016949152"/>
        </c:manualLayout>
      </c:layout>
      <c:scatterChart>
        <c:scatterStyle val="lineMarker"/>
        <c:varyColors val="0"/>
        <c:ser>
          <c:idx val="0"/>
          <c:order val="0"/>
          <c:tx>
            <c:strRef>
              <c:f>Intro!$B$29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28"/>
                <c:pt idx="0">
                  <c:v>21,60</c:v>
                </c:pt>
                <c:pt idx="1">
                  <c:v>22,31</c:v>
                </c:pt>
                <c:pt idx="2">
                  <c:v>23,38</c:v>
                </c:pt>
                <c:pt idx="3">
                  <c:v>22,66</c:v>
                </c:pt>
                <c:pt idx="4">
                  <c:v>21,15</c:v>
                </c:pt>
                <c:pt idx="5">
                  <c:v>20,74</c:v>
                </c:pt>
                <c:pt idx="6">
                  <c:v>25,95</c:v>
                </c:pt>
                <c:pt idx="7">
                  <c:v>21,29</c:v>
                </c:pt>
                <c:pt idx="8">
                  <c:v>23,64</c:v>
                </c:pt>
                <c:pt idx="9">
                  <c:v>22,67</c:v>
                </c:pt>
                <c:pt idx="10">
                  <c:v>20,18</c:v>
                </c:pt>
                <c:pt idx="11">
                  <c:v>21,98</c:v>
                </c:pt>
                <c:pt idx="12">
                  <c:v>21,50</c:v>
                </c:pt>
                <c:pt idx="13">
                  <c:v>23,52</c:v>
                </c:pt>
                <c:pt idx="14">
                  <c:v>19,92</c:v>
                </c:pt>
                <c:pt idx="15">
                  <c:v>21,74</c:v>
                </c:pt>
                <c:pt idx="16">
                  <c:v>19,95</c:v>
                </c:pt>
                <c:pt idx="17">
                  <c:v>21,29</c:v>
                </c:pt>
                <c:pt idx="18">
                  <c:v>20,97</c:v>
                </c:pt>
                <c:pt idx="19">
                  <c:v>21,34</c:v>
                </c:pt>
                <c:pt idx="20">
                  <c:v>21,34</c:v>
                </c:pt>
                <c:pt idx="21">
                  <c:v>20,92</c:v>
                </c:pt>
                <c:pt idx="22">
                  <c:v>20,97</c:v>
                </c:pt>
                <c:pt idx="23">
                  <c:v>21,26</c:v>
                </c:pt>
                <c:pt idx="24">
                  <c:v>21,19</c:v>
                </c:pt>
                <c:pt idx="25">
                  <c:v>21,78</c:v>
                </c:pt>
                <c:pt idx="26">
                  <c:v>19,98</c:v>
                </c:pt>
                <c:pt idx="27">
                  <c:v>20,57</c:v>
                </c:pt>
              </c:strCache>
            </c:strRef>
          </c:xVal>
          <c:yVal>
            <c:numRef>
              <c:f>'BK vs. TG'!$B$6:$B$105</c:f>
              <c:numCache>
                <c:formatCode>0.00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42-4BF5-8B68-E85DA73B6427}"/>
            </c:ext>
          </c:extLst>
        </c:ser>
        <c:ser>
          <c:idx val="1"/>
          <c:order val="1"/>
          <c:tx>
            <c:strRef>
              <c:f>Intro!$B$30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28"/>
                <c:pt idx="0">
                  <c:v>21,60</c:v>
                </c:pt>
                <c:pt idx="1">
                  <c:v>22,31</c:v>
                </c:pt>
                <c:pt idx="2">
                  <c:v>23,38</c:v>
                </c:pt>
                <c:pt idx="3">
                  <c:v>22,66</c:v>
                </c:pt>
                <c:pt idx="4">
                  <c:v>21,15</c:v>
                </c:pt>
                <c:pt idx="5">
                  <c:v>20,74</c:v>
                </c:pt>
                <c:pt idx="6">
                  <c:v>25,95</c:v>
                </c:pt>
                <c:pt idx="7">
                  <c:v>21,29</c:v>
                </c:pt>
                <c:pt idx="8">
                  <c:v>23,64</c:v>
                </c:pt>
                <c:pt idx="9">
                  <c:v>22,67</c:v>
                </c:pt>
                <c:pt idx="10">
                  <c:v>20,18</c:v>
                </c:pt>
                <c:pt idx="11">
                  <c:v>21,98</c:v>
                </c:pt>
                <c:pt idx="12">
                  <c:v>21,50</c:v>
                </c:pt>
                <c:pt idx="13">
                  <c:v>23,52</c:v>
                </c:pt>
                <c:pt idx="14">
                  <c:v>19,92</c:v>
                </c:pt>
                <c:pt idx="15">
                  <c:v>21,74</c:v>
                </c:pt>
                <c:pt idx="16">
                  <c:v>19,95</c:v>
                </c:pt>
                <c:pt idx="17">
                  <c:v>21,29</c:v>
                </c:pt>
                <c:pt idx="18">
                  <c:v>20,97</c:v>
                </c:pt>
                <c:pt idx="19">
                  <c:v>21,34</c:v>
                </c:pt>
                <c:pt idx="20">
                  <c:v>21,34</c:v>
                </c:pt>
                <c:pt idx="21">
                  <c:v>20,92</c:v>
                </c:pt>
                <c:pt idx="22">
                  <c:v>20,97</c:v>
                </c:pt>
                <c:pt idx="23">
                  <c:v>21,26</c:v>
                </c:pt>
                <c:pt idx="24">
                  <c:v>21,19</c:v>
                </c:pt>
                <c:pt idx="25">
                  <c:v>21,78</c:v>
                </c:pt>
                <c:pt idx="26">
                  <c:v>19,98</c:v>
                </c:pt>
                <c:pt idx="27">
                  <c:v>20,57</c:v>
                </c:pt>
              </c:strCache>
            </c:strRef>
          </c:xVal>
          <c:yVal>
            <c:numRef>
              <c:f>'BK vs. TG'!$C$6:$C$105</c:f>
              <c:numCache>
                <c:formatCode>0.00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42-4BF5-8B68-E85DA73B6427}"/>
            </c:ext>
          </c:extLst>
        </c:ser>
        <c:ser>
          <c:idx val="2"/>
          <c:order val="2"/>
          <c:tx>
            <c:strRef>
              <c:f>Intro!$B$31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28"/>
                <c:pt idx="0">
                  <c:v>21,60</c:v>
                </c:pt>
                <c:pt idx="1">
                  <c:v>22,31</c:v>
                </c:pt>
                <c:pt idx="2">
                  <c:v>23,38</c:v>
                </c:pt>
                <c:pt idx="3">
                  <c:v>22,66</c:v>
                </c:pt>
                <c:pt idx="4">
                  <c:v>21,15</c:v>
                </c:pt>
                <c:pt idx="5">
                  <c:v>20,74</c:v>
                </c:pt>
                <c:pt idx="6">
                  <c:v>25,95</c:v>
                </c:pt>
                <c:pt idx="7">
                  <c:v>21,29</c:v>
                </c:pt>
                <c:pt idx="8">
                  <c:v>23,64</c:v>
                </c:pt>
                <c:pt idx="9">
                  <c:v>22,67</c:v>
                </c:pt>
                <c:pt idx="10">
                  <c:v>20,18</c:v>
                </c:pt>
                <c:pt idx="11">
                  <c:v>21,98</c:v>
                </c:pt>
                <c:pt idx="12">
                  <c:v>21,50</c:v>
                </c:pt>
                <c:pt idx="13">
                  <c:v>23,52</c:v>
                </c:pt>
                <c:pt idx="14">
                  <c:v>19,92</c:v>
                </c:pt>
                <c:pt idx="15">
                  <c:v>21,74</c:v>
                </c:pt>
                <c:pt idx="16">
                  <c:v>19,95</c:v>
                </c:pt>
                <c:pt idx="17">
                  <c:v>21,29</c:v>
                </c:pt>
                <c:pt idx="18">
                  <c:v>20,97</c:v>
                </c:pt>
                <c:pt idx="19">
                  <c:v>21,34</c:v>
                </c:pt>
                <c:pt idx="20">
                  <c:v>21,34</c:v>
                </c:pt>
                <c:pt idx="21">
                  <c:v>20,92</c:v>
                </c:pt>
                <c:pt idx="22">
                  <c:v>20,97</c:v>
                </c:pt>
                <c:pt idx="23">
                  <c:v>21,26</c:v>
                </c:pt>
                <c:pt idx="24">
                  <c:v>21,19</c:v>
                </c:pt>
                <c:pt idx="25">
                  <c:v>21,78</c:v>
                </c:pt>
                <c:pt idx="26">
                  <c:v>19,98</c:v>
                </c:pt>
                <c:pt idx="27">
                  <c:v>20,57</c:v>
                </c:pt>
              </c:strCache>
            </c:strRef>
          </c:xVal>
          <c:yVal>
            <c:numRef>
              <c:f>'BK vs. TG'!$D$6:$D$105</c:f>
              <c:numCache>
                <c:formatCode>0.00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42-4BF5-8B68-E85DA73B6427}"/>
            </c:ext>
          </c:extLst>
        </c:ser>
        <c:ser>
          <c:idx val="3"/>
          <c:order val="3"/>
          <c:tx>
            <c:strRef>
              <c:f>Intro!$B$32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28"/>
                <c:pt idx="0">
                  <c:v>21,60</c:v>
                </c:pt>
                <c:pt idx="1">
                  <c:v>22,31</c:v>
                </c:pt>
                <c:pt idx="2">
                  <c:v>23,38</c:v>
                </c:pt>
                <c:pt idx="3">
                  <c:v>22,66</c:v>
                </c:pt>
                <c:pt idx="4">
                  <c:v>21,15</c:v>
                </c:pt>
                <c:pt idx="5">
                  <c:v>20,74</c:v>
                </c:pt>
                <c:pt idx="6">
                  <c:v>25,95</c:v>
                </c:pt>
                <c:pt idx="7">
                  <c:v>21,29</c:v>
                </c:pt>
                <c:pt idx="8">
                  <c:v>23,64</c:v>
                </c:pt>
                <c:pt idx="9">
                  <c:v>22,67</c:v>
                </c:pt>
                <c:pt idx="10">
                  <c:v>20,18</c:v>
                </c:pt>
                <c:pt idx="11">
                  <c:v>21,98</c:v>
                </c:pt>
                <c:pt idx="12">
                  <c:v>21,50</c:v>
                </c:pt>
                <c:pt idx="13">
                  <c:v>23,52</c:v>
                </c:pt>
                <c:pt idx="14">
                  <c:v>19,92</c:v>
                </c:pt>
                <c:pt idx="15">
                  <c:v>21,74</c:v>
                </c:pt>
                <c:pt idx="16">
                  <c:v>19,95</c:v>
                </c:pt>
                <c:pt idx="17">
                  <c:v>21,29</c:v>
                </c:pt>
                <c:pt idx="18">
                  <c:v>20,97</c:v>
                </c:pt>
                <c:pt idx="19">
                  <c:v>21,34</c:v>
                </c:pt>
                <c:pt idx="20">
                  <c:v>21,34</c:v>
                </c:pt>
                <c:pt idx="21">
                  <c:v>20,92</c:v>
                </c:pt>
                <c:pt idx="22">
                  <c:v>20,97</c:v>
                </c:pt>
                <c:pt idx="23">
                  <c:v>21,26</c:v>
                </c:pt>
                <c:pt idx="24">
                  <c:v>21,19</c:v>
                </c:pt>
                <c:pt idx="25">
                  <c:v>21,78</c:v>
                </c:pt>
                <c:pt idx="26">
                  <c:v>19,98</c:v>
                </c:pt>
                <c:pt idx="27">
                  <c:v>20,57</c:v>
                </c:pt>
              </c:strCache>
            </c:strRef>
          </c:xVal>
          <c:yVal>
            <c:numRef>
              <c:f>'BK vs. TG'!$E$6:$E$105</c:f>
              <c:numCache>
                <c:formatCode>0.00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2-4BF5-8B68-E85DA73B6427}"/>
            </c:ext>
          </c:extLst>
        </c:ser>
        <c:ser>
          <c:idx val="4"/>
          <c:order val="4"/>
          <c:tx>
            <c:strRef>
              <c:f>Intro!$B$33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28"/>
                <c:pt idx="0">
                  <c:v>21,60</c:v>
                </c:pt>
                <c:pt idx="1">
                  <c:v>22,31</c:v>
                </c:pt>
                <c:pt idx="2">
                  <c:v>23,38</c:v>
                </c:pt>
                <c:pt idx="3">
                  <c:v>22,66</c:v>
                </c:pt>
                <c:pt idx="4">
                  <c:v>21,15</c:v>
                </c:pt>
                <c:pt idx="5">
                  <c:v>20,74</c:v>
                </c:pt>
                <c:pt idx="6">
                  <c:v>25,95</c:v>
                </c:pt>
                <c:pt idx="7">
                  <c:v>21,29</c:v>
                </c:pt>
                <c:pt idx="8">
                  <c:v>23,64</c:v>
                </c:pt>
                <c:pt idx="9">
                  <c:v>22,67</c:v>
                </c:pt>
                <c:pt idx="10">
                  <c:v>20,18</c:v>
                </c:pt>
                <c:pt idx="11">
                  <c:v>21,98</c:v>
                </c:pt>
                <c:pt idx="12">
                  <c:v>21,50</c:v>
                </c:pt>
                <c:pt idx="13">
                  <c:v>23,52</c:v>
                </c:pt>
                <c:pt idx="14">
                  <c:v>19,92</c:v>
                </c:pt>
                <c:pt idx="15">
                  <c:v>21,74</c:v>
                </c:pt>
                <c:pt idx="16">
                  <c:v>19,95</c:v>
                </c:pt>
                <c:pt idx="17">
                  <c:v>21,29</c:v>
                </c:pt>
                <c:pt idx="18">
                  <c:v>20,97</c:v>
                </c:pt>
                <c:pt idx="19">
                  <c:v>21,34</c:v>
                </c:pt>
                <c:pt idx="20">
                  <c:v>21,34</c:v>
                </c:pt>
                <c:pt idx="21">
                  <c:v>20,92</c:v>
                </c:pt>
                <c:pt idx="22">
                  <c:v>20,97</c:v>
                </c:pt>
                <c:pt idx="23">
                  <c:v>21,26</c:v>
                </c:pt>
                <c:pt idx="24">
                  <c:v>21,19</c:v>
                </c:pt>
                <c:pt idx="25">
                  <c:v>21,78</c:v>
                </c:pt>
                <c:pt idx="26">
                  <c:v>19,98</c:v>
                </c:pt>
                <c:pt idx="27">
                  <c:v>20,57</c:v>
                </c:pt>
              </c:strCache>
            </c:strRef>
          </c:xVal>
          <c:yVal>
            <c:numRef>
              <c:f>'BK vs. TG'!$F$6:$F$105</c:f>
              <c:numCache>
                <c:formatCode>0.00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942-4BF5-8B68-E85DA73B6427}"/>
            </c:ext>
          </c:extLst>
        </c:ser>
        <c:ser>
          <c:idx val="5"/>
          <c:order val="5"/>
          <c:tx>
            <c:strRef>
              <c:f>Intro!$B$34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28"/>
                <c:pt idx="0">
                  <c:v>21,60</c:v>
                </c:pt>
                <c:pt idx="1">
                  <c:v>22,31</c:v>
                </c:pt>
                <c:pt idx="2">
                  <c:v>23,38</c:v>
                </c:pt>
                <c:pt idx="3">
                  <c:v>22,66</c:v>
                </c:pt>
                <c:pt idx="4">
                  <c:v>21,15</c:v>
                </c:pt>
                <c:pt idx="5">
                  <c:v>20,74</c:v>
                </c:pt>
                <c:pt idx="6">
                  <c:v>25,95</c:v>
                </c:pt>
                <c:pt idx="7">
                  <c:v>21,29</c:v>
                </c:pt>
                <c:pt idx="8">
                  <c:v>23,64</c:v>
                </c:pt>
                <c:pt idx="9">
                  <c:v>22,67</c:v>
                </c:pt>
                <c:pt idx="10">
                  <c:v>20,18</c:v>
                </c:pt>
                <c:pt idx="11">
                  <c:v>21,98</c:v>
                </c:pt>
                <c:pt idx="12">
                  <c:v>21,50</c:v>
                </c:pt>
                <c:pt idx="13">
                  <c:v>23,52</c:v>
                </c:pt>
                <c:pt idx="14">
                  <c:v>19,92</c:v>
                </c:pt>
                <c:pt idx="15">
                  <c:v>21,74</c:v>
                </c:pt>
                <c:pt idx="16">
                  <c:v>19,95</c:v>
                </c:pt>
                <c:pt idx="17">
                  <c:v>21,29</c:v>
                </c:pt>
                <c:pt idx="18">
                  <c:v>20,97</c:v>
                </c:pt>
                <c:pt idx="19">
                  <c:v>21,34</c:v>
                </c:pt>
                <c:pt idx="20">
                  <c:v>21,34</c:v>
                </c:pt>
                <c:pt idx="21">
                  <c:v>20,92</c:v>
                </c:pt>
                <c:pt idx="22">
                  <c:v>20,97</c:v>
                </c:pt>
                <c:pt idx="23">
                  <c:v>21,26</c:v>
                </c:pt>
                <c:pt idx="24">
                  <c:v>21,19</c:v>
                </c:pt>
                <c:pt idx="25">
                  <c:v>21,78</c:v>
                </c:pt>
                <c:pt idx="26">
                  <c:v>19,98</c:v>
                </c:pt>
                <c:pt idx="27">
                  <c:v>20,57</c:v>
                </c:pt>
              </c:strCache>
            </c:strRef>
          </c:xVal>
          <c:yVal>
            <c:numRef>
              <c:f>'BK vs. TG'!$G$6:$G$105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42-4BF5-8B68-E85DA73B6427}"/>
            </c:ext>
          </c:extLst>
        </c:ser>
        <c:ser>
          <c:idx val="6"/>
          <c:order val="6"/>
          <c:tx>
            <c:strRef>
              <c:f>Intro!$B$35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28"/>
                <c:pt idx="0">
                  <c:v>21,60</c:v>
                </c:pt>
                <c:pt idx="1">
                  <c:v>22,31</c:v>
                </c:pt>
                <c:pt idx="2">
                  <c:v>23,38</c:v>
                </c:pt>
                <c:pt idx="3">
                  <c:v>22,66</c:v>
                </c:pt>
                <c:pt idx="4">
                  <c:v>21,15</c:v>
                </c:pt>
                <c:pt idx="5">
                  <c:v>20,74</c:v>
                </c:pt>
                <c:pt idx="6">
                  <c:v>25,95</c:v>
                </c:pt>
                <c:pt idx="7">
                  <c:v>21,29</c:v>
                </c:pt>
                <c:pt idx="8">
                  <c:v>23,64</c:v>
                </c:pt>
                <c:pt idx="9">
                  <c:v>22,67</c:v>
                </c:pt>
                <c:pt idx="10">
                  <c:v>20,18</c:v>
                </c:pt>
                <c:pt idx="11">
                  <c:v>21,98</c:v>
                </c:pt>
                <c:pt idx="12">
                  <c:v>21,50</c:v>
                </c:pt>
                <c:pt idx="13">
                  <c:v>23,52</c:v>
                </c:pt>
                <c:pt idx="14">
                  <c:v>19,92</c:v>
                </c:pt>
                <c:pt idx="15">
                  <c:v>21,74</c:v>
                </c:pt>
                <c:pt idx="16">
                  <c:v>19,95</c:v>
                </c:pt>
                <c:pt idx="17">
                  <c:v>21,29</c:v>
                </c:pt>
                <c:pt idx="18">
                  <c:v>20,97</c:v>
                </c:pt>
                <c:pt idx="19">
                  <c:v>21,34</c:v>
                </c:pt>
                <c:pt idx="20">
                  <c:v>21,34</c:v>
                </c:pt>
                <c:pt idx="21">
                  <c:v>20,92</c:v>
                </c:pt>
                <c:pt idx="22">
                  <c:v>20,97</c:v>
                </c:pt>
                <c:pt idx="23">
                  <c:v>21,26</c:v>
                </c:pt>
                <c:pt idx="24">
                  <c:v>21,19</c:v>
                </c:pt>
                <c:pt idx="25">
                  <c:v>21,78</c:v>
                </c:pt>
                <c:pt idx="26">
                  <c:v>19,98</c:v>
                </c:pt>
                <c:pt idx="27">
                  <c:v>20,57</c:v>
                </c:pt>
              </c:strCache>
            </c:strRef>
          </c:xVal>
          <c:yVal>
            <c:numRef>
              <c:f>'BK vs. TG'!$H$6:$H$105</c:f>
              <c:numCache>
                <c:formatCode>0.00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2-4BF5-8B68-E85DA73B6427}"/>
            </c:ext>
          </c:extLst>
        </c:ser>
        <c:ser>
          <c:idx val="7"/>
          <c:order val="7"/>
          <c:tx>
            <c:strRef>
              <c:f>Intro!$B$36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28"/>
                <c:pt idx="0">
                  <c:v>21,60</c:v>
                </c:pt>
                <c:pt idx="1">
                  <c:v>22,31</c:v>
                </c:pt>
                <c:pt idx="2">
                  <c:v>23,38</c:v>
                </c:pt>
                <c:pt idx="3">
                  <c:v>22,66</c:v>
                </c:pt>
                <c:pt idx="4">
                  <c:v>21,15</c:v>
                </c:pt>
                <c:pt idx="5">
                  <c:v>20,74</c:v>
                </c:pt>
                <c:pt idx="6">
                  <c:v>25,95</c:v>
                </c:pt>
                <c:pt idx="7">
                  <c:v>21,29</c:v>
                </c:pt>
                <c:pt idx="8">
                  <c:v>23,64</c:v>
                </c:pt>
                <c:pt idx="9">
                  <c:v>22,67</c:v>
                </c:pt>
                <c:pt idx="10">
                  <c:v>20,18</c:v>
                </c:pt>
                <c:pt idx="11">
                  <c:v>21,98</c:v>
                </c:pt>
                <c:pt idx="12">
                  <c:v>21,50</c:v>
                </c:pt>
                <c:pt idx="13">
                  <c:v>23,52</c:v>
                </c:pt>
                <c:pt idx="14">
                  <c:v>19,92</c:v>
                </c:pt>
                <c:pt idx="15">
                  <c:v>21,74</c:v>
                </c:pt>
                <c:pt idx="16">
                  <c:v>19,95</c:v>
                </c:pt>
                <c:pt idx="17">
                  <c:v>21,29</c:v>
                </c:pt>
                <c:pt idx="18">
                  <c:v>20,97</c:v>
                </c:pt>
                <c:pt idx="19">
                  <c:v>21,34</c:v>
                </c:pt>
                <c:pt idx="20">
                  <c:v>21,34</c:v>
                </c:pt>
                <c:pt idx="21">
                  <c:v>20,92</c:v>
                </c:pt>
                <c:pt idx="22">
                  <c:v>20,97</c:v>
                </c:pt>
                <c:pt idx="23">
                  <c:v>21,26</c:v>
                </c:pt>
                <c:pt idx="24">
                  <c:v>21,19</c:v>
                </c:pt>
                <c:pt idx="25">
                  <c:v>21,78</c:v>
                </c:pt>
                <c:pt idx="26">
                  <c:v>19,98</c:v>
                </c:pt>
                <c:pt idx="27">
                  <c:v>20,57</c:v>
                </c:pt>
              </c:strCache>
            </c:strRef>
          </c:xVal>
          <c:yVal>
            <c:numRef>
              <c:f>'BK vs. TG'!$I$6:$I$105</c:f>
              <c:numCache>
                <c:formatCode>0.00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42-4BF5-8B68-E85DA73B6427}"/>
            </c:ext>
          </c:extLst>
        </c:ser>
        <c:ser>
          <c:idx val="8"/>
          <c:order val="8"/>
          <c:tx>
            <c:strRef>
              <c:f>Intro!$B$37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28"/>
                <c:pt idx="0">
                  <c:v>21,60</c:v>
                </c:pt>
                <c:pt idx="1">
                  <c:v>22,31</c:v>
                </c:pt>
                <c:pt idx="2">
                  <c:v>23,38</c:v>
                </c:pt>
                <c:pt idx="3">
                  <c:v>22,66</c:v>
                </c:pt>
                <c:pt idx="4">
                  <c:v>21,15</c:v>
                </c:pt>
                <c:pt idx="5">
                  <c:v>20,74</c:v>
                </c:pt>
                <c:pt idx="6">
                  <c:v>25,95</c:v>
                </c:pt>
                <c:pt idx="7">
                  <c:v>21,29</c:v>
                </c:pt>
                <c:pt idx="8">
                  <c:v>23,64</c:v>
                </c:pt>
                <c:pt idx="9">
                  <c:v>22,67</c:v>
                </c:pt>
                <c:pt idx="10">
                  <c:v>20,18</c:v>
                </c:pt>
                <c:pt idx="11">
                  <c:v>21,98</c:v>
                </c:pt>
                <c:pt idx="12">
                  <c:v>21,50</c:v>
                </c:pt>
                <c:pt idx="13">
                  <c:v>23,52</c:v>
                </c:pt>
                <c:pt idx="14">
                  <c:v>19,92</c:v>
                </c:pt>
                <c:pt idx="15">
                  <c:v>21,74</c:v>
                </c:pt>
                <c:pt idx="16">
                  <c:v>19,95</c:v>
                </c:pt>
                <c:pt idx="17">
                  <c:v>21,29</c:v>
                </c:pt>
                <c:pt idx="18">
                  <c:v>20,97</c:v>
                </c:pt>
                <c:pt idx="19">
                  <c:v>21,34</c:v>
                </c:pt>
                <c:pt idx="20">
                  <c:v>21,34</c:v>
                </c:pt>
                <c:pt idx="21">
                  <c:v>20,92</c:v>
                </c:pt>
                <c:pt idx="22">
                  <c:v>20,97</c:v>
                </c:pt>
                <c:pt idx="23">
                  <c:v>21,26</c:v>
                </c:pt>
                <c:pt idx="24">
                  <c:v>21,19</c:v>
                </c:pt>
                <c:pt idx="25">
                  <c:v>21,78</c:v>
                </c:pt>
                <c:pt idx="26">
                  <c:v>19,98</c:v>
                </c:pt>
                <c:pt idx="27">
                  <c:v>20,57</c:v>
                </c:pt>
              </c:strCache>
            </c:strRef>
          </c:xVal>
          <c:yVal>
            <c:numRef>
              <c:f>'BK vs. TG'!$J$6:$J$105</c:f>
              <c:numCache>
                <c:formatCode>0.00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42-4BF5-8B68-E85DA73B6427}"/>
            </c:ext>
          </c:extLst>
        </c:ser>
        <c:ser>
          <c:idx val="9"/>
          <c:order val="9"/>
          <c:tx>
            <c:strRef>
              <c:f>Intro!$B$38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28"/>
                <c:pt idx="0">
                  <c:v>21,60</c:v>
                </c:pt>
                <c:pt idx="1">
                  <c:v>22,31</c:v>
                </c:pt>
                <c:pt idx="2">
                  <c:v>23,38</c:v>
                </c:pt>
                <c:pt idx="3">
                  <c:v>22,66</c:v>
                </c:pt>
                <c:pt idx="4">
                  <c:v>21,15</c:v>
                </c:pt>
                <c:pt idx="5">
                  <c:v>20,74</c:v>
                </c:pt>
                <c:pt idx="6">
                  <c:v>25,95</c:v>
                </c:pt>
                <c:pt idx="7">
                  <c:v>21,29</c:v>
                </c:pt>
                <c:pt idx="8">
                  <c:v>23,64</c:v>
                </c:pt>
                <c:pt idx="9">
                  <c:v>22,67</c:v>
                </c:pt>
                <c:pt idx="10">
                  <c:v>20,18</c:v>
                </c:pt>
                <c:pt idx="11">
                  <c:v>21,98</c:v>
                </c:pt>
                <c:pt idx="12">
                  <c:v>21,50</c:v>
                </c:pt>
                <c:pt idx="13">
                  <c:v>23,52</c:v>
                </c:pt>
                <c:pt idx="14">
                  <c:v>19,92</c:v>
                </c:pt>
                <c:pt idx="15">
                  <c:v>21,74</c:v>
                </c:pt>
                <c:pt idx="16">
                  <c:v>19,95</c:v>
                </c:pt>
                <c:pt idx="17">
                  <c:v>21,29</c:v>
                </c:pt>
                <c:pt idx="18">
                  <c:v>20,97</c:v>
                </c:pt>
                <c:pt idx="19">
                  <c:v>21,34</c:v>
                </c:pt>
                <c:pt idx="20">
                  <c:v>21,34</c:v>
                </c:pt>
                <c:pt idx="21">
                  <c:v>20,92</c:v>
                </c:pt>
                <c:pt idx="22">
                  <c:v>20,97</c:v>
                </c:pt>
                <c:pt idx="23">
                  <c:v>21,26</c:v>
                </c:pt>
                <c:pt idx="24">
                  <c:v>21,19</c:v>
                </c:pt>
                <c:pt idx="25">
                  <c:v>21,78</c:v>
                </c:pt>
                <c:pt idx="26">
                  <c:v>19,98</c:v>
                </c:pt>
                <c:pt idx="27">
                  <c:v>20,57</c:v>
                </c:pt>
              </c:strCache>
            </c:strRef>
          </c:xVal>
          <c:yVal>
            <c:numRef>
              <c:f>'BK vs. TG'!$K$6:$K$105</c:f>
              <c:numCache>
                <c:formatCode>0.00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942-4BF5-8B68-E85DA73B6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42287"/>
        <c:axId val="1"/>
      </c:scatterChart>
      <c:valAx>
        <c:axId val="232042287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sample number</a:t>
                </a:r>
              </a:p>
            </c:rich>
          </c:tx>
          <c:layout>
            <c:manualLayout>
              <c:xMode val="edge"/>
              <c:yMode val="edge"/>
              <c:x val="0.41778697001034126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crossing point (CP)</a:t>
                </a:r>
              </a:p>
            </c:rich>
          </c:tx>
          <c:layout>
            <c:manualLayout>
              <c:xMode val="edge"/>
              <c:yMode val="edge"/>
              <c:x val="5.170630816959669E-3"/>
              <c:y val="0.376271186440677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2042287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7952430196484"/>
          <c:y val="0.12203389830508475"/>
          <c:w val="2.0682523267838676E-2"/>
          <c:h val="0.3406779661016949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 zoomToFit="1"/>
  </sheetViews>
  <pageMargins left="0.75" right="0.75" top="1" bottom="1" header="0.4921259845" footer="0.492125984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4921259845" footer="0.4921259845"/>
  <pageSetup paperSize="9"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57150</xdr:colOff>
      <xdr:row>26</xdr:row>
      <xdr:rowOff>0</xdr:rowOff>
    </xdr:from>
    <xdr:to>
      <xdr:col>4</xdr:col>
      <xdr:colOff>419100</xdr:colOff>
      <xdr:row>28</xdr:row>
      <xdr:rowOff>38100</xdr:rowOff>
    </xdr:to>
    <xdr:pic macro="[0]!print_page_1">
      <xdr:nvPicPr>
        <xdr:cNvPr id="1025" name="Picture 1" descr="C:\Dokumente und Einstellungen\pfaffl\Eigene Dateien\1-Papers\NAR-REST-Software\printer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4305300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409575</xdr:colOff>
      <xdr:row>0</xdr:row>
      <xdr:rowOff>142875</xdr:rowOff>
    </xdr:from>
    <xdr:to>
      <xdr:col>8</xdr:col>
      <xdr:colOff>781050</xdr:colOff>
      <xdr:row>2</xdr:row>
      <xdr:rowOff>123825</xdr:rowOff>
    </xdr:to>
    <xdr:pic macro="[0]!print_page_2">
      <xdr:nvPicPr>
        <xdr:cNvPr id="3074" name="Picture 2" descr="C:\Dokumente und Einstellungen\pfaffl\Eigene Dateien\1-Papers\NAR-REST-Software\printer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0075" y="142875"/>
          <a:ext cx="371475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847725</xdr:colOff>
      <xdr:row>108</xdr:row>
      <xdr:rowOff>114300</xdr:rowOff>
    </xdr:from>
    <xdr:to>
      <xdr:col>15</xdr:col>
      <xdr:colOff>628650</xdr:colOff>
      <xdr:row>113</xdr:row>
      <xdr:rowOff>0</xdr:rowOff>
    </xdr:to>
    <xdr:pic macro="[0]!print_page_3">
      <xdr:nvPicPr>
        <xdr:cNvPr id="4097" name="Picture 1" descr="C:\Dokumente und Einstellungen\pfaffl\Eigene Dateien\1-Papers\NAR-REST-Software\printer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87375" y="17640300"/>
          <a:ext cx="676275" cy="695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428625</xdr:colOff>
      <xdr:row>0</xdr:row>
      <xdr:rowOff>76200</xdr:rowOff>
    </xdr:from>
    <xdr:to>
      <xdr:col>5</xdr:col>
      <xdr:colOff>819150</xdr:colOff>
      <xdr:row>2</xdr:row>
      <xdr:rowOff>85725</xdr:rowOff>
    </xdr:to>
    <xdr:pic macro="[0]!print_page_3">
      <xdr:nvPicPr>
        <xdr:cNvPr id="4098" name="Picture 2" descr="C:\Dokumente und Einstellungen\pfaffl\Eigene Dateien\1-Papers\NAR-REST-Software\printer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0" y="76200"/>
          <a:ext cx="390525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771525</xdr:colOff>
      <xdr:row>2</xdr:row>
      <xdr:rowOff>85725</xdr:rowOff>
    </xdr:from>
    <xdr:to>
      <xdr:col>1</xdr:col>
      <xdr:colOff>114300</xdr:colOff>
      <xdr:row>4</xdr:row>
      <xdr:rowOff>76200</xdr:rowOff>
    </xdr:to>
    <xdr:pic macro="[0]!Print_page_4">
      <xdr:nvPicPr>
        <xdr:cNvPr id="5121" name="Picture 1" descr="C:\Dokumente und Einstellungen\pfaffl\Eigene Dateien\1-Papers\NAR-REST-Software\printer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44767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1066800</xdr:colOff>
      <xdr:row>1</xdr:row>
      <xdr:rowOff>85725</xdr:rowOff>
    </xdr:from>
    <xdr:to>
      <xdr:col>0</xdr:col>
      <xdr:colOff>1362075</xdr:colOff>
      <xdr:row>3</xdr:row>
      <xdr:rowOff>57150</xdr:rowOff>
    </xdr:to>
    <xdr:pic macro="[0]!print_page_5">
      <xdr:nvPicPr>
        <xdr:cNvPr id="2054" name="Picture 6" descr="C:\Dokumente und Einstellungen\pfaffl\Eigene Dateien\1-Papers\NAR-REST-Software\printer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285750"/>
          <a:ext cx="29527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gene.quantification@wzw.tum.de" TargetMode="External"/><Relationship Id="rId2" Type="http://schemas.openxmlformats.org/officeDocument/2006/relationships/hyperlink" Target="http://bioinformatics.gene-quantification.info/bestkeeper.html" TargetMode="External"/><Relationship Id="rId1" Type="http://schemas.openxmlformats.org/officeDocument/2006/relationships/hyperlink" Target="http://www.wzw.tum.de/gene-quantification/bestkeeper.html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gene.quantification@wzw.tum.de" TargetMode="External"/><Relationship Id="rId1" Type="http://schemas.openxmlformats.org/officeDocument/2006/relationships/hyperlink" Target="http://www.wzw.tum.de/gene-quantification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gene.quantification@wzw.tum.de" TargetMode="External"/><Relationship Id="rId1" Type="http://schemas.openxmlformats.org/officeDocument/2006/relationships/hyperlink" Target="http://www.wzw.tum.de/gene-quantification" TargetMode="Externa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I44"/>
  <sheetViews>
    <sheetView view="pageBreakPreview" zoomScale="75" zoomScaleNormal="75" zoomScaleSheetLayoutView="75" workbookViewId="0">
      <selection activeCell="B17" sqref="B17:C26"/>
    </sheetView>
  </sheetViews>
  <sheetFormatPr defaultColWidth="11.5703125" defaultRowHeight="12.75" x14ac:dyDescent="0.2"/>
  <cols>
    <col min="1" max="1" width="21.42578125" style="47" customWidth="1"/>
    <col min="2" max="2" width="20.7109375" style="30" customWidth="1"/>
    <col min="3" max="3" width="19.7109375" style="30" customWidth="1"/>
    <col min="4" max="4" width="7.5703125" style="30" customWidth="1"/>
    <col min="5" max="5" width="9.42578125" style="30" customWidth="1"/>
    <col min="6" max="6" width="11.5703125" style="30" customWidth="1"/>
    <col min="7" max="7" width="20.7109375" style="30" customWidth="1"/>
    <col min="8" max="8" width="9.85546875" style="30" customWidth="1"/>
    <col min="9" max="16384" width="11.5703125" style="30"/>
  </cols>
  <sheetData>
    <row r="1" spans="1:9" ht="20.25" x14ac:dyDescent="0.3">
      <c r="A1" s="168" t="s">
        <v>219</v>
      </c>
      <c r="B1" s="32"/>
      <c r="C1" s="33"/>
      <c r="D1" s="33"/>
      <c r="E1" s="33"/>
      <c r="F1" s="33"/>
      <c r="G1" s="33"/>
      <c r="H1" s="31"/>
    </row>
    <row r="2" spans="1:9" x14ac:dyDescent="0.2">
      <c r="A2" s="117" t="s">
        <v>370</v>
      </c>
      <c r="B2" s="32"/>
      <c r="C2" s="33"/>
      <c r="D2" s="33"/>
      <c r="E2" s="33"/>
      <c r="F2" s="33"/>
      <c r="G2" s="33"/>
      <c r="H2" s="31"/>
    </row>
    <row r="3" spans="1:9" x14ac:dyDescent="0.2">
      <c r="A3" s="117" t="s">
        <v>369</v>
      </c>
      <c r="B3" s="34"/>
      <c r="C3" s="33"/>
      <c r="D3" s="33"/>
      <c r="E3" s="33"/>
      <c r="F3" s="33"/>
      <c r="G3" s="33"/>
      <c r="H3" s="31"/>
    </row>
    <row r="4" spans="1:9" x14ac:dyDescent="0.2">
      <c r="A4" s="117" t="s">
        <v>365</v>
      </c>
      <c r="B4" s="34"/>
      <c r="C4" s="33"/>
      <c r="D4" s="33"/>
      <c r="E4" s="33"/>
      <c r="F4" s="33"/>
      <c r="G4" s="33"/>
      <c r="H4" s="31"/>
    </row>
    <row r="5" spans="1:9" x14ac:dyDescent="0.2">
      <c r="A5" s="117" t="s">
        <v>366</v>
      </c>
      <c r="B5" s="34"/>
      <c r="C5" s="33"/>
      <c r="D5" s="33"/>
      <c r="E5" s="33"/>
      <c r="F5" s="33"/>
      <c r="H5" s="31"/>
    </row>
    <row r="6" spans="1:9" x14ac:dyDescent="0.2">
      <c r="A6" s="117" t="s">
        <v>368</v>
      </c>
      <c r="B6" s="34"/>
      <c r="C6" s="33"/>
      <c r="D6" s="33"/>
      <c r="E6" s="33"/>
      <c r="F6" s="33"/>
      <c r="H6" s="31"/>
    </row>
    <row r="7" spans="1:9" x14ac:dyDescent="0.2">
      <c r="A7" s="116" t="s">
        <v>403</v>
      </c>
      <c r="B7" s="34"/>
      <c r="C7" s="33"/>
      <c r="D7" s="33"/>
      <c r="E7" s="33"/>
      <c r="F7" s="33"/>
      <c r="G7" s="33"/>
      <c r="H7" s="31"/>
    </row>
    <row r="8" spans="1:9" ht="13.15" customHeight="1" x14ac:dyDescent="0.2">
      <c r="A8" s="118"/>
      <c r="B8" s="34"/>
      <c r="C8" s="33"/>
      <c r="D8" s="33"/>
      <c r="E8" s="33"/>
      <c r="F8" s="33"/>
      <c r="G8" s="33"/>
      <c r="H8" s="31"/>
    </row>
    <row r="9" spans="1:9" x14ac:dyDescent="0.2">
      <c r="A9" s="35" t="s">
        <v>360</v>
      </c>
      <c r="B9" s="293" t="s">
        <v>400</v>
      </c>
      <c r="C9" s="33"/>
      <c r="D9" s="33"/>
      <c r="E9" s="36"/>
      <c r="F9" s="33"/>
      <c r="G9" s="33"/>
      <c r="H9" s="31"/>
    </row>
    <row r="10" spans="1:9" x14ac:dyDescent="0.2">
      <c r="A10" s="35" t="s">
        <v>214</v>
      </c>
      <c r="B10" s="294" t="s">
        <v>401</v>
      </c>
      <c r="C10" s="33"/>
      <c r="D10" s="33"/>
      <c r="E10" s="36"/>
      <c r="F10" s="36" t="s">
        <v>217</v>
      </c>
      <c r="G10" s="33"/>
      <c r="H10" s="31"/>
    </row>
    <row r="11" spans="1:9" x14ac:dyDescent="0.2">
      <c r="A11" s="35" t="s">
        <v>215</v>
      </c>
      <c r="B11" s="294" t="s">
        <v>402</v>
      </c>
      <c r="C11" s="33"/>
      <c r="D11" s="33"/>
      <c r="F11" s="32" t="s">
        <v>399</v>
      </c>
      <c r="H11" s="31"/>
    </row>
    <row r="12" spans="1:9" x14ac:dyDescent="0.2">
      <c r="A12" s="35"/>
      <c r="B12" s="36"/>
      <c r="C12" s="33"/>
      <c r="D12" s="33"/>
      <c r="F12" s="32"/>
      <c r="H12" s="31"/>
    </row>
    <row r="13" spans="1:9" x14ac:dyDescent="0.2">
      <c r="A13" s="31"/>
      <c r="B13" s="34"/>
      <c r="C13" s="33"/>
      <c r="D13" s="33"/>
      <c r="E13" s="33"/>
      <c r="F13" s="33"/>
      <c r="G13" s="33"/>
      <c r="H13" s="31"/>
    </row>
    <row r="14" spans="1:9" x14ac:dyDescent="0.2">
      <c r="A14" s="31"/>
      <c r="B14" s="46" t="s">
        <v>218</v>
      </c>
      <c r="C14" s="46" t="s">
        <v>221</v>
      </c>
      <c r="D14" s="33"/>
      <c r="E14" s="33"/>
      <c r="F14" s="33"/>
      <c r="G14" s="33"/>
      <c r="H14" s="31"/>
    </row>
    <row r="15" spans="1:9" x14ac:dyDescent="0.2">
      <c r="A15" s="34"/>
      <c r="B15" s="46"/>
      <c r="C15" s="46" t="s">
        <v>398</v>
      </c>
      <c r="D15" s="33"/>
      <c r="F15" s="33"/>
      <c r="G15" s="33"/>
      <c r="H15" s="33"/>
      <c r="I15" s="31"/>
    </row>
    <row r="16" spans="1:9" x14ac:dyDescent="0.2">
      <c r="A16" s="120" t="s">
        <v>222</v>
      </c>
      <c r="C16" s="33"/>
      <c r="D16" s="37"/>
      <c r="H16" s="33"/>
      <c r="I16" s="31"/>
    </row>
    <row r="17" spans="1:9" x14ac:dyDescent="0.2">
      <c r="A17" s="47" t="s">
        <v>379</v>
      </c>
      <c r="B17" s="121" t="s">
        <v>404</v>
      </c>
      <c r="C17" s="38">
        <v>2.0310000000000001</v>
      </c>
      <c r="D17" s="39"/>
      <c r="E17" s="119" t="s">
        <v>338</v>
      </c>
      <c r="H17" s="33"/>
      <c r="I17" s="31"/>
    </row>
    <row r="18" spans="1:9" x14ac:dyDescent="0.2">
      <c r="A18" s="47" t="s">
        <v>378</v>
      </c>
      <c r="B18" s="122" t="s">
        <v>405</v>
      </c>
      <c r="C18" s="40">
        <v>1.968</v>
      </c>
      <c r="D18" s="39"/>
      <c r="E18" s="123" t="s">
        <v>314</v>
      </c>
      <c r="H18" s="33"/>
      <c r="I18" s="31"/>
    </row>
    <row r="19" spans="1:9" x14ac:dyDescent="0.2">
      <c r="A19" s="47" t="s">
        <v>377</v>
      </c>
      <c r="B19" s="122" t="s">
        <v>406</v>
      </c>
      <c r="C19" s="40">
        <v>2.016</v>
      </c>
      <c r="D19" s="39"/>
      <c r="H19" s="33"/>
      <c r="I19" s="31"/>
    </row>
    <row r="20" spans="1:9" x14ac:dyDescent="0.2">
      <c r="A20" s="47" t="s">
        <v>376</v>
      </c>
      <c r="B20" s="122" t="s">
        <v>407</v>
      </c>
      <c r="C20" s="40">
        <v>2.0059999999999998</v>
      </c>
      <c r="D20" s="39"/>
      <c r="E20" s="41"/>
      <c r="F20" s="124" t="str">
        <f>"= cells for data and name input"</f>
        <v>= cells for data and name input</v>
      </c>
      <c r="H20" s="33"/>
      <c r="I20" s="31"/>
    </row>
    <row r="21" spans="1:9" x14ac:dyDescent="0.2">
      <c r="A21" s="47" t="s">
        <v>375</v>
      </c>
      <c r="B21" s="122" t="s">
        <v>408</v>
      </c>
      <c r="C21" s="40">
        <v>1.9279999999999999</v>
      </c>
      <c r="D21" s="39"/>
      <c r="E21" s="33"/>
      <c r="F21" s="33"/>
      <c r="H21" s="33"/>
      <c r="I21" s="31"/>
    </row>
    <row r="22" spans="1:9" x14ac:dyDescent="0.2">
      <c r="A22" s="47" t="s">
        <v>374</v>
      </c>
      <c r="B22" s="122" t="s">
        <v>409</v>
      </c>
      <c r="C22" s="40">
        <v>1.893</v>
      </c>
      <c r="D22" s="39"/>
      <c r="E22" s="42"/>
      <c r="F22" s="124" t="str">
        <f>"= data output"</f>
        <v>= data output</v>
      </c>
      <c r="H22" s="33"/>
      <c r="I22" s="31"/>
    </row>
    <row r="23" spans="1:9" x14ac:dyDescent="0.2">
      <c r="A23" s="47" t="s">
        <v>373</v>
      </c>
      <c r="B23" s="122" t="s">
        <v>410</v>
      </c>
      <c r="C23" s="40">
        <v>1.948</v>
      </c>
      <c r="D23" s="39"/>
      <c r="E23" s="33"/>
      <c r="F23" s="33"/>
      <c r="H23" s="33"/>
      <c r="I23" s="31"/>
    </row>
    <row r="24" spans="1:9" x14ac:dyDescent="0.2">
      <c r="A24" s="47" t="s">
        <v>371</v>
      </c>
      <c r="B24" s="122" t="s">
        <v>411</v>
      </c>
      <c r="C24" s="40">
        <v>1.8839999999999999</v>
      </c>
      <c r="D24" s="39"/>
      <c r="E24" s="43"/>
      <c r="F24" s="124" t="str">
        <f>"= data output"</f>
        <v>= data output</v>
      </c>
      <c r="G24" s="33"/>
      <c r="H24" s="31"/>
    </row>
    <row r="25" spans="1:9" x14ac:dyDescent="0.2">
      <c r="A25" s="47" t="s">
        <v>372</v>
      </c>
      <c r="B25" s="122" t="s">
        <v>412</v>
      </c>
      <c r="C25" s="40">
        <v>1.881</v>
      </c>
      <c r="D25" s="39"/>
      <c r="E25" s="33"/>
      <c r="G25" s="33"/>
      <c r="H25" s="31"/>
    </row>
    <row r="26" spans="1:9" x14ac:dyDescent="0.2">
      <c r="A26" s="47" t="s">
        <v>126</v>
      </c>
      <c r="B26" s="125" t="s">
        <v>413</v>
      </c>
      <c r="C26" s="44">
        <v>1.9279999999999999</v>
      </c>
      <c r="D26" s="39"/>
      <c r="E26" s="33"/>
      <c r="F26" s="124"/>
      <c r="G26" s="33"/>
      <c r="H26" s="31"/>
    </row>
    <row r="27" spans="1:9" x14ac:dyDescent="0.2">
      <c r="B27" s="126"/>
      <c r="C27" s="45"/>
      <c r="D27" s="37"/>
      <c r="F27" s="33"/>
      <c r="G27" s="33"/>
      <c r="H27" s="31"/>
    </row>
    <row r="28" spans="1:9" x14ac:dyDescent="0.2">
      <c r="A28" s="127" t="s">
        <v>220</v>
      </c>
      <c r="B28" s="46"/>
      <c r="C28" s="45"/>
      <c r="D28" s="37"/>
      <c r="E28" s="33"/>
      <c r="F28" s="124" t="str">
        <f>"= print current page"</f>
        <v>= print current page</v>
      </c>
      <c r="G28" s="33"/>
      <c r="H28" s="31"/>
    </row>
    <row r="29" spans="1:9" x14ac:dyDescent="0.2">
      <c r="A29" s="171" t="s">
        <v>380</v>
      </c>
      <c r="B29" s="121"/>
      <c r="C29" s="38">
        <v>2</v>
      </c>
      <c r="D29" s="39"/>
      <c r="E29" s="128"/>
      <c r="F29" s="33"/>
      <c r="G29" s="33"/>
      <c r="H29" s="31"/>
    </row>
    <row r="30" spans="1:9" x14ac:dyDescent="0.2">
      <c r="A30" s="171" t="s">
        <v>381</v>
      </c>
      <c r="B30" s="122"/>
      <c r="C30" s="40">
        <v>2</v>
      </c>
      <c r="D30" s="39"/>
      <c r="E30" s="128"/>
      <c r="F30" s="33"/>
      <c r="G30" s="33"/>
      <c r="H30" s="31"/>
    </row>
    <row r="31" spans="1:9" x14ac:dyDescent="0.2">
      <c r="A31" s="171" t="s">
        <v>382</v>
      </c>
      <c r="B31" s="122"/>
      <c r="C31" s="40">
        <v>2</v>
      </c>
      <c r="D31" s="39"/>
      <c r="E31" s="128"/>
      <c r="F31" s="33"/>
      <c r="G31" s="33"/>
      <c r="H31" s="31"/>
    </row>
    <row r="32" spans="1:9" x14ac:dyDescent="0.2">
      <c r="A32" s="171" t="s">
        <v>383</v>
      </c>
      <c r="B32" s="122"/>
      <c r="C32" s="40">
        <v>2</v>
      </c>
      <c r="D32" s="39"/>
      <c r="F32" s="33"/>
      <c r="G32" s="33"/>
      <c r="H32" s="31"/>
    </row>
    <row r="33" spans="1:8" x14ac:dyDescent="0.2">
      <c r="A33" s="171" t="s">
        <v>384</v>
      </c>
      <c r="B33" s="122"/>
      <c r="C33" s="40">
        <v>2</v>
      </c>
      <c r="D33" s="39"/>
      <c r="F33" s="33"/>
      <c r="G33" s="33"/>
      <c r="H33" s="31"/>
    </row>
    <row r="34" spans="1:8" x14ac:dyDescent="0.2">
      <c r="A34" s="171" t="s">
        <v>385</v>
      </c>
      <c r="B34" s="122"/>
      <c r="C34" s="40">
        <v>2</v>
      </c>
      <c r="D34" s="39"/>
      <c r="E34" s="128"/>
      <c r="F34" s="33"/>
      <c r="G34" s="33"/>
      <c r="H34" s="31"/>
    </row>
    <row r="35" spans="1:8" x14ac:dyDescent="0.2">
      <c r="A35" s="171" t="s">
        <v>386</v>
      </c>
      <c r="B35" s="122"/>
      <c r="C35" s="40">
        <v>2</v>
      </c>
      <c r="D35" s="39"/>
      <c r="E35" s="128"/>
      <c r="F35" s="33"/>
      <c r="G35" s="33"/>
      <c r="H35" s="31"/>
    </row>
    <row r="36" spans="1:8" x14ac:dyDescent="0.2">
      <c r="A36" s="171" t="s">
        <v>387</v>
      </c>
      <c r="B36" s="122"/>
      <c r="C36" s="40">
        <v>2</v>
      </c>
      <c r="D36" s="39"/>
      <c r="E36" s="128"/>
      <c r="F36" s="33"/>
      <c r="G36" s="33"/>
      <c r="H36" s="31"/>
    </row>
    <row r="37" spans="1:8" x14ac:dyDescent="0.2">
      <c r="A37" s="171" t="s">
        <v>388</v>
      </c>
      <c r="B37" s="122"/>
      <c r="C37" s="40">
        <v>2</v>
      </c>
      <c r="D37" s="39"/>
      <c r="E37" s="128"/>
      <c r="F37" s="33"/>
      <c r="G37" s="33"/>
      <c r="H37" s="31"/>
    </row>
    <row r="38" spans="1:8" x14ac:dyDescent="0.2">
      <c r="A38" s="171" t="s">
        <v>357</v>
      </c>
      <c r="B38" s="125"/>
      <c r="C38" s="44">
        <v>2</v>
      </c>
      <c r="D38" s="39"/>
      <c r="E38" s="128"/>
      <c r="F38" s="33"/>
      <c r="G38" s="33"/>
      <c r="H38" s="31"/>
    </row>
    <row r="39" spans="1:8" x14ac:dyDescent="0.2">
      <c r="A39" s="127"/>
      <c r="B39" s="46"/>
      <c r="C39" s="33"/>
      <c r="D39" s="37"/>
      <c r="E39" s="128"/>
      <c r="F39" s="33"/>
      <c r="G39" s="33"/>
      <c r="H39" s="31"/>
    </row>
    <row r="40" spans="1:8" x14ac:dyDescent="0.2">
      <c r="A40" s="127"/>
      <c r="B40" s="46"/>
      <c r="C40" s="33"/>
      <c r="D40" s="37"/>
      <c r="E40" s="128"/>
      <c r="F40" s="33"/>
      <c r="G40" s="33"/>
      <c r="H40" s="31"/>
    </row>
    <row r="41" spans="1:8" x14ac:dyDescent="0.2">
      <c r="A41" s="127"/>
      <c r="B41" s="46"/>
      <c r="C41" s="33"/>
      <c r="D41" s="37"/>
      <c r="E41" s="128"/>
      <c r="F41" s="33"/>
      <c r="G41" s="33"/>
      <c r="H41" s="31"/>
    </row>
    <row r="42" spans="1:8" x14ac:dyDescent="0.2">
      <c r="B42" s="48"/>
      <c r="C42" s="33"/>
      <c r="D42" s="33"/>
      <c r="E42" s="33"/>
      <c r="F42" s="33"/>
      <c r="G42" s="33"/>
      <c r="H42" s="31"/>
    </row>
    <row r="43" spans="1:8" x14ac:dyDescent="0.2">
      <c r="B43" s="48"/>
      <c r="C43" s="33"/>
      <c r="D43" s="33"/>
      <c r="E43" s="33"/>
      <c r="F43" s="33"/>
      <c r="G43" s="33"/>
      <c r="H43" s="31"/>
    </row>
    <row r="44" spans="1:8" x14ac:dyDescent="0.2">
      <c r="A44" s="56"/>
      <c r="B44" s="34"/>
      <c r="C44" s="33"/>
      <c r="D44" s="33"/>
      <c r="E44" s="33"/>
      <c r="F44" s="33"/>
      <c r="G44" s="33"/>
      <c r="H44" s="31"/>
    </row>
  </sheetData>
  <sheetProtection password="EB75" sheet="1" objects="1" scenarios="1"/>
  <phoneticPr fontId="0" type="noConversion"/>
  <hyperlinks>
    <hyperlink ref="B11" r:id="rId1"/>
    <hyperlink ref="B10" r:id="rId2"/>
    <hyperlink ref="F10" r:id="rId3"/>
  </hyperlinks>
  <pageMargins left="0.75" right="0.75" top="1" bottom="1" header="0.4921259845" footer="0.4921259845"/>
  <pageSetup paperSize="9" scale="52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IV229"/>
  <sheetViews>
    <sheetView tabSelected="1" view="pageBreakPreview" zoomScaleNormal="25" workbookViewId="0">
      <pane ySplit="1635" topLeftCell="A109" activePane="bottomLeft"/>
      <selection sqref="A1:IV65536"/>
      <selection pane="bottomLeft" activeCell="B6" sqref="B6:K33"/>
    </sheetView>
  </sheetViews>
  <sheetFormatPr defaultColWidth="17.7109375" defaultRowHeight="12.75" x14ac:dyDescent="0.2"/>
  <cols>
    <col min="1" max="1" width="18.85546875" style="3" customWidth="1"/>
    <col min="2" max="2" width="15.85546875" style="29" customWidth="1"/>
    <col min="3" max="3" width="15.28515625" style="29" customWidth="1"/>
    <col min="4" max="4" width="14.28515625" style="29" customWidth="1"/>
    <col min="5" max="5" width="13.28515625" style="29" customWidth="1"/>
    <col min="6" max="6" width="13.85546875" style="29" customWidth="1"/>
    <col min="7" max="7" width="13.28515625" style="29" customWidth="1"/>
    <col min="8" max="8" width="12.42578125" style="29" customWidth="1"/>
    <col min="9" max="10" width="13.85546875" style="29" customWidth="1"/>
    <col min="11" max="11" width="13.140625" style="29" customWidth="1"/>
    <col min="12" max="12" width="6.28515625" style="3" customWidth="1"/>
    <col min="13" max="13" width="13.42578125" style="3" customWidth="1"/>
    <col min="14" max="14" width="16.42578125" style="3" customWidth="1"/>
    <col min="15" max="15" width="15.7109375" style="3" customWidth="1"/>
    <col min="16" max="16" width="15.28515625" style="3" customWidth="1"/>
    <col min="17" max="17" width="12.7109375" style="3" customWidth="1"/>
    <col min="18" max="18" width="26.7109375" style="3" customWidth="1"/>
    <col min="19" max="19" width="25" style="3" customWidth="1"/>
    <col min="20" max="20" width="13.28515625" style="3" customWidth="1"/>
    <col min="21" max="21" width="27.28515625" style="3" customWidth="1"/>
    <col min="22" max="22" width="25.7109375" style="3" customWidth="1"/>
    <col min="23" max="23" width="13.28515625" style="3" customWidth="1"/>
    <col min="24" max="24" width="27.28515625" style="3" customWidth="1"/>
    <col min="25" max="25" width="25.7109375" style="3" customWidth="1"/>
    <col min="26" max="26" width="13.28515625" style="3" customWidth="1"/>
    <col min="27" max="27" width="27.28515625" style="3" customWidth="1"/>
    <col min="28" max="28" width="25.7109375" style="3" customWidth="1"/>
    <col min="29" max="29" width="13.28515625" style="3" customWidth="1"/>
    <col min="30" max="30" width="27.28515625" style="3" customWidth="1"/>
    <col min="31" max="31" width="25.7109375" style="3" customWidth="1"/>
    <col min="32" max="32" width="13.28515625" style="3" customWidth="1"/>
    <col min="33" max="33" width="27.28515625" style="3" customWidth="1"/>
    <col min="34" max="34" width="25.7109375" style="3" customWidth="1"/>
    <col min="35" max="35" width="13.28515625" style="3" customWidth="1"/>
    <col min="36" max="36" width="27.28515625" style="3" customWidth="1"/>
    <col min="37" max="37" width="25.7109375" style="3" customWidth="1"/>
    <col min="38" max="38" width="13.28515625" style="3" customWidth="1"/>
    <col min="39" max="39" width="27.28515625" style="3" customWidth="1"/>
    <col min="40" max="40" width="25.7109375" style="3" customWidth="1"/>
    <col min="41" max="41" width="13.28515625" style="3" customWidth="1"/>
    <col min="42" max="42" width="27.28515625" style="3" customWidth="1"/>
    <col min="43" max="43" width="25.7109375" style="3" customWidth="1"/>
    <col min="44" max="44" width="14.28515625" style="3" customWidth="1"/>
    <col min="45" max="45" width="28.28515625" style="3" customWidth="1"/>
    <col min="46" max="46" width="26.7109375" style="3" customWidth="1"/>
    <col min="47" max="47" width="20.28515625" style="3" customWidth="1"/>
    <col min="48" max="48" width="16.7109375" style="3" customWidth="1"/>
    <col min="49" max="50" width="16.85546875" style="3" customWidth="1"/>
    <col min="51" max="51" width="25.85546875" style="29" customWidth="1"/>
    <col min="52" max="52" width="10.140625" style="1" customWidth="1"/>
    <col min="53" max="53" width="10.5703125" style="1" customWidth="1"/>
    <col min="54" max="54" width="13" style="1" customWidth="1"/>
    <col min="55" max="55" width="10.140625" style="2" customWidth="1"/>
    <col min="56" max="56" width="10.5703125" style="2" customWidth="1"/>
    <col min="57" max="57" width="13" style="2" customWidth="1"/>
    <col min="58" max="58" width="10.140625" style="2" customWidth="1"/>
    <col min="59" max="59" width="10.5703125" style="2" customWidth="1"/>
    <col min="60" max="60" width="13" style="2" customWidth="1"/>
    <col min="61" max="61" width="10.140625" style="2" customWidth="1"/>
    <col min="62" max="62" width="10.5703125" style="2" customWidth="1"/>
    <col min="63" max="63" width="13" style="2" customWidth="1"/>
    <col min="64" max="64" width="10.140625" style="3" customWidth="1"/>
    <col min="65" max="65" width="10.5703125" style="3" customWidth="1"/>
    <col min="66" max="66" width="13" style="3" customWidth="1"/>
    <col min="67" max="67" width="10.140625" style="3" customWidth="1"/>
    <col min="68" max="68" width="10.5703125" style="3" customWidth="1"/>
    <col min="69" max="69" width="13" style="3" customWidth="1"/>
    <col min="70" max="70" width="10.140625" style="3" customWidth="1"/>
    <col min="71" max="71" width="10.5703125" style="3" customWidth="1"/>
    <col min="72" max="72" width="13" style="3" customWidth="1"/>
    <col min="73" max="73" width="10.140625" style="3" customWidth="1"/>
    <col min="74" max="74" width="10.5703125" style="3" customWidth="1"/>
    <col min="75" max="75" width="13" style="3" customWidth="1"/>
    <col min="76" max="76" width="10.140625" style="3" customWidth="1"/>
    <col min="77" max="77" width="11.7109375" style="3" customWidth="1"/>
    <col min="78" max="78" width="14.140625" style="3" customWidth="1"/>
    <col min="79" max="79" width="10.140625" style="3" customWidth="1"/>
    <col min="80" max="80" width="7" style="3" customWidth="1"/>
    <col min="81" max="81" width="15.42578125" style="3" customWidth="1"/>
    <col min="82" max="82" width="27.28515625" style="3" customWidth="1"/>
    <col min="83" max="84" width="10.5703125" style="3" customWidth="1"/>
    <col min="85" max="85" width="13.42578125" style="3" customWidth="1"/>
    <col min="86" max="87" width="10.5703125" style="3" customWidth="1"/>
    <col min="88" max="88" width="13.42578125" style="3" customWidth="1"/>
    <col min="89" max="90" width="10.5703125" style="3" customWidth="1"/>
    <col min="91" max="91" width="13.42578125" style="3" customWidth="1"/>
    <col min="92" max="93" width="10.5703125" style="3" customWidth="1"/>
    <col min="94" max="94" width="13.42578125" style="3" customWidth="1"/>
    <col min="95" max="96" width="10.5703125" style="3" customWidth="1"/>
    <col min="97" max="97" width="13.42578125" style="3" customWidth="1"/>
    <col min="98" max="99" width="10.5703125" style="3" customWidth="1"/>
    <col min="100" max="100" width="13.42578125" style="3" customWidth="1"/>
    <col min="101" max="102" width="10.5703125" style="3" customWidth="1"/>
    <col min="103" max="103" width="13.42578125" style="3" customWidth="1"/>
    <col min="104" max="104" width="10.5703125" style="3" customWidth="1"/>
    <col min="105" max="105" width="11.7109375" style="3" customWidth="1"/>
    <col min="106" max="106" width="14.5703125" style="3" customWidth="1"/>
    <col min="107" max="107" width="10.5703125" style="3" customWidth="1"/>
    <col min="108" max="108" width="7" style="3" customWidth="1"/>
    <col min="109" max="109" width="15.85546875" style="3" customWidth="1"/>
    <col min="110" max="110" width="28" style="3" customWidth="1"/>
    <col min="111" max="112" width="10.5703125" style="3" customWidth="1"/>
    <col min="113" max="113" width="13.42578125" style="3" customWidth="1"/>
    <col min="114" max="115" width="10.5703125" style="3" customWidth="1"/>
    <col min="116" max="116" width="13.42578125" style="3" customWidth="1"/>
    <col min="117" max="118" width="10.5703125" style="3" customWidth="1"/>
    <col min="119" max="119" width="13.42578125" style="3" customWidth="1"/>
    <col min="120" max="121" width="10.5703125" style="3" customWidth="1"/>
    <col min="122" max="122" width="13.42578125" style="3" customWidth="1"/>
    <col min="123" max="124" width="10.5703125" style="3" customWidth="1"/>
    <col min="125" max="125" width="13.42578125" style="3" customWidth="1"/>
    <col min="126" max="127" width="10.5703125" style="3" customWidth="1"/>
    <col min="128" max="128" width="13.42578125" style="3" customWidth="1"/>
    <col min="129" max="129" width="10.5703125" style="3" customWidth="1"/>
    <col min="130" max="130" width="11.7109375" style="3" customWidth="1"/>
    <col min="131" max="131" width="14.5703125" style="3" customWidth="1"/>
    <col min="132" max="132" width="10.5703125" style="3" customWidth="1"/>
    <col min="133" max="133" width="7" style="3" customWidth="1"/>
    <col min="134" max="134" width="15.85546875" style="3" customWidth="1"/>
    <col min="135" max="135" width="26.85546875" style="3" customWidth="1"/>
    <col min="136" max="137" width="10.5703125" style="3" customWidth="1"/>
    <col min="138" max="138" width="13.42578125" style="3" customWidth="1"/>
    <col min="139" max="140" width="10.5703125" style="3" customWidth="1"/>
    <col min="141" max="141" width="13.42578125" style="3" customWidth="1"/>
    <col min="142" max="143" width="10.5703125" style="3" customWidth="1"/>
    <col min="144" max="144" width="13.42578125" style="3" customWidth="1"/>
    <col min="145" max="146" width="10.5703125" style="3" customWidth="1"/>
    <col min="147" max="147" width="13.42578125" style="3" customWidth="1"/>
    <col min="148" max="149" width="10.5703125" style="3" customWidth="1"/>
    <col min="150" max="150" width="13.42578125" style="3" customWidth="1"/>
    <col min="151" max="151" width="10.5703125" style="3" customWidth="1"/>
    <col min="152" max="152" width="11.7109375" style="3" customWidth="1"/>
    <col min="153" max="153" width="14.5703125" style="3" customWidth="1"/>
    <col min="154" max="154" width="10.5703125" style="3" customWidth="1"/>
    <col min="155" max="155" width="7" style="3" customWidth="1"/>
    <col min="156" max="156" width="15.85546875" style="3" customWidth="1"/>
    <col min="157" max="157" width="30.85546875" style="3" customWidth="1"/>
    <col min="158" max="159" width="10.5703125" style="3" customWidth="1"/>
    <col min="160" max="160" width="13.42578125" style="3" customWidth="1"/>
    <col min="161" max="162" width="10.5703125" style="3" customWidth="1"/>
    <col min="163" max="163" width="13.42578125" style="3" customWidth="1"/>
    <col min="164" max="165" width="10.5703125" style="3" customWidth="1"/>
    <col min="166" max="166" width="13.42578125" style="3" customWidth="1"/>
    <col min="167" max="168" width="10.5703125" style="3" customWidth="1"/>
    <col min="169" max="169" width="13.42578125" style="3" customWidth="1"/>
    <col min="170" max="170" width="10.5703125" style="3" customWidth="1"/>
    <col min="171" max="171" width="11.7109375" style="3" customWidth="1"/>
    <col min="172" max="172" width="14.5703125" style="3" customWidth="1"/>
    <col min="173" max="173" width="10.5703125" style="3" customWidth="1"/>
    <col min="174" max="174" width="13.7109375" style="3" customWidth="1"/>
    <col min="175" max="175" width="15.85546875" style="3" customWidth="1"/>
    <col min="176" max="176" width="31.7109375" style="3" customWidth="1"/>
    <col min="177" max="178" width="10.5703125" style="3" customWidth="1"/>
    <col min="179" max="179" width="13.42578125" style="3" customWidth="1"/>
    <col min="180" max="181" width="10.5703125" style="3" customWidth="1"/>
    <col min="182" max="182" width="13.42578125" style="3" customWidth="1"/>
    <col min="183" max="184" width="10.5703125" style="3" customWidth="1"/>
    <col min="185" max="185" width="13.42578125" style="3" customWidth="1"/>
    <col min="186" max="186" width="10.5703125" style="3" customWidth="1"/>
    <col min="187" max="187" width="11.7109375" style="3" customWidth="1"/>
    <col min="188" max="188" width="14.5703125" style="3" customWidth="1"/>
    <col min="189" max="189" width="10.5703125" style="3" customWidth="1"/>
    <col min="190" max="190" width="7" style="3" customWidth="1"/>
    <col min="191" max="191" width="15.85546875" style="3" customWidth="1"/>
    <col min="192" max="192" width="30" style="3" customWidth="1"/>
    <col min="193" max="197" width="11.5703125" style="3" customWidth="1"/>
    <col min="198" max="198" width="12.85546875" style="3" customWidth="1"/>
    <col min="199" max="200" width="11.5703125" style="3" customWidth="1"/>
    <col min="201" max="201" width="14" style="3" customWidth="1"/>
    <col min="202" max="203" width="11.5703125" style="3" customWidth="1"/>
    <col min="204" max="204" width="14.85546875" style="3" customWidth="1"/>
    <col min="205" max="205" width="28.42578125" style="3" customWidth="1"/>
    <col min="206" max="207" width="11.5703125" style="3" customWidth="1"/>
    <col min="208" max="208" width="15.140625" style="3" customWidth="1"/>
    <col min="209" max="209" width="11.5703125" style="3" customWidth="1"/>
    <col min="210" max="210" width="15.28515625" style="3" customWidth="1"/>
    <col min="211" max="211" width="14.85546875" style="3" customWidth="1"/>
    <col min="212" max="213" width="11.5703125" style="3" customWidth="1"/>
    <col min="214" max="214" width="14.7109375" style="3" customWidth="1"/>
    <col min="215" max="215" width="28.28515625" style="3" customWidth="1"/>
    <col min="216" max="217" width="11.5703125" style="3" customWidth="1"/>
    <col min="218" max="218" width="15.7109375" style="3" customWidth="1"/>
    <col min="219" max="220" width="11.5703125" style="3" customWidth="1"/>
    <col min="221" max="221" width="17.28515625" style="3" customWidth="1"/>
    <col min="222" max="222" width="27.5703125" style="3" customWidth="1"/>
    <col min="223" max="224" width="11.5703125" style="3" customWidth="1"/>
    <col min="225" max="225" width="16.28515625" style="3" customWidth="1"/>
    <col min="226" max="226" width="22.5703125" style="3" customWidth="1"/>
    <col min="227" max="228" width="11.5703125" style="3" customWidth="1"/>
    <col min="229" max="229" width="13.7109375" style="3" customWidth="1"/>
    <col min="230" max="231" width="11.5703125" style="3" customWidth="1"/>
    <col min="232" max="232" width="17.28515625" style="3" customWidth="1"/>
    <col min="233" max="234" width="11.5703125" style="3" customWidth="1"/>
    <col min="235" max="235" width="20.140625" style="3" customWidth="1"/>
    <col min="236" max="237" width="11.5703125" style="3" customWidth="1"/>
    <col min="238" max="238" width="18.5703125" style="3" customWidth="1"/>
    <col min="239" max="240" width="11.5703125" style="3" customWidth="1"/>
    <col min="241" max="241" width="17" style="3" customWidth="1"/>
    <col min="242" max="243" width="11.5703125" style="3" customWidth="1"/>
    <col min="244" max="244" width="17.28515625" style="3" customWidth="1"/>
    <col min="245" max="246" width="11.5703125" style="3" customWidth="1"/>
    <col min="247" max="247" width="18.5703125" style="3" customWidth="1"/>
    <col min="248" max="249" width="11.5703125" style="3" customWidth="1"/>
    <col min="250" max="250" width="15.7109375" style="3" customWidth="1"/>
    <col min="251" max="252" width="11.5703125" style="3" customWidth="1"/>
    <col min="253" max="254" width="17.85546875" style="3" customWidth="1"/>
    <col min="255" max="255" width="11.5703125" style="3" customWidth="1"/>
    <col min="256" max="16384" width="17.7109375" style="3"/>
  </cols>
  <sheetData>
    <row r="1" spans="1:256" ht="15.75" x14ac:dyDescent="0.25">
      <c r="A1" s="169" t="s">
        <v>364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8"/>
      <c r="M1" s="10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10"/>
      <c r="AV1" s="10"/>
      <c r="AW1" s="10"/>
      <c r="AX1" s="10"/>
      <c r="AZ1" s="59" t="s">
        <v>317</v>
      </c>
      <c r="HS1" s="59" t="s">
        <v>350</v>
      </c>
    </row>
    <row r="2" spans="1:256" ht="15" x14ac:dyDescent="0.2">
      <c r="A2" s="170" t="s">
        <v>389</v>
      </c>
      <c r="B2" s="57"/>
      <c r="C2" s="57"/>
      <c r="D2" s="57"/>
      <c r="E2" s="57"/>
      <c r="F2" s="57"/>
      <c r="G2" s="57"/>
      <c r="H2" s="57"/>
      <c r="I2" s="60"/>
      <c r="J2" s="60" t="s">
        <v>356</v>
      </c>
      <c r="K2" s="57"/>
      <c r="L2" s="58"/>
      <c r="M2" s="10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10"/>
      <c r="AV2" s="10"/>
      <c r="AW2" s="10"/>
      <c r="AX2" s="10"/>
      <c r="AZ2" s="59"/>
    </row>
    <row r="3" spans="1:256" x14ac:dyDescent="0.2">
      <c r="A3" s="117"/>
      <c r="B3" s="57"/>
      <c r="C3" s="57"/>
      <c r="D3" s="57"/>
      <c r="E3" s="57"/>
      <c r="F3" s="57"/>
      <c r="G3" s="57"/>
      <c r="H3" s="57"/>
      <c r="I3" s="57"/>
      <c r="J3" s="57"/>
      <c r="K3" s="57"/>
      <c r="L3" s="58"/>
      <c r="M3" s="10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10"/>
      <c r="AV3" s="10"/>
      <c r="AW3" s="10"/>
      <c r="AX3" s="10"/>
    </row>
    <row r="4" spans="1:256" x14ac:dyDescent="0.2">
      <c r="A4" s="129" t="s">
        <v>359</v>
      </c>
      <c r="B4" s="67" t="str">
        <f>IF(Intro!$B17&gt;0,Intro!$B17,"")</f>
        <v>ACTB</v>
      </c>
      <c r="C4" s="67" t="str">
        <f>IF(Intro!$B18&gt;0,Intro!$B18,"")</f>
        <v>SDHA</v>
      </c>
      <c r="D4" s="67" t="str">
        <f>IF(Intro!$B19&gt;0,Intro!$B19,"")</f>
        <v>HPRT1</v>
      </c>
      <c r="E4" s="67" t="str">
        <f>IF(Intro!$B20&gt;0,Intro!$B20,"")</f>
        <v>UBC</v>
      </c>
      <c r="F4" s="67" t="str">
        <f>IF(Intro!$B21&gt;0,Intro!$B21,"")</f>
        <v>PGK1</v>
      </c>
      <c r="G4" s="67" t="str">
        <f>IF(Intro!$B22&gt;0,Intro!$B22,"")</f>
        <v>PPIA</v>
      </c>
      <c r="H4" s="67" t="str">
        <f>IF(Intro!$B23&gt;0,Intro!$B23,"")</f>
        <v>ATP5B</v>
      </c>
      <c r="I4" s="67" t="str">
        <f>IF(Intro!$B24&gt;0,Intro!$B24,"")</f>
        <v>GUSB</v>
      </c>
      <c r="J4" s="67" t="str">
        <f>IF(Intro!$B25&gt;0,Intro!$B25,"")</f>
        <v>GAPDH</v>
      </c>
      <c r="K4" s="67" t="str">
        <f>IF(Intro!$B26&gt;0,Intro!$B26,"")</f>
        <v>YWHAZ</v>
      </c>
      <c r="L4" s="58"/>
      <c r="M4" s="10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  <c r="AV4" s="10"/>
      <c r="AW4" s="10"/>
      <c r="AX4" s="10"/>
    </row>
    <row r="5" spans="1:256" s="66" customFormat="1" x14ac:dyDescent="0.2">
      <c r="A5" s="130"/>
      <c r="B5" s="67" t="s">
        <v>2</v>
      </c>
      <c r="C5" s="67" t="s">
        <v>4</v>
      </c>
      <c r="D5" s="67" t="s">
        <v>6</v>
      </c>
      <c r="E5" s="67" t="s">
        <v>8</v>
      </c>
      <c r="F5" s="67" t="s">
        <v>0</v>
      </c>
      <c r="G5" s="67" t="s">
        <v>133</v>
      </c>
      <c r="H5" s="67" t="s">
        <v>142</v>
      </c>
      <c r="I5" s="67" t="s">
        <v>131</v>
      </c>
      <c r="J5" s="67" t="s">
        <v>129</v>
      </c>
      <c r="K5" s="67" t="s">
        <v>126</v>
      </c>
      <c r="L5" s="61" t="s">
        <v>1</v>
      </c>
      <c r="M5" s="62" t="s">
        <v>149</v>
      </c>
      <c r="N5" s="63" t="s">
        <v>390</v>
      </c>
      <c r="O5" s="63" t="s">
        <v>391</v>
      </c>
      <c r="P5" s="63" t="s">
        <v>392</v>
      </c>
      <c r="Q5" s="63" t="s">
        <v>2</v>
      </c>
      <c r="R5" s="63" t="s">
        <v>136</v>
      </c>
      <c r="S5" s="63" t="s">
        <v>3</v>
      </c>
      <c r="T5" s="63" t="s">
        <v>4</v>
      </c>
      <c r="U5" s="63" t="s">
        <v>137</v>
      </c>
      <c r="V5" s="63" t="s">
        <v>5</v>
      </c>
      <c r="W5" s="63" t="s">
        <v>6</v>
      </c>
      <c r="X5" s="63" t="s">
        <v>138</v>
      </c>
      <c r="Y5" s="63" t="s">
        <v>7</v>
      </c>
      <c r="Z5" s="63" t="s">
        <v>8</v>
      </c>
      <c r="AA5" s="63" t="s">
        <v>139</v>
      </c>
      <c r="AB5" s="63" t="s">
        <v>135</v>
      </c>
      <c r="AC5" s="63" t="s">
        <v>0</v>
      </c>
      <c r="AD5" s="63" t="s">
        <v>140</v>
      </c>
      <c r="AE5" s="63" t="s">
        <v>134</v>
      </c>
      <c r="AF5" s="63" t="s">
        <v>133</v>
      </c>
      <c r="AG5" s="63" t="s">
        <v>141</v>
      </c>
      <c r="AH5" s="63" t="s">
        <v>132</v>
      </c>
      <c r="AI5" s="63" t="s">
        <v>142</v>
      </c>
      <c r="AJ5" s="63" t="s">
        <v>144</v>
      </c>
      <c r="AK5" s="63" t="s">
        <v>143</v>
      </c>
      <c r="AL5" s="63" t="s">
        <v>131</v>
      </c>
      <c r="AM5" s="63" t="s">
        <v>145</v>
      </c>
      <c r="AN5" s="63" t="s">
        <v>130</v>
      </c>
      <c r="AO5" s="63" t="s">
        <v>129</v>
      </c>
      <c r="AP5" s="63" t="s">
        <v>146</v>
      </c>
      <c r="AQ5" s="63" t="s">
        <v>128</v>
      </c>
      <c r="AR5" s="63" t="s">
        <v>126</v>
      </c>
      <c r="AS5" s="63" t="s">
        <v>147</v>
      </c>
      <c r="AT5" s="63" t="s">
        <v>127</v>
      </c>
      <c r="AU5" s="63" t="s">
        <v>149</v>
      </c>
      <c r="AV5" s="63" t="s">
        <v>150</v>
      </c>
      <c r="AW5" s="63" t="s">
        <v>223</v>
      </c>
      <c r="AX5" s="63" t="s">
        <v>150</v>
      </c>
      <c r="AY5" s="63" t="s">
        <v>223</v>
      </c>
      <c r="AZ5" s="64" t="s">
        <v>2</v>
      </c>
      <c r="BA5" s="64" t="s">
        <v>4</v>
      </c>
      <c r="BB5" s="64" t="s">
        <v>152</v>
      </c>
      <c r="BC5" s="65" t="s">
        <v>2</v>
      </c>
      <c r="BD5" s="65" t="s">
        <v>6</v>
      </c>
      <c r="BE5" s="65" t="s">
        <v>153</v>
      </c>
      <c r="BF5" s="65" t="s">
        <v>2</v>
      </c>
      <c r="BG5" s="65" t="s">
        <v>8</v>
      </c>
      <c r="BH5" s="65" t="s">
        <v>154</v>
      </c>
      <c r="BI5" s="65" t="s">
        <v>2</v>
      </c>
      <c r="BJ5" s="65" t="s">
        <v>0</v>
      </c>
      <c r="BK5" s="65" t="s">
        <v>155</v>
      </c>
      <c r="BL5" s="64" t="s">
        <v>2</v>
      </c>
      <c r="BM5" s="64" t="s">
        <v>133</v>
      </c>
      <c r="BN5" s="64" t="s">
        <v>160</v>
      </c>
      <c r="BO5" s="65" t="s">
        <v>2</v>
      </c>
      <c r="BP5" s="65" t="s">
        <v>142</v>
      </c>
      <c r="BQ5" s="65" t="s">
        <v>161</v>
      </c>
      <c r="BR5" s="65" t="s">
        <v>2</v>
      </c>
      <c r="BS5" s="65" t="s">
        <v>131</v>
      </c>
      <c r="BT5" s="65" t="s">
        <v>162</v>
      </c>
      <c r="BU5" s="65" t="s">
        <v>2</v>
      </c>
      <c r="BV5" s="65" t="s">
        <v>129</v>
      </c>
      <c r="BW5" s="65" t="s">
        <v>163</v>
      </c>
      <c r="BX5" s="65" t="s">
        <v>2</v>
      </c>
      <c r="BY5" s="65" t="s">
        <v>126</v>
      </c>
      <c r="BZ5" s="65" t="s">
        <v>164</v>
      </c>
      <c r="CA5" s="65" t="s">
        <v>2</v>
      </c>
      <c r="CB5" s="65" t="s">
        <v>165</v>
      </c>
      <c r="CC5" s="65" t="s">
        <v>166</v>
      </c>
      <c r="CE5" s="65" t="s">
        <v>4</v>
      </c>
      <c r="CF5" s="65" t="s">
        <v>6</v>
      </c>
      <c r="CG5" s="65" t="s">
        <v>168</v>
      </c>
      <c r="CH5" s="65" t="s">
        <v>4</v>
      </c>
      <c r="CI5" s="65" t="s">
        <v>8</v>
      </c>
      <c r="CJ5" s="65" t="s">
        <v>176</v>
      </c>
      <c r="CK5" s="65" t="s">
        <v>4</v>
      </c>
      <c r="CL5" s="65" t="s">
        <v>0</v>
      </c>
      <c r="CM5" s="65" t="s">
        <v>175</v>
      </c>
      <c r="CN5" s="65" t="s">
        <v>4</v>
      </c>
      <c r="CO5" s="64" t="s">
        <v>133</v>
      </c>
      <c r="CP5" s="64" t="s">
        <v>174</v>
      </c>
      <c r="CQ5" s="65" t="s">
        <v>4</v>
      </c>
      <c r="CR5" s="65" t="s">
        <v>142</v>
      </c>
      <c r="CS5" s="65" t="s">
        <v>173</v>
      </c>
      <c r="CT5" s="65" t="s">
        <v>4</v>
      </c>
      <c r="CU5" s="65" t="s">
        <v>131</v>
      </c>
      <c r="CV5" s="65" t="s">
        <v>172</v>
      </c>
      <c r="CW5" s="65" t="s">
        <v>4</v>
      </c>
      <c r="CX5" s="65" t="s">
        <v>129</v>
      </c>
      <c r="CY5" s="65" t="s">
        <v>171</v>
      </c>
      <c r="CZ5" s="65" t="s">
        <v>4</v>
      </c>
      <c r="DA5" s="65" t="s">
        <v>126</v>
      </c>
      <c r="DB5" s="65" t="s">
        <v>170</v>
      </c>
      <c r="DC5" s="65" t="s">
        <v>4</v>
      </c>
      <c r="DD5" s="65" t="s">
        <v>165</v>
      </c>
      <c r="DE5" s="65" t="s">
        <v>169</v>
      </c>
      <c r="DG5" s="65" t="s">
        <v>6</v>
      </c>
      <c r="DH5" s="65" t="s">
        <v>8</v>
      </c>
      <c r="DI5" s="65" t="s">
        <v>184</v>
      </c>
      <c r="DJ5" s="65" t="s">
        <v>6</v>
      </c>
      <c r="DK5" s="65" t="s">
        <v>0</v>
      </c>
      <c r="DL5" s="65" t="s">
        <v>183</v>
      </c>
      <c r="DM5" s="65" t="s">
        <v>6</v>
      </c>
      <c r="DN5" s="64" t="s">
        <v>133</v>
      </c>
      <c r="DO5" s="64" t="s">
        <v>182</v>
      </c>
      <c r="DP5" s="65" t="s">
        <v>6</v>
      </c>
      <c r="DQ5" s="65" t="s">
        <v>142</v>
      </c>
      <c r="DR5" s="65" t="s">
        <v>181</v>
      </c>
      <c r="DS5" s="65" t="s">
        <v>6</v>
      </c>
      <c r="DT5" s="65" t="s">
        <v>131</v>
      </c>
      <c r="DU5" s="65" t="s">
        <v>180</v>
      </c>
      <c r="DV5" s="65" t="s">
        <v>6</v>
      </c>
      <c r="DW5" s="65" t="s">
        <v>129</v>
      </c>
      <c r="DX5" s="65" t="s">
        <v>179</v>
      </c>
      <c r="DY5" s="65" t="s">
        <v>6</v>
      </c>
      <c r="DZ5" s="65" t="s">
        <v>126</v>
      </c>
      <c r="EA5" s="65" t="s">
        <v>178</v>
      </c>
      <c r="EB5" s="65" t="s">
        <v>6</v>
      </c>
      <c r="EC5" s="65" t="s">
        <v>165</v>
      </c>
      <c r="ED5" s="65" t="s">
        <v>177</v>
      </c>
      <c r="EF5" s="65" t="s">
        <v>8</v>
      </c>
      <c r="EG5" s="65" t="s">
        <v>0</v>
      </c>
      <c r="EH5" s="65" t="s">
        <v>192</v>
      </c>
      <c r="EI5" s="65" t="s">
        <v>8</v>
      </c>
      <c r="EJ5" s="64" t="s">
        <v>133</v>
      </c>
      <c r="EK5" s="64" t="s">
        <v>191</v>
      </c>
      <c r="EL5" s="65" t="s">
        <v>8</v>
      </c>
      <c r="EM5" s="65" t="s">
        <v>142</v>
      </c>
      <c r="EN5" s="65" t="s">
        <v>190</v>
      </c>
      <c r="EO5" s="65" t="s">
        <v>8</v>
      </c>
      <c r="EP5" s="65" t="s">
        <v>131</v>
      </c>
      <c r="EQ5" s="65" t="s">
        <v>189</v>
      </c>
      <c r="ER5" s="65" t="s">
        <v>8</v>
      </c>
      <c r="ES5" s="65" t="s">
        <v>129</v>
      </c>
      <c r="ET5" s="65" t="s">
        <v>188</v>
      </c>
      <c r="EU5" s="65" t="s">
        <v>8</v>
      </c>
      <c r="EV5" s="65" t="s">
        <v>126</v>
      </c>
      <c r="EW5" s="65" t="s">
        <v>187</v>
      </c>
      <c r="EX5" s="65" t="s">
        <v>8</v>
      </c>
      <c r="EY5" s="65" t="s">
        <v>165</v>
      </c>
      <c r="EZ5" s="65" t="s">
        <v>186</v>
      </c>
      <c r="FB5" s="65" t="s">
        <v>0</v>
      </c>
      <c r="FC5" s="64" t="s">
        <v>133</v>
      </c>
      <c r="FD5" s="64" t="s">
        <v>193</v>
      </c>
      <c r="FE5" s="65" t="s">
        <v>0</v>
      </c>
      <c r="FF5" s="65" t="s">
        <v>142</v>
      </c>
      <c r="FG5" s="65" t="s">
        <v>194</v>
      </c>
      <c r="FH5" s="65" t="s">
        <v>0</v>
      </c>
      <c r="FI5" s="65" t="s">
        <v>131</v>
      </c>
      <c r="FJ5" s="65" t="s">
        <v>195</v>
      </c>
      <c r="FK5" s="65" t="s">
        <v>0</v>
      </c>
      <c r="FL5" s="65" t="s">
        <v>129</v>
      </c>
      <c r="FM5" s="65" t="s">
        <v>196</v>
      </c>
      <c r="FN5" s="65" t="s">
        <v>0</v>
      </c>
      <c r="FO5" s="65" t="s">
        <v>126</v>
      </c>
      <c r="FP5" s="65" t="s">
        <v>197</v>
      </c>
      <c r="FQ5" s="65" t="s">
        <v>0</v>
      </c>
      <c r="FR5" s="65" t="s">
        <v>165</v>
      </c>
      <c r="FS5" s="65" t="s">
        <v>198</v>
      </c>
      <c r="FU5" s="65" t="s">
        <v>133</v>
      </c>
      <c r="FV5" s="65" t="s">
        <v>142</v>
      </c>
      <c r="FW5" s="65" t="s">
        <v>203</v>
      </c>
      <c r="FX5" s="65" t="s">
        <v>133</v>
      </c>
      <c r="FY5" s="65" t="s">
        <v>131</v>
      </c>
      <c r="FZ5" s="65" t="s">
        <v>202</v>
      </c>
      <c r="GA5" s="65" t="s">
        <v>133</v>
      </c>
      <c r="GB5" s="65" t="s">
        <v>129</v>
      </c>
      <c r="GC5" s="65" t="s">
        <v>201</v>
      </c>
      <c r="GD5" s="65" t="s">
        <v>133</v>
      </c>
      <c r="GE5" s="65" t="s">
        <v>126</v>
      </c>
      <c r="GF5" s="65" t="s">
        <v>200</v>
      </c>
      <c r="GG5" s="65" t="s">
        <v>133</v>
      </c>
      <c r="GH5" s="65" t="s">
        <v>165</v>
      </c>
      <c r="GI5" s="65" t="s">
        <v>199</v>
      </c>
      <c r="GK5" s="65" t="s">
        <v>142</v>
      </c>
      <c r="GL5" s="65" t="s">
        <v>131</v>
      </c>
      <c r="GM5" s="65" t="s">
        <v>204</v>
      </c>
      <c r="GN5" s="65" t="s">
        <v>142</v>
      </c>
      <c r="GO5" s="65" t="s">
        <v>129</v>
      </c>
      <c r="GP5" s="65" t="s">
        <v>205</v>
      </c>
      <c r="GQ5" s="65" t="s">
        <v>142</v>
      </c>
      <c r="GR5" s="65" t="s">
        <v>126</v>
      </c>
      <c r="GS5" s="65" t="s">
        <v>206</v>
      </c>
      <c r="GT5" s="65" t="s">
        <v>142</v>
      </c>
      <c r="GU5" s="65" t="s">
        <v>165</v>
      </c>
      <c r="GV5" s="65" t="s">
        <v>207</v>
      </c>
      <c r="GX5" s="65" t="s">
        <v>131</v>
      </c>
      <c r="GY5" s="65" t="s">
        <v>129</v>
      </c>
      <c r="GZ5" s="65" t="s">
        <v>208</v>
      </c>
      <c r="HA5" s="65" t="s">
        <v>131</v>
      </c>
      <c r="HB5" s="65" t="s">
        <v>126</v>
      </c>
      <c r="HC5" s="65" t="s">
        <v>209</v>
      </c>
      <c r="HD5" s="65" t="s">
        <v>131</v>
      </c>
      <c r="HE5" s="65" t="s">
        <v>165</v>
      </c>
      <c r="HF5" s="65" t="s">
        <v>210</v>
      </c>
      <c r="HH5" s="65" t="s">
        <v>129</v>
      </c>
      <c r="HI5" s="65" t="s">
        <v>126</v>
      </c>
      <c r="HJ5" s="65" t="s">
        <v>211</v>
      </c>
      <c r="HK5" s="65" t="s">
        <v>129</v>
      </c>
      <c r="HL5" s="65" t="s">
        <v>165</v>
      </c>
      <c r="HM5" s="65" t="s">
        <v>212</v>
      </c>
      <c r="HO5" s="65" t="s">
        <v>126</v>
      </c>
      <c r="HP5" s="65" t="s">
        <v>165</v>
      </c>
      <c r="HQ5" s="65" t="s">
        <v>213</v>
      </c>
      <c r="HS5" s="65" t="s">
        <v>165</v>
      </c>
      <c r="HT5" s="65" t="s">
        <v>2</v>
      </c>
      <c r="HU5" s="65" t="s">
        <v>318</v>
      </c>
      <c r="HV5" s="65" t="s">
        <v>165</v>
      </c>
      <c r="HW5" s="65" t="s">
        <v>4</v>
      </c>
      <c r="HX5" s="65" t="s">
        <v>319</v>
      </c>
      <c r="HY5" s="65" t="s">
        <v>165</v>
      </c>
      <c r="HZ5" s="65" t="s">
        <v>6</v>
      </c>
      <c r="IA5" s="65" t="s">
        <v>327</v>
      </c>
      <c r="IB5" s="65" t="s">
        <v>165</v>
      </c>
      <c r="IC5" s="65" t="s">
        <v>8</v>
      </c>
      <c r="ID5" s="65" t="s">
        <v>326</v>
      </c>
      <c r="IE5" s="65" t="s">
        <v>165</v>
      </c>
      <c r="IF5" s="65" t="s">
        <v>0</v>
      </c>
      <c r="IG5" s="65" t="s">
        <v>325</v>
      </c>
      <c r="IH5" s="65" t="s">
        <v>165</v>
      </c>
      <c r="II5" s="65" t="s">
        <v>133</v>
      </c>
      <c r="IJ5" s="65" t="s">
        <v>324</v>
      </c>
      <c r="IK5" s="65" t="s">
        <v>165</v>
      </c>
      <c r="IL5" s="65" t="s">
        <v>142</v>
      </c>
      <c r="IM5" s="65" t="s">
        <v>323</v>
      </c>
      <c r="IN5" s="65" t="s">
        <v>165</v>
      </c>
      <c r="IO5" s="65" t="s">
        <v>131</v>
      </c>
      <c r="IP5" s="65" t="s">
        <v>322</v>
      </c>
      <c r="IQ5" s="65" t="s">
        <v>165</v>
      </c>
      <c r="IR5" s="65" t="s">
        <v>129</v>
      </c>
      <c r="IS5" s="65" t="s">
        <v>321</v>
      </c>
      <c r="IT5" s="65" t="s">
        <v>165</v>
      </c>
      <c r="IU5" s="65" t="s">
        <v>126</v>
      </c>
      <c r="IV5" s="65" t="s">
        <v>320</v>
      </c>
    </row>
    <row r="6" spans="1:256" ht="15" x14ac:dyDescent="0.25">
      <c r="A6" s="57" t="s">
        <v>9</v>
      </c>
      <c r="B6" s="295">
        <v>19.829999999999998</v>
      </c>
      <c r="C6" s="295">
        <v>23.37</v>
      </c>
      <c r="D6" s="295">
        <v>26.2</v>
      </c>
      <c r="E6" s="295">
        <v>19.309999999999999</v>
      </c>
      <c r="F6" s="295">
        <v>22.57</v>
      </c>
      <c r="G6" s="295">
        <v>20.309999999999999</v>
      </c>
      <c r="H6" s="295">
        <v>19.93</v>
      </c>
      <c r="I6" s="296">
        <v>24.78</v>
      </c>
      <c r="J6" s="295">
        <v>17.190000000000001</v>
      </c>
      <c r="K6" s="295">
        <v>24.18</v>
      </c>
      <c r="L6" s="68">
        <f t="shared" ref="L6:L37" si="0">COUNT(B6:K6)</f>
        <v>10</v>
      </c>
      <c r="M6" s="69">
        <f t="shared" ref="M6:M37" si="1">IF(L6&gt;0,GEOMEAN(B6:K6),"")</f>
        <v>21.595572654283895</v>
      </c>
      <c r="N6" s="69" t="str">
        <f>AV6</f>
        <v>±0,6</v>
      </c>
      <c r="O6" s="69" t="str">
        <f>AW6</f>
        <v>±2,81</v>
      </c>
      <c r="P6" s="69" t="str">
        <f>AV108</f>
        <v>±0,42</v>
      </c>
      <c r="Q6" s="70">
        <f t="shared" ref="Q6:Q37" si="2">IF((L6&gt;0)*AND(B$109&gt;0),B6,"")</f>
        <v>19.829999999999998</v>
      </c>
      <c r="R6" s="71">
        <f>IF(($L6&gt;0)*AND(B$109&gt;0),(Q6-B$110),"")</f>
        <v>0.86137475682409814</v>
      </c>
      <c r="S6" s="71">
        <f>IF(($L6&gt;0)*AND(B$109&gt;0),(Q6/B$110-1)*100,"")</f>
        <v>4.5410500011537902</v>
      </c>
      <c r="T6" s="70">
        <f t="shared" ref="T6:T37" si="3">IF((L6&gt;0)*AND(C$109&gt;0),C6,"")</f>
        <v>23.37</v>
      </c>
      <c r="U6" s="71">
        <f>IF((L6&gt;0)*AND(C$109&gt;0),(T6-C$110),"")</f>
        <v>-0.59122217293299784</v>
      </c>
      <c r="V6" s="71">
        <f>IF((L6&gt;0)*AND(C$109&gt;0),(T6/C$110-1)*100,"")</f>
        <v>-2.4674124243998397</v>
      </c>
      <c r="W6" s="70">
        <f t="shared" ref="W6:W37" si="4">IF((L6&gt;0)*AND(D$109&gt;0),D6,"")</f>
        <v>26.2</v>
      </c>
      <c r="X6" s="71">
        <f>IF((L6&gt;0)*AND(D$109&gt;0),(W6-D$110),"")</f>
        <v>0.51173871622193445</v>
      </c>
      <c r="Y6" s="71">
        <f>IF((L6&gt;0)*AND(D$109&gt;0),(W6/D$110-1)*100,"")</f>
        <v>1.9921111458995222</v>
      </c>
      <c r="Z6" s="70">
        <f t="shared" ref="Z6:Z37" si="5">IF((L6&gt;0)*AND(E$109&gt;0),E6,"")</f>
        <v>19.309999999999999</v>
      </c>
      <c r="AA6" s="71">
        <f>IF((L6&gt;0)*AND(E$109&gt;0),(Z6-E$110),"")</f>
        <v>0.61814814716020194</v>
      </c>
      <c r="AB6" s="71">
        <f>IF((L6&gt;0)*AND(E$109&gt;0),(Z6/E$110-1)*100,"")</f>
        <v>3.3070460435213</v>
      </c>
      <c r="AC6" s="70">
        <f t="shared" ref="AC6:AC37" si="6">IF((L6&gt;0)*AND(F$109&gt;0),F6,"")</f>
        <v>22.57</v>
      </c>
      <c r="AD6" s="71">
        <f>IF((L6&gt;0)*AND(F$109&gt;0),(AC6-F$110),"")</f>
        <v>1.6878847158920962E-2</v>
      </c>
      <c r="AE6" s="71">
        <f>IF((L6&gt;0)*AND(F$109&gt;0),(AC6/F$110-1)*100,"")</f>
        <v>7.4840404769416224E-2</v>
      </c>
      <c r="AF6" s="70">
        <f t="shared" ref="AF6:AF37" si="7">IF((L6&gt;0)*AND(G$109&gt;0),G6,"")</f>
        <v>20.309999999999999</v>
      </c>
      <c r="AG6" s="71">
        <f>IF(($L6&gt;0)*AND(G$109&gt;0),(AF6-G$110),"")</f>
        <v>-0.29269325718003003</v>
      </c>
      <c r="AH6" s="71">
        <f>IF(($L6&gt;0)*AND(G$109&gt;0),(AF6/G$110-1)*100,"")</f>
        <v>-1.4206553168869096</v>
      </c>
      <c r="AI6" s="70">
        <f t="shared" ref="AI6:AI37" si="8">IF((L6&gt;0)*AND(H$109&gt;0),H6,"")</f>
        <v>19.93</v>
      </c>
      <c r="AJ6" s="71">
        <f>IF(($L6&gt;0)*AND(H$109&gt;0),(AI6-H$110),"")</f>
        <v>0.19294613444836273</v>
      </c>
      <c r="AK6" s="71">
        <f>IF(($L6&gt;0)*AND(H$109&gt;0),(AI6/H$110-1)*100,"")</f>
        <v>0.97758325919719002</v>
      </c>
      <c r="AL6" s="70">
        <f>IF((L6&gt;0)*AND(I$109&gt;0),I6,"")</f>
        <v>24.78</v>
      </c>
      <c r="AM6" s="71">
        <f>IF(($L6&gt;0)*AND(I$109&gt;0),(AL6-I$110),"")</f>
        <v>-1.0596407621653192</v>
      </c>
      <c r="AN6" s="71">
        <f>IF(($L6&gt;0)*AND(I$109&gt;0),(AL6/I$110-1)*100,"")</f>
        <v>-4.1008339547694339</v>
      </c>
      <c r="AO6" s="70">
        <f>IF((L6&gt;0)*AND(J$109&gt;0),J6,"")</f>
        <v>17.190000000000001</v>
      </c>
      <c r="AP6" s="71">
        <f>IF(($L6&gt;0)*AND(J$109&gt;0),(AO6-J$110),"")</f>
        <v>-0.54710214259447909</v>
      </c>
      <c r="AQ6" s="71">
        <f>IF(($L6&gt;0)*AND(J$109&gt;0),(AO6/J$110-1)*100,"")</f>
        <v>-3.0845069177374174</v>
      </c>
      <c r="AR6" s="70">
        <f>IF((L6&gt;0)*AND(K$109&gt;0),K6,"")</f>
        <v>24.18</v>
      </c>
      <c r="AS6" s="71">
        <f>IF(($L6&gt;0)*AND(K$109&gt;0),(AR6-K$110),"")</f>
        <v>0.10063946427187176</v>
      </c>
      <c r="AT6" s="71">
        <f>IF(($L6&gt;0)*AND(K$109&gt;0),(AR6/K$110-1)*100,"")</f>
        <v>0.41794907353351896</v>
      </c>
      <c r="AU6" s="69">
        <f>M6</f>
        <v>21.595572654283895</v>
      </c>
      <c r="AV6" s="131" t="str">
        <f>IF(L6&gt;0,"±"&amp;ROUND(STDEV(R6,U6,X6,AA6,AD6,AG6,AJ6,AM6,AP6,AS6),2),"")</f>
        <v>±0,6</v>
      </c>
      <c r="AW6" s="69" t="str">
        <f>IF(L6&gt;0,"±"&amp;ROUND(STDEV(S6,V6,Y6,AB6,AE6,AH6,AK6,AN6,AQ6,AT6),2),"")</f>
        <v>±2,81</v>
      </c>
      <c r="AX6" s="132">
        <f>IF(L6&gt;0,ROUND(STDEV(R6,U6,X6,AA6,AD6,AG6,AJ6,AM6,AP6,AS6),2),"")</f>
        <v>0.6</v>
      </c>
      <c r="AY6" s="132">
        <f>IF(L6&gt;0,ROUND(STDEV(S6,V6,Y6,AB6,AE6,AH6,AK6,AN6,AQ6,AT6),2),"")</f>
        <v>2.81</v>
      </c>
      <c r="AZ6" s="69">
        <f t="shared" ref="AZ6:AZ37" si="9">IF(AND(NOT($B6=""),NOT(C6="")),$B6,"")</f>
        <v>19.829999999999998</v>
      </c>
      <c r="BA6" s="69">
        <f t="shared" ref="BA6:BA37" si="10">IF(AND(NOT($C6=""),NOT(B6="")),$C6,"")</f>
        <v>23.37</v>
      </c>
      <c r="BB6" s="69">
        <f>IF(AND(NOT(AZ6=""),NOT(BA6="")),AZ6*BA6,"")</f>
        <v>463.4271</v>
      </c>
      <c r="BC6" s="69">
        <f t="shared" ref="BC6:BC37" si="11">IF(AND(NOT($B6=""),NOT(D6="")),$B6,"")</f>
        <v>19.829999999999998</v>
      </c>
      <c r="BD6" s="69">
        <f t="shared" ref="BD6:BD37" si="12">IF(AND(NOT($D6=""),NOT(B6="")),$D6,"")</f>
        <v>26.2</v>
      </c>
      <c r="BE6" s="69">
        <f>IF(AND(NOT(BC6=""),NOT(BD6="")),BC6*BD6,"")</f>
        <v>519.54599999999994</v>
      </c>
      <c r="BF6" s="69">
        <f t="shared" ref="BF6:BF37" si="13">IF(AND(NOT($B6=""),NOT(E6="")),$B6,"")</f>
        <v>19.829999999999998</v>
      </c>
      <c r="BG6" s="69">
        <f t="shared" ref="BG6:BG37" si="14">IF(AND(NOT($E6=""),NOT(B6="")),$E6,"")</f>
        <v>19.309999999999999</v>
      </c>
      <c r="BH6" s="69">
        <f>IF(AND(NOT(BF6=""),NOT(BG6="")),BF6*BG6,"")</f>
        <v>382.91729999999995</v>
      </c>
      <c r="BI6" s="69">
        <f t="shared" ref="BI6:BI37" si="15">IF(AND(NOT($B6=""),NOT(F6="")),$B6,"")</f>
        <v>19.829999999999998</v>
      </c>
      <c r="BJ6" s="69">
        <f t="shared" ref="BJ6:BJ37" si="16">IF(AND(NOT($F6=""),NOT(B6="")),$F6,"")</f>
        <v>22.57</v>
      </c>
      <c r="BK6" s="69">
        <f>IF(AND(NOT(BI6=""),NOT(BJ6="")),BI6*BJ6,"")</f>
        <v>447.56309999999996</v>
      </c>
      <c r="BL6" s="69">
        <f t="shared" ref="BL6:BL37" si="17">IF(AND(NOT($B6=""),NOT(G6="")),$B6,"")</f>
        <v>19.829999999999998</v>
      </c>
      <c r="BM6" s="69">
        <f t="shared" ref="BM6:BM37" si="18">IF(AND(NOT($G6=""),NOT(B6="")),$G6,"")</f>
        <v>20.309999999999999</v>
      </c>
      <c r="BN6" s="69">
        <f>IF(AND(NOT(BL6=""),NOT(BM6="")),BL6*BM6,"")</f>
        <v>402.74729999999994</v>
      </c>
      <c r="BO6" s="69">
        <f t="shared" ref="BO6:BO37" si="19">IF(AND(NOT($B6=""),NOT(H6="")),$B6,"")</f>
        <v>19.829999999999998</v>
      </c>
      <c r="BP6" s="69">
        <f t="shared" ref="BP6:BP37" si="20">IF(AND(NOT($H6=""),NOT(B6="")),$H6,"")</f>
        <v>19.93</v>
      </c>
      <c r="BQ6" s="69">
        <f>IF(AND(NOT(BO6=""),NOT(BP6="")),BO6*BP6,"")</f>
        <v>395.21189999999996</v>
      </c>
      <c r="BR6" s="69">
        <f t="shared" ref="BR6:BR37" si="21">IF(AND(NOT($B6=""),NOT(I6="")),$B6,"")</f>
        <v>19.829999999999998</v>
      </c>
      <c r="BS6" s="69">
        <f t="shared" ref="BS6:BS37" si="22">IF(AND(NOT($I6=""),NOT(B6="")),$I6,"")</f>
        <v>24.78</v>
      </c>
      <c r="BT6" s="69">
        <f>IF(AND(NOT(BR6=""),NOT(BS6="")),BR6*BS6,"")</f>
        <v>491.38739999999996</v>
      </c>
      <c r="BU6" s="69">
        <f t="shared" ref="BU6:BU37" si="23">IF(AND(NOT($B6=""),NOT(J6="")),$B6,"")</f>
        <v>19.829999999999998</v>
      </c>
      <c r="BV6" s="69">
        <f t="shared" ref="BV6:BV37" si="24">IF(AND(NOT($J6=""),NOT(B6="")),$J6,"")</f>
        <v>17.190000000000001</v>
      </c>
      <c r="BW6" s="69">
        <f>IF(AND(NOT(BU6=""),NOT(BV6="")),BU6*BV6,"")</f>
        <v>340.8777</v>
      </c>
      <c r="BX6" s="69">
        <f t="shared" ref="BX6:BX37" si="25">IF(AND(NOT($B6=""),NOT(K6="")),$B6,"")</f>
        <v>19.829999999999998</v>
      </c>
      <c r="BY6" s="69">
        <f t="shared" ref="BY6:BY37" si="26">IF(AND(NOT($K6=""),NOT(B6="")),$K6,"")</f>
        <v>24.18</v>
      </c>
      <c r="BZ6" s="69">
        <f>IF(AND(NOT(BX6=""),NOT(BY6="")),BX6*BY6,"")</f>
        <v>479.48939999999993</v>
      </c>
      <c r="CA6" s="69">
        <f t="shared" ref="CA6:CA37" si="27">IF(AND(NOT($B6=""),NOT(M6="")),$B6,"")</f>
        <v>19.829999999999998</v>
      </c>
      <c r="CB6" s="69">
        <f t="shared" ref="CB6:CB37" si="28">IF(AND(NOT($M6=""),NOT(B6="")),$M6,"")</f>
        <v>21.595572654283895</v>
      </c>
      <c r="CC6" s="69">
        <f>IF(AND(NOT(CA6=""),NOT(CB6="")),CA6*CB6,"")</f>
        <v>428.2402057344496</v>
      </c>
      <c r="CE6" s="69">
        <f t="shared" ref="CE6:CE37" si="29">IF(AND(NOT($C6=""),NOT(D6="")),$C6,"")</f>
        <v>23.37</v>
      </c>
      <c r="CF6" s="69">
        <f t="shared" ref="CF6:CF37" si="30">IF(AND(NOT($D6=""),NOT(C6="")),$D6,"")</f>
        <v>26.2</v>
      </c>
      <c r="CG6" s="69">
        <f>IF(AND(NOT(CE6=""),NOT(CF6="")),CE6*CF6,"")</f>
        <v>612.29399999999998</v>
      </c>
      <c r="CH6" s="69">
        <f t="shared" ref="CH6:CH37" si="31">IF(AND(NOT($C6=""),NOT(E6="")),$C6,"")</f>
        <v>23.37</v>
      </c>
      <c r="CI6" s="69">
        <f t="shared" ref="CI6:CI37" si="32">IF(AND(NOT($E6=""),NOT(C6="")),$E6,"")</f>
        <v>19.309999999999999</v>
      </c>
      <c r="CJ6" s="69">
        <f>IF(AND(NOT(CH6=""),NOT(CI6="")),CH6*CI6,"")</f>
        <v>451.2747</v>
      </c>
      <c r="CK6" s="69">
        <f t="shared" ref="CK6:CK37" si="33">IF(AND(NOT($C6=""),NOT(F6="")),$C6,"")</f>
        <v>23.37</v>
      </c>
      <c r="CL6" s="69">
        <f t="shared" ref="CL6:CL37" si="34">IF(AND(NOT($F6=""),NOT(C6="")),$F6,"")</f>
        <v>22.57</v>
      </c>
      <c r="CM6" s="69">
        <f>IF(AND(NOT(CK6=""),NOT(CL6="")),CK6*CL6,"")</f>
        <v>527.46090000000004</v>
      </c>
      <c r="CN6" s="69">
        <f t="shared" ref="CN6:CN37" si="35">IF(AND(NOT($C6=""),NOT(G6="")),$C6,"")</f>
        <v>23.37</v>
      </c>
      <c r="CO6" s="69">
        <f t="shared" ref="CO6:CO37" si="36">IF(AND(NOT($G6=""),NOT(C6="")),$G6,"")</f>
        <v>20.309999999999999</v>
      </c>
      <c r="CP6" s="69">
        <f>IF(AND(NOT(CN6=""),NOT(CO6="")),CN6*CO6,"")</f>
        <v>474.6447</v>
      </c>
      <c r="CQ6" s="69">
        <f t="shared" ref="CQ6:CQ37" si="37">IF(AND(NOT($C6=""),NOT(H6="")),$C6,"")</f>
        <v>23.37</v>
      </c>
      <c r="CR6" s="69">
        <f t="shared" ref="CR6:CR37" si="38">IF(AND(NOT($H6=""),NOT(C6="")),$H6,"")</f>
        <v>19.93</v>
      </c>
      <c r="CS6" s="69">
        <f>IF(AND(NOT(CQ6=""),NOT(CR6="")),CQ6*CR6,"")</f>
        <v>465.76409999999998</v>
      </c>
      <c r="CT6" s="69">
        <f t="shared" ref="CT6:CT37" si="39">IF(AND(NOT($C6=""),NOT(I6="")),$C6,"")</f>
        <v>23.37</v>
      </c>
      <c r="CU6" s="69">
        <f t="shared" ref="CU6:CU37" si="40">IF(AND(NOT($I6=""),NOT(C6="")),$I6,"")</f>
        <v>24.78</v>
      </c>
      <c r="CV6" s="69">
        <f>IF(AND(NOT(CT6=""),NOT(CU6="")),CT6*CU6,"")</f>
        <v>579.10860000000002</v>
      </c>
      <c r="CW6" s="69">
        <f t="shared" ref="CW6:CW37" si="41">IF(AND(NOT($C6=""),NOT(J6="")),$C6,"")</f>
        <v>23.37</v>
      </c>
      <c r="CX6" s="69">
        <f t="shared" ref="CX6:CX37" si="42">IF(AND(NOT($J6=""),NOT(C6="")),$J6,"")</f>
        <v>17.190000000000001</v>
      </c>
      <c r="CY6" s="69">
        <f>IF(AND(NOT(CW6=""),NOT(CX6="")),CW6*CX6,"")</f>
        <v>401.73030000000006</v>
      </c>
      <c r="CZ6" s="69">
        <f t="shared" ref="CZ6:CZ37" si="43">IF(AND(NOT($C6=""),NOT(K6="")),$C6,"")</f>
        <v>23.37</v>
      </c>
      <c r="DA6" s="69">
        <f t="shared" ref="DA6:DA37" si="44">IF(AND(NOT($K6=""),NOT(C6="")),$K6,"")</f>
        <v>24.18</v>
      </c>
      <c r="DB6" s="69">
        <f>IF(AND(NOT(CZ6=""),NOT(DA6="")),CZ6*DA6,"")</f>
        <v>565.08659999999998</v>
      </c>
      <c r="DC6" s="69">
        <f t="shared" ref="DC6:DC37" si="45">IF(AND(NOT($C6=""),NOT($M6="")),$C6,"")</f>
        <v>23.37</v>
      </c>
      <c r="DD6" s="69">
        <f t="shared" ref="DD6:DD37" si="46">IF(AND(NOT($M6=""),NOT(C6="")),$M6,"")</f>
        <v>21.595572654283895</v>
      </c>
      <c r="DE6" s="69">
        <f>IF(AND(NOT(DC6=""),NOT(DD6="")),DC6*DD6,"")</f>
        <v>504.68853293061466</v>
      </c>
      <c r="DG6" s="69">
        <f t="shared" ref="DG6:DG37" si="47">IF(AND(NOT($D6=""),NOT(E6="")),$D6,"")</f>
        <v>26.2</v>
      </c>
      <c r="DH6" s="69">
        <f t="shared" ref="DH6:DH37" si="48">IF(AND(NOT($E6=""),NOT(D6="")),$E6,"")</f>
        <v>19.309999999999999</v>
      </c>
      <c r="DI6" s="69">
        <f>IF(AND(NOT(DG6=""),NOT(DH6="")),DG6*DH6,"")</f>
        <v>505.92199999999997</v>
      </c>
      <c r="DJ6" s="69">
        <f t="shared" ref="DJ6:DJ37" si="49">IF(AND(NOT($D6=""),NOT(F6="")),$D6,"")</f>
        <v>26.2</v>
      </c>
      <c r="DK6" s="69">
        <f t="shared" ref="DK6:DK37" si="50">IF(AND(NOT($F6=""),NOT(E6="")),$F6,"")</f>
        <v>22.57</v>
      </c>
      <c r="DL6" s="69">
        <f>IF(AND(NOT(DJ6=""),NOT(DK6="")),DJ6*DK6,"")</f>
        <v>591.33399999999995</v>
      </c>
      <c r="DM6" s="69">
        <f t="shared" ref="DM6:DM37" si="51">IF(AND(NOT($D6=""),NOT(G6="")),$D6,"")</f>
        <v>26.2</v>
      </c>
      <c r="DN6" s="69">
        <f t="shared" ref="DN6:DN37" si="52">IF(AND(NOT($G6=""),NOT(D6="")),$G6,"")</f>
        <v>20.309999999999999</v>
      </c>
      <c r="DO6" s="69">
        <f>IF(AND(NOT(DM6=""),NOT(DN6="")),DM6*DN6,"")</f>
        <v>532.12199999999996</v>
      </c>
      <c r="DP6" s="69">
        <f t="shared" ref="DP6:DP37" si="53">IF(AND(NOT($D6=""),NOT(H6="")),$D6,"")</f>
        <v>26.2</v>
      </c>
      <c r="DQ6" s="69">
        <f t="shared" ref="DQ6:DQ37" si="54">IF(AND(NOT($H6=""),NOT(D6="")),$H6,"")</f>
        <v>19.93</v>
      </c>
      <c r="DR6" s="69">
        <f>IF(AND(NOT(DP6=""),NOT(DQ6="")),DP6*DQ6,"")</f>
        <v>522.16599999999994</v>
      </c>
      <c r="DS6" s="69">
        <f t="shared" ref="DS6:DS37" si="55">IF(AND(NOT($D6=""),NOT(I6="")),$D6,"")</f>
        <v>26.2</v>
      </c>
      <c r="DT6" s="69">
        <f t="shared" ref="DT6:DT37" si="56">IF(AND(NOT($I6=""),NOT(D6="")),$I6,"")</f>
        <v>24.78</v>
      </c>
      <c r="DU6" s="69">
        <f>IF(AND(NOT(DS6=""),NOT(DT6="")),DS6*DT6,"")</f>
        <v>649.23599999999999</v>
      </c>
      <c r="DV6" s="69">
        <f t="shared" ref="DV6:DV37" si="57">IF(AND(NOT($D6=""),NOT(J6="")),$D6,"")</f>
        <v>26.2</v>
      </c>
      <c r="DW6" s="69">
        <f t="shared" ref="DW6:DW37" si="58">IF(AND(NOT($J6=""),NOT(D6="")),$J6,"")</f>
        <v>17.190000000000001</v>
      </c>
      <c r="DX6" s="69">
        <f>IF(AND(NOT(DV6=""),NOT(DW6="")),DV6*DW6,"")</f>
        <v>450.37800000000004</v>
      </c>
      <c r="DY6" s="69">
        <f t="shared" ref="DY6:DY37" si="59">IF(AND(NOT($D6=""),NOT(K6="")),$D6,"")</f>
        <v>26.2</v>
      </c>
      <c r="DZ6" s="69">
        <f t="shared" ref="DZ6:DZ37" si="60">IF(AND(NOT($K6=""),NOT(D6="")),$K6,"")</f>
        <v>24.18</v>
      </c>
      <c r="EA6" s="69">
        <f>IF(AND(NOT(DY6=""),NOT(DZ6="")),DY6*DZ6,"")</f>
        <v>633.51599999999996</v>
      </c>
      <c r="EB6" s="69">
        <f t="shared" ref="EB6:EB37" si="61">IF(AND(NOT($D6=""),NOT(M6="")),$D6,"")</f>
        <v>26.2</v>
      </c>
      <c r="EC6" s="69">
        <f t="shared" ref="EC6:EC37" si="62">IF(AND(NOT($M6=""),NOT(D6="")),$M6,"")</f>
        <v>21.595572654283895</v>
      </c>
      <c r="ED6" s="69">
        <f>IF(AND(NOT(EB6=""),NOT(EC6="")),EB6*EC6,"")</f>
        <v>565.80400354223809</v>
      </c>
      <c r="EF6" s="69">
        <f t="shared" ref="EF6:EF37" si="63">IF(AND(NOT($E6=""),NOT(F6="")),$E6,"")</f>
        <v>19.309999999999999</v>
      </c>
      <c r="EG6" s="69">
        <f t="shared" ref="EG6:EG37" si="64">IF(AND(NOT($F6=""),NOT(E6="")),$F6,"")</f>
        <v>22.57</v>
      </c>
      <c r="EH6" s="69">
        <f>IF(AND(NOT(EF6=""),NOT(EG6="")),EF6*EG6,"")</f>
        <v>435.82669999999996</v>
      </c>
      <c r="EI6" s="69">
        <f t="shared" ref="EI6:EI37" si="65">IF(AND(NOT($E6=""),NOT(G6="")),$E6,"")</f>
        <v>19.309999999999999</v>
      </c>
      <c r="EJ6" s="69">
        <f t="shared" ref="EJ6:EJ37" si="66">IF(AND(NOT($G6=""),NOT(E6="")),$G6,"")</f>
        <v>20.309999999999999</v>
      </c>
      <c r="EK6" s="69">
        <f>IF(AND(NOT(EI6=""),NOT(EJ6="")),EI6*EJ6,"")</f>
        <v>392.18609999999995</v>
      </c>
      <c r="EL6" s="69">
        <f t="shared" ref="EL6:EL37" si="67">IF(AND(NOT($E6=""),NOT(H6="")),$E6,"")</f>
        <v>19.309999999999999</v>
      </c>
      <c r="EM6" s="69">
        <f t="shared" ref="EM6:EM37" si="68">IF(AND(NOT($H6=""),NOT(E6="")),$H6,"")</f>
        <v>19.93</v>
      </c>
      <c r="EN6" s="69">
        <f>IF(AND(NOT(EL6=""),NOT(EM6="")),EL6*EM6,"")</f>
        <v>384.84829999999999</v>
      </c>
      <c r="EO6" s="69">
        <f t="shared" ref="EO6:EO37" si="69">IF(AND(NOT($E6=""),NOT(I6="")),$E6,"")</f>
        <v>19.309999999999999</v>
      </c>
      <c r="EP6" s="69">
        <f t="shared" ref="EP6:EP37" si="70">IF(AND(NOT($I6=""),NOT(E6="")),$I6,"")</f>
        <v>24.78</v>
      </c>
      <c r="EQ6" s="69">
        <f>IF(AND(NOT(EO6=""),NOT(EP6="")),EO6*EP6,"")</f>
        <v>478.5018</v>
      </c>
      <c r="ER6" s="69">
        <f t="shared" ref="ER6:ER37" si="71">IF(AND(NOT($E6=""),NOT(J6="")),$E6,"")</f>
        <v>19.309999999999999</v>
      </c>
      <c r="ES6" s="69">
        <f t="shared" ref="ES6:ES37" si="72">IF(AND(NOT($J6=""),NOT(E6="")),$J6,"")</f>
        <v>17.190000000000001</v>
      </c>
      <c r="ET6" s="69">
        <f>IF(AND(NOT(ER6=""),NOT(ES6="")),ER6*ES6,"")</f>
        <v>331.93889999999999</v>
      </c>
      <c r="EU6" s="69">
        <f t="shared" ref="EU6:EU37" si="73">IF(AND(NOT($E6=""),NOT(K6="")),$E6,"")</f>
        <v>19.309999999999999</v>
      </c>
      <c r="EV6" s="69">
        <f t="shared" ref="EV6:EV37" si="74">IF(AND(NOT($K6=""),NOT(E6="")),$K6,"")</f>
        <v>24.18</v>
      </c>
      <c r="EW6" s="69">
        <f>IF(AND(NOT(EU6=""),NOT(EV6="")),EU6*EV6,"")</f>
        <v>466.91579999999999</v>
      </c>
      <c r="EX6" s="69">
        <f t="shared" ref="EX6:EX37" si="75">IF(AND(NOT($E6=""),NOT(M6="")),$E6,"")</f>
        <v>19.309999999999999</v>
      </c>
      <c r="EY6" s="69">
        <f t="shared" ref="EY6:EY37" si="76">IF(AND(NOT($M6=""),NOT(E6="")),$M6,"")</f>
        <v>21.595572654283895</v>
      </c>
      <c r="EZ6" s="69">
        <f>IF(AND(NOT(EX6=""),NOT(EY6="")),EX6*EY6,"")</f>
        <v>417.01050795422196</v>
      </c>
      <c r="FB6" s="69">
        <f t="shared" ref="FB6:FB37" si="77">IF(AND(NOT($F6=""),NOT(G6="")),$F6,"")</f>
        <v>22.57</v>
      </c>
      <c r="FC6" s="69">
        <f t="shared" ref="FC6:FC37" si="78">IF(AND(NOT($G6=""),NOT(F6="")),$G6,"")</f>
        <v>20.309999999999999</v>
      </c>
      <c r="FD6" s="69">
        <f>IF(AND(NOT(FB6=""),NOT(FC6="")),FB6*FC6,"")</f>
        <v>458.39669999999995</v>
      </c>
      <c r="FE6" s="69">
        <f t="shared" ref="FE6:FE37" si="79">IF(AND(NOT($F6=""),NOT(H6="")),$F6,"")</f>
        <v>22.57</v>
      </c>
      <c r="FF6" s="69">
        <f t="shared" ref="FF6:FF37" si="80">IF(AND(NOT($H6=""),NOT(F6="")),$H6,"")</f>
        <v>19.93</v>
      </c>
      <c r="FG6" s="69">
        <f>IF(AND(NOT(FE6=""),NOT(FF6="")),FE6*FF6,"")</f>
        <v>449.82010000000002</v>
      </c>
      <c r="FH6" s="69">
        <f t="shared" ref="FH6:FH37" si="81">IF(AND(NOT($F6=""),NOT(I6="")),$F6,"")</f>
        <v>22.57</v>
      </c>
      <c r="FI6" s="69">
        <f t="shared" ref="FI6:FI37" si="82">IF(AND(NOT($I6=""),NOT(F6="")),$I6,"")</f>
        <v>24.78</v>
      </c>
      <c r="FJ6" s="69">
        <f>IF(AND(NOT(FH6=""),NOT(FI6="")),FH6*FI6,"")</f>
        <v>559.28460000000007</v>
      </c>
      <c r="FK6" s="69">
        <f t="shared" ref="FK6:FK37" si="83">IF(AND(NOT($F6=""),NOT(J6="")),$F6,"")</f>
        <v>22.57</v>
      </c>
      <c r="FL6" s="69">
        <f t="shared" ref="FL6:FL37" si="84">IF(AND(NOT($J6=""),NOT(F6="")),$J6,"")</f>
        <v>17.190000000000001</v>
      </c>
      <c r="FM6" s="69">
        <f>IF(AND(NOT(FK6=""),NOT(FL6="")),FK6*FL6,"")</f>
        <v>387.97830000000005</v>
      </c>
      <c r="FN6" s="69">
        <f t="shared" ref="FN6:FN37" si="85">IF(AND(NOT($F6=""),NOT(K6="")),$F6,"")</f>
        <v>22.57</v>
      </c>
      <c r="FO6" s="69">
        <f t="shared" ref="FO6:FO37" si="86">IF(AND(NOT($K6=""),NOT(F6="")),$K6,"")</f>
        <v>24.18</v>
      </c>
      <c r="FP6" s="69">
        <f>IF(AND(NOT(FN6=""),NOT(FO6="")),FN6*FO6,"")</f>
        <v>545.74260000000004</v>
      </c>
      <c r="FQ6" s="69">
        <f t="shared" ref="FQ6:FQ37" si="87">IF(AND(NOT($F6=""),NOT(M6="")),$F6,"")</f>
        <v>22.57</v>
      </c>
      <c r="FR6" s="69">
        <f t="shared" ref="FR6:FR37" si="88">IF(AND(NOT($M6=""),NOT(F6="")),$M6,"")</f>
        <v>21.595572654283895</v>
      </c>
      <c r="FS6" s="69">
        <f>IF(AND(NOT(FQ6=""),NOT(FR6="")),FQ6*FR6,"")</f>
        <v>487.41207480718754</v>
      </c>
      <c r="FU6" s="69">
        <f t="shared" ref="FU6:FU37" si="89">IF(AND(NOT($G6=""),NOT(H6="")),$G6,"")</f>
        <v>20.309999999999999</v>
      </c>
      <c r="FV6" s="69">
        <f t="shared" ref="FV6:FV37" si="90">IF(AND(NOT($H6=""),NOT(G6="")),$H6,"")</f>
        <v>19.93</v>
      </c>
      <c r="FW6" s="69">
        <f>IF(AND(NOT(FU6=""),NOT(FV6="")),FU6*FV6,"")</f>
        <v>404.77829999999994</v>
      </c>
      <c r="FX6" s="69">
        <f t="shared" ref="FX6:FX37" si="91">IF(AND(NOT($G6=""),NOT(I6="")),$G6,"")</f>
        <v>20.309999999999999</v>
      </c>
      <c r="FY6" s="69">
        <f t="shared" ref="FY6:FY37" si="92">IF(AND(NOT($I6=""),NOT(G6="")),$I6,"")</f>
        <v>24.78</v>
      </c>
      <c r="FZ6" s="69">
        <f>IF(AND(NOT(FX6=""),NOT(FY6="")),FX6*FY6,"")</f>
        <v>503.28179999999998</v>
      </c>
      <c r="GA6" s="69">
        <f t="shared" ref="GA6:GA37" si="93">IF(AND(NOT($G6=""),NOT(J6="")),$G6,"")</f>
        <v>20.309999999999999</v>
      </c>
      <c r="GB6" s="69">
        <f t="shared" ref="GB6:GB37" si="94">IF(AND(NOT($J6=""),NOT(G6="")),$J6,"")</f>
        <v>17.190000000000001</v>
      </c>
      <c r="GC6" s="69">
        <f>IF(AND(NOT(GA6=""),NOT(GB6="")),GA6*GB6,"")</f>
        <v>349.12889999999999</v>
      </c>
      <c r="GD6" s="69">
        <f t="shared" ref="GD6:GD37" si="95">IF(AND(NOT($G6=""),NOT(K6="")),$G6,"")</f>
        <v>20.309999999999999</v>
      </c>
      <c r="GE6" s="69">
        <f t="shared" ref="GE6:GE37" si="96">IF(AND(NOT($K6=""),NOT(G6="")),$K6,"")</f>
        <v>24.18</v>
      </c>
      <c r="GF6" s="69">
        <f>IF(AND(NOT(GD6=""),NOT(GE6="")),GD6*GE6,"")</f>
        <v>491.09579999999994</v>
      </c>
      <c r="GG6" s="69">
        <f t="shared" ref="GG6:GG37" si="97">IF(AND(NOT($G6=""),NOT(M6="")),$G6,"")</f>
        <v>20.309999999999999</v>
      </c>
      <c r="GH6" s="69">
        <f t="shared" ref="GH6:GH37" si="98">IF(AND(NOT($M6=""),NOT(G6="")),$M6,"")</f>
        <v>21.595572654283895</v>
      </c>
      <c r="GI6" s="69">
        <f>IF(AND(NOT(GG6=""),NOT(GH6="")),GG6*GH6,"")</f>
        <v>438.60608060850586</v>
      </c>
      <c r="GK6" s="69">
        <f t="shared" ref="GK6:GK37" si="99">IF(AND(NOT($H6=""),NOT(I6="")),$H6,"")</f>
        <v>19.93</v>
      </c>
      <c r="GL6" s="69">
        <f t="shared" ref="GL6:GL37" si="100">IF(AND(NOT($I6=""),NOT(H6="")),$I6,"")</f>
        <v>24.78</v>
      </c>
      <c r="GM6" s="69">
        <f>IF(AND(NOT(GK6=""),NOT(GL6="")),GK6*GL6,"")</f>
        <v>493.86540000000002</v>
      </c>
      <c r="GN6" s="69">
        <f t="shared" ref="GN6:GN37" si="101">IF(AND(NOT($H6=""),NOT(J6="")),$H6,"")</f>
        <v>19.93</v>
      </c>
      <c r="GO6" s="69">
        <f t="shared" ref="GO6:GO37" si="102">IF(AND(NOT($J6=""),NOT(H6="")),$J6,"")</f>
        <v>17.190000000000001</v>
      </c>
      <c r="GP6" s="69">
        <f>IF(AND(NOT(GN6=""),NOT(GO6="")),GN6*GO6,"")</f>
        <v>342.5967</v>
      </c>
      <c r="GQ6" s="69">
        <f t="shared" ref="GQ6:GQ37" si="103">IF(AND(NOT($H6=""),NOT(K6="")),$H6,"")</f>
        <v>19.93</v>
      </c>
      <c r="GR6" s="69">
        <f t="shared" ref="GR6:GR37" si="104">IF(AND(NOT($K6=""),NOT(H6="")),$K6,"")</f>
        <v>24.18</v>
      </c>
      <c r="GS6" s="69">
        <f>IF(AND(NOT(GQ6=""),NOT(GR6="")),GQ6*GR6,"")</f>
        <v>481.9074</v>
      </c>
      <c r="GT6" s="69">
        <f t="shared" ref="GT6:GT37" si="105">IF(AND(NOT($H6=""),NOT(M6="")),$H6,"")</f>
        <v>19.93</v>
      </c>
      <c r="GU6" s="69">
        <f t="shared" ref="GU6:GU37" si="106">IF(AND(NOT($M6=""),NOT(H6="")),$M6,"")</f>
        <v>21.595572654283895</v>
      </c>
      <c r="GV6" s="69">
        <f>IF(AND(NOT(GT6=""),NOT(GU6="")),GT6*GU6,"")</f>
        <v>430.39976299987802</v>
      </c>
      <c r="GX6" s="69">
        <f>IF(AND(NOT($I6=""),NOT(J6="")),$I6,"")</f>
        <v>24.78</v>
      </c>
      <c r="GY6" s="69">
        <f>IF(AND(NOT($J6=""),NOT(I6="")),$J6,"")</f>
        <v>17.190000000000001</v>
      </c>
      <c r="GZ6" s="69">
        <f>IF(AND(NOT(GX6=""),NOT(GY6="")),GX6*GY6,"")</f>
        <v>425.96820000000002</v>
      </c>
      <c r="HA6" s="69">
        <f>IF(AND(NOT($I6=""),NOT(K6="")),$I6,"")</f>
        <v>24.78</v>
      </c>
      <c r="HB6" s="69">
        <f>IF(AND(NOT($K6=""),NOT(I6="")),$K6,"")</f>
        <v>24.18</v>
      </c>
      <c r="HC6" s="69">
        <f>IF(AND(NOT(HA6=""),NOT(HB6="")),HA6*HB6,"")</f>
        <v>599.18040000000008</v>
      </c>
      <c r="HD6" s="69">
        <f>IF(AND(NOT($I6=""),NOT(M6="")),$I6,"")</f>
        <v>24.78</v>
      </c>
      <c r="HE6" s="69">
        <f>IF(AND(NOT($M6=""),NOT(I6="")),$M6,"")</f>
        <v>21.595572654283895</v>
      </c>
      <c r="HF6" s="69">
        <f>IF(AND(NOT(HD6=""),NOT(HE6="")),HD6*HE6,"")</f>
        <v>535.13829037315497</v>
      </c>
      <c r="HH6" s="69">
        <f>IF(AND(NOT($J6=""),NOT(K6="")),$J6,"")</f>
        <v>17.190000000000001</v>
      </c>
      <c r="HI6" s="69">
        <f>IF(AND(NOT($K6=""),NOT(J6="")),$K6,"")</f>
        <v>24.18</v>
      </c>
      <c r="HJ6" s="69">
        <f>IF(AND(NOT(HH6=""),NOT(HI6="")),HH6*HI6,"")</f>
        <v>415.6542</v>
      </c>
      <c r="HK6" s="69">
        <f>IF(AND(NOT($J6=""),NOT(M6="")),$J6,"")</f>
        <v>17.190000000000001</v>
      </c>
      <c r="HL6" s="69">
        <f>IF(AND(NOT($M6=""),NOT(J6="")),$M6,"")</f>
        <v>21.595572654283895</v>
      </c>
      <c r="HM6" s="69">
        <f>IF(AND(NOT(HK6=""),NOT(HL6="")),HK6*HL6,"")</f>
        <v>371.2278939271402</v>
      </c>
      <c r="HO6" s="69">
        <f>IF(AND(NOT($K6=""),NOT(M6="")),$K6,"")</f>
        <v>24.18</v>
      </c>
      <c r="HP6" s="69">
        <f>IF(AND(NOT($M6=""),NOT(K6="")),$M6,"")</f>
        <v>21.595572654283895</v>
      </c>
      <c r="HQ6" s="69">
        <f>IF(AND(NOT(HO6=""),NOT(HP6="")),HO6*HP6,"")</f>
        <v>522.18094678058458</v>
      </c>
      <c r="HS6" s="69">
        <f t="shared" ref="HS6:HS37" si="107">IF(AND(NOT($M6=""),NOT(B6="")),$M6,"")</f>
        <v>21.595572654283895</v>
      </c>
      <c r="HT6" s="69">
        <f t="shared" ref="HT6:HT37" si="108">IF(AND(NOT($B6=""),NOT($M6="")),$B6,"")</f>
        <v>19.829999999999998</v>
      </c>
      <c r="HU6" s="69">
        <f>IF(AND(NOT(HS6=""),NOT(HT6="")),HS6*HT6,"")</f>
        <v>428.2402057344496</v>
      </c>
      <c r="HV6" s="69">
        <f t="shared" ref="HV6:HV37" si="109">IF(AND(NOT($M6=""),NOT($C6="")),$M6,"")</f>
        <v>21.595572654283895</v>
      </c>
      <c r="HW6" s="69">
        <f t="shared" ref="HW6:HW37" si="110">IF(AND(NOT($C6=""),NOT(M6="")),$C6,"")</f>
        <v>23.37</v>
      </c>
      <c r="HX6" s="69">
        <f>IF(AND(NOT(HV6=""),NOT(HW6="")),HV6*HW6,"")</f>
        <v>504.68853293061466</v>
      </c>
      <c r="HY6" s="69">
        <f t="shared" ref="HY6:HY37" si="111">IF(AND(NOT($M6=""),NOT(D6="")),$M6,"")</f>
        <v>21.595572654283895</v>
      </c>
      <c r="HZ6" s="69">
        <f t="shared" ref="HZ6:HZ37" si="112">IF(AND(NOT($D6=""),NOT($M6="")),$D6,"")</f>
        <v>26.2</v>
      </c>
      <c r="IA6" s="69">
        <f>IF(AND(NOT(HY6=""),NOT(HZ6="")),HY6*HZ6,"")</f>
        <v>565.80400354223809</v>
      </c>
      <c r="IB6" s="69">
        <f t="shared" ref="IB6:IB37" si="113">IF(AND(NOT($M6=""),NOT(E6="")),$M6,"")</f>
        <v>21.595572654283895</v>
      </c>
      <c r="IC6" s="69">
        <f t="shared" ref="IC6:IC37" si="114">IF(AND(NOT($E6=""),NOT($M6="")),$E6,"")</f>
        <v>19.309999999999999</v>
      </c>
      <c r="ID6" s="69">
        <f>IF(AND(NOT(IB6=""),NOT(IC6="")),IB6*IC6,"")</f>
        <v>417.01050795422196</v>
      </c>
      <c r="IE6" s="69">
        <f t="shared" ref="IE6:IE37" si="115">IF(AND(NOT($M6=""),NOT(F6="")),$M6,"")</f>
        <v>21.595572654283895</v>
      </c>
      <c r="IF6" s="69">
        <f t="shared" ref="IF6:IF37" si="116">IF(AND(NOT($F6=""),NOT($M6="")),$F6,"")</f>
        <v>22.57</v>
      </c>
      <c r="IG6" s="69">
        <f>IF(AND(NOT(IE6=""),NOT(IF6="")),IE6*IF6,"")</f>
        <v>487.41207480718754</v>
      </c>
      <c r="IH6" s="69">
        <f t="shared" ref="IH6:IH37" si="117">IF(AND(NOT($M6=""),NOT(G6="")),$M6,"")</f>
        <v>21.595572654283895</v>
      </c>
      <c r="II6" s="69">
        <f t="shared" ref="II6:II37" si="118">IF(AND(NOT($G6=""),NOT($M6="")),$G6,"")</f>
        <v>20.309999999999999</v>
      </c>
      <c r="IJ6" s="69">
        <f>IF(AND(NOT(IH6=""),NOT(II6="")),IH6*II6,"")</f>
        <v>438.60608060850586</v>
      </c>
      <c r="IK6" s="69">
        <f t="shared" ref="IK6:IK37" si="119">IF(AND(NOT($M6=""),NOT(H6="")),$M6,"")</f>
        <v>21.595572654283895</v>
      </c>
      <c r="IL6" s="69">
        <f t="shared" ref="IL6:IL37" si="120">IF(AND(NOT($H6=""),NOT($M6="")),$H6,"")</f>
        <v>19.93</v>
      </c>
      <c r="IM6" s="69">
        <f>IF(AND(NOT(IK6=""),NOT(IL6="")),IK6*IL6,"")</f>
        <v>430.39976299987802</v>
      </c>
      <c r="IN6" s="69">
        <f>IF(AND(NOT($M6=""),NOT(I6="")),$M6,"")</f>
        <v>21.595572654283895</v>
      </c>
      <c r="IO6" s="69">
        <f>IF(AND(NOT($I6=""),NOT($M6="")),$I6,"")</f>
        <v>24.78</v>
      </c>
      <c r="IP6" s="69">
        <f>IF(AND(NOT(IN6=""),NOT(IO6="")),IN6*IO6,"")</f>
        <v>535.13829037315497</v>
      </c>
      <c r="IQ6" s="69">
        <f>IF(AND(NOT($M6=""),NOT(J6="")),$M6,"")</f>
        <v>21.595572654283895</v>
      </c>
      <c r="IR6" s="69">
        <f>IF(AND(NOT($J6=""),NOT($M6="")),$J6,"")</f>
        <v>17.190000000000001</v>
      </c>
      <c r="IS6" s="69">
        <f>IF(AND(NOT(IQ6=""),NOT(IR6="")),IQ6*IR6,"")</f>
        <v>371.2278939271402</v>
      </c>
      <c r="IT6" s="69">
        <f>IF(AND(NOT($M6=""),NOT(K6="")),$M6,"")</f>
        <v>21.595572654283895</v>
      </c>
      <c r="IU6" s="69">
        <f>IF(AND(NOT($K6=""),NOT($M6="")),$K6,"")</f>
        <v>24.18</v>
      </c>
      <c r="IV6" s="69">
        <f>IF(AND(NOT(IT6=""),NOT(IU6="")),IT6*IU6,"")</f>
        <v>522.18094678058458</v>
      </c>
    </row>
    <row r="7" spans="1:256" ht="15" x14ac:dyDescent="0.25">
      <c r="A7" s="57" t="s">
        <v>10</v>
      </c>
      <c r="B7" s="295">
        <v>20.36</v>
      </c>
      <c r="C7" s="295">
        <v>22.01</v>
      </c>
      <c r="D7" s="295">
        <v>27.51</v>
      </c>
      <c r="E7" s="295">
        <v>20.28</v>
      </c>
      <c r="F7" s="295">
        <v>24.24</v>
      </c>
      <c r="G7" s="295">
        <v>20.63</v>
      </c>
      <c r="H7" s="295">
        <v>19.32</v>
      </c>
      <c r="I7" s="296">
        <v>27.26</v>
      </c>
      <c r="J7" s="295">
        <v>19.22</v>
      </c>
      <c r="K7" s="295">
        <v>24.16</v>
      </c>
      <c r="L7" s="68">
        <f t="shared" si="0"/>
        <v>10</v>
      </c>
      <c r="M7" s="69">
        <f t="shared" si="1"/>
        <v>22.311930515127468</v>
      </c>
      <c r="N7" s="69" t="str">
        <f t="shared" ref="N7:N38" si="121">AV7</f>
        <v>±1,24</v>
      </c>
      <c r="O7" s="69" t="str">
        <f t="shared" ref="O7:O70" si="122">AW7</f>
        <v>±5,62</v>
      </c>
      <c r="P7" s="69" t="str">
        <f t="shared" ref="P7:P12" si="123">AV109</f>
        <v>±1,15</v>
      </c>
      <c r="Q7" s="70">
        <f t="shared" si="2"/>
        <v>20.36</v>
      </c>
      <c r="R7" s="71">
        <f t="shared" ref="R7:R70" si="124">IF(($L7&gt;0)*AND(B$109&gt;0),(Q7-B$110),"")</f>
        <v>1.3913747568240993</v>
      </c>
      <c r="S7" s="71">
        <f t="shared" ref="S7:S70" si="125">IF(($L7&gt;0)*AND(B$109&gt;0),(Q7/B$110-1)*100,"")</f>
        <v>7.3351375705240196</v>
      </c>
      <c r="T7" s="70">
        <f t="shared" si="3"/>
        <v>22.01</v>
      </c>
      <c r="U7" s="71">
        <f t="shared" ref="U7:U70" si="126">IF((L7&gt;0)*AND(C$109&gt;0),(T7-C$110),"")</f>
        <v>-1.9512221729329973</v>
      </c>
      <c r="V7" s="71">
        <f t="shared" ref="V7:V70" si="127">IF((L7&gt;0)*AND(C$109&gt;0),(T7/C$110-1)*100,"")</f>
        <v>-8.1432497843834106</v>
      </c>
      <c r="W7" s="70">
        <f t="shared" si="4"/>
        <v>27.51</v>
      </c>
      <c r="X7" s="71">
        <f t="shared" ref="X7:X70" si="128">IF((L7&gt;0)*AND(D$109&gt;0),(W7-D$110),"")</f>
        <v>1.8217387162219367</v>
      </c>
      <c r="Y7" s="71">
        <f t="shared" ref="Y7:Y70" si="129">IF((L7&gt;0)*AND(D$109&gt;0),(W7/D$110-1)*100,"")</f>
        <v>7.0917167031945061</v>
      </c>
      <c r="Z7" s="70">
        <f t="shared" si="5"/>
        <v>20.28</v>
      </c>
      <c r="AA7" s="71">
        <f t="shared" ref="AA7:AA70" si="130">IF((L7&gt;0)*AND(E$109&gt;0),(Z7-E$110),"")</f>
        <v>1.5881481471602044</v>
      </c>
      <c r="AB7" s="71">
        <f t="shared" ref="AB7:AB70" si="131">IF((L7&gt;0)*AND(E$109&gt;0),(Z7/E$110-1)*100,"")</f>
        <v>8.4964730068675554</v>
      </c>
      <c r="AC7" s="70">
        <f t="shared" si="6"/>
        <v>24.24</v>
      </c>
      <c r="AD7" s="71">
        <f t="shared" ref="AD7:AD70" si="132">IF((L7&gt;0)*AND(F$109&gt;0),(AC7-F$110),"")</f>
        <v>1.6868788471589191</v>
      </c>
      <c r="AE7" s="71">
        <f t="shared" ref="AE7:AE70" si="133">IF((L7&gt;0)*AND(F$109&gt;0),(AC7/F$110-1)*100,"")</f>
        <v>7.4795804790257048</v>
      </c>
      <c r="AF7" s="70">
        <f t="shared" si="7"/>
        <v>20.63</v>
      </c>
      <c r="AG7" s="71">
        <f t="shared" ref="AG7:AG70" si="134">IF(($L7&gt;0)*AND(G$109&gt;0),(AF7-G$110),"")</f>
        <v>2.7306742819970253E-2</v>
      </c>
      <c r="AH7" s="71">
        <f t="shared" ref="AH7:AH70" si="135">IF(($L7&gt;0)*AND(G$109&gt;0),(AF7/G$110-1)*100,"")</f>
        <v>0.1325396756584496</v>
      </c>
      <c r="AI7" s="70">
        <f t="shared" si="8"/>
        <v>19.32</v>
      </c>
      <c r="AJ7" s="71">
        <f t="shared" ref="AJ7:AJ70" si="136">IF(($L7&gt;0)*AND(H$109&gt;0),(AI7-H$110),"")</f>
        <v>-0.4170538655516367</v>
      </c>
      <c r="AK7" s="71">
        <f t="shared" ref="AK7:AK70" si="137">IF(($L7&gt;0)*AND(H$109&gt;0),(AI7/H$110-1)*100,"")</f>
        <v>-2.113050247481707</v>
      </c>
      <c r="AL7" s="70">
        <f t="shared" ref="AL7:AL70" si="138">IF((L7&gt;0)*AND(I$109&gt;0),I7,"")</f>
        <v>27.26</v>
      </c>
      <c r="AM7" s="71">
        <f t="shared" ref="AM7:AM70" si="139">IF(($L7&gt;0)*AND(I$109&gt;0),(AL7-I$110),"")</f>
        <v>1.4203592378346812</v>
      </c>
      <c r="AN7" s="71">
        <f t="shared" ref="AN7:AN70" si="140">IF(($L7&gt;0)*AND(I$109&gt;0),(AL7/I$110-1)*100,"")</f>
        <v>5.496822695439274</v>
      </c>
      <c r="AO7" s="70">
        <f t="shared" ref="AO7:AO70" si="141">IF((L7&gt;0)*AND(J$109&gt;0),J7,"")</f>
        <v>19.22</v>
      </c>
      <c r="AP7" s="71">
        <f t="shared" ref="AP7:AP70" si="142">IF(($L7&gt;0)*AND(J$109&gt;0),(AO7-J$110),"")</f>
        <v>1.4828978574055185</v>
      </c>
      <c r="AQ7" s="71">
        <f t="shared" ref="AQ7:AQ70" si="143">IF(($L7&gt;0)*AND(J$109&gt;0),(AO7/J$110-1)*100,"")</f>
        <v>8.3604291472417991</v>
      </c>
      <c r="AR7" s="70">
        <f t="shared" ref="AR7:AR70" si="144">IF((L7&gt;0)*AND(K$109&gt;0),K7,"")</f>
        <v>24.16</v>
      </c>
      <c r="AS7" s="71">
        <f t="shared" ref="AS7:AS70" si="145">IF(($L7&gt;0)*AND(K$109&gt;0),(AR7-K$110),"")</f>
        <v>8.0639464271872185E-2</v>
      </c>
      <c r="AT7" s="71">
        <f t="shared" ref="AT7:AT70" si="146">IF(($L7&gt;0)*AND(K$109&gt;0),(AR7/K$110-1)*100,"")</f>
        <v>0.33489038943630423</v>
      </c>
      <c r="AU7" s="69">
        <f t="shared" ref="AU7:AU70" si="147">M7</f>
        <v>22.311930515127468</v>
      </c>
      <c r="AV7" s="131" t="str">
        <f t="shared" ref="AV7:AV70" si="148">IF(L7&gt;0,"±"&amp;ROUND(STDEV(R7,U7,X7,AA7,AD7,AG7,AJ7,AM7,AP7,AS7),2),"")</f>
        <v>±1,24</v>
      </c>
      <c r="AW7" s="69" t="str">
        <f t="shared" ref="AW7:AW17" si="149">IF(L7&gt;0,"±"&amp;ROUND(STDEV(S7,V7,Y7,AB7,AE7,AH7,AK7,AN7,AQ7,AT7),2),"")</f>
        <v>±5,62</v>
      </c>
      <c r="AX7" s="132">
        <f t="shared" ref="AX7:AX70" si="150">IF(L7&gt;0,ROUND(STDEV(R7,U7,X7,AA7,AD7,AG7,AJ7,AM7,AP7,AS7),2),"")</f>
        <v>1.24</v>
      </c>
      <c r="AY7" s="132">
        <f t="shared" ref="AY7:AY70" si="151">IF(L7&gt;0,ROUND(STDEV(S7,V7,Y7,AB7,AE7,AH7,AK7,AN7,AQ7,AT7),2),"")</f>
        <v>5.62</v>
      </c>
      <c r="AZ7" s="69">
        <f t="shared" si="9"/>
        <v>20.36</v>
      </c>
      <c r="BA7" s="69">
        <f t="shared" si="10"/>
        <v>22.01</v>
      </c>
      <c r="BB7" s="69">
        <f t="shared" ref="BB7:BB70" si="152">IF(AND(NOT(AZ7=""),NOT(BA7="")),AZ7*BA7,"")</f>
        <v>448.12360000000001</v>
      </c>
      <c r="BC7" s="69">
        <f t="shared" si="11"/>
        <v>20.36</v>
      </c>
      <c r="BD7" s="69">
        <f t="shared" si="12"/>
        <v>27.51</v>
      </c>
      <c r="BE7" s="69">
        <f t="shared" ref="BE7:BE70" si="153">IF(AND(NOT(BC7=""),NOT(BD7="")),BC7*BD7,"")</f>
        <v>560.10360000000003</v>
      </c>
      <c r="BF7" s="69">
        <f t="shared" si="13"/>
        <v>20.36</v>
      </c>
      <c r="BG7" s="69">
        <f t="shared" si="14"/>
        <v>20.28</v>
      </c>
      <c r="BH7" s="69">
        <f t="shared" ref="BH7:BH70" si="154">IF(AND(NOT(BF7=""),NOT(BG7="")),BF7*BG7,"")</f>
        <v>412.9008</v>
      </c>
      <c r="BI7" s="69">
        <f t="shared" si="15"/>
        <v>20.36</v>
      </c>
      <c r="BJ7" s="69">
        <f t="shared" si="16"/>
        <v>24.24</v>
      </c>
      <c r="BK7" s="69">
        <f t="shared" ref="BK7:BK70" si="155">IF(AND(NOT(BI7=""),NOT(BJ7="")),BI7*BJ7,"")</f>
        <v>493.52639999999997</v>
      </c>
      <c r="BL7" s="69">
        <f t="shared" si="17"/>
        <v>20.36</v>
      </c>
      <c r="BM7" s="69">
        <f t="shared" si="18"/>
        <v>20.63</v>
      </c>
      <c r="BN7" s="69">
        <f t="shared" ref="BN7:BN70" si="156">IF(AND(NOT(BL7=""),NOT(BM7="")),BL7*BM7,"")</f>
        <v>420.02679999999998</v>
      </c>
      <c r="BO7" s="69">
        <f t="shared" si="19"/>
        <v>20.36</v>
      </c>
      <c r="BP7" s="69">
        <f t="shared" si="20"/>
        <v>19.32</v>
      </c>
      <c r="BQ7" s="69">
        <f t="shared" ref="BQ7:BQ70" si="157">IF(AND(NOT(BO7=""),NOT(BP7="")),BO7*BP7,"")</f>
        <v>393.35519999999997</v>
      </c>
      <c r="BR7" s="69">
        <f t="shared" si="21"/>
        <v>20.36</v>
      </c>
      <c r="BS7" s="69">
        <f t="shared" si="22"/>
        <v>27.26</v>
      </c>
      <c r="BT7" s="69">
        <f t="shared" ref="BT7:BT70" si="158">IF(AND(NOT(BR7=""),NOT(BS7="")),BR7*BS7,"")</f>
        <v>555.0136</v>
      </c>
      <c r="BU7" s="69">
        <f t="shared" si="23"/>
        <v>20.36</v>
      </c>
      <c r="BV7" s="69">
        <f t="shared" si="24"/>
        <v>19.22</v>
      </c>
      <c r="BW7" s="69">
        <f t="shared" ref="BW7:BW70" si="159">IF(AND(NOT(BU7=""),NOT(BV7="")),BU7*BV7,"")</f>
        <v>391.31919999999997</v>
      </c>
      <c r="BX7" s="69">
        <f t="shared" si="25"/>
        <v>20.36</v>
      </c>
      <c r="BY7" s="69">
        <f t="shared" si="26"/>
        <v>24.16</v>
      </c>
      <c r="BZ7" s="69">
        <f t="shared" ref="BZ7:BZ70" si="160">IF(AND(NOT(BX7=""),NOT(BY7="")),BX7*BY7,"")</f>
        <v>491.89760000000001</v>
      </c>
      <c r="CA7" s="69">
        <f t="shared" si="27"/>
        <v>20.36</v>
      </c>
      <c r="CB7" s="69">
        <f t="shared" si="28"/>
        <v>22.311930515127468</v>
      </c>
      <c r="CC7" s="69">
        <f t="shared" ref="CC7:CC70" si="161">IF(AND(NOT(CA7=""),NOT(CB7="")),CA7*CB7,"")</f>
        <v>454.27090528799522</v>
      </c>
      <c r="CE7" s="69">
        <f t="shared" si="29"/>
        <v>22.01</v>
      </c>
      <c r="CF7" s="69">
        <f t="shared" si="30"/>
        <v>27.51</v>
      </c>
      <c r="CG7" s="69">
        <f t="shared" ref="CG7:CG70" si="162">IF(AND(NOT(CE7=""),NOT(CF7="")),CE7*CF7,"")</f>
        <v>605.49510000000009</v>
      </c>
      <c r="CH7" s="69">
        <f t="shared" si="31"/>
        <v>22.01</v>
      </c>
      <c r="CI7" s="69">
        <f t="shared" si="32"/>
        <v>20.28</v>
      </c>
      <c r="CJ7" s="69">
        <f t="shared" ref="CJ7:CJ70" si="163">IF(AND(NOT(CH7=""),NOT(CI7="")),CH7*CI7,"")</f>
        <v>446.36280000000005</v>
      </c>
      <c r="CK7" s="69">
        <f t="shared" si="33"/>
        <v>22.01</v>
      </c>
      <c r="CL7" s="69">
        <f t="shared" si="34"/>
        <v>24.24</v>
      </c>
      <c r="CM7" s="69">
        <f t="shared" ref="CM7:CM70" si="164">IF(AND(NOT(CK7=""),NOT(CL7="")),CK7*CL7,"")</f>
        <v>533.52239999999995</v>
      </c>
      <c r="CN7" s="69">
        <f t="shared" si="35"/>
        <v>22.01</v>
      </c>
      <c r="CO7" s="69">
        <f t="shared" si="36"/>
        <v>20.63</v>
      </c>
      <c r="CP7" s="69">
        <f t="shared" ref="CP7:CP70" si="165">IF(AND(NOT(CN7=""),NOT(CO7="")),CN7*CO7,"")</f>
        <v>454.06630000000001</v>
      </c>
      <c r="CQ7" s="69">
        <f t="shared" si="37"/>
        <v>22.01</v>
      </c>
      <c r="CR7" s="69">
        <f t="shared" si="38"/>
        <v>19.32</v>
      </c>
      <c r="CS7" s="69">
        <f t="shared" ref="CS7:CS70" si="166">IF(AND(NOT(CQ7=""),NOT(CR7="")),CQ7*CR7,"")</f>
        <v>425.23320000000001</v>
      </c>
      <c r="CT7" s="69">
        <f t="shared" si="39"/>
        <v>22.01</v>
      </c>
      <c r="CU7" s="69">
        <f t="shared" si="40"/>
        <v>27.26</v>
      </c>
      <c r="CV7" s="69">
        <f t="shared" ref="CV7:CV70" si="167">IF(AND(NOT(CT7=""),NOT(CU7="")),CT7*CU7,"")</f>
        <v>599.99260000000004</v>
      </c>
      <c r="CW7" s="69">
        <f t="shared" si="41"/>
        <v>22.01</v>
      </c>
      <c r="CX7" s="69">
        <f t="shared" si="42"/>
        <v>19.22</v>
      </c>
      <c r="CY7" s="69">
        <f t="shared" ref="CY7:CY70" si="168">IF(AND(NOT(CW7=""),NOT(CX7="")),CW7*CX7,"")</f>
        <v>423.03219999999999</v>
      </c>
      <c r="CZ7" s="69">
        <f t="shared" si="43"/>
        <v>22.01</v>
      </c>
      <c r="DA7" s="69">
        <f t="shared" si="44"/>
        <v>24.16</v>
      </c>
      <c r="DB7" s="69">
        <f t="shared" ref="DB7:DB70" si="169">IF(AND(NOT(CZ7=""),NOT(DA7="")),CZ7*DA7,"")</f>
        <v>531.76160000000004</v>
      </c>
      <c r="DC7" s="69">
        <f t="shared" si="45"/>
        <v>22.01</v>
      </c>
      <c r="DD7" s="69">
        <f t="shared" si="46"/>
        <v>22.311930515127468</v>
      </c>
      <c r="DE7" s="69">
        <f t="shared" ref="DE7:DE70" si="170">IF(AND(NOT(DC7=""),NOT(DD7="")),DC7*DD7,"")</f>
        <v>491.08559063795559</v>
      </c>
      <c r="DG7" s="69">
        <f t="shared" si="47"/>
        <v>27.51</v>
      </c>
      <c r="DH7" s="69">
        <f t="shared" si="48"/>
        <v>20.28</v>
      </c>
      <c r="DI7" s="69">
        <f t="shared" ref="DI7:DI70" si="171">IF(AND(NOT(DG7=""),NOT(DH7="")),DG7*DH7,"")</f>
        <v>557.90280000000007</v>
      </c>
      <c r="DJ7" s="69">
        <f t="shared" si="49"/>
        <v>27.51</v>
      </c>
      <c r="DK7" s="69">
        <f t="shared" si="50"/>
        <v>24.24</v>
      </c>
      <c r="DL7" s="69">
        <f t="shared" ref="DL7:DL70" si="172">IF(AND(NOT(DJ7=""),NOT(DK7="")),DJ7*DK7,"")</f>
        <v>666.8424</v>
      </c>
      <c r="DM7" s="69">
        <f t="shared" si="51"/>
        <v>27.51</v>
      </c>
      <c r="DN7" s="69">
        <f t="shared" si="52"/>
        <v>20.63</v>
      </c>
      <c r="DO7" s="69">
        <f t="shared" ref="DO7:DO70" si="173">IF(AND(NOT(DM7=""),NOT(DN7="")),DM7*DN7,"")</f>
        <v>567.53129999999999</v>
      </c>
      <c r="DP7" s="69">
        <f t="shared" si="53"/>
        <v>27.51</v>
      </c>
      <c r="DQ7" s="69">
        <f t="shared" si="54"/>
        <v>19.32</v>
      </c>
      <c r="DR7" s="69">
        <f t="shared" ref="DR7:DR70" si="174">IF(AND(NOT(DP7=""),NOT(DQ7="")),DP7*DQ7,"")</f>
        <v>531.4932</v>
      </c>
      <c r="DS7" s="69">
        <f t="shared" si="55"/>
        <v>27.51</v>
      </c>
      <c r="DT7" s="69">
        <f t="shared" si="56"/>
        <v>27.26</v>
      </c>
      <c r="DU7" s="69">
        <f t="shared" ref="DU7:DU70" si="175">IF(AND(NOT(DS7=""),NOT(DT7="")),DS7*DT7,"")</f>
        <v>749.9226000000001</v>
      </c>
      <c r="DV7" s="69">
        <f t="shared" si="57"/>
        <v>27.51</v>
      </c>
      <c r="DW7" s="69">
        <f t="shared" si="58"/>
        <v>19.22</v>
      </c>
      <c r="DX7" s="69">
        <f t="shared" ref="DX7:DX70" si="176">IF(AND(NOT(DV7=""),NOT(DW7="")),DV7*DW7,"")</f>
        <v>528.74220000000003</v>
      </c>
      <c r="DY7" s="69">
        <f t="shared" si="59"/>
        <v>27.51</v>
      </c>
      <c r="DZ7" s="69">
        <f t="shared" si="60"/>
        <v>24.16</v>
      </c>
      <c r="EA7" s="69">
        <f t="shared" ref="EA7:EA70" si="177">IF(AND(NOT(DY7=""),NOT(DZ7="")),DY7*DZ7,"")</f>
        <v>664.64160000000004</v>
      </c>
      <c r="EB7" s="69">
        <f t="shared" si="61"/>
        <v>27.51</v>
      </c>
      <c r="EC7" s="69">
        <f t="shared" si="62"/>
        <v>22.311930515127468</v>
      </c>
      <c r="ED7" s="69">
        <f t="shared" ref="ED7:ED70" si="178">IF(AND(NOT(EB7=""),NOT(EC7="")),EB7*EC7,"")</f>
        <v>613.80120847115666</v>
      </c>
      <c r="EF7" s="69">
        <f t="shared" si="63"/>
        <v>20.28</v>
      </c>
      <c r="EG7" s="69">
        <f t="shared" si="64"/>
        <v>24.24</v>
      </c>
      <c r="EH7" s="69">
        <f t="shared" ref="EH7:EH70" si="179">IF(AND(NOT(EF7=""),NOT(EG7="")),EF7*EG7,"")</f>
        <v>491.5872</v>
      </c>
      <c r="EI7" s="69">
        <f t="shared" si="65"/>
        <v>20.28</v>
      </c>
      <c r="EJ7" s="69">
        <f t="shared" si="66"/>
        <v>20.63</v>
      </c>
      <c r="EK7" s="69">
        <f t="shared" ref="EK7:EK70" si="180">IF(AND(NOT(EI7=""),NOT(EJ7="")),EI7*EJ7,"")</f>
        <v>418.37639999999999</v>
      </c>
      <c r="EL7" s="69">
        <f t="shared" si="67"/>
        <v>20.28</v>
      </c>
      <c r="EM7" s="69">
        <f t="shared" si="68"/>
        <v>19.32</v>
      </c>
      <c r="EN7" s="69">
        <f t="shared" ref="EN7:EN70" si="181">IF(AND(NOT(EL7=""),NOT(EM7="")),EL7*EM7,"")</f>
        <v>391.80960000000005</v>
      </c>
      <c r="EO7" s="69">
        <f t="shared" si="69"/>
        <v>20.28</v>
      </c>
      <c r="EP7" s="69">
        <f t="shared" si="70"/>
        <v>27.26</v>
      </c>
      <c r="EQ7" s="69">
        <f t="shared" ref="EQ7:EQ70" si="182">IF(AND(NOT(EO7=""),NOT(EP7="")),EO7*EP7,"")</f>
        <v>552.83280000000002</v>
      </c>
      <c r="ER7" s="69">
        <f t="shared" si="71"/>
        <v>20.28</v>
      </c>
      <c r="ES7" s="69">
        <f t="shared" si="72"/>
        <v>19.22</v>
      </c>
      <c r="ET7" s="69">
        <f t="shared" ref="ET7:ET70" si="183">IF(AND(NOT(ER7=""),NOT(ES7="")),ER7*ES7,"")</f>
        <v>389.78160000000003</v>
      </c>
      <c r="EU7" s="69">
        <f t="shared" si="73"/>
        <v>20.28</v>
      </c>
      <c r="EV7" s="69">
        <f t="shared" si="74"/>
        <v>24.16</v>
      </c>
      <c r="EW7" s="69">
        <f t="shared" ref="EW7:EW70" si="184">IF(AND(NOT(EU7=""),NOT(EV7="")),EU7*EV7,"")</f>
        <v>489.96480000000003</v>
      </c>
      <c r="EX7" s="69">
        <f t="shared" si="75"/>
        <v>20.28</v>
      </c>
      <c r="EY7" s="69">
        <f t="shared" si="76"/>
        <v>22.311930515127468</v>
      </c>
      <c r="EZ7" s="69">
        <f t="shared" ref="EZ7:EZ70" si="185">IF(AND(NOT(EX7=""),NOT(EY7="")),EX7*EY7,"")</f>
        <v>452.4859508467851</v>
      </c>
      <c r="FB7" s="69">
        <f t="shared" si="77"/>
        <v>24.24</v>
      </c>
      <c r="FC7" s="69">
        <f t="shared" si="78"/>
        <v>20.63</v>
      </c>
      <c r="FD7" s="69">
        <f t="shared" ref="FD7:FD70" si="186">IF(AND(NOT(FB7=""),NOT(FC7="")),FB7*FC7,"")</f>
        <v>500.07119999999992</v>
      </c>
      <c r="FE7" s="69">
        <f t="shared" si="79"/>
        <v>24.24</v>
      </c>
      <c r="FF7" s="69">
        <f t="shared" si="80"/>
        <v>19.32</v>
      </c>
      <c r="FG7" s="69">
        <f t="shared" ref="FG7:FG70" si="187">IF(AND(NOT(FE7=""),NOT(FF7="")),FE7*FF7,"")</f>
        <v>468.3168</v>
      </c>
      <c r="FH7" s="69">
        <f t="shared" si="81"/>
        <v>24.24</v>
      </c>
      <c r="FI7" s="69">
        <f t="shared" si="82"/>
        <v>27.26</v>
      </c>
      <c r="FJ7" s="69">
        <f t="shared" ref="FJ7:FJ70" si="188">IF(AND(NOT(FH7=""),NOT(FI7="")),FH7*FI7,"")</f>
        <v>660.78239999999994</v>
      </c>
      <c r="FK7" s="69">
        <f t="shared" si="83"/>
        <v>24.24</v>
      </c>
      <c r="FL7" s="69">
        <f t="shared" si="84"/>
        <v>19.22</v>
      </c>
      <c r="FM7" s="69">
        <f t="shared" ref="FM7:FM70" si="189">IF(AND(NOT(FK7=""),NOT(FL7="")),FK7*FL7,"")</f>
        <v>465.89279999999997</v>
      </c>
      <c r="FN7" s="69">
        <f t="shared" si="85"/>
        <v>24.24</v>
      </c>
      <c r="FO7" s="69">
        <f t="shared" si="86"/>
        <v>24.16</v>
      </c>
      <c r="FP7" s="69">
        <f t="shared" ref="FP7:FP70" si="190">IF(AND(NOT(FN7=""),NOT(FO7="")),FN7*FO7,"")</f>
        <v>585.63839999999993</v>
      </c>
      <c r="FQ7" s="69">
        <f t="shared" si="87"/>
        <v>24.24</v>
      </c>
      <c r="FR7" s="69">
        <f t="shared" si="88"/>
        <v>22.311930515127468</v>
      </c>
      <c r="FS7" s="69">
        <f t="shared" ref="FS7:FS70" si="191">IF(AND(NOT(FQ7=""),NOT(FR7="")),FQ7*FR7,"")</f>
        <v>540.84119568668984</v>
      </c>
      <c r="FU7" s="69">
        <f t="shared" si="89"/>
        <v>20.63</v>
      </c>
      <c r="FV7" s="69">
        <f t="shared" si="90"/>
        <v>19.32</v>
      </c>
      <c r="FW7" s="69">
        <f t="shared" ref="FW7:FW70" si="192">IF(AND(NOT(FU7=""),NOT(FV7="")),FU7*FV7,"")</f>
        <v>398.57159999999999</v>
      </c>
      <c r="FX7" s="69">
        <f t="shared" si="91"/>
        <v>20.63</v>
      </c>
      <c r="FY7" s="69">
        <f t="shared" si="92"/>
        <v>27.26</v>
      </c>
      <c r="FZ7" s="69">
        <f t="shared" ref="FZ7:FZ70" si="193">IF(AND(NOT(FX7=""),NOT(FY7="")),FX7*FY7,"")</f>
        <v>562.37379999999996</v>
      </c>
      <c r="GA7" s="69">
        <f t="shared" si="93"/>
        <v>20.63</v>
      </c>
      <c r="GB7" s="69">
        <f t="shared" si="94"/>
        <v>19.22</v>
      </c>
      <c r="GC7" s="69">
        <f t="shared" ref="GC7:GC70" si="194">IF(AND(NOT(GA7=""),NOT(GB7="")),GA7*GB7,"")</f>
        <v>396.50859999999994</v>
      </c>
      <c r="GD7" s="69">
        <f t="shared" si="95"/>
        <v>20.63</v>
      </c>
      <c r="GE7" s="69">
        <f t="shared" si="96"/>
        <v>24.16</v>
      </c>
      <c r="GF7" s="69">
        <f t="shared" ref="GF7:GF70" si="195">IF(AND(NOT(GD7=""),NOT(GE7="")),GD7*GE7,"")</f>
        <v>498.42079999999999</v>
      </c>
      <c r="GG7" s="69">
        <f t="shared" si="97"/>
        <v>20.63</v>
      </c>
      <c r="GH7" s="69">
        <f t="shared" si="98"/>
        <v>22.311930515127468</v>
      </c>
      <c r="GI7" s="69">
        <f t="shared" ref="GI7:GI70" si="196">IF(AND(NOT(GG7=""),NOT(GH7="")),GG7*GH7,"")</f>
        <v>460.29512652707962</v>
      </c>
      <c r="GK7" s="69">
        <f t="shared" si="99"/>
        <v>19.32</v>
      </c>
      <c r="GL7" s="69">
        <f t="shared" si="100"/>
        <v>27.26</v>
      </c>
      <c r="GM7" s="69">
        <f t="shared" ref="GM7:GM70" si="197">IF(AND(NOT(GK7=""),NOT(GL7="")),GK7*GL7,"")</f>
        <v>526.66320000000007</v>
      </c>
      <c r="GN7" s="69">
        <f t="shared" si="101"/>
        <v>19.32</v>
      </c>
      <c r="GO7" s="69">
        <f t="shared" si="102"/>
        <v>19.22</v>
      </c>
      <c r="GP7" s="69">
        <f t="shared" ref="GP7:GP70" si="198">IF(AND(NOT(GN7=""),NOT(GO7="")),GN7*GO7,"")</f>
        <v>371.3304</v>
      </c>
      <c r="GQ7" s="69">
        <f t="shared" si="103"/>
        <v>19.32</v>
      </c>
      <c r="GR7" s="69">
        <f t="shared" si="104"/>
        <v>24.16</v>
      </c>
      <c r="GS7" s="69">
        <f t="shared" ref="GS7:GS70" si="199">IF(AND(NOT(GQ7=""),NOT(GR7="")),GQ7*GR7,"")</f>
        <v>466.77120000000002</v>
      </c>
      <c r="GT7" s="69">
        <f t="shared" si="105"/>
        <v>19.32</v>
      </c>
      <c r="GU7" s="69">
        <f t="shared" si="106"/>
        <v>22.311930515127468</v>
      </c>
      <c r="GV7" s="69">
        <f t="shared" ref="GV7:GV70" si="200">IF(AND(NOT(GT7=""),NOT(GU7="")),GT7*GU7,"")</f>
        <v>431.06649755226272</v>
      </c>
      <c r="GX7" s="69">
        <f t="shared" ref="GX7:GX70" si="201">IF(AND(NOT($I7=""),NOT(J7="")),$I7,"")</f>
        <v>27.26</v>
      </c>
      <c r="GY7" s="69">
        <f t="shared" ref="GY7:GY70" si="202">IF(AND(NOT($J7=""),NOT(I7="")),$J7,"")</f>
        <v>19.22</v>
      </c>
      <c r="GZ7" s="69">
        <f t="shared" ref="GZ7:GZ70" si="203">IF(AND(NOT(GX7=""),NOT(GY7="")),GX7*GY7,"")</f>
        <v>523.93719999999996</v>
      </c>
      <c r="HA7" s="69">
        <f t="shared" ref="HA7:HA70" si="204">IF(AND(NOT($I7=""),NOT(K7="")),$I7,"")</f>
        <v>27.26</v>
      </c>
      <c r="HB7" s="69">
        <f t="shared" ref="HB7:HB70" si="205">IF(AND(NOT($K7=""),NOT(I7="")),$K7,"")</f>
        <v>24.16</v>
      </c>
      <c r="HC7" s="69">
        <f t="shared" ref="HC7:HC70" si="206">IF(AND(NOT(HA7=""),NOT(HB7="")),HA7*HB7,"")</f>
        <v>658.60160000000008</v>
      </c>
      <c r="HD7" s="69">
        <f t="shared" ref="HD7:HD70" si="207">IF(AND(NOT($I7=""),NOT(M7="")),$I7,"")</f>
        <v>27.26</v>
      </c>
      <c r="HE7" s="69">
        <f t="shared" ref="HE7:HE70" si="208">IF(AND(NOT($M7=""),NOT(I7="")),$M7,"")</f>
        <v>22.311930515127468</v>
      </c>
      <c r="HF7" s="69">
        <f t="shared" ref="HF7:HF70" si="209">IF(AND(NOT(HD7=""),NOT(HE7="")),HD7*HE7,"")</f>
        <v>608.22322584237486</v>
      </c>
      <c r="HH7" s="69">
        <f t="shared" ref="HH7:HH70" si="210">IF(AND(NOT($J7=""),NOT(K7="")),$J7,"")</f>
        <v>19.22</v>
      </c>
      <c r="HI7" s="69">
        <f t="shared" ref="HI7:HI70" si="211">IF(AND(NOT($K7=""),NOT(J7="")),$K7,"")</f>
        <v>24.16</v>
      </c>
      <c r="HJ7" s="69">
        <f t="shared" ref="HJ7:HJ70" si="212">IF(AND(NOT(HH7=""),NOT(HI7="")),HH7*HI7,"")</f>
        <v>464.35519999999997</v>
      </c>
      <c r="HK7" s="69">
        <f t="shared" ref="HK7:HK70" si="213">IF(AND(NOT($J7=""),NOT(M7="")),$J7,"")</f>
        <v>19.22</v>
      </c>
      <c r="HL7" s="69">
        <f t="shared" ref="HL7:HL70" si="214">IF(AND(NOT($M7=""),NOT(J7="")),$M7,"")</f>
        <v>22.311930515127468</v>
      </c>
      <c r="HM7" s="69">
        <f t="shared" ref="HM7:HM70" si="215">IF(AND(NOT(HK7=""),NOT(HL7="")),HK7*HL7,"")</f>
        <v>428.83530450074988</v>
      </c>
      <c r="HO7" s="69">
        <f t="shared" ref="HO7:HO70" si="216">IF(AND(NOT($K7=""),NOT(M7="")),$K7,"")</f>
        <v>24.16</v>
      </c>
      <c r="HP7" s="69">
        <f t="shared" ref="HP7:HP70" si="217">IF(AND(NOT($M7=""),NOT(K7="")),$M7,"")</f>
        <v>22.311930515127468</v>
      </c>
      <c r="HQ7" s="69">
        <f t="shared" ref="HQ7:HQ70" si="218">IF(AND(NOT(HO7=""),NOT(HP7="")),HO7*HP7,"")</f>
        <v>539.05624124547967</v>
      </c>
      <c r="HS7" s="69">
        <f t="shared" si="107"/>
        <v>22.311930515127468</v>
      </c>
      <c r="HT7" s="69">
        <f t="shared" si="108"/>
        <v>20.36</v>
      </c>
      <c r="HU7" s="69">
        <f t="shared" ref="HU7:HU70" si="219">IF(AND(NOT(HS7=""),NOT(HT7="")),HS7*HT7,"")</f>
        <v>454.27090528799522</v>
      </c>
      <c r="HV7" s="69">
        <f t="shared" si="109"/>
        <v>22.311930515127468</v>
      </c>
      <c r="HW7" s="69">
        <f t="shared" si="110"/>
        <v>22.01</v>
      </c>
      <c r="HX7" s="69">
        <f t="shared" ref="HX7:HX70" si="220">IF(AND(NOT(HV7=""),NOT(HW7="")),HV7*HW7,"")</f>
        <v>491.08559063795559</v>
      </c>
      <c r="HY7" s="69">
        <f t="shared" si="111"/>
        <v>22.311930515127468</v>
      </c>
      <c r="HZ7" s="69">
        <f t="shared" si="112"/>
        <v>27.51</v>
      </c>
      <c r="IA7" s="69">
        <f t="shared" ref="IA7:IA70" si="221">IF(AND(NOT(HY7=""),NOT(HZ7="")),HY7*HZ7,"")</f>
        <v>613.80120847115666</v>
      </c>
      <c r="IB7" s="69">
        <f t="shared" si="113"/>
        <v>22.311930515127468</v>
      </c>
      <c r="IC7" s="69">
        <f t="shared" si="114"/>
        <v>20.28</v>
      </c>
      <c r="ID7" s="69">
        <f t="shared" ref="ID7:ID70" si="222">IF(AND(NOT(IB7=""),NOT(IC7="")),IB7*IC7,"")</f>
        <v>452.4859508467851</v>
      </c>
      <c r="IE7" s="69">
        <f t="shared" si="115"/>
        <v>22.311930515127468</v>
      </c>
      <c r="IF7" s="69">
        <f t="shared" si="116"/>
        <v>24.24</v>
      </c>
      <c r="IG7" s="69">
        <f t="shared" ref="IG7:IG70" si="223">IF(AND(NOT(IE7=""),NOT(IF7="")),IE7*IF7,"")</f>
        <v>540.84119568668984</v>
      </c>
      <c r="IH7" s="69">
        <f t="shared" si="117"/>
        <v>22.311930515127468</v>
      </c>
      <c r="II7" s="69">
        <f t="shared" si="118"/>
        <v>20.63</v>
      </c>
      <c r="IJ7" s="69">
        <f t="shared" ref="IJ7:IJ70" si="224">IF(AND(NOT(IH7=""),NOT(II7="")),IH7*II7,"")</f>
        <v>460.29512652707962</v>
      </c>
      <c r="IK7" s="69">
        <f t="shared" si="119"/>
        <v>22.311930515127468</v>
      </c>
      <c r="IL7" s="69">
        <f t="shared" si="120"/>
        <v>19.32</v>
      </c>
      <c r="IM7" s="69">
        <f t="shared" ref="IM7:IM70" si="225">IF(AND(NOT(IK7=""),NOT(IL7="")),IK7*IL7,"")</f>
        <v>431.06649755226272</v>
      </c>
      <c r="IN7" s="69">
        <f t="shared" ref="IN7:IN70" si="226">IF(AND(NOT($M7=""),NOT(I7="")),$M7,"")</f>
        <v>22.311930515127468</v>
      </c>
      <c r="IO7" s="69">
        <f t="shared" ref="IO7:IO70" si="227">IF(AND(NOT($I7=""),NOT($M7="")),$I7,"")</f>
        <v>27.26</v>
      </c>
      <c r="IP7" s="69">
        <f t="shared" ref="IP7:IP70" si="228">IF(AND(NOT(IN7=""),NOT(IO7="")),IN7*IO7,"")</f>
        <v>608.22322584237486</v>
      </c>
      <c r="IQ7" s="69">
        <f t="shared" ref="IQ7:IQ70" si="229">IF(AND(NOT($M7=""),NOT(J7="")),$M7,"")</f>
        <v>22.311930515127468</v>
      </c>
      <c r="IR7" s="69">
        <f t="shared" ref="IR7:IR70" si="230">IF(AND(NOT($J7=""),NOT($M7="")),$J7,"")</f>
        <v>19.22</v>
      </c>
      <c r="IS7" s="69">
        <f t="shared" ref="IS7:IS70" si="231">IF(AND(NOT(IQ7=""),NOT(IR7="")),IQ7*IR7,"")</f>
        <v>428.83530450074988</v>
      </c>
      <c r="IT7" s="69">
        <f t="shared" ref="IT7:IT70" si="232">IF(AND(NOT($M7=""),NOT(K7="")),$M7,"")</f>
        <v>22.311930515127468</v>
      </c>
      <c r="IU7" s="69">
        <f t="shared" ref="IU7:IU70" si="233">IF(AND(NOT($K7=""),NOT($M7="")),$K7,"")</f>
        <v>24.16</v>
      </c>
      <c r="IV7" s="69">
        <f t="shared" ref="IV7:IV70" si="234">IF(AND(NOT(IT7=""),NOT(IU7="")),IT7*IU7,"")</f>
        <v>539.05624124547967</v>
      </c>
    </row>
    <row r="8" spans="1:256" ht="15" x14ac:dyDescent="0.25">
      <c r="A8" s="57" t="s">
        <v>11</v>
      </c>
      <c r="B8" s="295">
        <v>20.77</v>
      </c>
      <c r="C8" s="295">
        <v>28.07</v>
      </c>
      <c r="D8" s="295">
        <v>27.93</v>
      </c>
      <c r="E8" s="295">
        <v>19.66</v>
      </c>
      <c r="F8" s="295">
        <v>23.83</v>
      </c>
      <c r="G8" s="295">
        <v>20.77</v>
      </c>
      <c r="H8" s="295">
        <v>20.3</v>
      </c>
      <c r="I8" s="296">
        <v>33.409999999999997</v>
      </c>
      <c r="J8" s="295">
        <v>18.96</v>
      </c>
      <c r="K8" s="295">
        <v>23.93</v>
      </c>
      <c r="L8" s="68">
        <f t="shared" si="0"/>
        <v>10</v>
      </c>
      <c r="M8" s="69">
        <f t="shared" si="1"/>
        <v>23.377859501551274</v>
      </c>
      <c r="N8" s="69" t="str">
        <f>AV8</f>
        <v>±2,3</v>
      </c>
      <c r="O8" s="69" t="str">
        <f t="shared" si="122"/>
        <v>±8,85</v>
      </c>
      <c r="P8" s="69" t="str">
        <f t="shared" si="123"/>
        <v>±37,3</v>
      </c>
      <c r="Q8" s="70">
        <f t="shared" si="2"/>
        <v>20.77</v>
      </c>
      <c r="R8" s="71">
        <f t="shared" si="124"/>
        <v>1.8013747568240994</v>
      </c>
      <c r="S8" s="71">
        <f t="shared" si="125"/>
        <v>9.4966015392821124</v>
      </c>
      <c r="T8" s="70">
        <f t="shared" si="3"/>
        <v>28.07</v>
      </c>
      <c r="U8" s="71">
        <f t="shared" si="126"/>
        <v>4.1087778270670015</v>
      </c>
      <c r="V8" s="71">
        <f t="shared" si="127"/>
        <v>17.14761374613165</v>
      </c>
      <c r="W8" s="70">
        <f t="shared" si="4"/>
        <v>27.93</v>
      </c>
      <c r="X8" s="71">
        <f t="shared" si="128"/>
        <v>2.2417387162219349</v>
      </c>
      <c r="Y8" s="71">
        <f t="shared" si="129"/>
        <v>8.7267047444646408</v>
      </c>
      <c r="Z8" s="70">
        <f t="shared" si="5"/>
        <v>19.66</v>
      </c>
      <c r="AA8" s="71">
        <f t="shared" si="130"/>
        <v>0.96814814716020337</v>
      </c>
      <c r="AB8" s="71">
        <f t="shared" si="131"/>
        <v>5.1795196900895402</v>
      </c>
      <c r="AC8" s="70">
        <f t="shared" si="6"/>
        <v>23.83</v>
      </c>
      <c r="AD8" s="71">
        <f t="shared" si="132"/>
        <v>1.276878847158919</v>
      </c>
      <c r="AE8" s="71">
        <f t="shared" si="133"/>
        <v>5.6616502811543956</v>
      </c>
      <c r="AF8" s="70">
        <f t="shared" si="7"/>
        <v>20.77</v>
      </c>
      <c r="AG8" s="71">
        <f t="shared" si="134"/>
        <v>0.16730674281997082</v>
      </c>
      <c r="AH8" s="71">
        <f t="shared" si="135"/>
        <v>0.81206248489704702</v>
      </c>
      <c r="AI8" s="70">
        <f t="shared" si="8"/>
        <v>20.3</v>
      </c>
      <c r="AJ8" s="71">
        <f t="shared" si="136"/>
        <v>0.56294613444836372</v>
      </c>
      <c r="AK8" s="71">
        <f t="shared" si="137"/>
        <v>2.8522298124286527</v>
      </c>
      <c r="AL8" s="70">
        <f t="shared" si="138"/>
        <v>33.409999999999997</v>
      </c>
      <c r="AM8" s="71">
        <f t="shared" si="139"/>
        <v>7.5703592378346762</v>
      </c>
      <c r="AN8" s="71">
        <f t="shared" si="140"/>
        <v>29.297463178819715</v>
      </c>
      <c r="AO8" s="70">
        <f t="shared" si="141"/>
        <v>18.96</v>
      </c>
      <c r="AP8" s="71">
        <f t="shared" si="142"/>
        <v>1.2228978574055205</v>
      </c>
      <c r="AQ8" s="71">
        <f t="shared" si="143"/>
        <v>6.8945752669981708</v>
      </c>
      <c r="AR8" s="70">
        <f t="shared" si="144"/>
        <v>23.93</v>
      </c>
      <c r="AS8" s="71">
        <f t="shared" si="145"/>
        <v>-0.14936053572812824</v>
      </c>
      <c r="AT8" s="71">
        <f t="shared" si="146"/>
        <v>-0.62028447768167627</v>
      </c>
      <c r="AU8" s="69">
        <f t="shared" si="147"/>
        <v>23.377859501551274</v>
      </c>
      <c r="AV8" s="131" t="str">
        <f t="shared" si="148"/>
        <v>±2,3</v>
      </c>
      <c r="AW8" s="69" t="str">
        <f t="shared" si="149"/>
        <v>±8,85</v>
      </c>
      <c r="AX8" s="132">
        <f t="shared" si="150"/>
        <v>2.2999999999999998</v>
      </c>
      <c r="AY8" s="132">
        <f t="shared" si="151"/>
        <v>8.85</v>
      </c>
      <c r="AZ8" s="69">
        <f t="shared" si="9"/>
        <v>20.77</v>
      </c>
      <c r="BA8" s="69">
        <f t="shared" si="10"/>
        <v>28.07</v>
      </c>
      <c r="BB8" s="69">
        <f t="shared" si="152"/>
        <v>583.01390000000004</v>
      </c>
      <c r="BC8" s="69">
        <f t="shared" si="11"/>
        <v>20.77</v>
      </c>
      <c r="BD8" s="69">
        <f t="shared" si="12"/>
        <v>27.93</v>
      </c>
      <c r="BE8" s="69">
        <f t="shared" si="153"/>
        <v>580.10609999999997</v>
      </c>
      <c r="BF8" s="69">
        <f t="shared" si="13"/>
        <v>20.77</v>
      </c>
      <c r="BG8" s="69">
        <f t="shared" si="14"/>
        <v>19.66</v>
      </c>
      <c r="BH8" s="69">
        <f t="shared" si="154"/>
        <v>408.33819999999997</v>
      </c>
      <c r="BI8" s="69">
        <f t="shared" si="15"/>
        <v>20.77</v>
      </c>
      <c r="BJ8" s="69">
        <f t="shared" si="16"/>
        <v>23.83</v>
      </c>
      <c r="BK8" s="69">
        <f t="shared" si="155"/>
        <v>494.94909999999993</v>
      </c>
      <c r="BL8" s="69">
        <f t="shared" si="17"/>
        <v>20.77</v>
      </c>
      <c r="BM8" s="69">
        <f t="shared" si="18"/>
        <v>20.77</v>
      </c>
      <c r="BN8" s="69">
        <f t="shared" si="156"/>
        <v>431.3929</v>
      </c>
      <c r="BO8" s="69">
        <f t="shared" si="19"/>
        <v>20.77</v>
      </c>
      <c r="BP8" s="69">
        <f t="shared" si="20"/>
        <v>20.3</v>
      </c>
      <c r="BQ8" s="69">
        <f t="shared" si="157"/>
        <v>421.63100000000003</v>
      </c>
      <c r="BR8" s="69">
        <f t="shared" si="21"/>
        <v>20.77</v>
      </c>
      <c r="BS8" s="69">
        <f t="shared" si="22"/>
        <v>33.409999999999997</v>
      </c>
      <c r="BT8" s="69">
        <f t="shared" si="158"/>
        <v>693.92569999999989</v>
      </c>
      <c r="BU8" s="69">
        <f t="shared" si="23"/>
        <v>20.77</v>
      </c>
      <c r="BV8" s="69">
        <f t="shared" si="24"/>
        <v>18.96</v>
      </c>
      <c r="BW8" s="69">
        <f t="shared" si="159"/>
        <v>393.79919999999998</v>
      </c>
      <c r="BX8" s="69">
        <f t="shared" si="25"/>
        <v>20.77</v>
      </c>
      <c r="BY8" s="69">
        <f t="shared" si="26"/>
        <v>23.93</v>
      </c>
      <c r="BZ8" s="69">
        <f t="shared" si="160"/>
        <v>497.02609999999999</v>
      </c>
      <c r="CA8" s="69">
        <f t="shared" si="27"/>
        <v>20.77</v>
      </c>
      <c r="CB8" s="69">
        <f t="shared" si="28"/>
        <v>23.377859501551274</v>
      </c>
      <c r="CC8" s="69">
        <f t="shared" si="161"/>
        <v>485.55814184721993</v>
      </c>
      <c r="CE8" s="69">
        <f t="shared" si="29"/>
        <v>28.07</v>
      </c>
      <c r="CF8" s="69">
        <f t="shared" si="30"/>
        <v>27.93</v>
      </c>
      <c r="CG8" s="69">
        <f t="shared" si="162"/>
        <v>783.99509999999998</v>
      </c>
      <c r="CH8" s="69">
        <f t="shared" si="31"/>
        <v>28.07</v>
      </c>
      <c r="CI8" s="69">
        <f t="shared" si="32"/>
        <v>19.66</v>
      </c>
      <c r="CJ8" s="69">
        <f t="shared" si="163"/>
        <v>551.85620000000006</v>
      </c>
      <c r="CK8" s="69">
        <f t="shared" si="33"/>
        <v>28.07</v>
      </c>
      <c r="CL8" s="69">
        <f t="shared" si="34"/>
        <v>23.83</v>
      </c>
      <c r="CM8" s="69">
        <f t="shared" si="164"/>
        <v>668.90809999999999</v>
      </c>
      <c r="CN8" s="69">
        <f t="shared" si="35"/>
        <v>28.07</v>
      </c>
      <c r="CO8" s="69">
        <f t="shared" si="36"/>
        <v>20.77</v>
      </c>
      <c r="CP8" s="69">
        <f t="shared" si="165"/>
        <v>583.01390000000004</v>
      </c>
      <c r="CQ8" s="69">
        <f t="shared" si="37"/>
        <v>28.07</v>
      </c>
      <c r="CR8" s="69">
        <f t="shared" si="38"/>
        <v>20.3</v>
      </c>
      <c r="CS8" s="69">
        <f t="shared" si="166"/>
        <v>569.82100000000003</v>
      </c>
      <c r="CT8" s="69">
        <f t="shared" si="39"/>
        <v>28.07</v>
      </c>
      <c r="CU8" s="69">
        <f t="shared" si="40"/>
        <v>33.409999999999997</v>
      </c>
      <c r="CV8" s="69">
        <f t="shared" si="167"/>
        <v>937.81869999999992</v>
      </c>
      <c r="CW8" s="69">
        <f t="shared" si="41"/>
        <v>28.07</v>
      </c>
      <c r="CX8" s="69">
        <f t="shared" si="42"/>
        <v>18.96</v>
      </c>
      <c r="CY8" s="69">
        <f t="shared" si="168"/>
        <v>532.20720000000006</v>
      </c>
      <c r="CZ8" s="69">
        <f t="shared" si="43"/>
        <v>28.07</v>
      </c>
      <c r="DA8" s="69">
        <f t="shared" si="44"/>
        <v>23.93</v>
      </c>
      <c r="DB8" s="69">
        <f t="shared" si="169"/>
        <v>671.71510000000001</v>
      </c>
      <c r="DC8" s="69">
        <f t="shared" si="45"/>
        <v>28.07</v>
      </c>
      <c r="DD8" s="69">
        <f t="shared" si="46"/>
        <v>23.377859501551274</v>
      </c>
      <c r="DE8" s="69">
        <f t="shared" si="170"/>
        <v>656.21651620854425</v>
      </c>
      <c r="DG8" s="69">
        <f t="shared" si="47"/>
        <v>27.93</v>
      </c>
      <c r="DH8" s="69">
        <f t="shared" si="48"/>
        <v>19.66</v>
      </c>
      <c r="DI8" s="69">
        <f t="shared" si="171"/>
        <v>549.10379999999998</v>
      </c>
      <c r="DJ8" s="69">
        <f t="shared" si="49"/>
        <v>27.93</v>
      </c>
      <c r="DK8" s="69">
        <f t="shared" si="50"/>
        <v>23.83</v>
      </c>
      <c r="DL8" s="69">
        <f t="shared" si="172"/>
        <v>665.57189999999991</v>
      </c>
      <c r="DM8" s="69">
        <f t="shared" si="51"/>
        <v>27.93</v>
      </c>
      <c r="DN8" s="69">
        <f t="shared" si="52"/>
        <v>20.77</v>
      </c>
      <c r="DO8" s="69">
        <f t="shared" si="173"/>
        <v>580.10609999999997</v>
      </c>
      <c r="DP8" s="69">
        <f t="shared" si="53"/>
        <v>27.93</v>
      </c>
      <c r="DQ8" s="69">
        <f t="shared" si="54"/>
        <v>20.3</v>
      </c>
      <c r="DR8" s="69">
        <f t="shared" si="174"/>
        <v>566.97900000000004</v>
      </c>
      <c r="DS8" s="69">
        <f t="shared" si="55"/>
        <v>27.93</v>
      </c>
      <c r="DT8" s="69">
        <f t="shared" si="56"/>
        <v>33.409999999999997</v>
      </c>
      <c r="DU8" s="69">
        <f t="shared" si="175"/>
        <v>933.14129999999989</v>
      </c>
      <c r="DV8" s="69">
        <f t="shared" si="57"/>
        <v>27.93</v>
      </c>
      <c r="DW8" s="69">
        <f t="shared" si="58"/>
        <v>18.96</v>
      </c>
      <c r="DX8" s="69">
        <f t="shared" si="176"/>
        <v>529.55280000000005</v>
      </c>
      <c r="DY8" s="69">
        <f t="shared" si="59"/>
        <v>27.93</v>
      </c>
      <c r="DZ8" s="69">
        <f t="shared" si="60"/>
        <v>23.93</v>
      </c>
      <c r="EA8" s="69">
        <f t="shared" si="177"/>
        <v>668.36490000000003</v>
      </c>
      <c r="EB8" s="69">
        <f t="shared" si="61"/>
        <v>27.93</v>
      </c>
      <c r="EC8" s="69">
        <f t="shared" si="62"/>
        <v>23.377859501551274</v>
      </c>
      <c r="ED8" s="69">
        <f t="shared" si="178"/>
        <v>652.94361587832714</v>
      </c>
      <c r="EF8" s="69">
        <f t="shared" si="63"/>
        <v>19.66</v>
      </c>
      <c r="EG8" s="69">
        <f t="shared" si="64"/>
        <v>23.83</v>
      </c>
      <c r="EH8" s="69">
        <f t="shared" si="179"/>
        <v>468.49779999999998</v>
      </c>
      <c r="EI8" s="69">
        <f t="shared" si="65"/>
        <v>19.66</v>
      </c>
      <c r="EJ8" s="69">
        <f t="shared" si="66"/>
        <v>20.77</v>
      </c>
      <c r="EK8" s="69">
        <f t="shared" si="180"/>
        <v>408.33819999999997</v>
      </c>
      <c r="EL8" s="69">
        <f t="shared" si="67"/>
        <v>19.66</v>
      </c>
      <c r="EM8" s="69">
        <f t="shared" si="68"/>
        <v>20.3</v>
      </c>
      <c r="EN8" s="69">
        <f t="shared" si="181"/>
        <v>399.09800000000001</v>
      </c>
      <c r="EO8" s="69">
        <f t="shared" si="69"/>
        <v>19.66</v>
      </c>
      <c r="EP8" s="69">
        <f t="shared" si="70"/>
        <v>33.409999999999997</v>
      </c>
      <c r="EQ8" s="69">
        <f t="shared" si="182"/>
        <v>656.84059999999988</v>
      </c>
      <c r="ER8" s="69">
        <f t="shared" si="71"/>
        <v>19.66</v>
      </c>
      <c r="ES8" s="69">
        <f t="shared" si="72"/>
        <v>18.96</v>
      </c>
      <c r="ET8" s="69">
        <f t="shared" si="183"/>
        <v>372.75360000000001</v>
      </c>
      <c r="EU8" s="69">
        <f t="shared" si="73"/>
        <v>19.66</v>
      </c>
      <c r="EV8" s="69">
        <f t="shared" si="74"/>
        <v>23.93</v>
      </c>
      <c r="EW8" s="69">
        <f t="shared" si="184"/>
        <v>470.46379999999999</v>
      </c>
      <c r="EX8" s="69">
        <f t="shared" si="75"/>
        <v>19.66</v>
      </c>
      <c r="EY8" s="69">
        <f t="shared" si="76"/>
        <v>23.377859501551274</v>
      </c>
      <c r="EZ8" s="69">
        <f t="shared" si="185"/>
        <v>459.60871780049803</v>
      </c>
      <c r="FB8" s="69">
        <f t="shared" si="77"/>
        <v>23.83</v>
      </c>
      <c r="FC8" s="69">
        <f t="shared" si="78"/>
        <v>20.77</v>
      </c>
      <c r="FD8" s="69">
        <f t="shared" si="186"/>
        <v>494.94909999999993</v>
      </c>
      <c r="FE8" s="69">
        <f t="shared" si="79"/>
        <v>23.83</v>
      </c>
      <c r="FF8" s="69">
        <f t="shared" si="80"/>
        <v>20.3</v>
      </c>
      <c r="FG8" s="69">
        <f t="shared" si="187"/>
        <v>483.74899999999997</v>
      </c>
      <c r="FH8" s="69">
        <f t="shared" si="81"/>
        <v>23.83</v>
      </c>
      <c r="FI8" s="69">
        <f t="shared" si="82"/>
        <v>33.409999999999997</v>
      </c>
      <c r="FJ8" s="69">
        <f t="shared" si="188"/>
        <v>796.16029999999989</v>
      </c>
      <c r="FK8" s="69">
        <f t="shared" si="83"/>
        <v>23.83</v>
      </c>
      <c r="FL8" s="69">
        <f t="shared" si="84"/>
        <v>18.96</v>
      </c>
      <c r="FM8" s="69">
        <f t="shared" si="189"/>
        <v>451.8168</v>
      </c>
      <c r="FN8" s="69">
        <f t="shared" si="85"/>
        <v>23.83</v>
      </c>
      <c r="FO8" s="69">
        <f t="shared" si="86"/>
        <v>23.93</v>
      </c>
      <c r="FP8" s="69">
        <f t="shared" si="190"/>
        <v>570.25189999999998</v>
      </c>
      <c r="FQ8" s="69">
        <f t="shared" si="87"/>
        <v>23.83</v>
      </c>
      <c r="FR8" s="69">
        <f t="shared" si="88"/>
        <v>23.377859501551274</v>
      </c>
      <c r="FS8" s="69">
        <f t="shared" si="191"/>
        <v>557.0943919219668</v>
      </c>
      <c r="FU8" s="69">
        <f t="shared" si="89"/>
        <v>20.77</v>
      </c>
      <c r="FV8" s="69">
        <f t="shared" si="90"/>
        <v>20.3</v>
      </c>
      <c r="FW8" s="69">
        <f t="shared" si="192"/>
        <v>421.63100000000003</v>
      </c>
      <c r="FX8" s="69">
        <f t="shared" si="91"/>
        <v>20.77</v>
      </c>
      <c r="FY8" s="69">
        <f t="shared" si="92"/>
        <v>33.409999999999997</v>
      </c>
      <c r="FZ8" s="69">
        <f t="shared" si="193"/>
        <v>693.92569999999989</v>
      </c>
      <c r="GA8" s="69">
        <f t="shared" si="93"/>
        <v>20.77</v>
      </c>
      <c r="GB8" s="69">
        <f t="shared" si="94"/>
        <v>18.96</v>
      </c>
      <c r="GC8" s="69">
        <f t="shared" si="194"/>
        <v>393.79919999999998</v>
      </c>
      <c r="GD8" s="69">
        <f t="shared" si="95"/>
        <v>20.77</v>
      </c>
      <c r="GE8" s="69">
        <f t="shared" si="96"/>
        <v>23.93</v>
      </c>
      <c r="GF8" s="69">
        <f t="shared" si="195"/>
        <v>497.02609999999999</v>
      </c>
      <c r="GG8" s="69">
        <f t="shared" si="97"/>
        <v>20.77</v>
      </c>
      <c r="GH8" s="69">
        <f t="shared" si="98"/>
        <v>23.377859501551274</v>
      </c>
      <c r="GI8" s="69">
        <f t="shared" si="196"/>
        <v>485.55814184721993</v>
      </c>
      <c r="GK8" s="69">
        <f t="shared" si="99"/>
        <v>20.3</v>
      </c>
      <c r="GL8" s="69">
        <f t="shared" si="100"/>
        <v>33.409999999999997</v>
      </c>
      <c r="GM8" s="69">
        <f t="shared" si="197"/>
        <v>678.22299999999996</v>
      </c>
      <c r="GN8" s="69">
        <f t="shared" si="101"/>
        <v>20.3</v>
      </c>
      <c r="GO8" s="69">
        <f t="shared" si="102"/>
        <v>18.96</v>
      </c>
      <c r="GP8" s="69">
        <f t="shared" si="198"/>
        <v>384.88800000000003</v>
      </c>
      <c r="GQ8" s="69">
        <f t="shared" si="103"/>
        <v>20.3</v>
      </c>
      <c r="GR8" s="69">
        <f t="shared" si="104"/>
        <v>23.93</v>
      </c>
      <c r="GS8" s="69">
        <f t="shared" si="199"/>
        <v>485.779</v>
      </c>
      <c r="GT8" s="69">
        <f t="shared" si="105"/>
        <v>20.3</v>
      </c>
      <c r="GU8" s="69">
        <f t="shared" si="106"/>
        <v>23.377859501551274</v>
      </c>
      <c r="GV8" s="69">
        <f t="shared" si="200"/>
        <v>474.57054788149088</v>
      </c>
      <c r="GX8" s="69">
        <f t="shared" si="201"/>
        <v>33.409999999999997</v>
      </c>
      <c r="GY8" s="69">
        <f t="shared" si="202"/>
        <v>18.96</v>
      </c>
      <c r="GZ8" s="69">
        <f t="shared" si="203"/>
        <v>633.45359999999994</v>
      </c>
      <c r="HA8" s="69">
        <f t="shared" si="204"/>
        <v>33.409999999999997</v>
      </c>
      <c r="HB8" s="69">
        <f t="shared" si="205"/>
        <v>23.93</v>
      </c>
      <c r="HC8" s="69">
        <f t="shared" si="206"/>
        <v>799.5012999999999</v>
      </c>
      <c r="HD8" s="69">
        <f t="shared" si="207"/>
        <v>33.409999999999997</v>
      </c>
      <c r="HE8" s="69">
        <f t="shared" si="208"/>
        <v>23.377859501551274</v>
      </c>
      <c r="HF8" s="69">
        <f t="shared" si="209"/>
        <v>781.05428594682803</v>
      </c>
      <c r="HH8" s="69">
        <f t="shared" si="210"/>
        <v>18.96</v>
      </c>
      <c r="HI8" s="69">
        <f t="shared" si="211"/>
        <v>23.93</v>
      </c>
      <c r="HJ8" s="69">
        <f t="shared" si="212"/>
        <v>453.71280000000002</v>
      </c>
      <c r="HK8" s="69">
        <f t="shared" si="213"/>
        <v>18.96</v>
      </c>
      <c r="HL8" s="69">
        <f t="shared" si="214"/>
        <v>23.377859501551274</v>
      </c>
      <c r="HM8" s="69">
        <f t="shared" si="215"/>
        <v>443.24421614941218</v>
      </c>
      <c r="HO8" s="69">
        <f t="shared" si="216"/>
        <v>23.93</v>
      </c>
      <c r="HP8" s="69">
        <f t="shared" si="217"/>
        <v>23.377859501551274</v>
      </c>
      <c r="HQ8" s="69">
        <f t="shared" si="218"/>
        <v>559.432177872122</v>
      </c>
      <c r="HS8" s="69">
        <f t="shared" si="107"/>
        <v>23.377859501551274</v>
      </c>
      <c r="HT8" s="69">
        <f t="shared" si="108"/>
        <v>20.77</v>
      </c>
      <c r="HU8" s="69">
        <f t="shared" si="219"/>
        <v>485.55814184721993</v>
      </c>
      <c r="HV8" s="69">
        <f t="shared" si="109"/>
        <v>23.377859501551274</v>
      </c>
      <c r="HW8" s="69">
        <f t="shared" si="110"/>
        <v>28.07</v>
      </c>
      <c r="HX8" s="69">
        <f t="shared" si="220"/>
        <v>656.21651620854425</v>
      </c>
      <c r="HY8" s="69">
        <f t="shared" si="111"/>
        <v>23.377859501551274</v>
      </c>
      <c r="HZ8" s="69">
        <f t="shared" si="112"/>
        <v>27.93</v>
      </c>
      <c r="IA8" s="69">
        <f t="shared" si="221"/>
        <v>652.94361587832714</v>
      </c>
      <c r="IB8" s="69">
        <f t="shared" si="113"/>
        <v>23.377859501551274</v>
      </c>
      <c r="IC8" s="69">
        <f t="shared" si="114"/>
        <v>19.66</v>
      </c>
      <c r="ID8" s="69">
        <f t="shared" si="222"/>
        <v>459.60871780049803</v>
      </c>
      <c r="IE8" s="69">
        <f t="shared" si="115"/>
        <v>23.377859501551274</v>
      </c>
      <c r="IF8" s="69">
        <f t="shared" si="116"/>
        <v>23.83</v>
      </c>
      <c r="IG8" s="69">
        <f t="shared" si="223"/>
        <v>557.0943919219668</v>
      </c>
      <c r="IH8" s="69">
        <f t="shared" si="117"/>
        <v>23.377859501551274</v>
      </c>
      <c r="II8" s="69">
        <f t="shared" si="118"/>
        <v>20.77</v>
      </c>
      <c r="IJ8" s="69">
        <f t="shared" si="224"/>
        <v>485.55814184721993</v>
      </c>
      <c r="IK8" s="69">
        <f t="shared" si="119"/>
        <v>23.377859501551274</v>
      </c>
      <c r="IL8" s="69">
        <f t="shared" si="120"/>
        <v>20.3</v>
      </c>
      <c r="IM8" s="69">
        <f t="shared" si="225"/>
        <v>474.57054788149088</v>
      </c>
      <c r="IN8" s="69">
        <f t="shared" si="226"/>
        <v>23.377859501551274</v>
      </c>
      <c r="IO8" s="69">
        <f t="shared" si="227"/>
        <v>33.409999999999997</v>
      </c>
      <c r="IP8" s="69">
        <f t="shared" si="228"/>
        <v>781.05428594682803</v>
      </c>
      <c r="IQ8" s="69">
        <f t="shared" si="229"/>
        <v>23.377859501551274</v>
      </c>
      <c r="IR8" s="69">
        <f t="shared" si="230"/>
        <v>18.96</v>
      </c>
      <c r="IS8" s="69">
        <f t="shared" si="231"/>
        <v>443.24421614941218</v>
      </c>
      <c r="IT8" s="69">
        <f t="shared" si="232"/>
        <v>23.377859501551274</v>
      </c>
      <c r="IU8" s="69">
        <f t="shared" si="233"/>
        <v>23.93</v>
      </c>
      <c r="IV8" s="69">
        <f t="shared" si="234"/>
        <v>559.432177872122</v>
      </c>
    </row>
    <row r="9" spans="1:256" ht="15" x14ac:dyDescent="0.25">
      <c r="A9" s="57" t="s">
        <v>12</v>
      </c>
      <c r="B9" s="295">
        <v>21.22</v>
      </c>
      <c r="C9" s="295">
        <v>24.27</v>
      </c>
      <c r="D9" s="295">
        <v>26.5</v>
      </c>
      <c r="E9" s="295">
        <v>20.46</v>
      </c>
      <c r="F9" s="295">
        <v>21.62</v>
      </c>
      <c r="G9" s="295">
        <v>20.77</v>
      </c>
      <c r="H9" s="295">
        <v>20.329999999999998</v>
      </c>
      <c r="I9" s="296">
        <v>27.02</v>
      </c>
      <c r="J9" s="295">
        <v>18.690000000000001</v>
      </c>
      <c r="K9" s="295">
        <v>27.72</v>
      </c>
      <c r="L9" s="68">
        <f t="shared" si="0"/>
        <v>10</v>
      </c>
      <c r="M9" s="69">
        <f t="shared" si="1"/>
        <v>22.659400189812086</v>
      </c>
      <c r="N9" s="69" t="str">
        <f t="shared" si="121"/>
        <v>±1,26</v>
      </c>
      <c r="O9" s="69" t="str">
        <f t="shared" si="122"/>
        <v>±5,7</v>
      </c>
      <c r="P9" s="69" t="str">
        <f t="shared" si="123"/>
        <v>±3,08</v>
      </c>
      <c r="Q9" s="70">
        <f t="shared" si="2"/>
        <v>21.22</v>
      </c>
      <c r="R9" s="71">
        <f t="shared" si="124"/>
        <v>2.2513747568240987</v>
      </c>
      <c r="S9" s="71">
        <f t="shared" si="125"/>
        <v>11.868940041577591</v>
      </c>
      <c r="T9" s="70">
        <f t="shared" si="3"/>
        <v>24.27</v>
      </c>
      <c r="U9" s="71">
        <f t="shared" si="126"/>
        <v>0.30877782706700074</v>
      </c>
      <c r="V9" s="71">
        <f t="shared" si="127"/>
        <v>1.2886564167657655</v>
      </c>
      <c r="W9" s="70">
        <f t="shared" si="4"/>
        <v>26.5</v>
      </c>
      <c r="X9" s="71">
        <f t="shared" si="128"/>
        <v>0.81173871622193516</v>
      </c>
      <c r="Y9" s="71">
        <f t="shared" si="129"/>
        <v>3.1599597468067619</v>
      </c>
      <c r="Z9" s="70">
        <f t="shared" si="5"/>
        <v>20.46</v>
      </c>
      <c r="AA9" s="71">
        <f t="shared" si="130"/>
        <v>1.7681481471602041</v>
      </c>
      <c r="AB9" s="71">
        <f t="shared" si="131"/>
        <v>9.4594594536740573</v>
      </c>
      <c r="AC9" s="70">
        <f t="shared" si="6"/>
        <v>21.62</v>
      </c>
      <c r="AD9" s="71">
        <f t="shared" si="132"/>
        <v>-0.93312115284107833</v>
      </c>
      <c r="AE9" s="71">
        <f t="shared" si="133"/>
        <v>-4.1374368829811825</v>
      </c>
      <c r="AF9" s="70">
        <f t="shared" si="7"/>
        <v>20.77</v>
      </c>
      <c r="AG9" s="71">
        <f t="shared" si="134"/>
        <v>0.16730674281997082</v>
      </c>
      <c r="AH9" s="71">
        <f t="shared" si="135"/>
        <v>0.81206248489704702</v>
      </c>
      <c r="AI9" s="70">
        <f t="shared" si="8"/>
        <v>20.329999999999998</v>
      </c>
      <c r="AJ9" s="71">
        <f t="shared" si="136"/>
        <v>0.59294613444836131</v>
      </c>
      <c r="AK9" s="71">
        <f t="shared" si="137"/>
        <v>3.0042281816095695</v>
      </c>
      <c r="AL9" s="70">
        <f t="shared" si="138"/>
        <v>27.02</v>
      </c>
      <c r="AM9" s="71">
        <f t="shared" si="139"/>
        <v>1.1803592378346792</v>
      </c>
      <c r="AN9" s="71">
        <f t="shared" si="140"/>
        <v>4.568017213161002</v>
      </c>
      <c r="AO9" s="70">
        <f t="shared" si="141"/>
        <v>18.690000000000001</v>
      </c>
      <c r="AP9" s="71">
        <f t="shared" si="142"/>
        <v>0.95289785740552091</v>
      </c>
      <c r="AQ9" s="71">
        <f t="shared" si="143"/>
        <v>5.3723423913605295</v>
      </c>
      <c r="AR9" s="70">
        <f t="shared" si="144"/>
        <v>27.72</v>
      </c>
      <c r="AS9" s="71">
        <f t="shared" si="145"/>
        <v>3.6406394642718709</v>
      </c>
      <c r="AT9" s="71">
        <f t="shared" si="146"/>
        <v>15.119336158740659</v>
      </c>
      <c r="AU9" s="69">
        <f t="shared" si="147"/>
        <v>22.659400189812086</v>
      </c>
      <c r="AV9" s="131" t="str">
        <f t="shared" si="148"/>
        <v>±1,26</v>
      </c>
      <c r="AW9" s="69" t="str">
        <f t="shared" si="149"/>
        <v>±5,7</v>
      </c>
      <c r="AX9" s="132">
        <f t="shared" si="150"/>
        <v>1.26</v>
      </c>
      <c r="AY9" s="132">
        <f t="shared" si="151"/>
        <v>5.7</v>
      </c>
      <c r="AZ9" s="69">
        <f t="shared" si="9"/>
        <v>21.22</v>
      </c>
      <c r="BA9" s="69">
        <f t="shared" si="10"/>
        <v>24.27</v>
      </c>
      <c r="BB9" s="69">
        <f t="shared" si="152"/>
        <v>515.00939999999991</v>
      </c>
      <c r="BC9" s="69">
        <f t="shared" si="11"/>
        <v>21.22</v>
      </c>
      <c r="BD9" s="69">
        <f t="shared" si="12"/>
        <v>26.5</v>
      </c>
      <c r="BE9" s="69">
        <f t="shared" si="153"/>
        <v>562.32999999999993</v>
      </c>
      <c r="BF9" s="69">
        <f t="shared" si="13"/>
        <v>21.22</v>
      </c>
      <c r="BG9" s="69">
        <f t="shared" si="14"/>
        <v>20.46</v>
      </c>
      <c r="BH9" s="69">
        <f t="shared" si="154"/>
        <v>434.16120000000001</v>
      </c>
      <c r="BI9" s="69">
        <f t="shared" si="15"/>
        <v>21.22</v>
      </c>
      <c r="BJ9" s="69">
        <f t="shared" si="16"/>
        <v>21.62</v>
      </c>
      <c r="BK9" s="69">
        <f t="shared" si="155"/>
        <v>458.77640000000002</v>
      </c>
      <c r="BL9" s="69">
        <f t="shared" si="17"/>
        <v>21.22</v>
      </c>
      <c r="BM9" s="69">
        <f t="shared" si="18"/>
        <v>20.77</v>
      </c>
      <c r="BN9" s="69">
        <f t="shared" si="156"/>
        <v>440.73939999999999</v>
      </c>
      <c r="BO9" s="69">
        <f t="shared" si="19"/>
        <v>21.22</v>
      </c>
      <c r="BP9" s="69">
        <f t="shared" si="20"/>
        <v>20.329999999999998</v>
      </c>
      <c r="BQ9" s="69">
        <f t="shared" si="157"/>
        <v>431.40259999999995</v>
      </c>
      <c r="BR9" s="69">
        <f t="shared" si="21"/>
        <v>21.22</v>
      </c>
      <c r="BS9" s="69">
        <f t="shared" si="22"/>
        <v>27.02</v>
      </c>
      <c r="BT9" s="69">
        <f t="shared" si="158"/>
        <v>573.36439999999993</v>
      </c>
      <c r="BU9" s="69">
        <f t="shared" si="23"/>
        <v>21.22</v>
      </c>
      <c r="BV9" s="69">
        <f t="shared" si="24"/>
        <v>18.690000000000001</v>
      </c>
      <c r="BW9" s="69">
        <f t="shared" si="159"/>
        <v>396.60180000000003</v>
      </c>
      <c r="BX9" s="69">
        <f t="shared" si="25"/>
        <v>21.22</v>
      </c>
      <c r="BY9" s="69">
        <f t="shared" si="26"/>
        <v>27.72</v>
      </c>
      <c r="BZ9" s="69">
        <f t="shared" si="160"/>
        <v>588.21839999999997</v>
      </c>
      <c r="CA9" s="69">
        <f t="shared" si="27"/>
        <v>21.22</v>
      </c>
      <c r="CB9" s="69">
        <f t="shared" si="28"/>
        <v>22.659400189812086</v>
      </c>
      <c r="CC9" s="69">
        <f t="shared" si="161"/>
        <v>480.83247202781246</v>
      </c>
      <c r="CE9" s="69">
        <f t="shared" si="29"/>
        <v>24.27</v>
      </c>
      <c r="CF9" s="69">
        <f t="shared" si="30"/>
        <v>26.5</v>
      </c>
      <c r="CG9" s="69">
        <f t="shared" si="162"/>
        <v>643.15499999999997</v>
      </c>
      <c r="CH9" s="69">
        <f t="shared" si="31"/>
        <v>24.27</v>
      </c>
      <c r="CI9" s="69">
        <f t="shared" si="32"/>
        <v>20.46</v>
      </c>
      <c r="CJ9" s="69">
        <f t="shared" si="163"/>
        <v>496.56420000000003</v>
      </c>
      <c r="CK9" s="69">
        <f t="shared" si="33"/>
        <v>24.27</v>
      </c>
      <c r="CL9" s="69">
        <f t="shared" si="34"/>
        <v>21.62</v>
      </c>
      <c r="CM9" s="69">
        <f t="shared" si="164"/>
        <v>524.7174</v>
      </c>
      <c r="CN9" s="69">
        <f t="shared" si="35"/>
        <v>24.27</v>
      </c>
      <c r="CO9" s="69">
        <f t="shared" si="36"/>
        <v>20.77</v>
      </c>
      <c r="CP9" s="69">
        <f t="shared" si="165"/>
        <v>504.08789999999999</v>
      </c>
      <c r="CQ9" s="69">
        <f t="shared" si="37"/>
        <v>24.27</v>
      </c>
      <c r="CR9" s="69">
        <f t="shared" si="38"/>
        <v>20.329999999999998</v>
      </c>
      <c r="CS9" s="69">
        <f t="shared" si="166"/>
        <v>493.40909999999997</v>
      </c>
      <c r="CT9" s="69">
        <f t="shared" si="39"/>
        <v>24.27</v>
      </c>
      <c r="CU9" s="69">
        <f t="shared" si="40"/>
        <v>27.02</v>
      </c>
      <c r="CV9" s="69">
        <f t="shared" si="167"/>
        <v>655.77539999999999</v>
      </c>
      <c r="CW9" s="69">
        <f t="shared" si="41"/>
        <v>24.27</v>
      </c>
      <c r="CX9" s="69">
        <f t="shared" si="42"/>
        <v>18.690000000000001</v>
      </c>
      <c r="CY9" s="69">
        <f t="shared" si="168"/>
        <v>453.60630000000003</v>
      </c>
      <c r="CZ9" s="69">
        <f t="shared" si="43"/>
        <v>24.27</v>
      </c>
      <c r="DA9" s="69">
        <f t="shared" si="44"/>
        <v>27.72</v>
      </c>
      <c r="DB9" s="69">
        <f t="shared" si="169"/>
        <v>672.76439999999991</v>
      </c>
      <c r="DC9" s="69">
        <f t="shared" si="45"/>
        <v>24.27</v>
      </c>
      <c r="DD9" s="69">
        <f t="shared" si="46"/>
        <v>22.659400189812086</v>
      </c>
      <c r="DE9" s="69">
        <f t="shared" si="170"/>
        <v>549.94364260673933</v>
      </c>
      <c r="DG9" s="69">
        <f t="shared" si="47"/>
        <v>26.5</v>
      </c>
      <c r="DH9" s="69">
        <f t="shared" si="48"/>
        <v>20.46</v>
      </c>
      <c r="DI9" s="69">
        <f t="shared" si="171"/>
        <v>542.19000000000005</v>
      </c>
      <c r="DJ9" s="69">
        <f t="shared" si="49"/>
        <v>26.5</v>
      </c>
      <c r="DK9" s="69">
        <f t="shared" si="50"/>
        <v>21.62</v>
      </c>
      <c r="DL9" s="69">
        <f t="shared" si="172"/>
        <v>572.93000000000006</v>
      </c>
      <c r="DM9" s="69">
        <f t="shared" si="51"/>
        <v>26.5</v>
      </c>
      <c r="DN9" s="69">
        <f t="shared" si="52"/>
        <v>20.77</v>
      </c>
      <c r="DO9" s="69">
        <f t="shared" si="173"/>
        <v>550.40499999999997</v>
      </c>
      <c r="DP9" s="69">
        <f t="shared" si="53"/>
        <v>26.5</v>
      </c>
      <c r="DQ9" s="69">
        <f t="shared" si="54"/>
        <v>20.329999999999998</v>
      </c>
      <c r="DR9" s="69">
        <f t="shared" si="174"/>
        <v>538.745</v>
      </c>
      <c r="DS9" s="69">
        <f t="shared" si="55"/>
        <v>26.5</v>
      </c>
      <c r="DT9" s="69">
        <f t="shared" si="56"/>
        <v>27.02</v>
      </c>
      <c r="DU9" s="69">
        <f t="shared" si="175"/>
        <v>716.03</v>
      </c>
      <c r="DV9" s="69">
        <f t="shared" si="57"/>
        <v>26.5</v>
      </c>
      <c r="DW9" s="69">
        <f t="shared" si="58"/>
        <v>18.690000000000001</v>
      </c>
      <c r="DX9" s="69">
        <f t="shared" si="176"/>
        <v>495.28500000000003</v>
      </c>
      <c r="DY9" s="69">
        <f t="shared" si="59"/>
        <v>26.5</v>
      </c>
      <c r="DZ9" s="69">
        <f t="shared" si="60"/>
        <v>27.72</v>
      </c>
      <c r="EA9" s="69">
        <f t="shared" si="177"/>
        <v>734.57999999999993</v>
      </c>
      <c r="EB9" s="69">
        <f t="shared" si="61"/>
        <v>26.5</v>
      </c>
      <c r="EC9" s="69">
        <f t="shared" si="62"/>
        <v>22.659400189812086</v>
      </c>
      <c r="ED9" s="69">
        <f t="shared" si="178"/>
        <v>600.47410503002027</v>
      </c>
      <c r="EF9" s="69">
        <f t="shared" si="63"/>
        <v>20.46</v>
      </c>
      <c r="EG9" s="69">
        <f t="shared" si="64"/>
        <v>21.62</v>
      </c>
      <c r="EH9" s="69">
        <f t="shared" si="179"/>
        <v>442.34520000000003</v>
      </c>
      <c r="EI9" s="69">
        <f t="shared" si="65"/>
        <v>20.46</v>
      </c>
      <c r="EJ9" s="69">
        <f t="shared" si="66"/>
        <v>20.77</v>
      </c>
      <c r="EK9" s="69">
        <f t="shared" si="180"/>
        <v>424.95420000000001</v>
      </c>
      <c r="EL9" s="69">
        <f t="shared" si="67"/>
        <v>20.46</v>
      </c>
      <c r="EM9" s="69">
        <f t="shared" si="68"/>
        <v>20.329999999999998</v>
      </c>
      <c r="EN9" s="69">
        <f t="shared" si="181"/>
        <v>415.95179999999999</v>
      </c>
      <c r="EO9" s="69">
        <f t="shared" si="69"/>
        <v>20.46</v>
      </c>
      <c r="EP9" s="69">
        <f t="shared" si="70"/>
        <v>27.02</v>
      </c>
      <c r="EQ9" s="69">
        <f t="shared" si="182"/>
        <v>552.82920000000001</v>
      </c>
      <c r="ER9" s="69">
        <f t="shared" si="71"/>
        <v>20.46</v>
      </c>
      <c r="ES9" s="69">
        <f t="shared" si="72"/>
        <v>18.690000000000001</v>
      </c>
      <c r="ET9" s="69">
        <f t="shared" si="183"/>
        <v>382.39740000000006</v>
      </c>
      <c r="EU9" s="69">
        <f t="shared" si="73"/>
        <v>20.46</v>
      </c>
      <c r="EV9" s="69">
        <f t="shared" si="74"/>
        <v>27.72</v>
      </c>
      <c r="EW9" s="69">
        <f t="shared" si="184"/>
        <v>567.15120000000002</v>
      </c>
      <c r="EX9" s="69">
        <f t="shared" si="75"/>
        <v>20.46</v>
      </c>
      <c r="EY9" s="69">
        <f t="shared" si="76"/>
        <v>22.659400189812086</v>
      </c>
      <c r="EZ9" s="69">
        <f t="shared" si="185"/>
        <v>463.6113278835553</v>
      </c>
      <c r="FB9" s="69">
        <f t="shared" si="77"/>
        <v>21.62</v>
      </c>
      <c r="FC9" s="69">
        <f t="shared" si="78"/>
        <v>20.77</v>
      </c>
      <c r="FD9" s="69">
        <f t="shared" si="186"/>
        <v>449.04740000000004</v>
      </c>
      <c r="FE9" s="69">
        <f t="shared" si="79"/>
        <v>21.62</v>
      </c>
      <c r="FF9" s="69">
        <f t="shared" si="80"/>
        <v>20.329999999999998</v>
      </c>
      <c r="FG9" s="69">
        <f t="shared" si="187"/>
        <v>439.53460000000001</v>
      </c>
      <c r="FH9" s="69">
        <f t="shared" si="81"/>
        <v>21.62</v>
      </c>
      <c r="FI9" s="69">
        <f t="shared" si="82"/>
        <v>27.02</v>
      </c>
      <c r="FJ9" s="69">
        <f t="shared" si="188"/>
        <v>584.17240000000004</v>
      </c>
      <c r="FK9" s="69">
        <f t="shared" si="83"/>
        <v>21.62</v>
      </c>
      <c r="FL9" s="69">
        <f t="shared" si="84"/>
        <v>18.690000000000001</v>
      </c>
      <c r="FM9" s="69">
        <f t="shared" si="189"/>
        <v>404.07780000000002</v>
      </c>
      <c r="FN9" s="69">
        <f t="shared" si="85"/>
        <v>21.62</v>
      </c>
      <c r="FO9" s="69">
        <f t="shared" si="86"/>
        <v>27.72</v>
      </c>
      <c r="FP9" s="69">
        <f t="shared" si="190"/>
        <v>599.30640000000005</v>
      </c>
      <c r="FQ9" s="69">
        <f t="shared" si="87"/>
        <v>21.62</v>
      </c>
      <c r="FR9" s="69">
        <f t="shared" si="88"/>
        <v>22.659400189812086</v>
      </c>
      <c r="FS9" s="69">
        <f t="shared" si="191"/>
        <v>489.8962321037373</v>
      </c>
      <c r="FU9" s="69">
        <f t="shared" si="89"/>
        <v>20.77</v>
      </c>
      <c r="FV9" s="69">
        <f t="shared" si="90"/>
        <v>20.329999999999998</v>
      </c>
      <c r="FW9" s="69">
        <f t="shared" si="192"/>
        <v>422.25409999999994</v>
      </c>
      <c r="FX9" s="69">
        <f t="shared" si="91"/>
        <v>20.77</v>
      </c>
      <c r="FY9" s="69">
        <f t="shared" si="92"/>
        <v>27.02</v>
      </c>
      <c r="FZ9" s="69">
        <f t="shared" si="193"/>
        <v>561.20539999999994</v>
      </c>
      <c r="GA9" s="69">
        <f t="shared" si="93"/>
        <v>20.77</v>
      </c>
      <c r="GB9" s="69">
        <f t="shared" si="94"/>
        <v>18.690000000000001</v>
      </c>
      <c r="GC9" s="69">
        <f t="shared" si="194"/>
        <v>388.19130000000001</v>
      </c>
      <c r="GD9" s="69">
        <f t="shared" si="95"/>
        <v>20.77</v>
      </c>
      <c r="GE9" s="69">
        <f t="shared" si="96"/>
        <v>27.72</v>
      </c>
      <c r="GF9" s="69">
        <f t="shared" si="195"/>
        <v>575.74439999999993</v>
      </c>
      <c r="GG9" s="69">
        <f t="shared" si="97"/>
        <v>20.77</v>
      </c>
      <c r="GH9" s="69">
        <f t="shared" si="98"/>
        <v>22.659400189812086</v>
      </c>
      <c r="GI9" s="69">
        <f t="shared" si="196"/>
        <v>470.63574194239703</v>
      </c>
      <c r="GK9" s="69">
        <f t="shared" si="99"/>
        <v>20.329999999999998</v>
      </c>
      <c r="GL9" s="69">
        <f t="shared" si="100"/>
        <v>27.02</v>
      </c>
      <c r="GM9" s="69">
        <f t="shared" si="197"/>
        <v>549.31659999999999</v>
      </c>
      <c r="GN9" s="69">
        <f t="shared" si="101"/>
        <v>20.329999999999998</v>
      </c>
      <c r="GO9" s="69">
        <f t="shared" si="102"/>
        <v>18.690000000000001</v>
      </c>
      <c r="GP9" s="69">
        <f t="shared" si="198"/>
        <v>379.96769999999998</v>
      </c>
      <c r="GQ9" s="69">
        <f t="shared" si="103"/>
        <v>20.329999999999998</v>
      </c>
      <c r="GR9" s="69">
        <f t="shared" si="104"/>
        <v>27.72</v>
      </c>
      <c r="GS9" s="69">
        <f t="shared" si="199"/>
        <v>563.54759999999987</v>
      </c>
      <c r="GT9" s="69">
        <f t="shared" si="105"/>
        <v>20.329999999999998</v>
      </c>
      <c r="GU9" s="69">
        <f t="shared" si="106"/>
        <v>22.659400189812086</v>
      </c>
      <c r="GV9" s="69">
        <f t="shared" si="200"/>
        <v>460.66560585887964</v>
      </c>
      <c r="GX9" s="69">
        <f t="shared" si="201"/>
        <v>27.02</v>
      </c>
      <c r="GY9" s="69">
        <f t="shared" si="202"/>
        <v>18.690000000000001</v>
      </c>
      <c r="GZ9" s="69">
        <f t="shared" si="203"/>
        <v>505.00380000000001</v>
      </c>
      <c r="HA9" s="69">
        <f t="shared" si="204"/>
        <v>27.02</v>
      </c>
      <c r="HB9" s="69">
        <f t="shared" si="205"/>
        <v>27.72</v>
      </c>
      <c r="HC9" s="69">
        <f t="shared" si="206"/>
        <v>748.99439999999993</v>
      </c>
      <c r="HD9" s="69">
        <f t="shared" si="207"/>
        <v>27.02</v>
      </c>
      <c r="HE9" s="69">
        <f t="shared" si="208"/>
        <v>22.659400189812086</v>
      </c>
      <c r="HF9" s="69">
        <f t="shared" si="209"/>
        <v>612.25699312872257</v>
      </c>
      <c r="HH9" s="69">
        <f t="shared" si="210"/>
        <v>18.690000000000001</v>
      </c>
      <c r="HI9" s="69">
        <f t="shared" si="211"/>
        <v>27.72</v>
      </c>
      <c r="HJ9" s="69">
        <f t="shared" si="212"/>
        <v>518.08680000000004</v>
      </c>
      <c r="HK9" s="69">
        <f t="shared" si="213"/>
        <v>18.690000000000001</v>
      </c>
      <c r="HL9" s="69">
        <f t="shared" si="214"/>
        <v>22.659400189812086</v>
      </c>
      <c r="HM9" s="69">
        <f t="shared" si="215"/>
        <v>423.50418954758788</v>
      </c>
      <c r="HO9" s="69">
        <f t="shared" si="216"/>
        <v>27.72</v>
      </c>
      <c r="HP9" s="69">
        <f t="shared" si="217"/>
        <v>22.659400189812086</v>
      </c>
      <c r="HQ9" s="69">
        <f t="shared" si="218"/>
        <v>628.118573261591</v>
      </c>
      <c r="HS9" s="69">
        <f t="shared" si="107"/>
        <v>22.659400189812086</v>
      </c>
      <c r="HT9" s="69">
        <f t="shared" si="108"/>
        <v>21.22</v>
      </c>
      <c r="HU9" s="69">
        <f t="shared" si="219"/>
        <v>480.83247202781246</v>
      </c>
      <c r="HV9" s="69">
        <f t="shared" si="109"/>
        <v>22.659400189812086</v>
      </c>
      <c r="HW9" s="69">
        <f t="shared" si="110"/>
        <v>24.27</v>
      </c>
      <c r="HX9" s="69">
        <f t="shared" si="220"/>
        <v>549.94364260673933</v>
      </c>
      <c r="HY9" s="69">
        <f t="shared" si="111"/>
        <v>22.659400189812086</v>
      </c>
      <c r="HZ9" s="69">
        <f t="shared" si="112"/>
        <v>26.5</v>
      </c>
      <c r="IA9" s="69">
        <f t="shared" si="221"/>
        <v>600.47410503002027</v>
      </c>
      <c r="IB9" s="69">
        <f t="shared" si="113"/>
        <v>22.659400189812086</v>
      </c>
      <c r="IC9" s="69">
        <f t="shared" si="114"/>
        <v>20.46</v>
      </c>
      <c r="ID9" s="69">
        <f t="shared" si="222"/>
        <v>463.6113278835553</v>
      </c>
      <c r="IE9" s="69">
        <f t="shared" si="115"/>
        <v>22.659400189812086</v>
      </c>
      <c r="IF9" s="69">
        <f t="shared" si="116"/>
        <v>21.62</v>
      </c>
      <c r="IG9" s="69">
        <f t="shared" si="223"/>
        <v>489.8962321037373</v>
      </c>
      <c r="IH9" s="69">
        <f t="shared" si="117"/>
        <v>22.659400189812086</v>
      </c>
      <c r="II9" s="69">
        <f t="shared" si="118"/>
        <v>20.77</v>
      </c>
      <c r="IJ9" s="69">
        <f t="shared" si="224"/>
        <v>470.63574194239703</v>
      </c>
      <c r="IK9" s="69">
        <f t="shared" si="119"/>
        <v>22.659400189812086</v>
      </c>
      <c r="IL9" s="69">
        <f t="shared" si="120"/>
        <v>20.329999999999998</v>
      </c>
      <c r="IM9" s="69">
        <f t="shared" si="225"/>
        <v>460.66560585887964</v>
      </c>
      <c r="IN9" s="69">
        <f t="shared" si="226"/>
        <v>22.659400189812086</v>
      </c>
      <c r="IO9" s="69">
        <f t="shared" si="227"/>
        <v>27.02</v>
      </c>
      <c r="IP9" s="69">
        <f t="shared" si="228"/>
        <v>612.25699312872257</v>
      </c>
      <c r="IQ9" s="69">
        <f t="shared" si="229"/>
        <v>22.659400189812086</v>
      </c>
      <c r="IR9" s="69">
        <f t="shared" si="230"/>
        <v>18.690000000000001</v>
      </c>
      <c r="IS9" s="69">
        <f t="shared" si="231"/>
        <v>423.50418954758788</v>
      </c>
      <c r="IT9" s="69">
        <f t="shared" si="232"/>
        <v>22.659400189812086</v>
      </c>
      <c r="IU9" s="69">
        <f t="shared" si="233"/>
        <v>27.72</v>
      </c>
      <c r="IV9" s="69">
        <f t="shared" si="234"/>
        <v>628.118573261591</v>
      </c>
    </row>
    <row r="10" spans="1:256" ht="15" x14ac:dyDescent="0.25">
      <c r="A10" s="57" t="s">
        <v>13</v>
      </c>
      <c r="B10" s="295">
        <v>18.68</v>
      </c>
      <c r="C10" s="295">
        <v>24.06</v>
      </c>
      <c r="D10" s="295">
        <v>24.99</v>
      </c>
      <c r="E10" s="295">
        <v>18.059999999999999</v>
      </c>
      <c r="F10" s="295">
        <v>22.09</v>
      </c>
      <c r="G10" s="295">
        <v>19.87</v>
      </c>
      <c r="H10" s="295">
        <v>20</v>
      </c>
      <c r="I10" s="296">
        <v>24.59</v>
      </c>
      <c r="J10" s="295">
        <v>17.34</v>
      </c>
      <c r="K10" s="295">
        <v>23.61</v>
      </c>
      <c r="L10" s="68">
        <f t="shared" si="0"/>
        <v>10</v>
      </c>
      <c r="M10" s="69">
        <f t="shared" si="1"/>
        <v>21.151850510286614</v>
      </c>
      <c r="N10" s="69" t="str">
        <f t="shared" si="121"/>
        <v>±0,43</v>
      </c>
      <c r="O10" s="69" t="str">
        <f t="shared" si="122"/>
        <v>±1,83</v>
      </c>
      <c r="P10" s="69" t="str">
        <f t="shared" si="123"/>
        <v>±0,22</v>
      </c>
      <c r="Q10" s="70">
        <f t="shared" si="2"/>
        <v>18.68</v>
      </c>
      <c r="R10" s="71">
        <f t="shared" si="124"/>
        <v>-0.28862524317590044</v>
      </c>
      <c r="S10" s="71">
        <f t="shared" si="125"/>
        <v>-1.5215928380457378</v>
      </c>
      <c r="T10" s="70">
        <f t="shared" si="3"/>
        <v>24.06</v>
      </c>
      <c r="U10" s="71">
        <f t="shared" si="126"/>
        <v>9.877782706699989E-2</v>
      </c>
      <c r="V10" s="71">
        <f t="shared" si="127"/>
        <v>0.41224035382712021</v>
      </c>
      <c r="W10" s="70">
        <f t="shared" si="4"/>
        <v>24.99</v>
      </c>
      <c r="X10" s="71">
        <f t="shared" si="128"/>
        <v>-0.6982612837780664</v>
      </c>
      <c r="Y10" s="71">
        <f t="shared" si="129"/>
        <v>-2.7182115444263744</v>
      </c>
      <c r="Z10" s="70">
        <f t="shared" si="5"/>
        <v>18.059999999999999</v>
      </c>
      <c r="AA10" s="71">
        <f t="shared" si="130"/>
        <v>-0.63185185283979806</v>
      </c>
      <c r="AB10" s="71">
        <f t="shared" si="131"/>
        <v>-3.3803598370795052</v>
      </c>
      <c r="AC10" s="70">
        <f t="shared" si="6"/>
        <v>22.09</v>
      </c>
      <c r="AD10" s="71">
        <f t="shared" si="132"/>
        <v>-0.46312115284107946</v>
      </c>
      <c r="AE10" s="71">
        <f t="shared" si="133"/>
        <v>-2.0534681195677362</v>
      </c>
      <c r="AF10" s="70">
        <f t="shared" si="7"/>
        <v>19.87</v>
      </c>
      <c r="AG10" s="71">
        <f t="shared" si="134"/>
        <v>-0.73269325718002776</v>
      </c>
      <c r="AH10" s="71">
        <f t="shared" si="135"/>
        <v>-3.5562984316367729</v>
      </c>
      <c r="AI10" s="70">
        <f t="shared" si="8"/>
        <v>20</v>
      </c>
      <c r="AJ10" s="71">
        <f t="shared" si="136"/>
        <v>0.26294613444836301</v>
      </c>
      <c r="AK10" s="71">
        <f t="shared" si="137"/>
        <v>1.3322461206193514</v>
      </c>
      <c r="AL10" s="70">
        <f t="shared" si="138"/>
        <v>24.59</v>
      </c>
      <c r="AM10" s="71">
        <f t="shared" si="139"/>
        <v>-1.2496407621653205</v>
      </c>
      <c r="AN10" s="71">
        <f t="shared" si="140"/>
        <v>-4.8361382949063998</v>
      </c>
      <c r="AO10" s="70">
        <f t="shared" si="141"/>
        <v>17.34</v>
      </c>
      <c r="AP10" s="71">
        <f t="shared" si="142"/>
        <v>-0.39710214259448051</v>
      </c>
      <c r="AQ10" s="71">
        <f t="shared" si="143"/>
        <v>-2.2388219868276327</v>
      </c>
      <c r="AR10" s="70">
        <f t="shared" si="144"/>
        <v>23.61</v>
      </c>
      <c r="AS10" s="71">
        <f t="shared" si="145"/>
        <v>-0.46936053572812853</v>
      </c>
      <c r="AT10" s="71">
        <f t="shared" si="146"/>
        <v>-1.9492234232371231</v>
      </c>
      <c r="AU10" s="69">
        <f t="shared" si="147"/>
        <v>21.151850510286614</v>
      </c>
      <c r="AV10" s="131" t="str">
        <f t="shared" si="148"/>
        <v>±0,43</v>
      </c>
      <c r="AW10" s="69" t="str">
        <f t="shared" si="149"/>
        <v>±1,83</v>
      </c>
      <c r="AX10" s="132">
        <f t="shared" si="150"/>
        <v>0.43</v>
      </c>
      <c r="AY10" s="132">
        <f t="shared" si="151"/>
        <v>1.83</v>
      </c>
      <c r="AZ10" s="69">
        <f t="shared" si="9"/>
        <v>18.68</v>
      </c>
      <c r="BA10" s="69">
        <f t="shared" si="10"/>
        <v>24.06</v>
      </c>
      <c r="BB10" s="69">
        <f t="shared" si="152"/>
        <v>449.44079999999997</v>
      </c>
      <c r="BC10" s="69">
        <f t="shared" si="11"/>
        <v>18.68</v>
      </c>
      <c r="BD10" s="69">
        <f t="shared" si="12"/>
        <v>24.99</v>
      </c>
      <c r="BE10" s="69">
        <f t="shared" si="153"/>
        <v>466.81319999999994</v>
      </c>
      <c r="BF10" s="69">
        <f t="shared" si="13"/>
        <v>18.68</v>
      </c>
      <c r="BG10" s="69">
        <f t="shared" si="14"/>
        <v>18.059999999999999</v>
      </c>
      <c r="BH10" s="69">
        <f t="shared" si="154"/>
        <v>337.36079999999998</v>
      </c>
      <c r="BI10" s="69">
        <f t="shared" si="15"/>
        <v>18.68</v>
      </c>
      <c r="BJ10" s="69">
        <f t="shared" si="16"/>
        <v>22.09</v>
      </c>
      <c r="BK10" s="69">
        <f t="shared" si="155"/>
        <v>412.64119999999997</v>
      </c>
      <c r="BL10" s="69">
        <f t="shared" si="17"/>
        <v>18.68</v>
      </c>
      <c r="BM10" s="69">
        <f t="shared" si="18"/>
        <v>19.87</v>
      </c>
      <c r="BN10" s="69">
        <f t="shared" si="156"/>
        <v>371.17160000000001</v>
      </c>
      <c r="BO10" s="69">
        <f t="shared" si="19"/>
        <v>18.68</v>
      </c>
      <c r="BP10" s="69">
        <f t="shared" si="20"/>
        <v>20</v>
      </c>
      <c r="BQ10" s="69">
        <f t="shared" si="157"/>
        <v>373.6</v>
      </c>
      <c r="BR10" s="69">
        <f t="shared" si="21"/>
        <v>18.68</v>
      </c>
      <c r="BS10" s="69">
        <f t="shared" si="22"/>
        <v>24.59</v>
      </c>
      <c r="BT10" s="69">
        <f t="shared" si="158"/>
        <v>459.34120000000001</v>
      </c>
      <c r="BU10" s="69">
        <f t="shared" si="23"/>
        <v>18.68</v>
      </c>
      <c r="BV10" s="69">
        <f t="shared" si="24"/>
        <v>17.34</v>
      </c>
      <c r="BW10" s="69">
        <f t="shared" si="159"/>
        <v>323.91120000000001</v>
      </c>
      <c r="BX10" s="69">
        <f t="shared" si="25"/>
        <v>18.68</v>
      </c>
      <c r="BY10" s="69">
        <f t="shared" si="26"/>
        <v>23.61</v>
      </c>
      <c r="BZ10" s="69">
        <f t="shared" si="160"/>
        <v>441.03479999999996</v>
      </c>
      <c r="CA10" s="69">
        <f t="shared" si="27"/>
        <v>18.68</v>
      </c>
      <c r="CB10" s="69">
        <f t="shared" si="28"/>
        <v>21.151850510286614</v>
      </c>
      <c r="CC10" s="69">
        <f t="shared" si="161"/>
        <v>395.11656753215397</v>
      </c>
      <c r="CE10" s="69">
        <f t="shared" si="29"/>
        <v>24.06</v>
      </c>
      <c r="CF10" s="69">
        <f t="shared" si="30"/>
        <v>24.99</v>
      </c>
      <c r="CG10" s="69">
        <f t="shared" si="162"/>
        <v>601.25939999999991</v>
      </c>
      <c r="CH10" s="69">
        <f t="shared" si="31"/>
        <v>24.06</v>
      </c>
      <c r="CI10" s="69">
        <f t="shared" si="32"/>
        <v>18.059999999999999</v>
      </c>
      <c r="CJ10" s="69">
        <f t="shared" si="163"/>
        <v>434.52359999999993</v>
      </c>
      <c r="CK10" s="69">
        <f t="shared" si="33"/>
        <v>24.06</v>
      </c>
      <c r="CL10" s="69">
        <f t="shared" si="34"/>
        <v>22.09</v>
      </c>
      <c r="CM10" s="69">
        <f t="shared" si="164"/>
        <v>531.48539999999991</v>
      </c>
      <c r="CN10" s="69">
        <f t="shared" si="35"/>
        <v>24.06</v>
      </c>
      <c r="CO10" s="69">
        <f t="shared" si="36"/>
        <v>19.87</v>
      </c>
      <c r="CP10" s="69">
        <f t="shared" si="165"/>
        <v>478.07220000000001</v>
      </c>
      <c r="CQ10" s="69">
        <f t="shared" si="37"/>
        <v>24.06</v>
      </c>
      <c r="CR10" s="69">
        <f t="shared" si="38"/>
        <v>20</v>
      </c>
      <c r="CS10" s="69">
        <f t="shared" si="166"/>
        <v>481.2</v>
      </c>
      <c r="CT10" s="69">
        <f t="shared" si="39"/>
        <v>24.06</v>
      </c>
      <c r="CU10" s="69">
        <f t="shared" si="40"/>
        <v>24.59</v>
      </c>
      <c r="CV10" s="69">
        <f t="shared" si="167"/>
        <v>591.6354</v>
      </c>
      <c r="CW10" s="69">
        <f t="shared" si="41"/>
        <v>24.06</v>
      </c>
      <c r="CX10" s="69">
        <f t="shared" si="42"/>
        <v>17.34</v>
      </c>
      <c r="CY10" s="69">
        <f t="shared" si="168"/>
        <v>417.2004</v>
      </c>
      <c r="CZ10" s="69">
        <f t="shared" si="43"/>
        <v>24.06</v>
      </c>
      <c r="DA10" s="69">
        <f t="shared" si="44"/>
        <v>23.61</v>
      </c>
      <c r="DB10" s="69">
        <f t="shared" si="169"/>
        <v>568.0566</v>
      </c>
      <c r="DC10" s="69">
        <f t="shared" si="45"/>
        <v>24.06</v>
      </c>
      <c r="DD10" s="69">
        <f t="shared" si="46"/>
        <v>21.151850510286614</v>
      </c>
      <c r="DE10" s="69">
        <f t="shared" si="170"/>
        <v>508.91352327749593</v>
      </c>
      <c r="DG10" s="69">
        <f t="shared" si="47"/>
        <v>24.99</v>
      </c>
      <c r="DH10" s="69">
        <f t="shared" si="48"/>
        <v>18.059999999999999</v>
      </c>
      <c r="DI10" s="69">
        <f t="shared" si="171"/>
        <v>451.31939999999992</v>
      </c>
      <c r="DJ10" s="69">
        <f t="shared" si="49"/>
        <v>24.99</v>
      </c>
      <c r="DK10" s="69">
        <f t="shared" si="50"/>
        <v>22.09</v>
      </c>
      <c r="DL10" s="69">
        <f t="shared" si="172"/>
        <v>552.02909999999997</v>
      </c>
      <c r="DM10" s="69">
        <f t="shared" si="51"/>
        <v>24.99</v>
      </c>
      <c r="DN10" s="69">
        <f t="shared" si="52"/>
        <v>19.87</v>
      </c>
      <c r="DO10" s="69">
        <f t="shared" si="173"/>
        <v>496.55129999999997</v>
      </c>
      <c r="DP10" s="69">
        <f t="shared" si="53"/>
        <v>24.99</v>
      </c>
      <c r="DQ10" s="69">
        <f t="shared" si="54"/>
        <v>20</v>
      </c>
      <c r="DR10" s="69">
        <f t="shared" si="174"/>
        <v>499.79999999999995</v>
      </c>
      <c r="DS10" s="69">
        <f t="shared" si="55"/>
        <v>24.99</v>
      </c>
      <c r="DT10" s="69">
        <f t="shared" si="56"/>
        <v>24.59</v>
      </c>
      <c r="DU10" s="69">
        <f t="shared" si="175"/>
        <v>614.50409999999999</v>
      </c>
      <c r="DV10" s="69">
        <f t="shared" si="57"/>
        <v>24.99</v>
      </c>
      <c r="DW10" s="69">
        <f t="shared" si="58"/>
        <v>17.34</v>
      </c>
      <c r="DX10" s="69">
        <f t="shared" si="176"/>
        <v>433.32659999999998</v>
      </c>
      <c r="DY10" s="69">
        <f t="shared" si="59"/>
        <v>24.99</v>
      </c>
      <c r="DZ10" s="69">
        <f t="shared" si="60"/>
        <v>23.61</v>
      </c>
      <c r="EA10" s="69">
        <f t="shared" si="177"/>
        <v>590.01389999999992</v>
      </c>
      <c r="EB10" s="69">
        <f t="shared" si="61"/>
        <v>24.99</v>
      </c>
      <c r="EC10" s="69">
        <f t="shared" si="62"/>
        <v>21.151850510286614</v>
      </c>
      <c r="ED10" s="69">
        <f t="shared" si="178"/>
        <v>528.58474425206248</v>
      </c>
      <c r="EF10" s="69">
        <f t="shared" si="63"/>
        <v>18.059999999999999</v>
      </c>
      <c r="EG10" s="69">
        <f t="shared" si="64"/>
        <v>22.09</v>
      </c>
      <c r="EH10" s="69">
        <f t="shared" si="179"/>
        <v>398.94539999999995</v>
      </c>
      <c r="EI10" s="69">
        <f t="shared" si="65"/>
        <v>18.059999999999999</v>
      </c>
      <c r="EJ10" s="69">
        <f t="shared" si="66"/>
        <v>19.87</v>
      </c>
      <c r="EK10" s="69">
        <f t="shared" si="180"/>
        <v>358.85219999999998</v>
      </c>
      <c r="EL10" s="69">
        <f t="shared" si="67"/>
        <v>18.059999999999999</v>
      </c>
      <c r="EM10" s="69">
        <f t="shared" si="68"/>
        <v>20</v>
      </c>
      <c r="EN10" s="69">
        <f t="shared" si="181"/>
        <v>361.2</v>
      </c>
      <c r="EO10" s="69">
        <f t="shared" si="69"/>
        <v>18.059999999999999</v>
      </c>
      <c r="EP10" s="69">
        <f t="shared" si="70"/>
        <v>24.59</v>
      </c>
      <c r="EQ10" s="69">
        <f t="shared" si="182"/>
        <v>444.09539999999998</v>
      </c>
      <c r="ER10" s="69">
        <f t="shared" si="71"/>
        <v>18.059999999999999</v>
      </c>
      <c r="ES10" s="69">
        <f t="shared" si="72"/>
        <v>17.34</v>
      </c>
      <c r="ET10" s="69">
        <f t="shared" si="183"/>
        <v>313.16039999999998</v>
      </c>
      <c r="EU10" s="69">
        <f t="shared" si="73"/>
        <v>18.059999999999999</v>
      </c>
      <c r="EV10" s="69">
        <f t="shared" si="74"/>
        <v>23.61</v>
      </c>
      <c r="EW10" s="69">
        <f t="shared" si="184"/>
        <v>426.39659999999998</v>
      </c>
      <c r="EX10" s="69">
        <f t="shared" si="75"/>
        <v>18.059999999999999</v>
      </c>
      <c r="EY10" s="69">
        <f t="shared" si="76"/>
        <v>21.151850510286614</v>
      </c>
      <c r="EZ10" s="69">
        <f t="shared" si="185"/>
        <v>382.00242021577623</v>
      </c>
      <c r="FB10" s="69">
        <f t="shared" si="77"/>
        <v>22.09</v>
      </c>
      <c r="FC10" s="69">
        <f t="shared" si="78"/>
        <v>19.87</v>
      </c>
      <c r="FD10" s="69">
        <f t="shared" si="186"/>
        <v>438.92830000000004</v>
      </c>
      <c r="FE10" s="69">
        <f t="shared" si="79"/>
        <v>22.09</v>
      </c>
      <c r="FF10" s="69">
        <f t="shared" si="80"/>
        <v>20</v>
      </c>
      <c r="FG10" s="69">
        <f t="shared" si="187"/>
        <v>441.8</v>
      </c>
      <c r="FH10" s="69">
        <f t="shared" si="81"/>
        <v>22.09</v>
      </c>
      <c r="FI10" s="69">
        <f t="shared" si="82"/>
        <v>24.59</v>
      </c>
      <c r="FJ10" s="69">
        <f t="shared" si="188"/>
        <v>543.19309999999996</v>
      </c>
      <c r="FK10" s="69">
        <f t="shared" si="83"/>
        <v>22.09</v>
      </c>
      <c r="FL10" s="69">
        <f t="shared" si="84"/>
        <v>17.34</v>
      </c>
      <c r="FM10" s="69">
        <f t="shared" si="189"/>
        <v>383.04059999999998</v>
      </c>
      <c r="FN10" s="69">
        <f t="shared" si="85"/>
        <v>22.09</v>
      </c>
      <c r="FO10" s="69">
        <f t="shared" si="86"/>
        <v>23.61</v>
      </c>
      <c r="FP10" s="69">
        <f t="shared" si="190"/>
        <v>521.54489999999998</v>
      </c>
      <c r="FQ10" s="69">
        <f t="shared" si="87"/>
        <v>22.09</v>
      </c>
      <c r="FR10" s="69">
        <f t="shared" si="88"/>
        <v>21.151850510286614</v>
      </c>
      <c r="FS10" s="69">
        <f t="shared" si="191"/>
        <v>467.2443777722313</v>
      </c>
      <c r="FU10" s="69">
        <f t="shared" si="89"/>
        <v>19.87</v>
      </c>
      <c r="FV10" s="69">
        <f t="shared" si="90"/>
        <v>20</v>
      </c>
      <c r="FW10" s="69">
        <f t="shared" si="192"/>
        <v>397.40000000000003</v>
      </c>
      <c r="FX10" s="69">
        <f t="shared" si="91"/>
        <v>19.87</v>
      </c>
      <c r="FY10" s="69">
        <f t="shared" si="92"/>
        <v>24.59</v>
      </c>
      <c r="FZ10" s="69">
        <f t="shared" si="193"/>
        <v>488.60330000000005</v>
      </c>
      <c r="GA10" s="69">
        <f t="shared" si="93"/>
        <v>19.87</v>
      </c>
      <c r="GB10" s="69">
        <f t="shared" si="94"/>
        <v>17.34</v>
      </c>
      <c r="GC10" s="69">
        <f t="shared" si="194"/>
        <v>344.54580000000004</v>
      </c>
      <c r="GD10" s="69">
        <f t="shared" si="95"/>
        <v>19.87</v>
      </c>
      <c r="GE10" s="69">
        <f t="shared" si="96"/>
        <v>23.61</v>
      </c>
      <c r="GF10" s="69">
        <f t="shared" si="195"/>
        <v>469.13069999999999</v>
      </c>
      <c r="GG10" s="69">
        <f t="shared" si="97"/>
        <v>19.87</v>
      </c>
      <c r="GH10" s="69">
        <f t="shared" si="98"/>
        <v>21.151850510286614</v>
      </c>
      <c r="GI10" s="69">
        <f t="shared" si="196"/>
        <v>420.28726963939505</v>
      </c>
      <c r="GK10" s="69">
        <f t="shared" si="99"/>
        <v>20</v>
      </c>
      <c r="GL10" s="69">
        <f t="shared" si="100"/>
        <v>24.59</v>
      </c>
      <c r="GM10" s="69">
        <f t="shared" si="197"/>
        <v>491.8</v>
      </c>
      <c r="GN10" s="69">
        <f t="shared" si="101"/>
        <v>20</v>
      </c>
      <c r="GO10" s="69">
        <f t="shared" si="102"/>
        <v>17.34</v>
      </c>
      <c r="GP10" s="69">
        <f t="shared" si="198"/>
        <v>346.8</v>
      </c>
      <c r="GQ10" s="69">
        <f t="shared" si="103"/>
        <v>20</v>
      </c>
      <c r="GR10" s="69">
        <f t="shared" si="104"/>
        <v>23.61</v>
      </c>
      <c r="GS10" s="69">
        <f t="shared" si="199"/>
        <v>472.2</v>
      </c>
      <c r="GT10" s="69">
        <f t="shared" si="105"/>
        <v>20</v>
      </c>
      <c r="GU10" s="69">
        <f t="shared" si="106"/>
        <v>21.151850510286614</v>
      </c>
      <c r="GV10" s="69">
        <f t="shared" si="200"/>
        <v>423.03701020573226</v>
      </c>
      <c r="GX10" s="69">
        <f t="shared" si="201"/>
        <v>24.59</v>
      </c>
      <c r="GY10" s="69">
        <f t="shared" si="202"/>
        <v>17.34</v>
      </c>
      <c r="GZ10" s="69">
        <f t="shared" si="203"/>
        <v>426.39060000000001</v>
      </c>
      <c r="HA10" s="69">
        <f t="shared" si="204"/>
        <v>24.59</v>
      </c>
      <c r="HB10" s="69">
        <f t="shared" si="205"/>
        <v>23.61</v>
      </c>
      <c r="HC10" s="69">
        <f t="shared" si="206"/>
        <v>580.56989999999996</v>
      </c>
      <c r="HD10" s="69">
        <f t="shared" si="207"/>
        <v>24.59</v>
      </c>
      <c r="HE10" s="69">
        <f t="shared" si="208"/>
        <v>21.151850510286614</v>
      </c>
      <c r="HF10" s="69">
        <f t="shared" si="209"/>
        <v>520.12400404794789</v>
      </c>
      <c r="HH10" s="69">
        <f t="shared" si="210"/>
        <v>17.34</v>
      </c>
      <c r="HI10" s="69">
        <f t="shared" si="211"/>
        <v>23.61</v>
      </c>
      <c r="HJ10" s="69">
        <f t="shared" si="212"/>
        <v>409.3974</v>
      </c>
      <c r="HK10" s="69">
        <f t="shared" si="213"/>
        <v>17.34</v>
      </c>
      <c r="HL10" s="69">
        <f t="shared" si="214"/>
        <v>21.151850510286614</v>
      </c>
      <c r="HM10" s="69">
        <f t="shared" si="215"/>
        <v>366.77308784836987</v>
      </c>
      <c r="HO10" s="69">
        <f t="shared" si="216"/>
        <v>23.61</v>
      </c>
      <c r="HP10" s="69">
        <f t="shared" si="217"/>
        <v>21.151850510286614</v>
      </c>
      <c r="HQ10" s="69">
        <f t="shared" si="218"/>
        <v>499.39519054786695</v>
      </c>
      <c r="HS10" s="69">
        <f t="shared" si="107"/>
        <v>21.151850510286614</v>
      </c>
      <c r="HT10" s="69">
        <f t="shared" si="108"/>
        <v>18.68</v>
      </c>
      <c r="HU10" s="69">
        <f t="shared" si="219"/>
        <v>395.11656753215397</v>
      </c>
      <c r="HV10" s="69">
        <f t="shared" si="109"/>
        <v>21.151850510286614</v>
      </c>
      <c r="HW10" s="69">
        <f t="shared" si="110"/>
        <v>24.06</v>
      </c>
      <c r="HX10" s="69">
        <f t="shared" si="220"/>
        <v>508.91352327749593</v>
      </c>
      <c r="HY10" s="69">
        <f t="shared" si="111"/>
        <v>21.151850510286614</v>
      </c>
      <c r="HZ10" s="69">
        <f t="shared" si="112"/>
        <v>24.99</v>
      </c>
      <c r="IA10" s="69">
        <f t="shared" si="221"/>
        <v>528.58474425206248</v>
      </c>
      <c r="IB10" s="69">
        <f t="shared" si="113"/>
        <v>21.151850510286614</v>
      </c>
      <c r="IC10" s="69">
        <f t="shared" si="114"/>
        <v>18.059999999999999</v>
      </c>
      <c r="ID10" s="69">
        <f t="shared" si="222"/>
        <v>382.00242021577623</v>
      </c>
      <c r="IE10" s="69">
        <f t="shared" si="115"/>
        <v>21.151850510286614</v>
      </c>
      <c r="IF10" s="69">
        <f t="shared" si="116"/>
        <v>22.09</v>
      </c>
      <c r="IG10" s="69">
        <f t="shared" si="223"/>
        <v>467.2443777722313</v>
      </c>
      <c r="IH10" s="69">
        <f t="shared" si="117"/>
        <v>21.151850510286614</v>
      </c>
      <c r="II10" s="69">
        <f t="shared" si="118"/>
        <v>19.87</v>
      </c>
      <c r="IJ10" s="69">
        <f t="shared" si="224"/>
        <v>420.28726963939505</v>
      </c>
      <c r="IK10" s="69">
        <f t="shared" si="119"/>
        <v>21.151850510286614</v>
      </c>
      <c r="IL10" s="69">
        <f t="shared" si="120"/>
        <v>20</v>
      </c>
      <c r="IM10" s="69">
        <f t="shared" si="225"/>
        <v>423.03701020573226</v>
      </c>
      <c r="IN10" s="69">
        <f t="shared" si="226"/>
        <v>21.151850510286614</v>
      </c>
      <c r="IO10" s="69">
        <f t="shared" si="227"/>
        <v>24.59</v>
      </c>
      <c r="IP10" s="69">
        <f t="shared" si="228"/>
        <v>520.12400404794789</v>
      </c>
      <c r="IQ10" s="69">
        <f t="shared" si="229"/>
        <v>21.151850510286614</v>
      </c>
      <c r="IR10" s="69">
        <f t="shared" si="230"/>
        <v>17.34</v>
      </c>
      <c r="IS10" s="69">
        <f t="shared" si="231"/>
        <v>366.77308784836987</v>
      </c>
      <c r="IT10" s="69">
        <f t="shared" si="232"/>
        <v>21.151850510286614</v>
      </c>
      <c r="IU10" s="69">
        <f t="shared" si="233"/>
        <v>23.61</v>
      </c>
      <c r="IV10" s="69">
        <f t="shared" si="234"/>
        <v>499.39519054786695</v>
      </c>
    </row>
    <row r="11" spans="1:256" ht="15" x14ac:dyDescent="0.25">
      <c r="A11" s="57" t="s">
        <v>14</v>
      </c>
      <c r="B11" s="295">
        <v>17.88</v>
      </c>
      <c r="C11" s="295">
        <v>22.24</v>
      </c>
      <c r="D11" s="295">
        <v>24.47</v>
      </c>
      <c r="E11" s="295">
        <v>17.79</v>
      </c>
      <c r="F11" s="295">
        <v>21.63</v>
      </c>
      <c r="G11" s="295">
        <v>19.57</v>
      </c>
      <c r="H11" s="295">
        <v>18.88</v>
      </c>
      <c r="I11" s="296">
        <v>27.39</v>
      </c>
      <c r="J11" s="295">
        <v>16.649999999999999</v>
      </c>
      <c r="K11" s="295">
        <v>23.33</v>
      </c>
      <c r="L11" s="68">
        <f t="shared" si="0"/>
        <v>10</v>
      </c>
      <c r="M11" s="69">
        <f t="shared" si="1"/>
        <v>20.739021215536624</v>
      </c>
      <c r="N11" s="69" t="str">
        <f t="shared" si="121"/>
        <v>±0,87</v>
      </c>
      <c r="O11" s="69" t="str">
        <f t="shared" si="122"/>
        <v>±3,66</v>
      </c>
      <c r="P11" s="69" t="str">
        <f t="shared" si="123"/>
        <v>±0,69</v>
      </c>
      <c r="Q11" s="70">
        <f t="shared" si="2"/>
        <v>17.88</v>
      </c>
      <c r="R11" s="71">
        <f t="shared" si="124"/>
        <v>-1.0886252431759011</v>
      </c>
      <c r="S11" s="71">
        <f t="shared" si="125"/>
        <v>-5.7390835087932519</v>
      </c>
      <c r="T11" s="70">
        <f t="shared" si="3"/>
        <v>22.24</v>
      </c>
      <c r="U11" s="71">
        <f t="shared" si="126"/>
        <v>-1.7212221729330004</v>
      </c>
      <c r="V11" s="71">
        <f t="shared" si="127"/>
        <v>-7.1833655249744393</v>
      </c>
      <c r="W11" s="70">
        <f t="shared" si="4"/>
        <v>24.47</v>
      </c>
      <c r="X11" s="71">
        <f t="shared" si="128"/>
        <v>-1.218261283778066</v>
      </c>
      <c r="Y11" s="71">
        <f t="shared" si="129"/>
        <v>-4.7424824526655973</v>
      </c>
      <c r="Z11" s="70">
        <f t="shared" si="5"/>
        <v>17.79</v>
      </c>
      <c r="AA11" s="71">
        <f t="shared" si="130"/>
        <v>-0.90185185283979763</v>
      </c>
      <c r="AB11" s="71">
        <f t="shared" si="131"/>
        <v>-4.8248395072892798</v>
      </c>
      <c r="AC11" s="70">
        <f t="shared" si="6"/>
        <v>21.63</v>
      </c>
      <c r="AD11" s="71">
        <f t="shared" si="132"/>
        <v>-0.92312115284108032</v>
      </c>
      <c r="AE11" s="71">
        <f t="shared" si="133"/>
        <v>-4.0930971220574985</v>
      </c>
      <c r="AF11" s="70">
        <f t="shared" si="7"/>
        <v>19.57</v>
      </c>
      <c r="AG11" s="71">
        <f t="shared" si="134"/>
        <v>-1.0326932571800285</v>
      </c>
      <c r="AH11" s="71">
        <f t="shared" si="135"/>
        <v>-5.0124187371480389</v>
      </c>
      <c r="AI11" s="70">
        <f t="shared" si="8"/>
        <v>18.88</v>
      </c>
      <c r="AJ11" s="71">
        <f t="shared" si="136"/>
        <v>-0.85705386555163798</v>
      </c>
      <c r="AK11" s="71">
        <f t="shared" si="137"/>
        <v>-4.3423596621353422</v>
      </c>
      <c r="AL11" s="70">
        <f t="shared" si="138"/>
        <v>27.39</v>
      </c>
      <c r="AM11" s="71">
        <f t="shared" si="139"/>
        <v>1.5503592378346802</v>
      </c>
      <c r="AN11" s="71">
        <f t="shared" si="140"/>
        <v>5.9999256650066668</v>
      </c>
      <c r="AO11" s="70">
        <f t="shared" si="141"/>
        <v>16.649999999999999</v>
      </c>
      <c r="AP11" s="71">
        <f t="shared" si="142"/>
        <v>-1.0871021425944818</v>
      </c>
      <c r="AQ11" s="71">
        <f t="shared" si="143"/>
        <v>-6.1289726690127004</v>
      </c>
      <c r="AR11" s="70">
        <f t="shared" si="144"/>
        <v>23.33</v>
      </c>
      <c r="AS11" s="71">
        <f t="shared" si="145"/>
        <v>-0.74936053572812966</v>
      </c>
      <c r="AT11" s="71">
        <f t="shared" si="146"/>
        <v>-3.1120450005981404</v>
      </c>
      <c r="AU11" s="69">
        <f t="shared" si="147"/>
        <v>20.739021215536624</v>
      </c>
      <c r="AV11" s="131" t="str">
        <f t="shared" si="148"/>
        <v>±0,87</v>
      </c>
      <c r="AW11" s="69" t="str">
        <f t="shared" si="149"/>
        <v>±3,66</v>
      </c>
      <c r="AX11" s="132">
        <f t="shared" si="150"/>
        <v>0.87</v>
      </c>
      <c r="AY11" s="132">
        <f t="shared" si="151"/>
        <v>3.66</v>
      </c>
      <c r="AZ11" s="69">
        <f t="shared" si="9"/>
        <v>17.88</v>
      </c>
      <c r="BA11" s="69">
        <f t="shared" si="10"/>
        <v>22.24</v>
      </c>
      <c r="BB11" s="69">
        <f t="shared" si="152"/>
        <v>397.65119999999996</v>
      </c>
      <c r="BC11" s="69">
        <f t="shared" si="11"/>
        <v>17.88</v>
      </c>
      <c r="BD11" s="69">
        <f t="shared" si="12"/>
        <v>24.47</v>
      </c>
      <c r="BE11" s="69">
        <f t="shared" si="153"/>
        <v>437.52359999999993</v>
      </c>
      <c r="BF11" s="69">
        <f t="shared" si="13"/>
        <v>17.88</v>
      </c>
      <c r="BG11" s="69">
        <f t="shared" si="14"/>
        <v>17.79</v>
      </c>
      <c r="BH11" s="69">
        <f t="shared" si="154"/>
        <v>318.08519999999999</v>
      </c>
      <c r="BI11" s="69">
        <f t="shared" si="15"/>
        <v>17.88</v>
      </c>
      <c r="BJ11" s="69">
        <f t="shared" si="16"/>
        <v>21.63</v>
      </c>
      <c r="BK11" s="69">
        <f t="shared" si="155"/>
        <v>386.74439999999998</v>
      </c>
      <c r="BL11" s="69">
        <f t="shared" si="17"/>
        <v>17.88</v>
      </c>
      <c r="BM11" s="69">
        <f t="shared" si="18"/>
        <v>19.57</v>
      </c>
      <c r="BN11" s="69">
        <f t="shared" si="156"/>
        <v>349.91159999999996</v>
      </c>
      <c r="BO11" s="69">
        <f t="shared" si="19"/>
        <v>17.88</v>
      </c>
      <c r="BP11" s="69">
        <f t="shared" si="20"/>
        <v>18.88</v>
      </c>
      <c r="BQ11" s="69">
        <f t="shared" si="157"/>
        <v>337.57439999999997</v>
      </c>
      <c r="BR11" s="69">
        <f t="shared" si="21"/>
        <v>17.88</v>
      </c>
      <c r="BS11" s="69">
        <f t="shared" si="22"/>
        <v>27.39</v>
      </c>
      <c r="BT11" s="69">
        <f t="shared" si="158"/>
        <v>489.73320000000001</v>
      </c>
      <c r="BU11" s="69">
        <f t="shared" si="23"/>
        <v>17.88</v>
      </c>
      <c r="BV11" s="69">
        <f t="shared" si="24"/>
        <v>16.649999999999999</v>
      </c>
      <c r="BW11" s="69">
        <f t="shared" si="159"/>
        <v>297.70199999999994</v>
      </c>
      <c r="BX11" s="69">
        <f t="shared" si="25"/>
        <v>17.88</v>
      </c>
      <c r="BY11" s="69">
        <f t="shared" si="26"/>
        <v>23.33</v>
      </c>
      <c r="BZ11" s="69">
        <f t="shared" si="160"/>
        <v>417.14039999999994</v>
      </c>
      <c r="CA11" s="69">
        <f t="shared" si="27"/>
        <v>17.88</v>
      </c>
      <c r="CB11" s="69">
        <f t="shared" si="28"/>
        <v>20.739021215536624</v>
      </c>
      <c r="CC11" s="69">
        <f t="shared" si="161"/>
        <v>370.81369933379483</v>
      </c>
      <c r="CE11" s="69">
        <f t="shared" si="29"/>
        <v>22.24</v>
      </c>
      <c r="CF11" s="69">
        <f t="shared" si="30"/>
        <v>24.47</v>
      </c>
      <c r="CG11" s="69">
        <f t="shared" si="162"/>
        <v>544.2127999999999</v>
      </c>
      <c r="CH11" s="69">
        <f t="shared" si="31"/>
        <v>22.24</v>
      </c>
      <c r="CI11" s="69">
        <f t="shared" si="32"/>
        <v>17.79</v>
      </c>
      <c r="CJ11" s="69">
        <f t="shared" si="163"/>
        <v>395.64959999999996</v>
      </c>
      <c r="CK11" s="69">
        <f t="shared" si="33"/>
        <v>22.24</v>
      </c>
      <c r="CL11" s="69">
        <f t="shared" si="34"/>
        <v>21.63</v>
      </c>
      <c r="CM11" s="69">
        <f t="shared" si="164"/>
        <v>481.05119999999994</v>
      </c>
      <c r="CN11" s="69">
        <f t="shared" si="35"/>
        <v>22.24</v>
      </c>
      <c r="CO11" s="69">
        <f t="shared" si="36"/>
        <v>19.57</v>
      </c>
      <c r="CP11" s="69">
        <f t="shared" si="165"/>
        <v>435.23679999999996</v>
      </c>
      <c r="CQ11" s="69">
        <f t="shared" si="37"/>
        <v>22.24</v>
      </c>
      <c r="CR11" s="69">
        <f t="shared" si="38"/>
        <v>18.88</v>
      </c>
      <c r="CS11" s="69">
        <f t="shared" si="166"/>
        <v>419.89119999999997</v>
      </c>
      <c r="CT11" s="69">
        <f t="shared" si="39"/>
        <v>22.24</v>
      </c>
      <c r="CU11" s="69">
        <f t="shared" si="40"/>
        <v>27.39</v>
      </c>
      <c r="CV11" s="69">
        <f t="shared" si="167"/>
        <v>609.15359999999998</v>
      </c>
      <c r="CW11" s="69">
        <f t="shared" si="41"/>
        <v>22.24</v>
      </c>
      <c r="CX11" s="69">
        <f t="shared" si="42"/>
        <v>16.649999999999999</v>
      </c>
      <c r="CY11" s="69">
        <f t="shared" si="168"/>
        <v>370.29599999999994</v>
      </c>
      <c r="CZ11" s="69">
        <f t="shared" si="43"/>
        <v>22.24</v>
      </c>
      <c r="DA11" s="69">
        <f t="shared" si="44"/>
        <v>23.33</v>
      </c>
      <c r="DB11" s="69">
        <f t="shared" si="169"/>
        <v>518.85919999999987</v>
      </c>
      <c r="DC11" s="69">
        <f t="shared" si="45"/>
        <v>22.24</v>
      </c>
      <c r="DD11" s="69">
        <f t="shared" si="46"/>
        <v>20.739021215536624</v>
      </c>
      <c r="DE11" s="69">
        <f t="shared" si="170"/>
        <v>461.23583183353452</v>
      </c>
      <c r="DG11" s="69">
        <f t="shared" si="47"/>
        <v>24.47</v>
      </c>
      <c r="DH11" s="69">
        <f t="shared" si="48"/>
        <v>17.79</v>
      </c>
      <c r="DI11" s="69">
        <f t="shared" si="171"/>
        <v>435.32129999999995</v>
      </c>
      <c r="DJ11" s="69">
        <f t="shared" si="49"/>
        <v>24.47</v>
      </c>
      <c r="DK11" s="69">
        <f t="shared" si="50"/>
        <v>21.63</v>
      </c>
      <c r="DL11" s="69">
        <f t="shared" si="172"/>
        <v>529.28609999999992</v>
      </c>
      <c r="DM11" s="69">
        <f t="shared" si="51"/>
        <v>24.47</v>
      </c>
      <c r="DN11" s="69">
        <f t="shared" si="52"/>
        <v>19.57</v>
      </c>
      <c r="DO11" s="69">
        <f t="shared" si="173"/>
        <v>478.87790000000001</v>
      </c>
      <c r="DP11" s="69">
        <f t="shared" si="53"/>
        <v>24.47</v>
      </c>
      <c r="DQ11" s="69">
        <f t="shared" si="54"/>
        <v>18.88</v>
      </c>
      <c r="DR11" s="69">
        <f t="shared" si="174"/>
        <v>461.99359999999996</v>
      </c>
      <c r="DS11" s="69">
        <f t="shared" si="55"/>
        <v>24.47</v>
      </c>
      <c r="DT11" s="69">
        <f t="shared" si="56"/>
        <v>27.39</v>
      </c>
      <c r="DU11" s="69">
        <f t="shared" si="175"/>
        <v>670.23329999999999</v>
      </c>
      <c r="DV11" s="69">
        <f t="shared" si="57"/>
        <v>24.47</v>
      </c>
      <c r="DW11" s="69">
        <f t="shared" si="58"/>
        <v>16.649999999999999</v>
      </c>
      <c r="DX11" s="69">
        <f t="shared" si="176"/>
        <v>407.42549999999994</v>
      </c>
      <c r="DY11" s="69">
        <f t="shared" si="59"/>
        <v>24.47</v>
      </c>
      <c r="DZ11" s="69">
        <f t="shared" si="60"/>
        <v>23.33</v>
      </c>
      <c r="EA11" s="69">
        <f t="shared" si="177"/>
        <v>570.88509999999997</v>
      </c>
      <c r="EB11" s="69">
        <f t="shared" si="61"/>
        <v>24.47</v>
      </c>
      <c r="EC11" s="69">
        <f t="shared" si="62"/>
        <v>20.739021215536624</v>
      </c>
      <c r="ED11" s="69">
        <f t="shared" si="178"/>
        <v>507.48384914418119</v>
      </c>
      <c r="EF11" s="69">
        <f t="shared" si="63"/>
        <v>17.79</v>
      </c>
      <c r="EG11" s="69">
        <f t="shared" si="64"/>
        <v>21.63</v>
      </c>
      <c r="EH11" s="69">
        <f t="shared" si="179"/>
        <v>384.79769999999996</v>
      </c>
      <c r="EI11" s="69">
        <f t="shared" si="65"/>
        <v>17.79</v>
      </c>
      <c r="EJ11" s="69">
        <f t="shared" si="66"/>
        <v>19.57</v>
      </c>
      <c r="EK11" s="69">
        <f t="shared" si="180"/>
        <v>348.15030000000002</v>
      </c>
      <c r="EL11" s="69">
        <f t="shared" si="67"/>
        <v>17.79</v>
      </c>
      <c r="EM11" s="69">
        <f t="shared" si="68"/>
        <v>18.88</v>
      </c>
      <c r="EN11" s="69">
        <f t="shared" si="181"/>
        <v>335.87519999999995</v>
      </c>
      <c r="EO11" s="69">
        <f t="shared" si="69"/>
        <v>17.79</v>
      </c>
      <c r="EP11" s="69">
        <f t="shared" si="70"/>
        <v>27.39</v>
      </c>
      <c r="EQ11" s="69">
        <f t="shared" si="182"/>
        <v>487.2681</v>
      </c>
      <c r="ER11" s="69">
        <f t="shared" si="71"/>
        <v>17.79</v>
      </c>
      <c r="ES11" s="69">
        <f t="shared" si="72"/>
        <v>16.649999999999999</v>
      </c>
      <c r="ET11" s="69">
        <f t="shared" si="183"/>
        <v>296.20349999999996</v>
      </c>
      <c r="EU11" s="69">
        <f t="shared" si="73"/>
        <v>17.79</v>
      </c>
      <c r="EV11" s="69">
        <f t="shared" si="74"/>
        <v>23.33</v>
      </c>
      <c r="EW11" s="69">
        <f t="shared" si="184"/>
        <v>415.04069999999996</v>
      </c>
      <c r="EX11" s="69">
        <f t="shared" si="75"/>
        <v>17.79</v>
      </c>
      <c r="EY11" s="69">
        <f t="shared" si="76"/>
        <v>20.739021215536624</v>
      </c>
      <c r="EZ11" s="69">
        <f t="shared" si="185"/>
        <v>368.94718742439653</v>
      </c>
      <c r="FB11" s="69">
        <f t="shared" si="77"/>
        <v>21.63</v>
      </c>
      <c r="FC11" s="69">
        <f t="shared" si="78"/>
        <v>19.57</v>
      </c>
      <c r="FD11" s="69">
        <f t="shared" si="186"/>
        <v>423.29910000000001</v>
      </c>
      <c r="FE11" s="69">
        <f t="shared" si="79"/>
        <v>21.63</v>
      </c>
      <c r="FF11" s="69">
        <f t="shared" si="80"/>
        <v>18.88</v>
      </c>
      <c r="FG11" s="69">
        <f t="shared" si="187"/>
        <v>408.37439999999998</v>
      </c>
      <c r="FH11" s="69">
        <f t="shared" si="81"/>
        <v>21.63</v>
      </c>
      <c r="FI11" s="69">
        <f t="shared" si="82"/>
        <v>27.39</v>
      </c>
      <c r="FJ11" s="69">
        <f t="shared" si="188"/>
        <v>592.44569999999999</v>
      </c>
      <c r="FK11" s="69">
        <f t="shared" si="83"/>
        <v>21.63</v>
      </c>
      <c r="FL11" s="69">
        <f t="shared" si="84"/>
        <v>16.649999999999999</v>
      </c>
      <c r="FM11" s="69">
        <f t="shared" si="189"/>
        <v>360.13949999999994</v>
      </c>
      <c r="FN11" s="69">
        <f t="shared" si="85"/>
        <v>21.63</v>
      </c>
      <c r="FO11" s="69">
        <f t="shared" si="86"/>
        <v>23.33</v>
      </c>
      <c r="FP11" s="69">
        <f t="shared" si="190"/>
        <v>504.62789999999995</v>
      </c>
      <c r="FQ11" s="69">
        <f t="shared" si="87"/>
        <v>21.63</v>
      </c>
      <c r="FR11" s="69">
        <f t="shared" si="88"/>
        <v>20.739021215536624</v>
      </c>
      <c r="FS11" s="69">
        <f t="shared" si="191"/>
        <v>448.58502889205715</v>
      </c>
      <c r="FU11" s="69">
        <f t="shared" si="89"/>
        <v>19.57</v>
      </c>
      <c r="FV11" s="69">
        <f t="shared" si="90"/>
        <v>18.88</v>
      </c>
      <c r="FW11" s="69">
        <f t="shared" si="192"/>
        <v>369.48159999999996</v>
      </c>
      <c r="FX11" s="69">
        <f t="shared" si="91"/>
        <v>19.57</v>
      </c>
      <c r="FY11" s="69">
        <f t="shared" si="92"/>
        <v>27.39</v>
      </c>
      <c r="FZ11" s="69">
        <f t="shared" si="193"/>
        <v>536.02229999999997</v>
      </c>
      <c r="GA11" s="69">
        <f t="shared" si="93"/>
        <v>19.57</v>
      </c>
      <c r="GB11" s="69">
        <f t="shared" si="94"/>
        <v>16.649999999999999</v>
      </c>
      <c r="GC11" s="69">
        <f t="shared" si="194"/>
        <v>325.84049999999996</v>
      </c>
      <c r="GD11" s="69">
        <f t="shared" si="95"/>
        <v>19.57</v>
      </c>
      <c r="GE11" s="69">
        <f t="shared" si="96"/>
        <v>23.33</v>
      </c>
      <c r="GF11" s="69">
        <f t="shared" si="195"/>
        <v>456.56809999999996</v>
      </c>
      <c r="GG11" s="69">
        <f t="shared" si="97"/>
        <v>19.57</v>
      </c>
      <c r="GH11" s="69">
        <f t="shared" si="98"/>
        <v>20.739021215536624</v>
      </c>
      <c r="GI11" s="69">
        <f t="shared" si="196"/>
        <v>405.86264518805172</v>
      </c>
      <c r="GK11" s="69">
        <f t="shared" si="99"/>
        <v>18.88</v>
      </c>
      <c r="GL11" s="69">
        <f t="shared" si="100"/>
        <v>27.39</v>
      </c>
      <c r="GM11" s="69">
        <f t="shared" si="197"/>
        <v>517.1232</v>
      </c>
      <c r="GN11" s="69">
        <f t="shared" si="101"/>
        <v>18.88</v>
      </c>
      <c r="GO11" s="69">
        <f t="shared" si="102"/>
        <v>16.649999999999999</v>
      </c>
      <c r="GP11" s="69">
        <f t="shared" si="198"/>
        <v>314.35199999999998</v>
      </c>
      <c r="GQ11" s="69">
        <f t="shared" si="103"/>
        <v>18.88</v>
      </c>
      <c r="GR11" s="69">
        <f t="shared" si="104"/>
        <v>23.33</v>
      </c>
      <c r="GS11" s="69">
        <f t="shared" si="199"/>
        <v>440.47039999999993</v>
      </c>
      <c r="GT11" s="69">
        <f t="shared" si="105"/>
        <v>18.88</v>
      </c>
      <c r="GU11" s="69">
        <f t="shared" si="106"/>
        <v>20.739021215536624</v>
      </c>
      <c r="GV11" s="69">
        <f t="shared" si="200"/>
        <v>391.55272054933147</v>
      </c>
      <c r="GX11" s="69">
        <f t="shared" si="201"/>
        <v>27.39</v>
      </c>
      <c r="GY11" s="69">
        <f t="shared" si="202"/>
        <v>16.649999999999999</v>
      </c>
      <c r="GZ11" s="69">
        <f t="shared" si="203"/>
        <v>456.04349999999999</v>
      </c>
      <c r="HA11" s="69">
        <f t="shared" si="204"/>
        <v>27.39</v>
      </c>
      <c r="HB11" s="69">
        <f t="shared" si="205"/>
        <v>23.33</v>
      </c>
      <c r="HC11" s="69">
        <f t="shared" si="206"/>
        <v>639.00869999999998</v>
      </c>
      <c r="HD11" s="69">
        <f t="shared" si="207"/>
        <v>27.39</v>
      </c>
      <c r="HE11" s="69">
        <f t="shared" si="208"/>
        <v>20.739021215536624</v>
      </c>
      <c r="HF11" s="69">
        <f t="shared" si="209"/>
        <v>568.04179109354811</v>
      </c>
      <c r="HH11" s="69">
        <f t="shared" si="210"/>
        <v>16.649999999999999</v>
      </c>
      <c r="HI11" s="69">
        <f t="shared" si="211"/>
        <v>23.33</v>
      </c>
      <c r="HJ11" s="69">
        <f t="shared" si="212"/>
        <v>388.44449999999995</v>
      </c>
      <c r="HK11" s="69">
        <f t="shared" si="213"/>
        <v>16.649999999999999</v>
      </c>
      <c r="HL11" s="69">
        <f t="shared" si="214"/>
        <v>20.739021215536624</v>
      </c>
      <c r="HM11" s="69">
        <f t="shared" si="215"/>
        <v>345.30470323868474</v>
      </c>
      <c r="HO11" s="69">
        <f t="shared" si="216"/>
        <v>23.33</v>
      </c>
      <c r="HP11" s="69">
        <f t="shared" si="217"/>
        <v>20.739021215536624</v>
      </c>
      <c r="HQ11" s="69">
        <f t="shared" si="218"/>
        <v>483.8413649584694</v>
      </c>
      <c r="HS11" s="69">
        <f t="shared" si="107"/>
        <v>20.739021215536624</v>
      </c>
      <c r="HT11" s="69">
        <f t="shared" si="108"/>
        <v>17.88</v>
      </c>
      <c r="HU11" s="69">
        <f t="shared" si="219"/>
        <v>370.81369933379483</v>
      </c>
      <c r="HV11" s="69">
        <f t="shared" si="109"/>
        <v>20.739021215536624</v>
      </c>
      <c r="HW11" s="69">
        <f t="shared" si="110"/>
        <v>22.24</v>
      </c>
      <c r="HX11" s="69">
        <f t="shared" si="220"/>
        <v>461.23583183353452</v>
      </c>
      <c r="HY11" s="69">
        <f t="shared" si="111"/>
        <v>20.739021215536624</v>
      </c>
      <c r="HZ11" s="69">
        <f t="shared" si="112"/>
        <v>24.47</v>
      </c>
      <c r="IA11" s="69">
        <f t="shared" si="221"/>
        <v>507.48384914418119</v>
      </c>
      <c r="IB11" s="69">
        <f t="shared" si="113"/>
        <v>20.739021215536624</v>
      </c>
      <c r="IC11" s="69">
        <f t="shared" si="114"/>
        <v>17.79</v>
      </c>
      <c r="ID11" s="69">
        <f t="shared" si="222"/>
        <v>368.94718742439653</v>
      </c>
      <c r="IE11" s="69">
        <f t="shared" si="115"/>
        <v>20.739021215536624</v>
      </c>
      <c r="IF11" s="69">
        <f t="shared" si="116"/>
        <v>21.63</v>
      </c>
      <c r="IG11" s="69">
        <f t="shared" si="223"/>
        <v>448.58502889205715</v>
      </c>
      <c r="IH11" s="69">
        <f t="shared" si="117"/>
        <v>20.739021215536624</v>
      </c>
      <c r="II11" s="69">
        <f t="shared" si="118"/>
        <v>19.57</v>
      </c>
      <c r="IJ11" s="69">
        <f t="shared" si="224"/>
        <v>405.86264518805172</v>
      </c>
      <c r="IK11" s="69">
        <f t="shared" si="119"/>
        <v>20.739021215536624</v>
      </c>
      <c r="IL11" s="69">
        <f t="shared" si="120"/>
        <v>18.88</v>
      </c>
      <c r="IM11" s="69">
        <f t="shared" si="225"/>
        <v>391.55272054933147</v>
      </c>
      <c r="IN11" s="69">
        <f t="shared" si="226"/>
        <v>20.739021215536624</v>
      </c>
      <c r="IO11" s="69">
        <f t="shared" si="227"/>
        <v>27.39</v>
      </c>
      <c r="IP11" s="69">
        <f t="shared" si="228"/>
        <v>568.04179109354811</v>
      </c>
      <c r="IQ11" s="69">
        <f t="shared" si="229"/>
        <v>20.739021215536624</v>
      </c>
      <c r="IR11" s="69">
        <f t="shared" si="230"/>
        <v>16.649999999999999</v>
      </c>
      <c r="IS11" s="69">
        <f t="shared" si="231"/>
        <v>345.30470323868474</v>
      </c>
      <c r="IT11" s="69">
        <f t="shared" si="232"/>
        <v>20.739021215536624</v>
      </c>
      <c r="IU11" s="69">
        <f t="shared" si="233"/>
        <v>23.33</v>
      </c>
      <c r="IV11" s="69">
        <f t="shared" si="234"/>
        <v>483.8413649584694</v>
      </c>
    </row>
    <row r="12" spans="1:256" ht="15" x14ac:dyDescent="0.25">
      <c r="A12" s="57" t="s">
        <v>15</v>
      </c>
      <c r="B12" s="295">
        <v>23.12</v>
      </c>
      <c r="C12" s="295">
        <v>30.22</v>
      </c>
      <c r="D12" s="295">
        <v>29.05</v>
      </c>
      <c r="E12" s="295">
        <v>22.05</v>
      </c>
      <c r="F12" s="295">
        <v>28.82</v>
      </c>
      <c r="G12" s="295">
        <v>23.07</v>
      </c>
      <c r="H12" s="295">
        <v>23.42</v>
      </c>
      <c r="I12" s="296">
        <v>30.37</v>
      </c>
      <c r="J12" s="295">
        <v>22.02</v>
      </c>
      <c r="K12" s="295">
        <v>29.68</v>
      </c>
      <c r="L12" s="68">
        <f t="shared" si="0"/>
        <v>10</v>
      </c>
      <c r="M12" s="69">
        <f t="shared" si="1"/>
        <v>25.947119292885088</v>
      </c>
      <c r="N12" s="69" t="str">
        <f t="shared" si="121"/>
        <v>±1,29</v>
      </c>
      <c r="O12" s="69" t="str">
        <f t="shared" si="122"/>
        <v>±5,3</v>
      </c>
      <c r="P12" s="69" t="str">
        <f t="shared" si="123"/>
        <v>±22,77</v>
      </c>
      <c r="Q12" s="70">
        <f t="shared" si="2"/>
        <v>23.12</v>
      </c>
      <c r="R12" s="71">
        <f t="shared" si="124"/>
        <v>4.1513747568241008</v>
      </c>
      <c r="S12" s="71">
        <f t="shared" si="125"/>
        <v>21.885480384602918</v>
      </c>
      <c r="T12" s="70">
        <f t="shared" si="3"/>
        <v>30.22</v>
      </c>
      <c r="U12" s="71">
        <f t="shared" si="126"/>
        <v>6.258777827067</v>
      </c>
      <c r="V12" s="71">
        <f t="shared" si="127"/>
        <v>26.120444866693916</v>
      </c>
      <c r="W12" s="70">
        <f t="shared" si="4"/>
        <v>29.05</v>
      </c>
      <c r="X12" s="71">
        <f t="shared" si="128"/>
        <v>3.3617387162219359</v>
      </c>
      <c r="Y12" s="71">
        <f t="shared" si="129"/>
        <v>13.086672854518365</v>
      </c>
      <c r="Z12" s="70">
        <f t="shared" si="5"/>
        <v>22.05</v>
      </c>
      <c r="AA12" s="71">
        <f t="shared" si="130"/>
        <v>3.3581481471602039</v>
      </c>
      <c r="AB12" s="71">
        <f t="shared" si="131"/>
        <v>17.965839733798283</v>
      </c>
      <c r="AC12" s="70">
        <f t="shared" si="6"/>
        <v>28.82</v>
      </c>
      <c r="AD12" s="71">
        <f t="shared" si="132"/>
        <v>6.266878847158921</v>
      </c>
      <c r="AE12" s="71">
        <f t="shared" si="133"/>
        <v>27.787190982075959</v>
      </c>
      <c r="AF12" s="70">
        <f t="shared" si="7"/>
        <v>23.07</v>
      </c>
      <c r="AG12" s="71">
        <f t="shared" si="134"/>
        <v>2.4673067428199715</v>
      </c>
      <c r="AH12" s="71">
        <f t="shared" si="135"/>
        <v>11.975651493816786</v>
      </c>
      <c r="AI12" s="70">
        <f t="shared" si="8"/>
        <v>23.42</v>
      </c>
      <c r="AJ12" s="71">
        <f t="shared" si="136"/>
        <v>3.6829461344483647</v>
      </c>
      <c r="AK12" s="71">
        <f t="shared" si="137"/>
        <v>18.660060207245266</v>
      </c>
      <c r="AL12" s="70">
        <f t="shared" si="138"/>
        <v>30.37</v>
      </c>
      <c r="AM12" s="71">
        <f t="shared" si="139"/>
        <v>4.5303592378346806</v>
      </c>
      <c r="AN12" s="71">
        <f t="shared" si="140"/>
        <v>17.53259373662841</v>
      </c>
      <c r="AO12" s="70">
        <f t="shared" si="141"/>
        <v>22.02</v>
      </c>
      <c r="AP12" s="71">
        <f t="shared" si="142"/>
        <v>4.2828978574055192</v>
      </c>
      <c r="AQ12" s="71">
        <f t="shared" si="143"/>
        <v>24.146547857557987</v>
      </c>
      <c r="AR12" s="70">
        <f t="shared" si="144"/>
        <v>29.68</v>
      </c>
      <c r="AS12" s="71">
        <f t="shared" si="145"/>
        <v>5.6006394642718718</v>
      </c>
      <c r="AT12" s="71">
        <f t="shared" si="146"/>
        <v>23.259087200267771</v>
      </c>
      <c r="AU12" s="69">
        <f t="shared" si="147"/>
        <v>25.947119292885088</v>
      </c>
      <c r="AV12" s="131" t="str">
        <f t="shared" si="148"/>
        <v>±1,29</v>
      </c>
      <c r="AW12" s="69" t="str">
        <f t="shared" si="149"/>
        <v>±5,3</v>
      </c>
      <c r="AX12" s="132">
        <f t="shared" si="150"/>
        <v>1.29</v>
      </c>
      <c r="AY12" s="132">
        <f t="shared" si="151"/>
        <v>5.3</v>
      </c>
      <c r="AZ12" s="69">
        <f t="shared" si="9"/>
        <v>23.12</v>
      </c>
      <c r="BA12" s="69">
        <f t="shared" si="10"/>
        <v>30.22</v>
      </c>
      <c r="BB12" s="69">
        <f t="shared" si="152"/>
        <v>698.68640000000005</v>
      </c>
      <c r="BC12" s="69">
        <f t="shared" si="11"/>
        <v>23.12</v>
      </c>
      <c r="BD12" s="69">
        <f t="shared" si="12"/>
        <v>29.05</v>
      </c>
      <c r="BE12" s="69">
        <f t="shared" si="153"/>
        <v>671.63600000000008</v>
      </c>
      <c r="BF12" s="69">
        <f t="shared" si="13"/>
        <v>23.12</v>
      </c>
      <c r="BG12" s="69">
        <f t="shared" si="14"/>
        <v>22.05</v>
      </c>
      <c r="BH12" s="69">
        <f t="shared" si="154"/>
        <v>509.79600000000005</v>
      </c>
      <c r="BI12" s="69">
        <f t="shared" si="15"/>
        <v>23.12</v>
      </c>
      <c r="BJ12" s="69">
        <f t="shared" si="16"/>
        <v>28.82</v>
      </c>
      <c r="BK12" s="69">
        <f t="shared" si="155"/>
        <v>666.3184</v>
      </c>
      <c r="BL12" s="69">
        <f t="shared" si="17"/>
        <v>23.12</v>
      </c>
      <c r="BM12" s="69">
        <f t="shared" si="18"/>
        <v>23.07</v>
      </c>
      <c r="BN12" s="69">
        <f t="shared" si="156"/>
        <v>533.37840000000006</v>
      </c>
      <c r="BO12" s="69">
        <f t="shared" si="19"/>
        <v>23.12</v>
      </c>
      <c r="BP12" s="69">
        <f t="shared" si="20"/>
        <v>23.42</v>
      </c>
      <c r="BQ12" s="69">
        <f t="shared" si="157"/>
        <v>541.47040000000004</v>
      </c>
      <c r="BR12" s="69">
        <f t="shared" si="21"/>
        <v>23.12</v>
      </c>
      <c r="BS12" s="69">
        <f t="shared" si="22"/>
        <v>30.37</v>
      </c>
      <c r="BT12" s="69">
        <f t="shared" si="158"/>
        <v>702.15440000000001</v>
      </c>
      <c r="BU12" s="69">
        <f t="shared" si="23"/>
        <v>23.12</v>
      </c>
      <c r="BV12" s="69">
        <f t="shared" si="24"/>
        <v>22.02</v>
      </c>
      <c r="BW12" s="69">
        <f t="shared" si="159"/>
        <v>509.10239999999999</v>
      </c>
      <c r="BX12" s="69">
        <f t="shared" si="25"/>
        <v>23.12</v>
      </c>
      <c r="BY12" s="69">
        <f t="shared" si="26"/>
        <v>29.68</v>
      </c>
      <c r="BZ12" s="69">
        <f t="shared" si="160"/>
        <v>686.20159999999998</v>
      </c>
      <c r="CA12" s="69">
        <f t="shared" si="27"/>
        <v>23.12</v>
      </c>
      <c r="CB12" s="69">
        <f t="shared" si="28"/>
        <v>25.947119292885088</v>
      </c>
      <c r="CC12" s="69">
        <f t="shared" si="161"/>
        <v>599.89739805150327</v>
      </c>
      <c r="CE12" s="69">
        <f t="shared" si="29"/>
        <v>30.22</v>
      </c>
      <c r="CF12" s="69">
        <f t="shared" si="30"/>
        <v>29.05</v>
      </c>
      <c r="CG12" s="69">
        <f t="shared" si="162"/>
        <v>877.89099999999996</v>
      </c>
      <c r="CH12" s="69">
        <f t="shared" si="31"/>
        <v>30.22</v>
      </c>
      <c r="CI12" s="69">
        <f t="shared" si="32"/>
        <v>22.05</v>
      </c>
      <c r="CJ12" s="69">
        <f t="shared" si="163"/>
        <v>666.351</v>
      </c>
      <c r="CK12" s="69">
        <f t="shared" si="33"/>
        <v>30.22</v>
      </c>
      <c r="CL12" s="69">
        <f t="shared" si="34"/>
        <v>28.82</v>
      </c>
      <c r="CM12" s="69">
        <f t="shared" si="164"/>
        <v>870.94039999999995</v>
      </c>
      <c r="CN12" s="69">
        <f t="shared" si="35"/>
        <v>30.22</v>
      </c>
      <c r="CO12" s="69">
        <f t="shared" si="36"/>
        <v>23.07</v>
      </c>
      <c r="CP12" s="69">
        <f t="shared" si="165"/>
        <v>697.17539999999997</v>
      </c>
      <c r="CQ12" s="69">
        <f t="shared" si="37"/>
        <v>30.22</v>
      </c>
      <c r="CR12" s="69">
        <f t="shared" si="38"/>
        <v>23.42</v>
      </c>
      <c r="CS12" s="69">
        <f t="shared" si="166"/>
        <v>707.75240000000008</v>
      </c>
      <c r="CT12" s="69">
        <f t="shared" si="39"/>
        <v>30.22</v>
      </c>
      <c r="CU12" s="69">
        <f t="shared" si="40"/>
        <v>30.37</v>
      </c>
      <c r="CV12" s="69">
        <f t="shared" si="167"/>
        <v>917.78139999999996</v>
      </c>
      <c r="CW12" s="69">
        <f t="shared" si="41"/>
        <v>30.22</v>
      </c>
      <c r="CX12" s="69">
        <f t="shared" si="42"/>
        <v>22.02</v>
      </c>
      <c r="CY12" s="69">
        <f t="shared" si="168"/>
        <v>665.44439999999997</v>
      </c>
      <c r="CZ12" s="69">
        <f t="shared" si="43"/>
        <v>30.22</v>
      </c>
      <c r="DA12" s="69">
        <f t="shared" si="44"/>
        <v>29.68</v>
      </c>
      <c r="DB12" s="69">
        <f t="shared" si="169"/>
        <v>896.92959999999994</v>
      </c>
      <c r="DC12" s="69">
        <f t="shared" si="45"/>
        <v>30.22</v>
      </c>
      <c r="DD12" s="69">
        <f t="shared" si="46"/>
        <v>25.947119292885088</v>
      </c>
      <c r="DE12" s="69">
        <f t="shared" si="170"/>
        <v>784.12194503098726</v>
      </c>
      <c r="DG12" s="69">
        <f t="shared" si="47"/>
        <v>29.05</v>
      </c>
      <c r="DH12" s="69">
        <f t="shared" si="48"/>
        <v>22.05</v>
      </c>
      <c r="DI12" s="69">
        <f t="shared" si="171"/>
        <v>640.55250000000001</v>
      </c>
      <c r="DJ12" s="69">
        <f t="shared" si="49"/>
        <v>29.05</v>
      </c>
      <c r="DK12" s="69">
        <f t="shared" si="50"/>
        <v>28.82</v>
      </c>
      <c r="DL12" s="69">
        <f t="shared" si="172"/>
        <v>837.221</v>
      </c>
      <c r="DM12" s="69">
        <f t="shared" si="51"/>
        <v>29.05</v>
      </c>
      <c r="DN12" s="69">
        <f t="shared" si="52"/>
        <v>23.07</v>
      </c>
      <c r="DO12" s="69">
        <f t="shared" si="173"/>
        <v>670.18349999999998</v>
      </c>
      <c r="DP12" s="69">
        <f t="shared" si="53"/>
        <v>29.05</v>
      </c>
      <c r="DQ12" s="69">
        <f t="shared" si="54"/>
        <v>23.42</v>
      </c>
      <c r="DR12" s="69">
        <f t="shared" si="174"/>
        <v>680.35100000000011</v>
      </c>
      <c r="DS12" s="69">
        <f t="shared" si="55"/>
        <v>29.05</v>
      </c>
      <c r="DT12" s="69">
        <f t="shared" si="56"/>
        <v>30.37</v>
      </c>
      <c r="DU12" s="69">
        <f t="shared" si="175"/>
        <v>882.24850000000004</v>
      </c>
      <c r="DV12" s="69">
        <f t="shared" si="57"/>
        <v>29.05</v>
      </c>
      <c r="DW12" s="69">
        <f t="shared" si="58"/>
        <v>22.02</v>
      </c>
      <c r="DX12" s="69">
        <f t="shared" si="176"/>
        <v>639.68100000000004</v>
      </c>
      <c r="DY12" s="69">
        <f t="shared" si="59"/>
        <v>29.05</v>
      </c>
      <c r="DZ12" s="69">
        <f t="shared" si="60"/>
        <v>29.68</v>
      </c>
      <c r="EA12" s="69">
        <f t="shared" si="177"/>
        <v>862.20400000000006</v>
      </c>
      <c r="EB12" s="69">
        <f t="shared" si="61"/>
        <v>29.05</v>
      </c>
      <c r="EC12" s="69">
        <f t="shared" si="62"/>
        <v>25.947119292885088</v>
      </c>
      <c r="ED12" s="69">
        <f t="shared" si="178"/>
        <v>753.7638154583118</v>
      </c>
      <c r="EF12" s="69">
        <f t="shared" si="63"/>
        <v>22.05</v>
      </c>
      <c r="EG12" s="69">
        <f t="shared" si="64"/>
        <v>28.82</v>
      </c>
      <c r="EH12" s="69">
        <f t="shared" si="179"/>
        <v>635.48099999999999</v>
      </c>
      <c r="EI12" s="69">
        <f t="shared" si="65"/>
        <v>22.05</v>
      </c>
      <c r="EJ12" s="69">
        <f t="shared" si="66"/>
        <v>23.07</v>
      </c>
      <c r="EK12" s="69">
        <f t="shared" si="180"/>
        <v>508.69350000000003</v>
      </c>
      <c r="EL12" s="69">
        <f t="shared" si="67"/>
        <v>22.05</v>
      </c>
      <c r="EM12" s="69">
        <f t="shared" si="68"/>
        <v>23.42</v>
      </c>
      <c r="EN12" s="69">
        <f t="shared" si="181"/>
        <v>516.41100000000006</v>
      </c>
      <c r="EO12" s="69">
        <f t="shared" si="69"/>
        <v>22.05</v>
      </c>
      <c r="EP12" s="69">
        <f t="shared" si="70"/>
        <v>30.37</v>
      </c>
      <c r="EQ12" s="69">
        <f t="shared" si="182"/>
        <v>669.6585</v>
      </c>
      <c r="ER12" s="69">
        <f t="shared" si="71"/>
        <v>22.05</v>
      </c>
      <c r="ES12" s="69">
        <f t="shared" si="72"/>
        <v>22.02</v>
      </c>
      <c r="ET12" s="69">
        <f t="shared" si="183"/>
        <v>485.541</v>
      </c>
      <c r="EU12" s="69">
        <f t="shared" si="73"/>
        <v>22.05</v>
      </c>
      <c r="EV12" s="69">
        <f t="shared" si="74"/>
        <v>29.68</v>
      </c>
      <c r="EW12" s="69">
        <f t="shared" si="184"/>
        <v>654.44399999999996</v>
      </c>
      <c r="EX12" s="69">
        <f t="shared" si="75"/>
        <v>22.05</v>
      </c>
      <c r="EY12" s="69">
        <f t="shared" si="76"/>
        <v>25.947119292885088</v>
      </c>
      <c r="EZ12" s="69">
        <f t="shared" si="185"/>
        <v>572.13398040811614</v>
      </c>
      <c r="FB12" s="69">
        <f t="shared" si="77"/>
        <v>28.82</v>
      </c>
      <c r="FC12" s="69">
        <f t="shared" si="78"/>
        <v>23.07</v>
      </c>
      <c r="FD12" s="69">
        <f t="shared" si="186"/>
        <v>664.87739999999997</v>
      </c>
      <c r="FE12" s="69">
        <f t="shared" si="79"/>
        <v>28.82</v>
      </c>
      <c r="FF12" s="69">
        <f t="shared" si="80"/>
        <v>23.42</v>
      </c>
      <c r="FG12" s="69">
        <f t="shared" si="187"/>
        <v>674.96440000000007</v>
      </c>
      <c r="FH12" s="69">
        <f t="shared" si="81"/>
        <v>28.82</v>
      </c>
      <c r="FI12" s="69">
        <f t="shared" si="82"/>
        <v>30.37</v>
      </c>
      <c r="FJ12" s="69">
        <f t="shared" si="188"/>
        <v>875.26340000000005</v>
      </c>
      <c r="FK12" s="69">
        <f t="shared" si="83"/>
        <v>28.82</v>
      </c>
      <c r="FL12" s="69">
        <f t="shared" si="84"/>
        <v>22.02</v>
      </c>
      <c r="FM12" s="69">
        <f t="shared" si="189"/>
        <v>634.6164</v>
      </c>
      <c r="FN12" s="69">
        <f t="shared" si="85"/>
        <v>28.82</v>
      </c>
      <c r="FO12" s="69">
        <f t="shared" si="86"/>
        <v>29.68</v>
      </c>
      <c r="FP12" s="69">
        <f t="shared" si="190"/>
        <v>855.37760000000003</v>
      </c>
      <c r="FQ12" s="69">
        <f t="shared" si="87"/>
        <v>28.82</v>
      </c>
      <c r="FR12" s="69">
        <f t="shared" si="88"/>
        <v>25.947119292885088</v>
      </c>
      <c r="FS12" s="69">
        <f t="shared" si="191"/>
        <v>747.79597802094827</v>
      </c>
      <c r="FU12" s="69">
        <f t="shared" si="89"/>
        <v>23.07</v>
      </c>
      <c r="FV12" s="69">
        <f t="shared" si="90"/>
        <v>23.42</v>
      </c>
      <c r="FW12" s="69">
        <f t="shared" si="192"/>
        <v>540.29939999999999</v>
      </c>
      <c r="FX12" s="69">
        <f t="shared" si="91"/>
        <v>23.07</v>
      </c>
      <c r="FY12" s="69">
        <f t="shared" si="92"/>
        <v>30.37</v>
      </c>
      <c r="FZ12" s="69">
        <f t="shared" si="193"/>
        <v>700.63589999999999</v>
      </c>
      <c r="GA12" s="69">
        <f t="shared" si="93"/>
        <v>23.07</v>
      </c>
      <c r="GB12" s="69">
        <f t="shared" si="94"/>
        <v>22.02</v>
      </c>
      <c r="GC12" s="69">
        <f t="shared" si="194"/>
        <v>508.00139999999999</v>
      </c>
      <c r="GD12" s="69">
        <f t="shared" si="95"/>
        <v>23.07</v>
      </c>
      <c r="GE12" s="69">
        <f t="shared" si="96"/>
        <v>29.68</v>
      </c>
      <c r="GF12" s="69">
        <f t="shared" si="195"/>
        <v>684.71759999999995</v>
      </c>
      <c r="GG12" s="69">
        <f t="shared" si="97"/>
        <v>23.07</v>
      </c>
      <c r="GH12" s="69">
        <f t="shared" si="98"/>
        <v>25.947119292885088</v>
      </c>
      <c r="GI12" s="69">
        <f t="shared" si="196"/>
        <v>598.60004208685893</v>
      </c>
      <c r="GK12" s="69">
        <f t="shared" si="99"/>
        <v>23.42</v>
      </c>
      <c r="GL12" s="69">
        <f t="shared" si="100"/>
        <v>30.37</v>
      </c>
      <c r="GM12" s="69">
        <f t="shared" si="197"/>
        <v>711.26540000000011</v>
      </c>
      <c r="GN12" s="69">
        <f t="shared" si="101"/>
        <v>23.42</v>
      </c>
      <c r="GO12" s="69">
        <f t="shared" si="102"/>
        <v>22.02</v>
      </c>
      <c r="GP12" s="69">
        <f t="shared" si="198"/>
        <v>515.70839999999998</v>
      </c>
      <c r="GQ12" s="69">
        <f t="shared" si="103"/>
        <v>23.42</v>
      </c>
      <c r="GR12" s="69">
        <f t="shared" si="104"/>
        <v>29.68</v>
      </c>
      <c r="GS12" s="69">
        <f t="shared" si="199"/>
        <v>695.10560000000009</v>
      </c>
      <c r="GT12" s="69">
        <f t="shared" si="105"/>
        <v>23.42</v>
      </c>
      <c r="GU12" s="69">
        <f t="shared" si="106"/>
        <v>25.947119292885088</v>
      </c>
      <c r="GV12" s="69">
        <f t="shared" si="200"/>
        <v>607.68153383936874</v>
      </c>
      <c r="GX12" s="69">
        <f t="shared" si="201"/>
        <v>30.37</v>
      </c>
      <c r="GY12" s="69">
        <f t="shared" si="202"/>
        <v>22.02</v>
      </c>
      <c r="GZ12" s="69">
        <f t="shared" si="203"/>
        <v>668.74739999999997</v>
      </c>
      <c r="HA12" s="69">
        <f t="shared" si="204"/>
        <v>30.37</v>
      </c>
      <c r="HB12" s="69">
        <f t="shared" si="205"/>
        <v>29.68</v>
      </c>
      <c r="HC12" s="69">
        <f t="shared" si="206"/>
        <v>901.38160000000005</v>
      </c>
      <c r="HD12" s="69">
        <f t="shared" si="207"/>
        <v>30.37</v>
      </c>
      <c r="HE12" s="69">
        <f t="shared" si="208"/>
        <v>25.947119292885088</v>
      </c>
      <c r="HF12" s="69">
        <f t="shared" si="209"/>
        <v>788.01401292492017</v>
      </c>
      <c r="HH12" s="69">
        <f t="shared" si="210"/>
        <v>22.02</v>
      </c>
      <c r="HI12" s="69">
        <f t="shared" si="211"/>
        <v>29.68</v>
      </c>
      <c r="HJ12" s="69">
        <f t="shared" si="212"/>
        <v>653.55359999999996</v>
      </c>
      <c r="HK12" s="69">
        <f t="shared" si="213"/>
        <v>22.02</v>
      </c>
      <c r="HL12" s="69">
        <f t="shared" si="214"/>
        <v>25.947119292885088</v>
      </c>
      <c r="HM12" s="69">
        <f t="shared" si="215"/>
        <v>571.35556682932963</v>
      </c>
      <c r="HO12" s="69">
        <f t="shared" si="216"/>
        <v>29.68</v>
      </c>
      <c r="HP12" s="69">
        <f t="shared" si="217"/>
        <v>25.947119292885088</v>
      </c>
      <c r="HQ12" s="69">
        <f t="shared" si="218"/>
        <v>770.11050061282936</v>
      </c>
      <c r="HS12" s="69">
        <f t="shared" si="107"/>
        <v>25.947119292885088</v>
      </c>
      <c r="HT12" s="69">
        <f t="shared" si="108"/>
        <v>23.12</v>
      </c>
      <c r="HU12" s="69">
        <f t="shared" si="219"/>
        <v>599.89739805150327</v>
      </c>
      <c r="HV12" s="69">
        <f t="shared" si="109"/>
        <v>25.947119292885088</v>
      </c>
      <c r="HW12" s="69">
        <f t="shared" si="110"/>
        <v>30.22</v>
      </c>
      <c r="HX12" s="69">
        <f t="shared" si="220"/>
        <v>784.12194503098726</v>
      </c>
      <c r="HY12" s="69">
        <f t="shared" si="111"/>
        <v>25.947119292885088</v>
      </c>
      <c r="HZ12" s="69">
        <f t="shared" si="112"/>
        <v>29.05</v>
      </c>
      <c r="IA12" s="69">
        <f t="shared" si="221"/>
        <v>753.7638154583118</v>
      </c>
      <c r="IB12" s="69">
        <f t="shared" si="113"/>
        <v>25.947119292885088</v>
      </c>
      <c r="IC12" s="69">
        <f t="shared" si="114"/>
        <v>22.05</v>
      </c>
      <c r="ID12" s="69">
        <f t="shared" si="222"/>
        <v>572.13398040811614</v>
      </c>
      <c r="IE12" s="69">
        <f t="shared" si="115"/>
        <v>25.947119292885088</v>
      </c>
      <c r="IF12" s="69">
        <f t="shared" si="116"/>
        <v>28.82</v>
      </c>
      <c r="IG12" s="69">
        <f t="shared" si="223"/>
        <v>747.79597802094827</v>
      </c>
      <c r="IH12" s="69">
        <f t="shared" si="117"/>
        <v>25.947119292885088</v>
      </c>
      <c r="II12" s="69">
        <f t="shared" si="118"/>
        <v>23.07</v>
      </c>
      <c r="IJ12" s="69">
        <f t="shared" si="224"/>
        <v>598.60004208685893</v>
      </c>
      <c r="IK12" s="69">
        <f t="shared" si="119"/>
        <v>25.947119292885088</v>
      </c>
      <c r="IL12" s="69">
        <f t="shared" si="120"/>
        <v>23.42</v>
      </c>
      <c r="IM12" s="69">
        <f t="shared" si="225"/>
        <v>607.68153383936874</v>
      </c>
      <c r="IN12" s="69">
        <f t="shared" si="226"/>
        <v>25.947119292885088</v>
      </c>
      <c r="IO12" s="69">
        <f t="shared" si="227"/>
        <v>30.37</v>
      </c>
      <c r="IP12" s="69">
        <f t="shared" si="228"/>
        <v>788.01401292492017</v>
      </c>
      <c r="IQ12" s="69">
        <f t="shared" si="229"/>
        <v>25.947119292885088</v>
      </c>
      <c r="IR12" s="69">
        <f t="shared" si="230"/>
        <v>22.02</v>
      </c>
      <c r="IS12" s="69">
        <f t="shared" si="231"/>
        <v>571.35556682932963</v>
      </c>
      <c r="IT12" s="69">
        <f t="shared" si="232"/>
        <v>25.947119292885088</v>
      </c>
      <c r="IU12" s="69">
        <f t="shared" si="233"/>
        <v>29.68</v>
      </c>
      <c r="IV12" s="69">
        <f t="shared" si="234"/>
        <v>770.11050061282936</v>
      </c>
    </row>
    <row r="13" spans="1:256" ht="15" x14ac:dyDescent="0.25">
      <c r="A13" s="57" t="s">
        <v>16</v>
      </c>
      <c r="B13" s="295">
        <v>19.38</v>
      </c>
      <c r="C13" s="295">
        <v>25.14</v>
      </c>
      <c r="D13" s="295">
        <v>25.89</v>
      </c>
      <c r="E13" s="295">
        <v>19.18</v>
      </c>
      <c r="F13" s="295">
        <v>22.52</v>
      </c>
      <c r="G13" s="295">
        <v>19.2</v>
      </c>
      <c r="H13" s="295">
        <v>18.399999999999999</v>
      </c>
      <c r="I13" s="296">
        <v>25.3</v>
      </c>
      <c r="J13" s="295">
        <v>16.66</v>
      </c>
      <c r="K13" s="295">
        <v>23.58</v>
      </c>
      <c r="L13" s="68">
        <f t="shared" si="0"/>
        <v>10</v>
      </c>
      <c r="M13" s="69">
        <f t="shared" si="1"/>
        <v>21.289852159115156</v>
      </c>
      <c r="N13" s="69" t="str">
        <f t="shared" si="121"/>
        <v>±0,86</v>
      </c>
      <c r="O13" s="69" t="str">
        <f t="shared" si="122"/>
        <v>±4,16</v>
      </c>
      <c r="P13" s="69" t="str">
        <f t="shared" ref="P13:P44" si="235">AV115</f>
        <v>±0,57</v>
      </c>
      <c r="Q13" s="70">
        <f t="shared" si="2"/>
        <v>19.38</v>
      </c>
      <c r="R13" s="71">
        <f t="shared" si="124"/>
        <v>0.41137475682409885</v>
      </c>
      <c r="S13" s="71">
        <f t="shared" si="125"/>
        <v>2.1687114988583334</v>
      </c>
      <c r="T13" s="70">
        <f t="shared" si="3"/>
        <v>25.14</v>
      </c>
      <c r="U13" s="71">
        <f t="shared" si="126"/>
        <v>1.1787778270670017</v>
      </c>
      <c r="V13" s="71">
        <f t="shared" si="127"/>
        <v>4.9195229632258419</v>
      </c>
      <c r="W13" s="70">
        <f t="shared" si="4"/>
        <v>25.89</v>
      </c>
      <c r="X13" s="71">
        <f t="shared" si="128"/>
        <v>0.20173871622193573</v>
      </c>
      <c r="Y13" s="71">
        <f t="shared" si="129"/>
        <v>0.78533425829536707</v>
      </c>
      <c r="Z13" s="70">
        <f t="shared" si="5"/>
        <v>19.18</v>
      </c>
      <c r="AA13" s="71">
        <f t="shared" si="130"/>
        <v>0.48814814716020294</v>
      </c>
      <c r="AB13" s="71">
        <f t="shared" si="131"/>
        <v>2.6115558319388166</v>
      </c>
      <c r="AC13" s="70">
        <f t="shared" si="6"/>
        <v>22.52</v>
      </c>
      <c r="AD13" s="71">
        <f t="shared" si="132"/>
        <v>-3.3121152841079748E-2</v>
      </c>
      <c r="AE13" s="71">
        <f t="shared" si="133"/>
        <v>-0.14685839984904803</v>
      </c>
      <c r="AF13" s="70">
        <f t="shared" si="7"/>
        <v>19.2</v>
      </c>
      <c r="AG13" s="71">
        <f t="shared" si="134"/>
        <v>-1.4026932571800295</v>
      </c>
      <c r="AH13" s="71">
        <f t="shared" si="135"/>
        <v>-6.8083004472786151</v>
      </c>
      <c r="AI13" s="70">
        <f t="shared" si="8"/>
        <v>18.399999999999999</v>
      </c>
      <c r="AJ13" s="71">
        <f t="shared" si="136"/>
        <v>-1.3370538655516384</v>
      </c>
      <c r="AK13" s="71">
        <f t="shared" si="137"/>
        <v>-6.7743335690302109</v>
      </c>
      <c r="AL13" s="70">
        <f t="shared" si="138"/>
        <v>25.3</v>
      </c>
      <c r="AM13" s="71">
        <f t="shared" si="139"/>
        <v>-0.53964076216531964</v>
      </c>
      <c r="AN13" s="71">
        <f t="shared" si="140"/>
        <v>-2.088422076499874</v>
      </c>
      <c r="AO13" s="70">
        <f t="shared" si="141"/>
        <v>16.66</v>
      </c>
      <c r="AP13" s="71">
        <f t="shared" si="142"/>
        <v>-1.0771021425944802</v>
      </c>
      <c r="AQ13" s="71">
        <f t="shared" si="143"/>
        <v>-6.0725936736187087</v>
      </c>
      <c r="AR13" s="70">
        <f t="shared" si="144"/>
        <v>23.58</v>
      </c>
      <c r="AS13" s="71">
        <f t="shared" si="145"/>
        <v>-0.49936053572812966</v>
      </c>
      <c r="AT13" s="71">
        <f t="shared" si="146"/>
        <v>-2.0738114493829451</v>
      </c>
      <c r="AU13" s="69">
        <f t="shared" si="147"/>
        <v>21.289852159115156</v>
      </c>
      <c r="AV13" s="131" t="str">
        <f t="shared" si="148"/>
        <v>±0,86</v>
      </c>
      <c r="AW13" s="69" t="str">
        <f t="shared" si="149"/>
        <v>±4,16</v>
      </c>
      <c r="AX13" s="132">
        <f t="shared" si="150"/>
        <v>0.86</v>
      </c>
      <c r="AY13" s="132">
        <f t="shared" si="151"/>
        <v>4.16</v>
      </c>
      <c r="AZ13" s="69">
        <f t="shared" si="9"/>
        <v>19.38</v>
      </c>
      <c r="BA13" s="69">
        <f t="shared" si="10"/>
        <v>25.14</v>
      </c>
      <c r="BB13" s="69">
        <f t="shared" si="152"/>
        <v>487.21319999999997</v>
      </c>
      <c r="BC13" s="69">
        <f t="shared" si="11"/>
        <v>19.38</v>
      </c>
      <c r="BD13" s="69">
        <f t="shared" si="12"/>
        <v>25.89</v>
      </c>
      <c r="BE13" s="69">
        <f t="shared" si="153"/>
        <v>501.7482</v>
      </c>
      <c r="BF13" s="69">
        <f t="shared" si="13"/>
        <v>19.38</v>
      </c>
      <c r="BG13" s="69">
        <f t="shared" si="14"/>
        <v>19.18</v>
      </c>
      <c r="BH13" s="69">
        <f t="shared" si="154"/>
        <v>371.70839999999998</v>
      </c>
      <c r="BI13" s="69">
        <f t="shared" si="15"/>
        <v>19.38</v>
      </c>
      <c r="BJ13" s="69">
        <f t="shared" si="16"/>
        <v>22.52</v>
      </c>
      <c r="BK13" s="69">
        <f t="shared" si="155"/>
        <v>436.43759999999997</v>
      </c>
      <c r="BL13" s="69">
        <f t="shared" si="17"/>
        <v>19.38</v>
      </c>
      <c r="BM13" s="69">
        <f t="shared" si="18"/>
        <v>19.2</v>
      </c>
      <c r="BN13" s="69">
        <f t="shared" si="156"/>
        <v>372.09599999999995</v>
      </c>
      <c r="BO13" s="69">
        <f t="shared" si="19"/>
        <v>19.38</v>
      </c>
      <c r="BP13" s="69">
        <f t="shared" si="20"/>
        <v>18.399999999999999</v>
      </c>
      <c r="BQ13" s="69">
        <f t="shared" si="157"/>
        <v>356.59199999999993</v>
      </c>
      <c r="BR13" s="69">
        <f t="shared" si="21"/>
        <v>19.38</v>
      </c>
      <c r="BS13" s="69">
        <f t="shared" si="22"/>
        <v>25.3</v>
      </c>
      <c r="BT13" s="69">
        <f t="shared" si="158"/>
        <v>490.31399999999996</v>
      </c>
      <c r="BU13" s="69">
        <f t="shared" si="23"/>
        <v>19.38</v>
      </c>
      <c r="BV13" s="69">
        <f t="shared" si="24"/>
        <v>16.66</v>
      </c>
      <c r="BW13" s="69">
        <f t="shared" si="159"/>
        <v>322.87079999999997</v>
      </c>
      <c r="BX13" s="69">
        <f t="shared" si="25"/>
        <v>19.38</v>
      </c>
      <c r="BY13" s="69">
        <f t="shared" si="26"/>
        <v>23.58</v>
      </c>
      <c r="BZ13" s="69">
        <f t="shared" si="160"/>
        <v>456.98039999999992</v>
      </c>
      <c r="CA13" s="69">
        <f t="shared" si="27"/>
        <v>19.38</v>
      </c>
      <c r="CB13" s="69">
        <f t="shared" si="28"/>
        <v>21.289852159115156</v>
      </c>
      <c r="CC13" s="69">
        <f t="shared" si="161"/>
        <v>412.59733484365171</v>
      </c>
      <c r="CE13" s="69">
        <f t="shared" si="29"/>
        <v>25.14</v>
      </c>
      <c r="CF13" s="69">
        <f t="shared" si="30"/>
        <v>25.89</v>
      </c>
      <c r="CG13" s="69">
        <f t="shared" si="162"/>
        <v>650.87459999999999</v>
      </c>
      <c r="CH13" s="69">
        <f t="shared" si="31"/>
        <v>25.14</v>
      </c>
      <c r="CI13" s="69">
        <f t="shared" si="32"/>
        <v>19.18</v>
      </c>
      <c r="CJ13" s="69">
        <f t="shared" si="163"/>
        <v>482.18520000000001</v>
      </c>
      <c r="CK13" s="69">
        <f t="shared" si="33"/>
        <v>25.14</v>
      </c>
      <c r="CL13" s="69">
        <f t="shared" si="34"/>
        <v>22.52</v>
      </c>
      <c r="CM13" s="69">
        <f t="shared" si="164"/>
        <v>566.15279999999996</v>
      </c>
      <c r="CN13" s="69">
        <f t="shared" si="35"/>
        <v>25.14</v>
      </c>
      <c r="CO13" s="69">
        <f t="shared" si="36"/>
        <v>19.2</v>
      </c>
      <c r="CP13" s="69">
        <f t="shared" si="165"/>
        <v>482.68799999999999</v>
      </c>
      <c r="CQ13" s="69">
        <f t="shared" si="37"/>
        <v>25.14</v>
      </c>
      <c r="CR13" s="69">
        <f t="shared" si="38"/>
        <v>18.399999999999999</v>
      </c>
      <c r="CS13" s="69">
        <f t="shared" si="166"/>
        <v>462.57599999999996</v>
      </c>
      <c r="CT13" s="69">
        <f t="shared" si="39"/>
        <v>25.14</v>
      </c>
      <c r="CU13" s="69">
        <f t="shared" si="40"/>
        <v>25.3</v>
      </c>
      <c r="CV13" s="69">
        <f t="shared" si="167"/>
        <v>636.04200000000003</v>
      </c>
      <c r="CW13" s="69">
        <f t="shared" si="41"/>
        <v>25.14</v>
      </c>
      <c r="CX13" s="69">
        <f t="shared" si="42"/>
        <v>16.66</v>
      </c>
      <c r="CY13" s="69">
        <f t="shared" si="168"/>
        <v>418.83240000000001</v>
      </c>
      <c r="CZ13" s="69">
        <f t="shared" si="43"/>
        <v>25.14</v>
      </c>
      <c r="DA13" s="69">
        <f t="shared" si="44"/>
        <v>23.58</v>
      </c>
      <c r="DB13" s="69">
        <f t="shared" si="169"/>
        <v>592.80119999999999</v>
      </c>
      <c r="DC13" s="69">
        <f t="shared" si="45"/>
        <v>25.14</v>
      </c>
      <c r="DD13" s="69">
        <f t="shared" si="46"/>
        <v>21.289852159115156</v>
      </c>
      <c r="DE13" s="69">
        <f t="shared" si="170"/>
        <v>535.22688328015499</v>
      </c>
      <c r="DG13" s="69">
        <f t="shared" si="47"/>
        <v>25.89</v>
      </c>
      <c r="DH13" s="69">
        <f t="shared" si="48"/>
        <v>19.18</v>
      </c>
      <c r="DI13" s="69">
        <f t="shared" si="171"/>
        <v>496.5702</v>
      </c>
      <c r="DJ13" s="69">
        <f t="shared" si="49"/>
        <v>25.89</v>
      </c>
      <c r="DK13" s="69">
        <f t="shared" si="50"/>
        <v>22.52</v>
      </c>
      <c r="DL13" s="69">
        <f t="shared" si="172"/>
        <v>583.04280000000006</v>
      </c>
      <c r="DM13" s="69">
        <f t="shared" si="51"/>
        <v>25.89</v>
      </c>
      <c r="DN13" s="69">
        <f t="shared" si="52"/>
        <v>19.2</v>
      </c>
      <c r="DO13" s="69">
        <f t="shared" si="173"/>
        <v>497.08799999999997</v>
      </c>
      <c r="DP13" s="69">
        <f t="shared" si="53"/>
        <v>25.89</v>
      </c>
      <c r="DQ13" s="69">
        <f t="shared" si="54"/>
        <v>18.399999999999999</v>
      </c>
      <c r="DR13" s="69">
        <f t="shared" si="174"/>
        <v>476.37599999999998</v>
      </c>
      <c r="DS13" s="69">
        <f t="shared" si="55"/>
        <v>25.89</v>
      </c>
      <c r="DT13" s="69">
        <f t="shared" si="56"/>
        <v>25.3</v>
      </c>
      <c r="DU13" s="69">
        <f t="shared" si="175"/>
        <v>655.01700000000005</v>
      </c>
      <c r="DV13" s="69">
        <f t="shared" si="57"/>
        <v>25.89</v>
      </c>
      <c r="DW13" s="69">
        <f t="shared" si="58"/>
        <v>16.66</v>
      </c>
      <c r="DX13" s="69">
        <f t="shared" si="176"/>
        <v>431.32740000000001</v>
      </c>
      <c r="DY13" s="69">
        <f t="shared" si="59"/>
        <v>25.89</v>
      </c>
      <c r="DZ13" s="69">
        <f t="shared" si="60"/>
        <v>23.58</v>
      </c>
      <c r="EA13" s="69">
        <f t="shared" si="177"/>
        <v>610.48619999999994</v>
      </c>
      <c r="EB13" s="69">
        <f t="shared" si="61"/>
        <v>25.89</v>
      </c>
      <c r="EC13" s="69">
        <f t="shared" si="62"/>
        <v>21.289852159115156</v>
      </c>
      <c r="ED13" s="69">
        <f t="shared" si="178"/>
        <v>551.19427239949141</v>
      </c>
      <c r="EF13" s="69">
        <f t="shared" si="63"/>
        <v>19.18</v>
      </c>
      <c r="EG13" s="69">
        <f t="shared" si="64"/>
        <v>22.52</v>
      </c>
      <c r="EH13" s="69">
        <f t="shared" si="179"/>
        <v>431.93360000000001</v>
      </c>
      <c r="EI13" s="69">
        <f t="shared" si="65"/>
        <v>19.18</v>
      </c>
      <c r="EJ13" s="69">
        <f t="shared" si="66"/>
        <v>19.2</v>
      </c>
      <c r="EK13" s="69">
        <f t="shared" si="180"/>
        <v>368.25599999999997</v>
      </c>
      <c r="EL13" s="69">
        <f t="shared" si="67"/>
        <v>19.18</v>
      </c>
      <c r="EM13" s="69">
        <f t="shared" si="68"/>
        <v>18.399999999999999</v>
      </c>
      <c r="EN13" s="69">
        <f t="shared" si="181"/>
        <v>352.91199999999998</v>
      </c>
      <c r="EO13" s="69">
        <f t="shared" si="69"/>
        <v>19.18</v>
      </c>
      <c r="EP13" s="69">
        <f t="shared" si="70"/>
        <v>25.3</v>
      </c>
      <c r="EQ13" s="69">
        <f t="shared" si="182"/>
        <v>485.25400000000002</v>
      </c>
      <c r="ER13" s="69">
        <f t="shared" si="71"/>
        <v>19.18</v>
      </c>
      <c r="ES13" s="69">
        <f t="shared" si="72"/>
        <v>16.66</v>
      </c>
      <c r="ET13" s="69">
        <f t="shared" si="183"/>
        <v>319.53879999999998</v>
      </c>
      <c r="EU13" s="69">
        <f t="shared" si="73"/>
        <v>19.18</v>
      </c>
      <c r="EV13" s="69">
        <f t="shared" si="74"/>
        <v>23.58</v>
      </c>
      <c r="EW13" s="69">
        <f t="shared" si="184"/>
        <v>452.26439999999997</v>
      </c>
      <c r="EX13" s="69">
        <f t="shared" si="75"/>
        <v>19.18</v>
      </c>
      <c r="EY13" s="69">
        <f t="shared" si="76"/>
        <v>21.289852159115156</v>
      </c>
      <c r="EZ13" s="69">
        <f t="shared" si="185"/>
        <v>408.33936441182868</v>
      </c>
      <c r="FB13" s="69">
        <f t="shared" si="77"/>
        <v>22.52</v>
      </c>
      <c r="FC13" s="69">
        <f t="shared" si="78"/>
        <v>19.2</v>
      </c>
      <c r="FD13" s="69">
        <f t="shared" si="186"/>
        <v>432.38399999999996</v>
      </c>
      <c r="FE13" s="69">
        <f t="shared" si="79"/>
        <v>22.52</v>
      </c>
      <c r="FF13" s="69">
        <f t="shared" si="80"/>
        <v>18.399999999999999</v>
      </c>
      <c r="FG13" s="69">
        <f t="shared" si="187"/>
        <v>414.36799999999994</v>
      </c>
      <c r="FH13" s="69">
        <f t="shared" si="81"/>
        <v>22.52</v>
      </c>
      <c r="FI13" s="69">
        <f t="shared" si="82"/>
        <v>25.3</v>
      </c>
      <c r="FJ13" s="69">
        <f t="shared" si="188"/>
        <v>569.75599999999997</v>
      </c>
      <c r="FK13" s="69">
        <f t="shared" si="83"/>
        <v>22.52</v>
      </c>
      <c r="FL13" s="69">
        <f t="shared" si="84"/>
        <v>16.66</v>
      </c>
      <c r="FM13" s="69">
        <f t="shared" si="189"/>
        <v>375.1832</v>
      </c>
      <c r="FN13" s="69">
        <f t="shared" si="85"/>
        <v>22.52</v>
      </c>
      <c r="FO13" s="69">
        <f t="shared" si="86"/>
        <v>23.58</v>
      </c>
      <c r="FP13" s="69">
        <f t="shared" si="190"/>
        <v>531.02159999999992</v>
      </c>
      <c r="FQ13" s="69">
        <f t="shared" si="87"/>
        <v>22.52</v>
      </c>
      <c r="FR13" s="69">
        <f t="shared" si="88"/>
        <v>21.289852159115156</v>
      </c>
      <c r="FS13" s="69">
        <f t="shared" si="191"/>
        <v>479.44747062327332</v>
      </c>
      <c r="FU13" s="69">
        <f t="shared" si="89"/>
        <v>19.2</v>
      </c>
      <c r="FV13" s="69">
        <f t="shared" si="90"/>
        <v>18.399999999999999</v>
      </c>
      <c r="FW13" s="69">
        <f t="shared" si="192"/>
        <v>353.28</v>
      </c>
      <c r="FX13" s="69">
        <f t="shared" si="91"/>
        <v>19.2</v>
      </c>
      <c r="FY13" s="69">
        <f t="shared" si="92"/>
        <v>25.3</v>
      </c>
      <c r="FZ13" s="69">
        <f t="shared" si="193"/>
        <v>485.76</v>
      </c>
      <c r="GA13" s="69">
        <f t="shared" si="93"/>
        <v>19.2</v>
      </c>
      <c r="GB13" s="69">
        <f t="shared" si="94"/>
        <v>16.66</v>
      </c>
      <c r="GC13" s="69">
        <f t="shared" si="194"/>
        <v>319.87200000000001</v>
      </c>
      <c r="GD13" s="69">
        <f t="shared" si="95"/>
        <v>19.2</v>
      </c>
      <c r="GE13" s="69">
        <f t="shared" si="96"/>
        <v>23.58</v>
      </c>
      <c r="GF13" s="69">
        <f t="shared" si="195"/>
        <v>452.73599999999993</v>
      </c>
      <c r="GG13" s="69">
        <f t="shared" si="97"/>
        <v>19.2</v>
      </c>
      <c r="GH13" s="69">
        <f t="shared" si="98"/>
        <v>21.289852159115156</v>
      </c>
      <c r="GI13" s="69">
        <f t="shared" si="196"/>
        <v>408.76516145501097</v>
      </c>
      <c r="GK13" s="69">
        <f t="shared" si="99"/>
        <v>18.399999999999999</v>
      </c>
      <c r="GL13" s="69">
        <f t="shared" si="100"/>
        <v>25.3</v>
      </c>
      <c r="GM13" s="69">
        <f t="shared" si="197"/>
        <v>465.52</v>
      </c>
      <c r="GN13" s="69">
        <f t="shared" si="101"/>
        <v>18.399999999999999</v>
      </c>
      <c r="GO13" s="69">
        <f t="shared" si="102"/>
        <v>16.66</v>
      </c>
      <c r="GP13" s="69">
        <f t="shared" si="198"/>
        <v>306.54399999999998</v>
      </c>
      <c r="GQ13" s="69">
        <f t="shared" si="103"/>
        <v>18.399999999999999</v>
      </c>
      <c r="GR13" s="69">
        <f t="shared" si="104"/>
        <v>23.58</v>
      </c>
      <c r="GS13" s="69">
        <f t="shared" si="199"/>
        <v>433.87199999999996</v>
      </c>
      <c r="GT13" s="69">
        <f t="shared" si="105"/>
        <v>18.399999999999999</v>
      </c>
      <c r="GU13" s="69">
        <f t="shared" si="106"/>
        <v>21.289852159115156</v>
      </c>
      <c r="GV13" s="69">
        <f t="shared" si="200"/>
        <v>391.73327972771887</v>
      </c>
      <c r="GX13" s="69">
        <f t="shared" si="201"/>
        <v>25.3</v>
      </c>
      <c r="GY13" s="69">
        <f t="shared" si="202"/>
        <v>16.66</v>
      </c>
      <c r="GZ13" s="69">
        <f t="shared" si="203"/>
        <v>421.49799999999999</v>
      </c>
      <c r="HA13" s="69">
        <f t="shared" si="204"/>
        <v>25.3</v>
      </c>
      <c r="HB13" s="69">
        <f t="shared" si="205"/>
        <v>23.58</v>
      </c>
      <c r="HC13" s="69">
        <f t="shared" si="206"/>
        <v>596.57399999999996</v>
      </c>
      <c r="HD13" s="69">
        <f t="shared" si="207"/>
        <v>25.3</v>
      </c>
      <c r="HE13" s="69">
        <f t="shared" si="208"/>
        <v>21.289852159115156</v>
      </c>
      <c r="HF13" s="69">
        <f t="shared" si="209"/>
        <v>538.6332596256135</v>
      </c>
      <c r="HH13" s="69">
        <f t="shared" si="210"/>
        <v>16.66</v>
      </c>
      <c r="HI13" s="69">
        <f t="shared" si="211"/>
        <v>23.58</v>
      </c>
      <c r="HJ13" s="69">
        <f t="shared" si="212"/>
        <v>392.84279999999995</v>
      </c>
      <c r="HK13" s="69">
        <f t="shared" si="213"/>
        <v>16.66</v>
      </c>
      <c r="HL13" s="69">
        <f t="shared" si="214"/>
        <v>21.289852159115156</v>
      </c>
      <c r="HM13" s="69">
        <f t="shared" si="215"/>
        <v>354.68893697085849</v>
      </c>
      <c r="HO13" s="69">
        <f t="shared" si="216"/>
        <v>23.58</v>
      </c>
      <c r="HP13" s="69">
        <f t="shared" si="217"/>
        <v>21.289852159115156</v>
      </c>
      <c r="HQ13" s="69">
        <f t="shared" si="218"/>
        <v>502.01471391193536</v>
      </c>
      <c r="HS13" s="69">
        <f t="shared" si="107"/>
        <v>21.289852159115156</v>
      </c>
      <c r="HT13" s="69">
        <f t="shared" si="108"/>
        <v>19.38</v>
      </c>
      <c r="HU13" s="69">
        <f t="shared" si="219"/>
        <v>412.59733484365171</v>
      </c>
      <c r="HV13" s="69">
        <f t="shared" si="109"/>
        <v>21.289852159115156</v>
      </c>
      <c r="HW13" s="69">
        <f t="shared" si="110"/>
        <v>25.14</v>
      </c>
      <c r="HX13" s="69">
        <f t="shared" si="220"/>
        <v>535.22688328015499</v>
      </c>
      <c r="HY13" s="69">
        <f t="shared" si="111"/>
        <v>21.289852159115156</v>
      </c>
      <c r="HZ13" s="69">
        <f t="shared" si="112"/>
        <v>25.89</v>
      </c>
      <c r="IA13" s="69">
        <f t="shared" si="221"/>
        <v>551.19427239949141</v>
      </c>
      <c r="IB13" s="69">
        <f t="shared" si="113"/>
        <v>21.289852159115156</v>
      </c>
      <c r="IC13" s="69">
        <f t="shared" si="114"/>
        <v>19.18</v>
      </c>
      <c r="ID13" s="69">
        <f t="shared" si="222"/>
        <v>408.33936441182868</v>
      </c>
      <c r="IE13" s="69">
        <f t="shared" si="115"/>
        <v>21.289852159115156</v>
      </c>
      <c r="IF13" s="69">
        <f t="shared" si="116"/>
        <v>22.52</v>
      </c>
      <c r="IG13" s="69">
        <f t="shared" si="223"/>
        <v>479.44747062327332</v>
      </c>
      <c r="IH13" s="69">
        <f t="shared" si="117"/>
        <v>21.289852159115156</v>
      </c>
      <c r="II13" s="69">
        <f t="shared" si="118"/>
        <v>19.2</v>
      </c>
      <c r="IJ13" s="69">
        <f t="shared" si="224"/>
        <v>408.76516145501097</v>
      </c>
      <c r="IK13" s="69">
        <f t="shared" si="119"/>
        <v>21.289852159115156</v>
      </c>
      <c r="IL13" s="69">
        <f t="shared" si="120"/>
        <v>18.399999999999999</v>
      </c>
      <c r="IM13" s="69">
        <f t="shared" si="225"/>
        <v>391.73327972771887</v>
      </c>
      <c r="IN13" s="69">
        <f t="shared" si="226"/>
        <v>21.289852159115156</v>
      </c>
      <c r="IO13" s="69">
        <f t="shared" si="227"/>
        <v>25.3</v>
      </c>
      <c r="IP13" s="69">
        <f t="shared" si="228"/>
        <v>538.6332596256135</v>
      </c>
      <c r="IQ13" s="69">
        <f t="shared" si="229"/>
        <v>21.289852159115156</v>
      </c>
      <c r="IR13" s="69">
        <f t="shared" si="230"/>
        <v>16.66</v>
      </c>
      <c r="IS13" s="69">
        <f t="shared" si="231"/>
        <v>354.68893697085849</v>
      </c>
      <c r="IT13" s="69">
        <f t="shared" si="232"/>
        <v>21.289852159115156</v>
      </c>
      <c r="IU13" s="69">
        <f t="shared" si="233"/>
        <v>23.58</v>
      </c>
      <c r="IV13" s="69">
        <f t="shared" si="234"/>
        <v>502.01471391193536</v>
      </c>
    </row>
    <row r="14" spans="1:256" ht="15" x14ac:dyDescent="0.25">
      <c r="A14" s="57" t="s">
        <v>17</v>
      </c>
      <c r="B14" s="297">
        <v>20.8</v>
      </c>
      <c r="C14" s="295">
        <v>25.22</v>
      </c>
      <c r="D14" s="295">
        <v>26.92</v>
      </c>
      <c r="E14" s="295">
        <v>21.59</v>
      </c>
      <c r="F14" s="295">
        <v>25.34</v>
      </c>
      <c r="G14" s="295">
        <v>22.19</v>
      </c>
      <c r="H14" s="295">
        <v>21.68</v>
      </c>
      <c r="I14" s="296">
        <v>27.84</v>
      </c>
      <c r="J14" s="295">
        <v>19.16</v>
      </c>
      <c r="K14" s="295">
        <v>27.44</v>
      </c>
      <c r="L14" s="68">
        <f t="shared" si="0"/>
        <v>10</v>
      </c>
      <c r="M14" s="69">
        <f t="shared" si="1"/>
        <v>23.635283440586562</v>
      </c>
      <c r="N14" s="69" t="str">
        <f t="shared" si="121"/>
        <v>±0,74</v>
      </c>
      <c r="O14" s="69" t="str">
        <f t="shared" si="122"/>
        <v>±3,54</v>
      </c>
      <c r="P14" s="69" t="str">
        <f t="shared" si="235"/>
        <v>±2,4</v>
      </c>
      <c r="Q14" s="70">
        <f t="shared" si="2"/>
        <v>20.8</v>
      </c>
      <c r="R14" s="71">
        <f t="shared" si="124"/>
        <v>1.8313747568241006</v>
      </c>
      <c r="S14" s="71">
        <f t="shared" si="125"/>
        <v>9.6547574394351585</v>
      </c>
      <c r="T14" s="70">
        <f t="shared" si="3"/>
        <v>25.22</v>
      </c>
      <c r="U14" s="71">
        <f t="shared" si="126"/>
        <v>1.258777827067</v>
      </c>
      <c r="V14" s="71">
        <f t="shared" si="127"/>
        <v>5.2533957491072147</v>
      </c>
      <c r="W14" s="70">
        <f t="shared" si="4"/>
        <v>26.92</v>
      </c>
      <c r="X14" s="71">
        <f t="shared" si="128"/>
        <v>1.2317387162219369</v>
      </c>
      <c r="Y14" s="71">
        <f t="shared" si="129"/>
        <v>4.7949477880769198</v>
      </c>
      <c r="Z14" s="70">
        <f t="shared" si="5"/>
        <v>21.59</v>
      </c>
      <c r="AA14" s="71">
        <f t="shared" si="130"/>
        <v>2.8981481471602031</v>
      </c>
      <c r="AB14" s="71">
        <f t="shared" si="131"/>
        <v>15.504874369737177</v>
      </c>
      <c r="AC14" s="70">
        <f t="shared" si="6"/>
        <v>25.34</v>
      </c>
      <c r="AD14" s="71">
        <f t="shared" si="132"/>
        <v>2.7868788471589205</v>
      </c>
      <c r="AE14" s="71">
        <f t="shared" si="133"/>
        <v>12.356954180631675</v>
      </c>
      <c r="AF14" s="70">
        <f t="shared" si="7"/>
        <v>22.19</v>
      </c>
      <c r="AG14" s="71">
        <f t="shared" si="134"/>
        <v>1.5873067428199725</v>
      </c>
      <c r="AH14" s="71">
        <f t="shared" si="135"/>
        <v>7.704365264317059</v>
      </c>
      <c r="AI14" s="70">
        <f t="shared" si="8"/>
        <v>21.68</v>
      </c>
      <c r="AJ14" s="71">
        <f t="shared" si="136"/>
        <v>1.9429461344483627</v>
      </c>
      <c r="AK14" s="71">
        <f t="shared" si="137"/>
        <v>9.8441547947513808</v>
      </c>
      <c r="AL14" s="70">
        <f t="shared" si="138"/>
        <v>27.84</v>
      </c>
      <c r="AM14" s="71">
        <f t="shared" si="139"/>
        <v>2.0003592378346795</v>
      </c>
      <c r="AN14" s="71">
        <f t="shared" si="140"/>
        <v>7.7414359442784075</v>
      </c>
      <c r="AO14" s="70">
        <f t="shared" si="141"/>
        <v>19.16</v>
      </c>
      <c r="AP14" s="71">
        <f t="shared" si="142"/>
        <v>1.4228978574055198</v>
      </c>
      <c r="AQ14" s="71">
        <f t="shared" si="143"/>
        <v>8.0221551748778985</v>
      </c>
      <c r="AR14" s="70">
        <f t="shared" si="144"/>
        <v>27.44</v>
      </c>
      <c r="AS14" s="71">
        <f t="shared" si="145"/>
        <v>3.3606394642718733</v>
      </c>
      <c r="AT14" s="71">
        <f t="shared" si="146"/>
        <v>13.956514581379654</v>
      </c>
      <c r="AU14" s="69">
        <f t="shared" si="147"/>
        <v>23.635283440586562</v>
      </c>
      <c r="AV14" s="131" t="str">
        <f t="shared" si="148"/>
        <v>±0,74</v>
      </c>
      <c r="AW14" s="69" t="str">
        <f t="shared" si="149"/>
        <v>±3,54</v>
      </c>
      <c r="AX14" s="132">
        <f t="shared" si="150"/>
        <v>0.74</v>
      </c>
      <c r="AY14" s="132">
        <f t="shared" si="151"/>
        <v>3.54</v>
      </c>
      <c r="AZ14" s="69">
        <f t="shared" si="9"/>
        <v>20.8</v>
      </c>
      <c r="BA14" s="69">
        <f t="shared" si="10"/>
        <v>25.22</v>
      </c>
      <c r="BB14" s="69">
        <f t="shared" si="152"/>
        <v>524.57600000000002</v>
      </c>
      <c r="BC14" s="69">
        <f t="shared" si="11"/>
        <v>20.8</v>
      </c>
      <c r="BD14" s="69">
        <f t="shared" si="12"/>
        <v>26.92</v>
      </c>
      <c r="BE14" s="69">
        <f t="shared" si="153"/>
        <v>559.93600000000004</v>
      </c>
      <c r="BF14" s="69">
        <f t="shared" si="13"/>
        <v>20.8</v>
      </c>
      <c r="BG14" s="69">
        <f t="shared" si="14"/>
        <v>21.59</v>
      </c>
      <c r="BH14" s="69">
        <f t="shared" si="154"/>
        <v>449.072</v>
      </c>
      <c r="BI14" s="69">
        <f t="shared" si="15"/>
        <v>20.8</v>
      </c>
      <c r="BJ14" s="69">
        <f t="shared" si="16"/>
        <v>25.34</v>
      </c>
      <c r="BK14" s="69">
        <f t="shared" si="155"/>
        <v>527.072</v>
      </c>
      <c r="BL14" s="69">
        <f t="shared" si="17"/>
        <v>20.8</v>
      </c>
      <c r="BM14" s="69">
        <f t="shared" si="18"/>
        <v>22.19</v>
      </c>
      <c r="BN14" s="69">
        <f t="shared" si="156"/>
        <v>461.55200000000002</v>
      </c>
      <c r="BO14" s="69">
        <f t="shared" si="19"/>
        <v>20.8</v>
      </c>
      <c r="BP14" s="69">
        <f t="shared" si="20"/>
        <v>21.68</v>
      </c>
      <c r="BQ14" s="69">
        <f t="shared" si="157"/>
        <v>450.94400000000002</v>
      </c>
      <c r="BR14" s="69">
        <f t="shared" si="21"/>
        <v>20.8</v>
      </c>
      <c r="BS14" s="69">
        <f t="shared" si="22"/>
        <v>27.84</v>
      </c>
      <c r="BT14" s="69">
        <f t="shared" si="158"/>
        <v>579.072</v>
      </c>
      <c r="BU14" s="69">
        <f t="shared" si="23"/>
        <v>20.8</v>
      </c>
      <c r="BV14" s="69">
        <f t="shared" si="24"/>
        <v>19.16</v>
      </c>
      <c r="BW14" s="69">
        <f t="shared" si="159"/>
        <v>398.52800000000002</v>
      </c>
      <c r="BX14" s="69">
        <f t="shared" si="25"/>
        <v>20.8</v>
      </c>
      <c r="BY14" s="69">
        <f t="shared" si="26"/>
        <v>27.44</v>
      </c>
      <c r="BZ14" s="69">
        <f t="shared" si="160"/>
        <v>570.75200000000007</v>
      </c>
      <c r="CA14" s="69">
        <f t="shared" si="27"/>
        <v>20.8</v>
      </c>
      <c r="CB14" s="69">
        <f t="shared" si="28"/>
        <v>23.635283440586562</v>
      </c>
      <c r="CC14" s="69">
        <f t="shared" si="161"/>
        <v>491.6138955642005</v>
      </c>
      <c r="CE14" s="69">
        <f t="shared" si="29"/>
        <v>25.22</v>
      </c>
      <c r="CF14" s="69">
        <f t="shared" si="30"/>
        <v>26.92</v>
      </c>
      <c r="CG14" s="69">
        <f t="shared" si="162"/>
        <v>678.92240000000004</v>
      </c>
      <c r="CH14" s="69">
        <f t="shared" si="31"/>
        <v>25.22</v>
      </c>
      <c r="CI14" s="69">
        <f t="shared" si="32"/>
        <v>21.59</v>
      </c>
      <c r="CJ14" s="69">
        <f t="shared" si="163"/>
        <v>544.49979999999994</v>
      </c>
      <c r="CK14" s="69">
        <f t="shared" si="33"/>
        <v>25.22</v>
      </c>
      <c r="CL14" s="69">
        <f t="shared" si="34"/>
        <v>25.34</v>
      </c>
      <c r="CM14" s="69">
        <f t="shared" si="164"/>
        <v>639.07479999999998</v>
      </c>
      <c r="CN14" s="69">
        <f t="shared" si="35"/>
        <v>25.22</v>
      </c>
      <c r="CO14" s="69">
        <f t="shared" si="36"/>
        <v>22.19</v>
      </c>
      <c r="CP14" s="69">
        <f t="shared" si="165"/>
        <v>559.6318</v>
      </c>
      <c r="CQ14" s="69">
        <f t="shared" si="37"/>
        <v>25.22</v>
      </c>
      <c r="CR14" s="69">
        <f t="shared" si="38"/>
        <v>21.68</v>
      </c>
      <c r="CS14" s="69">
        <f t="shared" si="166"/>
        <v>546.76959999999997</v>
      </c>
      <c r="CT14" s="69">
        <f t="shared" si="39"/>
        <v>25.22</v>
      </c>
      <c r="CU14" s="69">
        <f t="shared" si="40"/>
        <v>27.84</v>
      </c>
      <c r="CV14" s="69">
        <f t="shared" si="167"/>
        <v>702.12479999999994</v>
      </c>
      <c r="CW14" s="69">
        <f t="shared" si="41"/>
        <v>25.22</v>
      </c>
      <c r="CX14" s="69">
        <f t="shared" si="42"/>
        <v>19.16</v>
      </c>
      <c r="CY14" s="69">
        <f t="shared" si="168"/>
        <v>483.21519999999998</v>
      </c>
      <c r="CZ14" s="69">
        <f t="shared" si="43"/>
        <v>25.22</v>
      </c>
      <c r="DA14" s="69">
        <f t="shared" si="44"/>
        <v>27.44</v>
      </c>
      <c r="DB14" s="69">
        <f t="shared" si="169"/>
        <v>692.03679999999997</v>
      </c>
      <c r="DC14" s="69">
        <f t="shared" si="45"/>
        <v>25.22</v>
      </c>
      <c r="DD14" s="69">
        <f t="shared" si="46"/>
        <v>23.635283440586562</v>
      </c>
      <c r="DE14" s="69">
        <f t="shared" si="170"/>
        <v>596.08184837159308</v>
      </c>
      <c r="DG14" s="69">
        <f t="shared" si="47"/>
        <v>26.92</v>
      </c>
      <c r="DH14" s="69">
        <f t="shared" si="48"/>
        <v>21.59</v>
      </c>
      <c r="DI14" s="69">
        <f t="shared" si="171"/>
        <v>581.20280000000002</v>
      </c>
      <c r="DJ14" s="69">
        <f t="shared" si="49"/>
        <v>26.92</v>
      </c>
      <c r="DK14" s="69">
        <f t="shared" si="50"/>
        <v>25.34</v>
      </c>
      <c r="DL14" s="69">
        <f t="shared" si="172"/>
        <v>682.15280000000007</v>
      </c>
      <c r="DM14" s="69">
        <f t="shared" si="51"/>
        <v>26.92</v>
      </c>
      <c r="DN14" s="69">
        <f t="shared" si="52"/>
        <v>22.19</v>
      </c>
      <c r="DO14" s="69">
        <f t="shared" si="173"/>
        <v>597.35480000000007</v>
      </c>
      <c r="DP14" s="69">
        <f t="shared" si="53"/>
        <v>26.92</v>
      </c>
      <c r="DQ14" s="69">
        <f t="shared" si="54"/>
        <v>21.68</v>
      </c>
      <c r="DR14" s="69">
        <f t="shared" si="174"/>
        <v>583.62560000000008</v>
      </c>
      <c r="DS14" s="69">
        <f t="shared" si="55"/>
        <v>26.92</v>
      </c>
      <c r="DT14" s="69">
        <f t="shared" si="56"/>
        <v>27.84</v>
      </c>
      <c r="DU14" s="69">
        <f t="shared" si="175"/>
        <v>749.45280000000002</v>
      </c>
      <c r="DV14" s="69">
        <f t="shared" si="57"/>
        <v>26.92</v>
      </c>
      <c r="DW14" s="69">
        <f t="shared" si="58"/>
        <v>19.16</v>
      </c>
      <c r="DX14" s="69">
        <f t="shared" si="176"/>
        <v>515.78719999999998</v>
      </c>
      <c r="DY14" s="69">
        <f t="shared" si="59"/>
        <v>26.92</v>
      </c>
      <c r="DZ14" s="69">
        <f t="shared" si="60"/>
        <v>27.44</v>
      </c>
      <c r="EA14" s="69">
        <f t="shared" si="177"/>
        <v>738.68480000000011</v>
      </c>
      <c r="EB14" s="69">
        <f t="shared" si="61"/>
        <v>26.92</v>
      </c>
      <c r="EC14" s="69">
        <f t="shared" si="62"/>
        <v>23.635283440586562</v>
      </c>
      <c r="ED14" s="69">
        <f t="shared" si="178"/>
        <v>636.26183022059024</v>
      </c>
      <c r="EF14" s="69">
        <f t="shared" si="63"/>
        <v>21.59</v>
      </c>
      <c r="EG14" s="69">
        <f t="shared" si="64"/>
        <v>25.34</v>
      </c>
      <c r="EH14" s="69">
        <f t="shared" si="179"/>
        <v>547.09059999999999</v>
      </c>
      <c r="EI14" s="69">
        <f t="shared" si="65"/>
        <v>21.59</v>
      </c>
      <c r="EJ14" s="69">
        <f t="shared" si="66"/>
        <v>22.19</v>
      </c>
      <c r="EK14" s="69">
        <f t="shared" si="180"/>
        <v>479.08210000000003</v>
      </c>
      <c r="EL14" s="69">
        <f t="shared" si="67"/>
        <v>21.59</v>
      </c>
      <c r="EM14" s="69">
        <f t="shared" si="68"/>
        <v>21.68</v>
      </c>
      <c r="EN14" s="69">
        <f t="shared" si="181"/>
        <v>468.07119999999998</v>
      </c>
      <c r="EO14" s="69">
        <f t="shared" si="69"/>
        <v>21.59</v>
      </c>
      <c r="EP14" s="69">
        <f t="shared" si="70"/>
        <v>27.84</v>
      </c>
      <c r="EQ14" s="69">
        <f t="shared" si="182"/>
        <v>601.06560000000002</v>
      </c>
      <c r="ER14" s="69">
        <f t="shared" si="71"/>
        <v>21.59</v>
      </c>
      <c r="ES14" s="69">
        <f t="shared" si="72"/>
        <v>19.16</v>
      </c>
      <c r="ET14" s="69">
        <f t="shared" si="183"/>
        <v>413.6644</v>
      </c>
      <c r="EU14" s="69">
        <f t="shared" si="73"/>
        <v>21.59</v>
      </c>
      <c r="EV14" s="69">
        <f t="shared" si="74"/>
        <v>27.44</v>
      </c>
      <c r="EW14" s="69">
        <f t="shared" si="184"/>
        <v>592.42960000000005</v>
      </c>
      <c r="EX14" s="69">
        <f t="shared" si="75"/>
        <v>21.59</v>
      </c>
      <c r="EY14" s="69">
        <f t="shared" si="76"/>
        <v>23.635283440586562</v>
      </c>
      <c r="EZ14" s="69">
        <f t="shared" si="185"/>
        <v>510.2857694822639</v>
      </c>
      <c r="FB14" s="69">
        <f t="shared" si="77"/>
        <v>25.34</v>
      </c>
      <c r="FC14" s="69">
        <f t="shared" si="78"/>
        <v>22.19</v>
      </c>
      <c r="FD14" s="69">
        <f t="shared" si="186"/>
        <v>562.29460000000006</v>
      </c>
      <c r="FE14" s="69">
        <f t="shared" si="79"/>
        <v>25.34</v>
      </c>
      <c r="FF14" s="69">
        <f t="shared" si="80"/>
        <v>21.68</v>
      </c>
      <c r="FG14" s="69">
        <f t="shared" si="187"/>
        <v>549.37120000000004</v>
      </c>
      <c r="FH14" s="69">
        <f t="shared" si="81"/>
        <v>25.34</v>
      </c>
      <c r="FI14" s="69">
        <f t="shared" si="82"/>
        <v>27.84</v>
      </c>
      <c r="FJ14" s="69">
        <f t="shared" si="188"/>
        <v>705.46559999999999</v>
      </c>
      <c r="FK14" s="69">
        <f t="shared" si="83"/>
        <v>25.34</v>
      </c>
      <c r="FL14" s="69">
        <f t="shared" si="84"/>
        <v>19.16</v>
      </c>
      <c r="FM14" s="69">
        <f t="shared" si="189"/>
        <v>485.51440000000002</v>
      </c>
      <c r="FN14" s="69">
        <f t="shared" si="85"/>
        <v>25.34</v>
      </c>
      <c r="FO14" s="69">
        <f t="shared" si="86"/>
        <v>27.44</v>
      </c>
      <c r="FP14" s="69">
        <f t="shared" si="190"/>
        <v>695.32960000000003</v>
      </c>
      <c r="FQ14" s="69">
        <f t="shared" si="87"/>
        <v>25.34</v>
      </c>
      <c r="FR14" s="69">
        <f t="shared" si="88"/>
        <v>23.635283440586562</v>
      </c>
      <c r="FS14" s="69">
        <f t="shared" si="191"/>
        <v>598.91808238446345</v>
      </c>
      <c r="FU14" s="69">
        <f t="shared" si="89"/>
        <v>22.19</v>
      </c>
      <c r="FV14" s="69">
        <f t="shared" si="90"/>
        <v>21.68</v>
      </c>
      <c r="FW14" s="69">
        <f t="shared" si="192"/>
        <v>481.07920000000001</v>
      </c>
      <c r="FX14" s="69">
        <f t="shared" si="91"/>
        <v>22.19</v>
      </c>
      <c r="FY14" s="69">
        <f t="shared" si="92"/>
        <v>27.84</v>
      </c>
      <c r="FZ14" s="69">
        <f t="shared" si="193"/>
        <v>617.76960000000008</v>
      </c>
      <c r="GA14" s="69">
        <f t="shared" si="93"/>
        <v>22.19</v>
      </c>
      <c r="GB14" s="69">
        <f t="shared" si="94"/>
        <v>19.16</v>
      </c>
      <c r="GC14" s="69">
        <f t="shared" si="194"/>
        <v>425.16040000000004</v>
      </c>
      <c r="GD14" s="69">
        <f t="shared" si="95"/>
        <v>22.19</v>
      </c>
      <c r="GE14" s="69">
        <f t="shared" si="96"/>
        <v>27.44</v>
      </c>
      <c r="GF14" s="69">
        <f t="shared" si="195"/>
        <v>608.89360000000011</v>
      </c>
      <c r="GG14" s="69">
        <f t="shared" si="97"/>
        <v>22.19</v>
      </c>
      <c r="GH14" s="69">
        <f t="shared" si="98"/>
        <v>23.635283440586562</v>
      </c>
      <c r="GI14" s="69">
        <f t="shared" si="196"/>
        <v>524.46693954661589</v>
      </c>
      <c r="GK14" s="69">
        <f t="shared" si="99"/>
        <v>21.68</v>
      </c>
      <c r="GL14" s="69">
        <f t="shared" si="100"/>
        <v>27.84</v>
      </c>
      <c r="GM14" s="69">
        <f t="shared" si="197"/>
        <v>603.57119999999998</v>
      </c>
      <c r="GN14" s="69">
        <f t="shared" si="101"/>
        <v>21.68</v>
      </c>
      <c r="GO14" s="69">
        <f t="shared" si="102"/>
        <v>19.16</v>
      </c>
      <c r="GP14" s="69">
        <f t="shared" si="198"/>
        <v>415.3888</v>
      </c>
      <c r="GQ14" s="69">
        <f t="shared" si="103"/>
        <v>21.68</v>
      </c>
      <c r="GR14" s="69">
        <f t="shared" si="104"/>
        <v>27.44</v>
      </c>
      <c r="GS14" s="69">
        <f t="shared" si="199"/>
        <v>594.89920000000006</v>
      </c>
      <c r="GT14" s="69">
        <f t="shared" si="105"/>
        <v>21.68</v>
      </c>
      <c r="GU14" s="69">
        <f t="shared" si="106"/>
        <v>23.635283440586562</v>
      </c>
      <c r="GV14" s="69">
        <f t="shared" si="200"/>
        <v>512.41294499191667</v>
      </c>
      <c r="GX14" s="69">
        <f t="shared" si="201"/>
        <v>27.84</v>
      </c>
      <c r="GY14" s="69">
        <f t="shared" si="202"/>
        <v>19.16</v>
      </c>
      <c r="GZ14" s="69">
        <f t="shared" si="203"/>
        <v>533.4144</v>
      </c>
      <c r="HA14" s="69">
        <f t="shared" si="204"/>
        <v>27.84</v>
      </c>
      <c r="HB14" s="69">
        <f t="shared" si="205"/>
        <v>27.44</v>
      </c>
      <c r="HC14" s="69">
        <f t="shared" si="206"/>
        <v>763.92960000000005</v>
      </c>
      <c r="HD14" s="69">
        <f t="shared" si="207"/>
        <v>27.84</v>
      </c>
      <c r="HE14" s="69">
        <f t="shared" si="208"/>
        <v>23.635283440586562</v>
      </c>
      <c r="HF14" s="69">
        <f t="shared" si="209"/>
        <v>658.00629098592992</v>
      </c>
      <c r="HH14" s="69">
        <f t="shared" si="210"/>
        <v>19.16</v>
      </c>
      <c r="HI14" s="69">
        <f t="shared" si="211"/>
        <v>27.44</v>
      </c>
      <c r="HJ14" s="69">
        <f t="shared" si="212"/>
        <v>525.75040000000001</v>
      </c>
      <c r="HK14" s="69">
        <f t="shared" si="213"/>
        <v>19.16</v>
      </c>
      <c r="HL14" s="69">
        <f t="shared" si="214"/>
        <v>23.635283440586562</v>
      </c>
      <c r="HM14" s="69">
        <f t="shared" si="215"/>
        <v>452.85203072163853</v>
      </c>
      <c r="HO14" s="69">
        <f t="shared" si="216"/>
        <v>27.44</v>
      </c>
      <c r="HP14" s="69">
        <f t="shared" si="217"/>
        <v>23.635283440586562</v>
      </c>
      <c r="HQ14" s="69">
        <f t="shared" si="218"/>
        <v>648.55217760969526</v>
      </c>
      <c r="HS14" s="69">
        <f t="shared" si="107"/>
        <v>23.635283440586562</v>
      </c>
      <c r="HT14" s="69">
        <f t="shared" si="108"/>
        <v>20.8</v>
      </c>
      <c r="HU14" s="69">
        <f t="shared" si="219"/>
        <v>491.6138955642005</v>
      </c>
      <c r="HV14" s="69">
        <f t="shared" si="109"/>
        <v>23.635283440586562</v>
      </c>
      <c r="HW14" s="69">
        <f t="shared" si="110"/>
        <v>25.22</v>
      </c>
      <c r="HX14" s="69">
        <f t="shared" si="220"/>
        <v>596.08184837159308</v>
      </c>
      <c r="HY14" s="69">
        <f t="shared" si="111"/>
        <v>23.635283440586562</v>
      </c>
      <c r="HZ14" s="69">
        <f t="shared" si="112"/>
        <v>26.92</v>
      </c>
      <c r="IA14" s="69">
        <f t="shared" si="221"/>
        <v>636.26183022059024</v>
      </c>
      <c r="IB14" s="69">
        <f t="shared" si="113"/>
        <v>23.635283440586562</v>
      </c>
      <c r="IC14" s="69">
        <f t="shared" si="114"/>
        <v>21.59</v>
      </c>
      <c r="ID14" s="69">
        <f t="shared" si="222"/>
        <v>510.2857694822639</v>
      </c>
      <c r="IE14" s="69">
        <f t="shared" si="115"/>
        <v>23.635283440586562</v>
      </c>
      <c r="IF14" s="69">
        <f t="shared" si="116"/>
        <v>25.34</v>
      </c>
      <c r="IG14" s="69">
        <f t="shared" si="223"/>
        <v>598.91808238446345</v>
      </c>
      <c r="IH14" s="69">
        <f t="shared" si="117"/>
        <v>23.635283440586562</v>
      </c>
      <c r="II14" s="69">
        <f t="shared" si="118"/>
        <v>22.19</v>
      </c>
      <c r="IJ14" s="69">
        <f t="shared" si="224"/>
        <v>524.46693954661589</v>
      </c>
      <c r="IK14" s="69">
        <f t="shared" si="119"/>
        <v>23.635283440586562</v>
      </c>
      <c r="IL14" s="69">
        <f t="shared" si="120"/>
        <v>21.68</v>
      </c>
      <c r="IM14" s="69">
        <f t="shared" si="225"/>
        <v>512.41294499191667</v>
      </c>
      <c r="IN14" s="69">
        <f t="shared" si="226"/>
        <v>23.635283440586562</v>
      </c>
      <c r="IO14" s="69">
        <f t="shared" si="227"/>
        <v>27.84</v>
      </c>
      <c r="IP14" s="69">
        <f t="shared" si="228"/>
        <v>658.00629098592992</v>
      </c>
      <c r="IQ14" s="69">
        <f t="shared" si="229"/>
        <v>23.635283440586562</v>
      </c>
      <c r="IR14" s="69">
        <f t="shared" si="230"/>
        <v>19.16</v>
      </c>
      <c r="IS14" s="69">
        <f t="shared" si="231"/>
        <v>452.85203072163853</v>
      </c>
      <c r="IT14" s="69">
        <f t="shared" si="232"/>
        <v>23.635283440586562</v>
      </c>
      <c r="IU14" s="69">
        <f t="shared" si="233"/>
        <v>27.44</v>
      </c>
      <c r="IV14" s="69">
        <f t="shared" si="234"/>
        <v>648.55217760969526</v>
      </c>
    </row>
    <row r="15" spans="1:256" ht="15" x14ac:dyDescent="0.25">
      <c r="A15" s="57" t="s">
        <v>18</v>
      </c>
      <c r="B15" s="295">
        <v>19.04</v>
      </c>
      <c r="C15" s="295">
        <v>27.8</v>
      </c>
      <c r="D15" s="295">
        <v>26.72</v>
      </c>
      <c r="E15" s="295">
        <v>18.02</v>
      </c>
      <c r="F15" s="295">
        <v>23.33</v>
      </c>
      <c r="G15" s="295">
        <v>21.64</v>
      </c>
      <c r="H15" s="295">
        <v>22.06</v>
      </c>
      <c r="I15" s="296">
        <v>27.69</v>
      </c>
      <c r="J15" s="295">
        <v>18.64</v>
      </c>
      <c r="K15" s="295">
        <v>24.48</v>
      </c>
      <c r="L15" s="68">
        <f t="shared" si="0"/>
        <v>10</v>
      </c>
      <c r="M15" s="69">
        <f t="shared" si="1"/>
        <v>22.67075982869493</v>
      </c>
      <c r="N15" s="69" t="str">
        <f t="shared" si="121"/>
        <v>±1,26</v>
      </c>
      <c r="O15" s="69" t="str">
        <f t="shared" si="122"/>
        <v>±5,59</v>
      </c>
      <c r="P15" s="69" t="str">
        <f t="shared" si="235"/>
        <v>±3,79</v>
      </c>
      <c r="Q15" s="70">
        <f t="shared" si="2"/>
        <v>19.04</v>
      </c>
      <c r="R15" s="71">
        <f t="shared" si="124"/>
        <v>7.1374756824098995E-2</v>
      </c>
      <c r="S15" s="71">
        <f t="shared" si="125"/>
        <v>0.37627796379062772</v>
      </c>
      <c r="T15" s="70">
        <f t="shared" si="3"/>
        <v>27.8</v>
      </c>
      <c r="U15" s="71">
        <f t="shared" si="126"/>
        <v>3.8387778270670019</v>
      </c>
      <c r="V15" s="71">
        <f t="shared" si="127"/>
        <v>16.020793093781972</v>
      </c>
      <c r="W15" s="70">
        <f t="shared" si="4"/>
        <v>26.72</v>
      </c>
      <c r="X15" s="71">
        <f t="shared" si="128"/>
        <v>1.031738716221934</v>
      </c>
      <c r="Y15" s="71">
        <f t="shared" si="129"/>
        <v>4.0163820541387452</v>
      </c>
      <c r="Z15" s="70">
        <f t="shared" si="5"/>
        <v>18.02</v>
      </c>
      <c r="AA15" s="71">
        <f t="shared" si="130"/>
        <v>-0.6718518528397972</v>
      </c>
      <c r="AB15" s="71">
        <f t="shared" si="131"/>
        <v>-3.5943568252587266</v>
      </c>
      <c r="AC15" s="70">
        <f t="shared" si="6"/>
        <v>23.33</v>
      </c>
      <c r="AD15" s="71">
        <f t="shared" si="132"/>
        <v>0.77687884715891897</v>
      </c>
      <c r="AE15" s="71">
        <f t="shared" si="133"/>
        <v>3.4446622349698641</v>
      </c>
      <c r="AF15" s="70">
        <f t="shared" si="7"/>
        <v>21.64</v>
      </c>
      <c r="AG15" s="71">
        <f t="shared" si="134"/>
        <v>1.0373067428199718</v>
      </c>
      <c r="AH15" s="71">
        <f t="shared" si="135"/>
        <v>5.0348113708797326</v>
      </c>
      <c r="AI15" s="70">
        <f t="shared" si="8"/>
        <v>22.06</v>
      </c>
      <c r="AJ15" s="71">
        <f t="shared" si="136"/>
        <v>2.3229461344483617</v>
      </c>
      <c r="AK15" s="71">
        <f t="shared" si="137"/>
        <v>11.769467471043127</v>
      </c>
      <c r="AL15" s="70">
        <f t="shared" si="138"/>
        <v>27.69</v>
      </c>
      <c r="AM15" s="71">
        <f t="shared" si="139"/>
        <v>1.8503592378346809</v>
      </c>
      <c r="AN15" s="71">
        <f t="shared" si="140"/>
        <v>7.1609325178545014</v>
      </c>
      <c r="AO15" s="70">
        <f t="shared" si="141"/>
        <v>18.64</v>
      </c>
      <c r="AP15" s="71">
        <f t="shared" si="142"/>
        <v>0.9028978574055202</v>
      </c>
      <c r="AQ15" s="71">
        <f t="shared" si="143"/>
        <v>5.0904474143905976</v>
      </c>
      <c r="AR15" s="70">
        <f t="shared" si="144"/>
        <v>24.48</v>
      </c>
      <c r="AS15" s="71">
        <f t="shared" si="145"/>
        <v>0.40063946427187247</v>
      </c>
      <c r="AT15" s="71">
        <f t="shared" si="146"/>
        <v>1.6638293349917621</v>
      </c>
      <c r="AU15" s="69">
        <f t="shared" si="147"/>
        <v>22.67075982869493</v>
      </c>
      <c r="AV15" s="131" t="str">
        <f t="shared" si="148"/>
        <v>±1,26</v>
      </c>
      <c r="AW15" s="69" t="str">
        <f t="shared" si="149"/>
        <v>±5,59</v>
      </c>
      <c r="AX15" s="132">
        <f t="shared" si="150"/>
        <v>1.26</v>
      </c>
      <c r="AY15" s="132">
        <f t="shared" si="151"/>
        <v>5.59</v>
      </c>
      <c r="AZ15" s="69">
        <f t="shared" si="9"/>
        <v>19.04</v>
      </c>
      <c r="BA15" s="69">
        <f t="shared" si="10"/>
        <v>27.8</v>
      </c>
      <c r="BB15" s="69">
        <f t="shared" si="152"/>
        <v>529.31200000000001</v>
      </c>
      <c r="BC15" s="69">
        <f t="shared" si="11"/>
        <v>19.04</v>
      </c>
      <c r="BD15" s="69">
        <f t="shared" si="12"/>
        <v>26.72</v>
      </c>
      <c r="BE15" s="69">
        <f t="shared" si="153"/>
        <v>508.74879999999996</v>
      </c>
      <c r="BF15" s="69">
        <f t="shared" si="13"/>
        <v>19.04</v>
      </c>
      <c r="BG15" s="69">
        <f t="shared" si="14"/>
        <v>18.02</v>
      </c>
      <c r="BH15" s="69">
        <f t="shared" si="154"/>
        <v>343.10079999999999</v>
      </c>
      <c r="BI15" s="69">
        <f t="shared" si="15"/>
        <v>19.04</v>
      </c>
      <c r="BJ15" s="69">
        <f t="shared" si="16"/>
        <v>23.33</v>
      </c>
      <c r="BK15" s="69">
        <f t="shared" si="155"/>
        <v>444.20319999999992</v>
      </c>
      <c r="BL15" s="69">
        <f t="shared" si="17"/>
        <v>19.04</v>
      </c>
      <c r="BM15" s="69">
        <f t="shared" si="18"/>
        <v>21.64</v>
      </c>
      <c r="BN15" s="69">
        <f t="shared" si="156"/>
        <v>412.0256</v>
      </c>
      <c r="BO15" s="69">
        <f t="shared" si="19"/>
        <v>19.04</v>
      </c>
      <c r="BP15" s="69">
        <f t="shared" si="20"/>
        <v>22.06</v>
      </c>
      <c r="BQ15" s="69">
        <f t="shared" si="157"/>
        <v>420.02239999999995</v>
      </c>
      <c r="BR15" s="69">
        <f t="shared" si="21"/>
        <v>19.04</v>
      </c>
      <c r="BS15" s="69">
        <f t="shared" si="22"/>
        <v>27.69</v>
      </c>
      <c r="BT15" s="69">
        <f t="shared" si="158"/>
        <v>527.21759999999995</v>
      </c>
      <c r="BU15" s="69">
        <f t="shared" si="23"/>
        <v>19.04</v>
      </c>
      <c r="BV15" s="69">
        <f t="shared" si="24"/>
        <v>18.64</v>
      </c>
      <c r="BW15" s="69">
        <f t="shared" si="159"/>
        <v>354.90559999999999</v>
      </c>
      <c r="BX15" s="69">
        <f t="shared" si="25"/>
        <v>19.04</v>
      </c>
      <c r="BY15" s="69">
        <f t="shared" si="26"/>
        <v>24.48</v>
      </c>
      <c r="BZ15" s="69">
        <f t="shared" si="160"/>
        <v>466.0992</v>
      </c>
      <c r="CA15" s="69">
        <f t="shared" si="27"/>
        <v>19.04</v>
      </c>
      <c r="CB15" s="69">
        <f t="shared" si="28"/>
        <v>22.67075982869493</v>
      </c>
      <c r="CC15" s="69">
        <f t="shared" si="161"/>
        <v>431.65126713835144</v>
      </c>
      <c r="CE15" s="69">
        <f t="shared" si="29"/>
        <v>27.8</v>
      </c>
      <c r="CF15" s="69">
        <f t="shared" si="30"/>
        <v>26.72</v>
      </c>
      <c r="CG15" s="69">
        <f t="shared" si="162"/>
        <v>742.81600000000003</v>
      </c>
      <c r="CH15" s="69">
        <f t="shared" si="31"/>
        <v>27.8</v>
      </c>
      <c r="CI15" s="69">
        <f t="shared" si="32"/>
        <v>18.02</v>
      </c>
      <c r="CJ15" s="69">
        <f t="shared" si="163"/>
        <v>500.95600000000002</v>
      </c>
      <c r="CK15" s="69">
        <f t="shared" si="33"/>
        <v>27.8</v>
      </c>
      <c r="CL15" s="69">
        <f t="shared" si="34"/>
        <v>23.33</v>
      </c>
      <c r="CM15" s="69">
        <f t="shared" si="164"/>
        <v>648.57399999999996</v>
      </c>
      <c r="CN15" s="69">
        <f t="shared" si="35"/>
        <v>27.8</v>
      </c>
      <c r="CO15" s="69">
        <f t="shared" si="36"/>
        <v>21.64</v>
      </c>
      <c r="CP15" s="69">
        <f t="shared" si="165"/>
        <v>601.59199999999998</v>
      </c>
      <c r="CQ15" s="69">
        <f t="shared" si="37"/>
        <v>27.8</v>
      </c>
      <c r="CR15" s="69">
        <f t="shared" si="38"/>
        <v>22.06</v>
      </c>
      <c r="CS15" s="69">
        <f t="shared" si="166"/>
        <v>613.26800000000003</v>
      </c>
      <c r="CT15" s="69">
        <f t="shared" si="39"/>
        <v>27.8</v>
      </c>
      <c r="CU15" s="69">
        <f t="shared" si="40"/>
        <v>27.69</v>
      </c>
      <c r="CV15" s="69">
        <f t="shared" si="167"/>
        <v>769.78200000000004</v>
      </c>
      <c r="CW15" s="69">
        <f t="shared" si="41"/>
        <v>27.8</v>
      </c>
      <c r="CX15" s="69">
        <f t="shared" si="42"/>
        <v>18.64</v>
      </c>
      <c r="CY15" s="69">
        <f t="shared" si="168"/>
        <v>518.19200000000001</v>
      </c>
      <c r="CZ15" s="69">
        <f t="shared" si="43"/>
        <v>27.8</v>
      </c>
      <c r="DA15" s="69">
        <f t="shared" si="44"/>
        <v>24.48</v>
      </c>
      <c r="DB15" s="69">
        <f t="shared" si="169"/>
        <v>680.54399999999998</v>
      </c>
      <c r="DC15" s="69">
        <f t="shared" si="45"/>
        <v>27.8</v>
      </c>
      <c r="DD15" s="69">
        <f t="shared" si="46"/>
        <v>22.67075982869493</v>
      </c>
      <c r="DE15" s="69">
        <f t="shared" si="170"/>
        <v>630.24712323771905</v>
      </c>
      <c r="DG15" s="69">
        <f t="shared" si="47"/>
        <v>26.72</v>
      </c>
      <c r="DH15" s="69">
        <f t="shared" si="48"/>
        <v>18.02</v>
      </c>
      <c r="DI15" s="69">
        <f t="shared" si="171"/>
        <v>481.49439999999998</v>
      </c>
      <c r="DJ15" s="69">
        <f t="shared" si="49"/>
        <v>26.72</v>
      </c>
      <c r="DK15" s="69">
        <f t="shared" si="50"/>
        <v>23.33</v>
      </c>
      <c r="DL15" s="69">
        <f t="shared" si="172"/>
        <v>623.37759999999992</v>
      </c>
      <c r="DM15" s="69">
        <f t="shared" si="51"/>
        <v>26.72</v>
      </c>
      <c r="DN15" s="69">
        <f t="shared" si="52"/>
        <v>21.64</v>
      </c>
      <c r="DO15" s="69">
        <f t="shared" si="173"/>
        <v>578.22079999999994</v>
      </c>
      <c r="DP15" s="69">
        <f t="shared" si="53"/>
        <v>26.72</v>
      </c>
      <c r="DQ15" s="69">
        <f t="shared" si="54"/>
        <v>22.06</v>
      </c>
      <c r="DR15" s="69">
        <f t="shared" si="174"/>
        <v>589.44319999999993</v>
      </c>
      <c r="DS15" s="69">
        <f t="shared" si="55"/>
        <v>26.72</v>
      </c>
      <c r="DT15" s="69">
        <f t="shared" si="56"/>
        <v>27.69</v>
      </c>
      <c r="DU15" s="69">
        <f t="shared" si="175"/>
        <v>739.8768</v>
      </c>
      <c r="DV15" s="69">
        <f t="shared" si="57"/>
        <v>26.72</v>
      </c>
      <c r="DW15" s="69">
        <f t="shared" si="58"/>
        <v>18.64</v>
      </c>
      <c r="DX15" s="69">
        <f t="shared" si="176"/>
        <v>498.06079999999997</v>
      </c>
      <c r="DY15" s="69">
        <f t="shared" si="59"/>
        <v>26.72</v>
      </c>
      <c r="DZ15" s="69">
        <f t="shared" si="60"/>
        <v>24.48</v>
      </c>
      <c r="EA15" s="69">
        <f t="shared" si="177"/>
        <v>654.10559999999998</v>
      </c>
      <c r="EB15" s="69">
        <f t="shared" si="61"/>
        <v>26.72</v>
      </c>
      <c r="EC15" s="69">
        <f t="shared" si="62"/>
        <v>22.67075982869493</v>
      </c>
      <c r="ED15" s="69">
        <f t="shared" si="178"/>
        <v>605.76270262272851</v>
      </c>
      <c r="EF15" s="69">
        <f t="shared" si="63"/>
        <v>18.02</v>
      </c>
      <c r="EG15" s="69">
        <f t="shared" si="64"/>
        <v>23.33</v>
      </c>
      <c r="EH15" s="69">
        <f t="shared" si="179"/>
        <v>420.40659999999997</v>
      </c>
      <c r="EI15" s="69">
        <f t="shared" si="65"/>
        <v>18.02</v>
      </c>
      <c r="EJ15" s="69">
        <f t="shared" si="66"/>
        <v>21.64</v>
      </c>
      <c r="EK15" s="69">
        <f t="shared" si="180"/>
        <v>389.95280000000002</v>
      </c>
      <c r="EL15" s="69">
        <f t="shared" si="67"/>
        <v>18.02</v>
      </c>
      <c r="EM15" s="69">
        <f t="shared" si="68"/>
        <v>22.06</v>
      </c>
      <c r="EN15" s="69">
        <f t="shared" si="181"/>
        <v>397.52119999999996</v>
      </c>
      <c r="EO15" s="69">
        <f t="shared" si="69"/>
        <v>18.02</v>
      </c>
      <c r="EP15" s="69">
        <f t="shared" si="70"/>
        <v>27.69</v>
      </c>
      <c r="EQ15" s="69">
        <f t="shared" si="182"/>
        <v>498.97379999999998</v>
      </c>
      <c r="ER15" s="69">
        <f t="shared" si="71"/>
        <v>18.02</v>
      </c>
      <c r="ES15" s="69">
        <f t="shared" si="72"/>
        <v>18.64</v>
      </c>
      <c r="ET15" s="69">
        <f t="shared" si="183"/>
        <v>335.89280000000002</v>
      </c>
      <c r="EU15" s="69">
        <f t="shared" si="73"/>
        <v>18.02</v>
      </c>
      <c r="EV15" s="69">
        <f t="shared" si="74"/>
        <v>24.48</v>
      </c>
      <c r="EW15" s="69">
        <f t="shared" si="184"/>
        <v>441.12959999999998</v>
      </c>
      <c r="EX15" s="69">
        <f t="shared" si="75"/>
        <v>18.02</v>
      </c>
      <c r="EY15" s="69">
        <f t="shared" si="76"/>
        <v>22.67075982869493</v>
      </c>
      <c r="EZ15" s="69">
        <f t="shared" si="185"/>
        <v>408.52709211308263</v>
      </c>
      <c r="FB15" s="69">
        <f t="shared" si="77"/>
        <v>23.33</v>
      </c>
      <c r="FC15" s="69">
        <f t="shared" si="78"/>
        <v>21.64</v>
      </c>
      <c r="FD15" s="69">
        <f t="shared" si="186"/>
        <v>504.8612</v>
      </c>
      <c r="FE15" s="69">
        <f t="shared" si="79"/>
        <v>23.33</v>
      </c>
      <c r="FF15" s="69">
        <f t="shared" si="80"/>
        <v>22.06</v>
      </c>
      <c r="FG15" s="69">
        <f t="shared" si="187"/>
        <v>514.6597999999999</v>
      </c>
      <c r="FH15" s="69">
        <f t="shared" si="81"/>
        <v>23.33</v>
      </c>
      <c r="FI15" s="69">
        <f t="shared" si="82"/>
        <v>27.69</v>
      </c>
      <c r="FJ15" s="69">
        <f t="shared" si="188"/>
        <v>646.0077</v>
      </c>
      <c r="FK15" s="69">
        <f t="shared" si="83"/>
        <v>23.33</v>
      </c>
      <c r="FL15" s="69">
        <f t="shared" si="84"/>
        <v>18.64</v>
      </c>
      <c r="FM15" s="69">
        <f t="shared" si="189"/>
        <v>434.87119999999999</v>
      </c>
      <c r="FN15" s="69">
        <f t="shared" si="85"/>
        <v>23.33</v>
      </c>
      <c r="FO15" s="69">
        <f t="shared" si="86"/>
        <v>24.48</v>
      </c>
      <c r="FP15" s="69">
        <f t="shared" si="190"/>
        <v>571.11839999999995</v>
      </c>
      <c r="FQ15" s="69">
        <f t="shared" si="87"/>
        <v>23.33</v>
      </c>
      <c r="FR15" s="69">
        <f t="shared" si="88"/>
        <v>22.67075982869493</v>
      </c>
      <c r="FS15" s="69">
        <f t="shared" si="191"/>
        <v>528.90882680345271</v>
      </c>
      <c r="FU15" s="69">
        <f t="shared" si="89"/>
        <v>21.64</v>
      </c>
      <c r="FV15" s="69">
        <f t="shared" si="90"/>
        <v>22.06</v>
      </c>
      <c r="FW15" s="69">
        <f t="shared" si="192"/>
        <v>477.3784</v>
      </c>
      <c r="FX15" s="69">
        <f t="shared" si="91"/>
        <v>21.64</v>
      </c>
      <c r="FY15" s="69">
        <f t="shared" si="92"/>
        <v>27.69</v>
      </c>
      <c r="FZ15" s="69">
        <f t="shared" si="193"/>
        <v>599.21160000000009</v>
      </c>
      <c r="GA15" s="69">
        <f t="shared" si="93"/>
        <v>21.64</v>
      </c>
      <c r="GB15" s="69">
        <f t="shared" si="94"/>
        <v>18.64</v>
      </c>
      <c r="GC15" s="69">
        <f t="shared" si="194"/>
        <v>403.36960000000005</v>
      </c>
      <c r="GD15" s="69">
        <f t="shared" si="95"/>
        <v>21.64</v>
      </c>
      <c r="GE15" s="69">
        <f t="shared" si="96"/>
        <v>24.48</v>
      </c>
      <c r="GF15" s="69">
        <f t="shared" si="195"/>
        <v>529.74720000000002</v>
      </c>
      <c r="GG15" s="69">
        <f t="shared" si="97"/>
        <v>21.64</v>
      </c>
      <c r="GH15" s="69">
        <f t="shared" si="98"/>
        <v>22.67075982869493</v>
      </c>
      <c r="GI15" s="69">
        <f t="shared" si="196"/>
        <v>490.59524269295832</v>
      </c>
      <c r="GK15" s="69">
        <f t="shared" si="99"/>
        <v>22.06</v>
      </c>
      <c r="GL15" s="69">
        <f t="shared" si="100"/>
        <v>27.69</v>
      </c>
      <c r="GM15" s="69">
        <f t="shared" si="197"/>
        <v>610.84140000000002</v>
      </c>
      <c r="GN15" s="69">
        <f t="shared" si="101"/>
        <v>22.06</v>
      </c>
      <c r="GO15" s="69">
        <f t="shared" si="102"/>
        <v>18.64</v>
      </c>
      <c r="GP15" s="69">
        <f t="shared" si="198"/>
        <v>411.19839999999999</v>
      </c>
      <c r="GQ15" s="69">
        <f t="shared" si="103"/>
        <v>22.06</v>
      </c>
      <c r="GR15" s="69">
        <f t="shared" si="104"/>
        <v>24.48</v>
      </c>
      <c r="GS15" s="69">
        <f t="shared" si="199"/>
        <v>540.02879999999993</v>
      </c>
      <c r="GT15" s="69">
        <f t="shared" si="105"/>
        <v>22.06</v>
      </c>
      <c r="GU15" s="69">
        <f t="shared" si="106"/>
        <v>22.67075982869493</v>
      </c>
      <c r="GV15" s="69">
        <f t="shared" si="200"/>
        <v>500.11696182101014</v>
      </c>
      <c r="GX15" s="69">
        <f t="shared" si="201"/>
        <v>27.69</v>
      </c>
      <c r="GY15" s="69">
        <f t="shared" si="202"/>
        <v>18.64</v>
      </c>
      <c r="GZ15" s="69">
        <f t="shared" si="203"/>
        <v>516.14160000000004</v>
      </c>
      <c r="HA15" s="69">
        <f t="shared" si="204"/>
        <v>27.69</v>
      </c>
      <c r="HB15" s="69">
        <f t="shared" si="205"/>
        <v>24.48</v>
      </c>
      <c r="HC15" s="69">
        <f t="shared" si="206"/>
        <v>677.85120000000006</v>
      </c>
      <c r="HD15" s="69">
        <f t="shared" si="207"/>
        <v>27.69</v>
      </c>
      <c r="HE15" s="69">
        <f t="shared" si="208"/>
        <v>22.67075982869493</v>
      </c>
      <c r="HF15" s="69">
        <f t="shared" si="209"/>
        <v>627.75333965656262</v>
      </c>
      <c r="HH15" s="69">
        <f t="shared" si="210"/>
        <v>18.64</v>
      </c>
      <c r="HI15" s="69">
        <f t="shared" si="211"/>
        <v>24.48</v>
      </c>
      <c r="HJ15" s="69">
        <f t="shared" si="212"/>
        <v>456.30720000000002</v>
      </c>
      <c r="HK15" s="69">
        <f t="shared" si="213"/>
        <v>18.64</v>
      </c>
      <c r="HL15" s="69">
        <f t="shared" si="214"/>
        <v>22.67075982869493</v>
      </c>
      <c r="HM15" s="69">
        <f t="shared" si="215"/>
        <v>422.5829632068735</v>
      </c>
      <c r="HO15" s="69">
        <f t="shared" si="216"/>
        <v>24.48</v>
      </c>
      <c r="HP15" s="69">
        <f t="shared" si="217"/>
        <v>22.67075982869493</v>
      </c>
      <c r="HQ15" s="69">
        <f t="shared" si="218"/>
        <v>554.98020060645194</v>
      </c>
      <c r="HS15" s="69">
        <f t="shared" si="107"/>
        <v>22.67075982869493</v>
      </c>
      <c r="HT15" s="69">
        <f t="shared" si="108"/>
        <v>19.04</v>
      </c>
      <c r="HU15" s="69">
        <f t="shared" si="219"/>
        <v>431.65126713835144</v>
      </c>
      <c r="HV15" s="69">
        <f t="shared" si="109"/>
        <v>22.67075982869493</v>
      </c>
      <c r="HW15" s="69">
        <f t="shared" si="110"/>
        <v>27.8</v>
      </c>
      <c r="HX15" s="69">
        <f t="shared" si="220"/>
        <v>630.24712323771905</v>
      </c>
      <c r="HY15" s="69">
        <f t="shared" si="111"/>
        <v>22.67075982869493</v>
      </c>
      <c r="HZ15" s="69">
        <f t="shared" si="112"/>
        <v>26.72</v>
      </c>
      <c r="IA15" s="69">
        <f t="shared" si="221"/>
        <v>605.76270262272851</v>
      </c>
      <c r="IB15" s="69">
        <f t="shared" si="113"/>
        <v>22.67075982869493</v>
      </c>
      <c r="IC15" s="69">
        <f t="shared" si="114"/>
        <v>18.02</v>
      </c>
      <c r="ID15" s="69">
        <f t="shared" si="222"/>
        <v>408.52709211308263</v>
      </c>
      <c r="IE15" s="69">
        <f t="shared" si="115"/>
        <v>22.67075982869493</v>
      </c>
      <c r="IF15" s="69">
        <f t="shared" si="116"/>
        <v>23.33</v>
      </c>
      <c r="IG15" s="69">
        <f t="shared" si="223"/>
        <v>528.90882680345271</v>
      </c>
      <c r="IH15" s="69">
        <f t="shared" si="117"/>
        <v>22.67075982869493</v>
      </c>
      <c r="II15" s="69">
        <f t="shared" si="118"/>
        <v>21.64</v>
      </c>
      <c r="IJ15" s="69">
        <f t="shared" si="224"/>
        <v>490.59524269295832</v>
      </c>
      <c r="IK15" s="69">
        <f t="shared" si="119"/>
        <v>22.67075982869493</v>
      </c>
      <c r="IL15" s="69">
        <f t="shared" si="120"/>
        <v>22.06</v>
      </c>
      <c r="IM15" s="69">
        <f t="shared" si="225"/>
        <v>500.11696182101014</v>
      </c>
      <c r="IN15" s="69">
        <f t="shared" si="226"/>
        <v>22.67075982869493</v>
      </c>
      <c r="IO15" s="69">
        <f t="shared" si="227"/>
        <v>27.69</v>
      </c>
      <c r="IP15" s="69">
        <f t="shared" si="228"/>
        <v>627.75333965656262</v>
      </c>
      <c r="IQ15" s="69">
        <f t="shared" si="229"/>
        <v>22.67075982869493</v>
      </c>
      <c r="IR15" s="69">
        <f t="shared" si="230"/>
        <v>18.64</v>
      </c>
      <c r="IS15" s="69">
        <f t="shared" si="231"/>
        <v>422.5829632068735</v>
      </c>
      <c r="IT15" s="69">
        <f t="shared" si="232"/>
        <v>22.67075982869493</v>
      </c>
      <c r="IU15" s="69">
        <f t="shared" si="233"/>
        <v>24.48</v>
      </c>
      <c r="IV15" s="69">
        <f t="shared" si="234"/>
        <v>554.98020060645194</v>
      </c>
    </row>
    <row r="16" spans="1:256" ht="15" x14ac:dyDescent="0.25">
      <c r="A16" s="57" t="s">
        <v>19</v>
      </c>
      <c r="B16" s="295">
        <v>17.5</v>
      </c>
      <c r="C16" s="295">
        <v>22.04</v>
      </c>
      <c r="D16" s="295">
        <v>25.11</v>
      </c>
      <c r="E16" s="295">
        <v>17.170000000000002</v>
      </c>
      <c r="F16" s="295">
        <v>20.99</v>
      </c>
      <c r="G16" s="295">
        <v>19.5</v>
      </c>
      <c r="H16" s="295">
        <v>18.98</v>
      </c>
      <c r="I16" s="296">
        <v>23.74</v>
      </c>
      <c r="J16" s="295">
        <v>16.239999999999998</v>
      </c>
      <c r="K16" s="295">
        <v>22.48</v>
      </c>
      <c r="L16" s="68">
        <f t="shared" si="0"/>
        <v>10</v>
      </c>
      <c r="M16" s="69">
        <f t="shared" si="1"/>
        <v>20.179355674112671</v>
      </c>
      <c r="N16" s="69" t="str">
        <f t="shared" si="121"/>
        <v>±0,48</v>
      </c>
      <c r="O16" s="69" t="str">
        <f t="shared" si="122"/>
        <v>±2,1</v>
      </c>
      <c r="P16" s="69" t="str">
        <f t="shared" si="235"/>
        <v>±0,14</v>
      </c>
      <c r="Q16" s="70">
        <f t="shared" si="2"/>
        <v>17.5</v>
      </c>
      <c r="R16" s="71">
        <f t="shared" si="124"/>
        <v>-1.4686252431759002</v>
      </c>
      <c r="S16" s="71">
        <f t="shared" si="125"/>
        <v>-7.742391577398311</v>
      </c>
      <c r="T16" s="70">
        <f t="shared" si="3"/>
        <v>22.04</v>
      </c>
      <c r="U16" s="71">
        <f t="shared" si="126"/>
        <v>-1.9212221729329997</v>
      </c>
      <c r="V16" s="71">
        <f t="shared" si="127"/>
        <v>-8.0180474896779046</v>
      </c>
      <c r="W16" s="70">
        <f t="shared" si="4"/>
        <v>25.11</v>
      </c>
      <c r="X16" s="71">
        <f t="shared" si="128"/>
        <v>-0.5782612837780654</v>
      </c>
      <c r="Y16" s="71">
        <f t="shared" si="129"/>
        <v>-2.2510721040634785</v>
      </c>
      <c r="Z16" s="70">
        <f t="shared" si="5"/>
        <v>17.170000000000002</v>
      </c>
      <c r="AA16" s="71">
        <f t="shared" si="130"/>
        <v>-1.5218518528397951</v>
      </c>
      <c r="AB16" s="71">
        <f t="shared" si="131"/>
        <v>-8.141792824067263</v>
      </c>
      <c r="AC16" s="70">
        <f t="shared" si="6"/>
        <v>20.99</v>
      </c>
      <c r="AD16" s="71">
        <f t="shared" si="132"/>
        <v>-1.5631211528410809</v>
      </c>
      <c r="AE16" s="71">
        <f t="shared" si="133"/>
        <v>-6.9308418211736944</v>
      </c>
      <c r="AF16" s="70">
        <f t="shared" si="7"/>
        <v>19.5</v>
      </c>
      <c r="AG16" s="71">
        <f t="shared" si="134"/>
        <v>-1.1026932571800288</v>
      </c>
      <c r="AH16" s="71">
        <f t="shared" si="135"/>
        <v>-5.352180141767338</v>
      </c>
      <c r="AI16" s="70">
        <f t="shared" si="8"/>
        <v>18.98</v>
      </c>
      <c r="AJ16" s="71">
        <f t="shared" si="136"/>
        <v>-0.75705386555163656</v>
      </c>
      <c r="AK16" s="71">
        <f t="shared" si="137"/>
        <v>-3.8356984315322307</v>
      </c>
      <c r="AL16" s="70">
        <f t="shared" si="138"/>
        <v>23.74</v>
      </c>
      <c r="AM16" s="71">
        <f t="shared" si="139"/>
        <v>-2.0996407621653219</v>
      </c>
      <c r="AN16" s="71">
        <f t="shared" si="140"/>
        <v>-8.1256577113085875</v>
      </c>
      <c r="AO16" s="70">
        <f t="shared" si="141"/>
        <v>16.239999999999998</v>
      </c>
      <c r="AP16" s="71">
        <f t="shared" si="142"/>
        <v>-1.4971021425944819</v>
      </c>
      <c r="AQ16" s="71">
        <f t="shared" si="143"/>
        <v>-8.4405114801661458</v>
      </c>
      <c r="AR16" s="70">
        <f t="shared" si="144"/>
        <v>22.48</v>
      </c>
      <c r="AS16" s="71">
        <f t="shared" si="145"/>
        <v>-1.5993605357281275</v>
      </c>
      <c r="AT16" s="71">
        <f t="shared" si="146"/>
        <v>-6.642039074729789</v>
      </c>
      <c r="AU16" s="69">
        <f t="shared" si="147"/>
        <v>20.179355674112671</v>
      </c>
      <c r="AV16" s="131" t="str">
        <f t="shared" si="148"/>
        <v>±0,48</v>
      </c>
      <c r="AW16" s="69" t="str">
        <f t="shared" si="149"/>
        <v>±2,1</v>
      </c>
      <c r="AX16" s="132">
        <f t="shared" si="150"/>
        <v>0.48</v>
      </c>
      <c r="AY16" s="132">
        <f t="shared" si="151"/>
        <v>2.1</v>
      </c>
      <c r="AZ16" s="69">
        <f t="shared" si="9"/>
        <v>17.5</v>
      </c>
      <c r="BA16" s="69">
        <f t="shared" si="10"/>
        <v>22.04</v>
      </c>
      <c r="BB16" s="69">
        <f t="shared" si="152"/>
        <v>385.7</v>
      </c>
      <c r="BC16" s="69">
        <f t="shared" si="11"/>
        <v>17.5</v>
      </c>
      <c r="BD16" s="69">
        <f t="shared" si="12"/>
        <v>25.11</v>
      </c>
      <c r="BE16" s="69">
        <f t="shared" si="153"/>
        <v>439.42500000000001</v>
      </c>
      <c r="BF16" s="69">
        <f t="shared" si="13"/>
        <v>17.5</v>
      </c>
      <c r="BG16" s="69">
        <f t="shared" si="14"/>
        <v>17.170000000000002</v>
      </c>
      <c r="BH16" s="69">
        <f t="shared" si="154"/>
        <v>300.47500000000002</v>
      </c>
      <c r="BI16" s="69">
        <f t="shared" si="15"/>
        <v>17.5</v>
      </c>
      <c r="BJ16" s="69">
        <f t="shared" si="16"/>
        <v>20.99</v>
      </c>
      <c r="BK16" s="69">
        <f t="shared" si="155"/>
        <v>367.32499999999999</v>
      </c>
      <c r="BL16" s="69">
        <f t="shared" si="17"/>
        <v>17.5</v>
      </c>
      <c r="BM16" s="69">
        <f t="shared" si="18"/>
        <v>19.5</v>
      </c>
      <c r="BN16" s="69">
        <f t="shared" si="156"/>
        <v>341.25</v>
      </c>
      <c r="BO16" s="69">
        <f t="shared" si="19"/>
        <v>17.5</v>
      </c>
      <c r="BP16" s="69">
        <f t="shared" si="20"/>
        <v>18.98</v>
      </c>
      <c r="BQ16" s="69">
        <f t="shared" si="157"/>
        <v>332.15000000000003</v>
      </c>
      <c r="BR16" s="69">
        <f t="shared" si="21"/>
        <v>17.5</v>
      </c>
      <c r="BS16" s="69">
        <f t="shared" si="22"/>
        <v>23.74</v>
      </c>
      <c r="BT16" s="69">
        <f t="shared" si="158"/>
        <v>415.45</v>
      </c>
      <c r="BU16" s="69">
        <f t="shared" si="23"/>
        <v>17.5</v>
      </c>
      <c r="BV16" s="69">
        <f t="shared" si="24"/>
        <v>16.239999999999998</v>
      </c>
      <c r="BW16" s="69">
        <f t="shared" si="159"/>
        <v>284.2</v>
      </c>
      <c r="BX16" s="69">
        <f t="shared" si="25"/>
        <v>17.5</v>
      </c>
      <c r="BY16" s="69">
        <f t="shared" si="26"/>
        <v>22.48</v>
      </c>
      <c r="BZ16" s="69">
        <f t="shared" si="160"/>
        <v>393.40000000000003</v>
      </c>
      <c r="CA16" s="69">
        <f t="shared" si="27"/>
        <v>17.5</v>
      </c>
      <c r="CB16" s="69">
        <f t="shared" si="28"/>
        <v>20.179355674112671</v>
      </c>
      <c r="CC16" s="69">
        <f t="shared" si="161"/>
        <v>353.13872429697176</v>
      </c>
      <c r="CE16" s="69">
        <f t="shared" si="29"/>
        <v>22.04</v>
      </c>
      <c r="CF16" s="69">
        <f t="shared" si="30"/>
        <v>25.11</v>
      </c>
      <c r="CG16" s="69">
        <f t="shared" si="162"/>
        <v>553.42439999999999</v>
      </c>
      <c r="CH16" s="69">
        <f t="shared" si="31"/>
        <v>22.04</v>
      </c>
      <c r="CI16" s="69">
        <f t="shared" si="32"/>
        <v>17.170000000000002</v>
      </c>
      <c r="CJ16" s="69">
        <f t="shared" si="163"/>
        <v>378.42680000000001</v>
      </c>
      <c r="CK16" s="69">
        <f t="shared" si="33"/>
        <v>22.04</v>
      </c>
      <c r="CL16" s="69">
        <f t="shared" si="34"/>
        <v>20.99</v>
      </c>
      <c r="CM16" s="69">
        <f t="shared" si="164"/>
        <v>462.61959999999993</v>
      </c>
      <c r="CN16" s="69">
        <f t="shared" si="35"/>
        <v>22.04</v>
      </c>
      <c r="CO16" s="69">
        <f t="shared" si="36"/>
        <v>19.5</v>
      </c>
      <c r="CP16" s="69">
        <f t="shared" si="165"/>
        <v>429.78</v>
      </c>
      <c r="CQ16" s="69">
        <f t="shared" si="37"/>
        <v>22.04</v>
      </c>
      <c r="CR16" s="69">
        <f t="shared" si="38"/>
        <v>18.98</v>
      </c>
      <c r="CS16" s="69">
        <f t="shared" si="166"/>
        <v>418.31919999999997</v>
      </c>
      <c r="CT16" s="69">
        <f t="shared" si="39"/>
        <v>22.04</v>
      </c>
      <c r="CU16" s="69">
        <f t="shared" si="40"/>
        <v>23.74</v>
      </c>
      <c r="CV16" s="69">
        <f t="shared" si="167"/>
        <v>523.22959999999989</v>
      </c>
      <c r="CW16" s="69">
        <f t="shared" si="41"/>
        <v>22.04</v>
      </c>
      <c r="CX16" s="69">
        <f t="shared" si="42"/>
        <v>16.239999999999998</v>
      </c>
      <c r="CY16" s="69">
        <f t="shared" si="168"/>
        <v>357.92959999999994</v>
      </c>
      <c r="CZ16" s="69">
        <f t="shared" si="43"/>
        <v>22.04</v>
      </c>
      <c r="DA16" s="69">
        <f t="shared" si="44"/>
        <v>22.48</v>
      </c>
      <c r="DB16" s="69">
        <f t="shared" si="169"/>
        <v>495.45920000000001</v>
      </c>
      <c r="DC16" s="69">
        <f t="shared" si="45"/>
        <v>22.04</v>
      </c>
      <c r="DD16" s="69">
        <f t="shared" si="46"/>
        <v>20.179355674112671</v>
      </c>
      <c r="DE16" s="69">
        <f t="shared" si="170"/>
        <v>444.75299905744322</v>
      </c>
      <c r="DG16" s="69">
        <f t="shared" si="47"/>
        <v>25.11</v>
      </c>
      <c r="DH16" s="69">
        <f t="shared" si="48"/>
        <v>17.170000000000002</v>
      </c>
      <c r="DI16" s="69">
        <f t="shared" si="171"/>
        <v>431.13870000000003</v>
      </c>
      <c r="DJ16" s="69">
        <f t="shared" si="49"/>
        <v>25.11</v>
      </c>
      <c r="DK16" s="69">
        <f t="shared" si="50"/>
        <v>20.99</v>
      </c>
      <c r="DL16" s="69">
        <f t="shared" si="172"/>
        <v>527.05889999999999</v>
      </c>
      <c r="DM16" s="69">
        <f t="shared" si="51"/>
        <v>25.11</v>
      </c>
      <c r="DN16" s="69">
        <f t="shared" si="52"/>
        <v>19.5</v>
      </c>
      <c r="DO16" s="69">
        <f t="shared" si="173"/>
        <v>489.64499999999998</v>
      </c>
      <c r="DP16" s="69">
        <f t="shared" si="53"/>
        <v>25.11</v>
      </c>
      <c r="DQ16" s="69">
        <f t="shared" si="54"/>
        <v>18.98</v>
      </c>
      <c r="DR16" s="69">
        <f t="shared" si="174"/>
        <v>476.58780000000002</v>
      </c>
      <c r="DS16" s="69">
        <f t="shared" si="55"/>
        <v>25.11</v>
      </c>
      <c r="DT16" s="69">
        <f t="shared" si="56"/>
        <v>23.74</v>
      </c>
      <c r="DU16" s="69">
        <f t="shared" si="175"/>
        <v>596.1114</v>
      </c>
      <c r="DV16" s="69">
        <f t="shared" si="57"/>
        <v>25.11</v>
      </c>
      <c r="DW16" s="69">
        <f t="shared" si="58"/>
        <v>16.239999999999998</v>
      </c>
      <c r="DX16" s="69">
        <f t="shared" si="176"/>
        <v>407.78639999999996</v>
      </c>
      <c r="DY16" s="69">
        <f t="shared" si="59"/>
        <v>25.11</v>
      </c>
      <c r="DZ16" s="69">
        <f t="shared" si="60"/>
        <v>22.48</v>
      </c>
      <c r="EA16" s="69">
        <f t="shared" si="177"/>
        <v>564.47280000000001</v>
      </c>
      <c r="EB16" s="69">
        <f t="shared" si="61"/>
        <v>25.11</v>
      </c>
      <c r="EC16" s="69">
        <f t="shared" si="62"/>
        <v>20.179355674112671</v>
      </c>
      <c r="ED16" s="69">
        <f t="shared" si="178"/>
        <v>506.70362097696915</v>
      </c>
      <c r="EF16" s="69">
        <f t="shared" si="63"/>
        <v>17.170000000000002</v>
      </c>
      <c r="EG16" s="69">
        <f t="shared" si="64"/>
        <v>20.99</v>
      </c>
      <c r="EH16" s="69">
        <f t="shared" si="179"/>
        <v>360.39830000000001</v>
      </c>
      <c r="EI16" s="69">
        <f t="shared" si="65"/>
        <v>17.170000000000002</v>
      </c>
      <c r="EJ16" s="69">
        <f t="shared" si="66"/>
        <v>19.5</v>
      </c>
      <c r="EK16" s="69">
        <f t="shared" si="180"/>
        <v>334.81500000000005</v>
      </c>
      <c r="EL16" s="69">
        <f t="shared" si="67"/>
        <v>17.170000000000002</v>
      </c>
      <c r="EM16" s="69">
        <f t="shared" si="68"/>
        <v>18.98</v>
      </c>
      <c r="EN16" s="69">
        <f t="shared" si="181"/>
        <v>325.88660000000004</v>
      </c>
      <c r="EO16" s="69">
        <f t="shared" si="69"/>
        <v>17.170000000000002</v>
      </c>
      <c r="EP16" s="69">
        <f t="shared" si="70"/>
        <v>23.74</v>
      </c>
      <c r="EQ16" s="69">
        <f t="shared" si="182"/>
        <v>407.61580000000004</v>
      </c>
      <c r="ER16" s="69">
        <f t="shared" si="71"/>
        <v>17.170000000000002</v>
      </c>
      <c r="ES16" s="69">
        <f t="shared" si="72"/>
        <v>16.239999999999998</v>
      </c>
      <c r="ET16" s="69">
        <f t="shared" si="183"/>
        <v>278.8408</v>
      </c>
      <c r="EU16" s="69">
        <f t="shared" si="73"/>
        <v>17.170000000000002</v>
      </c>
      <c r="EV16" s="69">
        <f t="shared" si="74"/>
        <v>22.48</v>
      </c>
      <c r="EW16" s="69">
        <f t="shared" si="184"/>
        <v>385.98160000000007</v>
      </c>
      <c r="EX16" s="69">
        <f t="shared" si="75"/>
        <v>17.170000000000002</v>
      </c>
      <c r="EY16" s="69">
        <f t="shared" si="76"/>
        <v>20.179355674112671</v>
      </c>
      <c r="EZ16" s="69">
        <f t="shared" si="185"/>
        <v>346.4795369245146</v>
      </c>
      <c r="FB16" s="69">
        <f t="shared" si="77"/>
        <v>20.99</v>
      </c>
      <c r="FC16" s="69">
        <f t="shared" si="78"/>
        <v>19.5</v>
      </c>
      <c r="FD16" s="69">
        <f t="shared" si="186"/>
        <v>409.30499999999995</v>
      </c>
      <c r="FE16" s="69">
        <f t="shared" si="79"/>
        <v>20.99</v>
      </c>
      <c r="FF16" s="69">
        <f t="shared" si="80"/>
        <v>18.98</v>
      </c>
      <c r="FG16" s="69">
        <f t="shared" si="187"/>
        <v>398.39019999999999</v>
      </c>
      <c r="FH16" s="69">
        <f t="shared" si="81"/>
        <v>20.99</v>
      </c>
      <c r="FI16" s="69">
        <f t="shared" si="82"/>
        <v>23.74</v>
      </c>
      <c r="FJ16" s="69">
        <f t="shared" si="188"/>
        <v>498.30259999999993</v>
      </c>
      <c r="FK16" s="69">
        <f t="shared" si="83"/>
        <v>20.99</v>
      </c>
      <c r="FL16" s="69">
        <f t="shared" si="84"/>
        <v>16.239999999999998</v>
      </c>
      <c r="FM16" s="69">
        <f t="shared" si="189"/>
        <v>340.87759999999992</v>
      </c>
      <c r="FN16" s="69">
        <f t="shared" si="85"/>
        <v>20.99</v>
      </c>
      <c r="FO16" s="69">
        <f t="shared" si="86"/>
        <v>22.48</v>
      </c>
      <c r="FP16" s="69">
        <f t="shared" si="190"/>
        <v>471.85519999999997</v>
      </c>
      <c r="FQ16" s="69">
        <f t="shared" si="87"/>
        <v>20.99</v>
      </c>
      <c r="FR16" s="69">
        <f t="shared" si="88"/>
        <v>20.179355674112671</v>
      </c>
      <c r="FS16" s="69">
        <f t="shared" si="191"/>
        <v>423.56467559962493</v>
      </c>
      <c r="FU16" s="69">
        <f t="shared" si="89"/>
        <v>19.5</v>
      </c>
      <c r="FV16" s="69">
        <f t="shared" si="90"/>
        <v>18.98</v>
      </c>
      <c r="FW16" s="69">
        <f t="shared" si="192"/>
        <v>370.11</v>
      </c>
      <c r="FX16" s="69">
        <f t="shared" si="91"/>
        <v>19.5</v>
      </c>
      <c r="FY16" s="69">
        <f t="shared" si="92"/>
        <v>23.74</v>
      </c>
      <c r="FZ16" s="69">
        <f t="shared" si="193"/>
        <v>462.92999999999995</v>
      </c>
      <c r="GA16" s="69">
        <f t="shared" si="93"/>
        <v>19.5</v>
      </c>
      <c r="GB16" s="69">
        <f t="shared" si="94"/>
        <v>16.239999999999998</v>
      </c>
      <c r="GC16" s="69">
        <f t="shared" si="194"/>
        <v>316.67999999999995</v>
      </c>
      <c r="GD16" s="69">
        <f t="shared" si="95"/>
        <v>19.5</v>
      </c>
      <c r="GE16" s="69">
        <f t="shared" si="96"/>
        <v>22.48</v>
      </c>
      <c r="GF16" s="69">
        <f t="shared" si="195"/>
        <v>438.36</v>
      </c>
      <c r="GG16" s="69">
        <f t="shared" si="97"/>
        <v>19.5</v>
      </c>
      <c r="GH16" s="69">
        <f t="shared" si="98"/>
        <v>20.179355674112671</v>
      </c>
      <c r="GI16" s="69">
        <f t="shared" si="196"/>
        <v>393.49743564519707</v>
      </c>
      <c r="GK16" s="69">
        <f t="shared" si="99"/>
        <v>18.98</v>
      </c>
      <c r="GL16" s="69">
        <f t="shared" si="100"/>
        <v>23.74</v>
      </c>
      <c r="GM16" s="69">
        <f t="shared" si="197"/>
        <v>450.58519999999999</v>
      </c>
      <c r="GN16" s="69">
        <f t="shared" si="101"/>
        <v>18.98</v>
      </c>
      <c r="GO16" s="69">
        <f t="shared" si="102"/>
        <v>16.239999999999998</v>
      </c>
      <c r="GP16" s="69">
        <f t="shared" si="198"/>
        <v>308.23519999999996</v>
      </c>
      <c r="GQ16" s="69">
        <f t="shared" si="103"/>
        <v>18.98</v>
      </c>
      <c r="GR16" s="69">
        <f t="shared" si="104"/>
        <v>22.48</v>
      </c>
      <c r="GS16" s="69">
        <f t="shared" si="199"/>
        <v>426.67040000000003</v>
      </c>
      <c r="GT16" s="69">
        <f t="shared" si="105"/>
        <v>18.98</v>
      </c>
      <c r="GU16" s="69">
        <f t="shared" si="106"/>
        <v>20.179355674112671</v>
      </c>
      <c r="GV16" s="69">
        <f t="shared" si="200"/>
        <v>383.00417069465851</v>
      </c>
      <c r="GX16" s="69">
        <f t="shared" si="201"/>
        <v>23.74</v>
      </c>
      <c r="GY16" s="69">
        <f t="shared" si="202"/>
        <v>16.239999999999998</v>
      </c>
      <c r="GZ16" s="69">
        <f t="shared" si="203"/>
        <v>385.53759999999994</v>
      </c>
      <c r="HA16" s="69">
        <f t="shared" si="204"/>
        <v>23.74</v>
      </c>
      <c r="HB16" s="69">
        <f t="shared" si="205"/>
        <v>22.48</v>
      </c>
      <c r="HC16" s="69">
        <f t="shared" si="206"/>
        <v>533.67520000000002</v>
      </c>
      <c r="HD16" s="69">
        <f t="shared" si="207"/>
        <v>23.74</v>
      </c>
      <c r="HE16" s="69">
        <f t="shared" si="208"/>
        <v>20.179355674112671</v>
      </c>
      <c r="HF16" s="69">
        <f t="shared" si="209"/>
        <v>479.05790370343476</v>
      </c>
      <c r="HH16" s="69">
        <f t="shared" si="210"/>
        <v>16.239999999999998</v>
      </c>
      <c r="HI16" s="69">
        <f t="shared" si="211"/>
        <v>22.48</v>
      </c>
      <c r="HJ16" s="69">
        <f t="shared" si="212"/>
        <v>365.0752</v>
      </c>
      <c r="HK16" s="69">
        <f t="shared" si="213"/>
        <v>16.239999999999998</v>
      </c>
      <c r="HL16" s="69">
        <f t="shared" si="214"/>
        <v>20.179355674112671</v>
      </c>
      <c r="HM16" s="69">
        <f t="shared" si="215"/>
        <v>327.71273614758974</v>
      </c>
      <c r="HO16" s="69">
        <f t="shared" si="216"/>
        <v>22.48</v>
      </c>
      <c r="HP16" s="69">
        <f t="shared" si="217"/>
        <v>20.179355674112671</v>
      </c>
      <c r="HQ16" s="69">
        <f t="shared" si="218"/>
        <v>453.63191555405285</v>
      </c>
      <c r="HS16" s="69">
        <f t="shared" si="107"/>
        <v>20.179355674112671</v>
      </c>
      <c r="HT16" s="69">
        <f t="shared" si="108"/>
        <v>17.5</v>
      </c>
      <c r="HU16" s="69">
        <f t="shared" si="219"/>
        <v>353.13872429697176</v>
      </c>
      <c r="HV16" s="69">
        <f t="shared" si="109"/>
        <v>20.179355674112671</v>
      </c>
      <c r="HW16" s="69">
        <f t="shared" si="110"/>
        <v>22.04</v>
      </c>
      <c r="HX16" s="69">
        <f t="shared" si="220"/>
        <v>444.75299905744322</v>
      </c>
      <c r="HY16" s="69">
        <f t="shared" si="111"/>
        <v>20.179355674112671</v>
      </c>
      <c r="HZ16" s="69">
        <f t="shared" si="112"/>
        <v>25.11</v>
      </c>
      <c r="IA16" s="69">
        <f t="shared" si="221"/>
        <v>506.70362097696915</v>
      </c>
      <c r="IB16" s="69">
        <f t="shared" si="113"/>
        <v>20.179355674112671</v>
      </c>
      <c r="IC16" s="69">
        <f t="shared" si="114"/>
        <v>17.170000000000002</v>
      </c>
      <c r="ID16" s="69">
        <f t="shared" si="222"/>
        <v>346.4795369245146</v>
      </c>
      <c r="IE16" s="69">
        <f t="shared" si="115"/>
        <v>20.179355674112671</v>
      </c>
      <c r="IF16" s="69">
        <f t="shared" si="116"/>
        <v>20.99</v>
      </c>
      <c r="IG16" s="69">
        <f t="shared" si="223"/>
        <v>423.56467559962493</v>
      </c>
      <c r="IH16" s="69">
        <f t="shared" si="117"/>
        <v>20.179355674112671</v>
      </c>
      <c r="II16" s="69">
        <f t="shared" si="118"/>
        <v>19.5</v>
      </c>
      <c r="IJ16" s="69">
        <f t="shared" si="224"/>
        <v>393.49743564519707</v>
      </c>
      <c r="IK16" s="69">
        <f t="shared" si="119"/>
        <v>20.179355674112671</v>
      </c>
      <c r="IL16" s="69">
        <f t="shared" si="120"/>
        <v>18.98</v>
      </c>
      <c r="IM16" s="69">
        <f t="shared" si="225"/>
        <v>383.00417069465851</v>
      </c>
      <c r="IN16" s="69">
        <f t="shared" si="226"/>
        <v>20.179355674112671</v>
      </c>
      <c r="IO16" s="69">
        <f t="shared" si="227"/>
        <v>23.74</v>
      </c>
      <c r="IP16" s="69">
        <f t="shared" si="228"/>
        <v>479.05790370343476</v>
      </c>
      <c r="IQ16" s="69">
        <f t="shared" si="229"/>
        <v>20.179355674112671</v>
      </c>
      <c r="IR16" s="69">
        <f t="shared" si="230"/>
        <v>16.239999999999998</v>
      </c>
      <c r="IS16" s="69">
        <f t="shared" si="231"/>
        <v>327.71273614758974</v>
      </c>
      <c r="IT16" s="69">
        <f t="shared" si="232"/>
        <v>20.179355674112671</v>
      </c>
      <c r="IU16" s="69">
        <f t="shared" si="233"/>
        <v>22.48</v>
      </c>
      <c r="IV16" s="69">
        <f t="shared" si="234"/>
        <v>453.63191555405285</v>
      </c>
    </row>
    <row r="17" spans="1:256" ht="15" x14ac:dyDescent="0.25">
      <c r="A17" s="57" t="s">
        <v>20</v>
      </c>
      <c r="B17" s="295">
        <v>19.52</v>
      </c>
      <c r="C17" s="295">
        <v>23.68</v>
      </c>
      <c r="D17" s="295">
        <v>26.64</v>
      </c>
      <c r="E17" s="295">
        <v>18.739999999999998</v>
      </c>
      <c r="F17" s="295">
        <v>23.27</v>
      </c>
      <c r="G17" s="295">
        <v>21.37</v>
      </c>
      <c r="H17" s="295">
        <v>19.86</v>
      </c>
      <c r="I17" s="296">
        <v>26.32</v>
      </c>
      <c r="J17" s="295">
        <v>17.399999999999999</v>
      </c>
      <c r="K17" s="295">
        <v>25.22</v>
      </c>
      <c r="L17" s="68">
        <f t="shared" si="0"/>
        <v>10</v>
      </c>
      <c r="M17" s="69">
        <f t="shared" si="1"/>
        <v>21.980246995494621</v>
      </c>
      <c r="N17" s="69" t="str">
        <f t="shared" si="121"/>
        <v>±0,51</v>
      </c>
      <c r="O17" s="69" t="str">
        <f t="shared" si="122"/>
        <v>±2,25</v>
      </c>
      <c r="P17" s="69" t="str">
        <f t="shared" si="235"/>
        <v>±0,45</v>
      </c>
      <c r="Q17" s="70">
        <f t="shared" si="2"/>
        <v>19.52</v>
      </c>
      <c r="R17" s="71">
        <f t="shared" si="124"/>
        <v>0.55137475682409942</v>
      </c>
      <c r="S17" s="71">
        <f t="shared" si="125"/>
        <v>2.906772366239152</v>
      </c>
      <c r="T17" s="70">
        <f t="shared" si="3"/>
        <v>23.68</v>
      </c>
      <c r="U17" s="71">
        <f t="shared" si="126"/>
        <v>-0.28122217293299911</v>
      </c>
      <c r="V17" s="71">
        <f t="shared" si="127"/>
        <v>-1.1736553791094728</v>
      </c>
      <c r="W17" s="70">
        <f t="shared" si="4"/>
        <v>26.64</v>
      </c>
      <c r="X17" s="71">
        <f t="shared" si="128"/>
        <v>0.95173871622193573</v>
      </c>
      <c r="Y17" s="71">
        <f t="shared" si="129"/>
        <v>3.7049557605634886</v>
      </c>
      <c r="Z17" s="70">
        <f t="shared" si="5"/>
        <v>18.739999999999998</v>
      </c>
      <c r="AA17" s="71">
        <f t="shared" si="130"/>
        <v>4.814814716020166E-2</v>
      </c>
      <c r="AB17" s="71">
        <f t="shared" si="131"/>
        <v>0.2575889619673255</v>
      </c>
      <c r="AC17" s="70">
        <f t="shared" si="6"/>
        <v>23.27</v>
      </c>
      <c r="AD17" s="71">
        <f t="shared" si="132"/>
        <v>0.71687884715892025</v>
      </c>
      <c r="AE17" s="71">
        <f t="shared" si="133"/>
        <v>3.1786236694277381</v>
      </c>
      <c r="AF17" s="70">
        <f t="shared" si="7"/>
        <v>21.37</v>
      </c>
      <c r="AG17" s="71">
        <f t="shared" si="134"/>
        <v>0.76730674281997224</v>
      </c>
      <c r="AH17" s="71">
        <f t="shared" si="135"/>
        <v>3.7243030959195789</v>
      </c>
      <c r="AI17" s="70">
        <f t="shared" si="8"/>
        <v>19.86</v>
      </c>
      <c r="AJ17" s="71">
        <f t="shared" si="136"/>
        <v>0.12294613444836244</v>
      </c>
      <c r="AK17" s="71">
        <f t="shared" si="137"/>
        <v>0.62292039777500641</v>
      </c>
      <c r="AL17" s="70">
        <f t="shared" si="138"/>
        <v>26.32</v>
      </c>
      <c r="AM17" s="71">
        <f t="shared" si="139"/>
        <v>0.48035923783467993</v>
      </c>
      <c r="AN17" s="71">
        <f t="shared" si="140"/>
        <v>1.8590012231827435</v>
      </c>
      <c r="AO17" s="70">
        <f t="shared" si="141"/>
        <v>17.399999999999999</v>
      </c>
      <c r="AP17" s="71">
        <f t="shared" si="142"/>
        <v>-0.33710214259448179</v>
      </c>
      <c r="AQ17" s="71">
        <f t="shared" si="143"/>
        <v>-1.900548014463721</v>
      </c>
      <c r="AR17" s="70">
        <f t="shared" si="144"/>
        <v>25.22</v>
      </c>
      <c r="AS17" s="71">
        <f t="shared" si="145"/>
        <v>1.1406394642718709</v>
      </c>
      <c r="AT17" s="71">
        <f t="shared" si="146"/>
        <v>4.7370006465887293</v>
      </c>
      <c r="AU17" s="69">
        <f t="shared" si="147"/>
        <v>21.980246995494621</v>
      </c>
      <c r="AV17" s="131" t="str">
        <f t="shared" si="148"/>
        <v>±0,51</v>
      </c>
      <c r="AW17" s="69" t="str">
        <f t="shared" si="149"/>
        <v>±2,25</v>
      </c>
      <c r="AX17" s="132">
        <f t="shared" si="150"/>
        <v>0.51</v>
      </c>
      <c r="AY17" s="132">
        <f t="shared" si="151"/>
        <v>2.25</v>
      </c>
      <c r="AZ17" s="69">
        <f t="shared" si="9"/>
        <v>19.52</v>
      </c>
      <c r="BA17" s="69">
        <f t="shared" si="10"/>
        <v>23.68</v>
      </c>
      <c r="BB17" s="69">
        <f t="shared" si="152"/>
        <v>462.23359999999997</v>
      </c>
      <c r="BC17" s="69">
        <f t="shared" si="11"/>
        <v>19.52</v>
      </c>
      <c r="BD17" s="69">
        <f t="shared" si="12"/>
        <v>26.64</v>
      </c>
      <c r="BE17" s="69">
        <f t="shared" si="153"/>
        <v>520.01279999999997</v>
      </c>
      <c r="BF17" s="69">
        <f t="shared" si="13"/>
        <v>19.52</v>
      </c>
      <c r="BG17" s="69">
        <f t="shared" si="14"/>
        <v>18.739999999999998</v>
      </c>
      <c r="BH17" s="69">
        <f t="shared" si="154"/>
        <v>365.80479999999994</v>
      </c>
      <c r="BI17" s="69">
        <f t="shared" si="15"/>
        <v>19.52</v>
      </c>
      <c r="BJ17" s="69">
        <f t="shared" si="16"/>
        <v>23.27</v>
      </c>
      <c r="BK17" s="69">
        <f t="shared" si="155"/>
        <v>454.23039999999997</v>
      </c>
      <c r="BL17" s="69">
        <f t="shared" si="17"/>
        <v>19.52</v>
      </c>
      <c r="BM17" s="69">
        <f t="shared" si="18"/>
        <v>21.37</v>
      </c>
      <c r="BN17" s="69">
        <f t="shared" si="156"/>
        <v>417.14240000000001</v>
      </c>
      <c r="BO17" s="69">
        <f t="shared" si="19"/>
        <v>19.52</v>
      </c>
      <c r="BP17" s="69">
        <f t="shared" si="20"/>
        <v>19.86</v>
      </c>
      <c r="BQ17" s="69">
        <f t="shared" si="157"/>
        <v>387.66719999999998</v>
      </c>
      <c r="BR17" s="69">
        <f t="shared" si="21"/>
        <v>19.52</v>
      </c>
      <c r="BS17" s="69">
        <f t="shared" si="22"/>
        <v>26.32</v>
      </c>
      <c r="BT17" s="69">
        <f t="shared" si="158"/>
        <v>513.76639999999998</v>
      </c>
      <c r="BU17" s="69">
        <f t="shared" si="23"/>
        <v>19.52</v>
      </c>
      <c r="BV17" s="69">
        <f t="shared" si="24"/>
        <v>17.399999999999999</v>
      </c>
      <c r="BW17" s="69">
        <f t="shared" si="159"/>
        <v>339.64799999999997</v>
      </c>
      <c r="BX17" s="69">
        <f t="shared" si="25"/>
        <v>19.52</v>
      </c>
      <c r="BY17" s="69">
        <f t="shared" si="26"/>
        <v>25.22</v>
      </c>
      <c r="BZ17" s="69">
        <f t="shared" si="160"/>
        <v>492.29439999999994</v>
      </c>
      <c r="CA17" s="69">
        <f t="shared" si="27"/>
        <v>19.52</v>
      </c>
      <c r="CB17" s="69">
        <f t="shared" si="28"/>
        <v>21.980246995494621</v>
      </c>
      <c r="CC17" s="69">
        <f t="shared" si="161"/>
        <v>429.05442135205499</v>
      </c>
      <c r="CE17" s="69">
        <f t="shared" si="29"/>
        <v>23.68</v>
      </c>
      <c r="CF17" s="69">
        <f t="shared" si="30"/>
        <v>26.64</v>
      </c>
      <c r="CG17" s="69">
        <f t="shared" si="162"/>
        <v>630.83519999999999</v>
      </c>
      <c r="CH17" s="69">
        <f t="shared" si="31"/>
        <v>23.68</v>
      </c>
      <c r="CI17" s="69">
        <f t="shared" si="32"/>
        <v>18.739999999999998</v>
      </c>
      <c r="CJ17" s="69">
        <f t="shared" si="163"/>
        <v>443.76319999999998</v>
      </c>
      <c r="CK17" s="69">
        <f t="shared" si="33"/>
        <v>23.68</v>
      </c>
      <c r="CL17" s="69">
        <f t="shared" si="34"/>
        <v>23.27</v>
      </c>
      <c r="CM17" s="69">
        <f t="shared" si="164"/>
        <v>551.03359999999998</v>
      </c>
      <c r="CN17" s="69">
        <f t="shared" si="35"/>
        <v>23.68</v>
      </c>
      <c r="CO17" s="69">
        <f t="shared" si="36"/>
        <v>21.37</v>
      </c>
      <c r="CP17" s="69">
        <f t="shared" si="165"/>
        <v>506.04160000000002</v>
      </c>
      <c r="CQ17" s="69">
        <f t="shared" si="37"/>
        <v>23.68</v>
      </c>
      <c r="CR17" s="69">
        <f t="shared" si="38"/>
        <v>19.86</v>
      </c>
      <c r="CS17" s="69">
        <f t="shared" si="166"/>
        <v>470.28479999999996</v>
      </c>
      <c r="CT17" s="69">
        <f t="shared" si="39"/>
        <v>23.68</v>
      </c>
      <c r="CU17" s="69">
        <f t="shared" si="40"/>
        <v>26.32</v>
      </c>
      <c r="CV17" s="69">
        <f t="shared" si="167"/>
        <v>623.25760000000002</v>
      </c>
      <c r="CW17" s="69">
        <f t="shared" si="41"/>
        <v>23.68</v>
      </c>
      <c r="CX17" s="69">
        <f t="shared" si="42"/>
        <v>17.399999999999999</v>
      </c>
      <c r="CY17" s="69">
        <f t="shared" si="168"/>
        <v>412.03199999999998</v>
      </c>
      <c r="CZ17" s="69">
        <f t="shared" si="43"/>
        <v>23.68</v>
      </c>
      <c r="DA17" s="69">
        <f t="shared" si="44"/>
        <v>25.22</v>
      </c>
      <c r="DB17" s="69">
        <f t="shared" si="169"/>
        <v>597.20959999999991</v>
      </c>
      <c r="DC17" s="69">
        <f t="shared" si="45"/>
        <v>23.68</v>
      </c>
      <c r="DD17" s="69">
        <f t="shared" si="46"/>
        <v>21.980246995494621</v>
      </c>
      <c r="DE17" s="69">
        <f t="shared" si="170"/>
        <v>520.49224885331262</v>
      </c>
      <c r="DG17" s="69">
        <f t="shared" si="47"/>
        <v>26.64</v>
      </c>
      <c r="DH17" s="69">
        <f t="shared" si="48"/>
        <v>18.739999999999998</v>
      </c>
      <c r="DI17" s="69">
        <f t="shared" si="171"/>
        <v>499.23359999999997</v>
      </c>
      <c r="DJ17" s="69">
        <f t="shared" si="49"/>
        <v>26.64</v>
      </c>
      <c r="DK17" s="69">
        <f t="shared" si="50"/>
        <v>23.27</v>
      </c>
      <c r="DL17" s="69">
        <f t="shared" si="172"/>
        <v>619.91279999999995</v>
      </c>
      <c r="DM17" s="69">
        <f t="shared" si="51"/>
        <v>26.64</v>
      </c>
      <c r="DN17" s="69">
        <f t="shared" si="52"/>
        <v>21.37</v>
      </c>
      <c r="DO17" s="69">
        <f t="shared" si="173"/>
        <v>569.29680000000008</v>
      </c>
      <c r="DP17" s="69">
        <f t="shared" si="53"/>
        <v>26.64</v>
      </c>
      <c r="DQ17" s="69">
        <f t="shared" si="54"/>
        <v>19.86</v>
      </c>
      <c r="DR17" s="69">
        <f t="shared" si="174"/>
        <v>529.07039999999995</v>
      </c>
      <c r="DS17" s="69">
        <f t="shared" si="55"/>
        <v>26.64</v>
      </c>
      <c r="DT17" s="69">
        <f t="shared" si="56"/>
        <v>26.32</v>
      </c>
      <c r="DU17" s="69">
        <f t="shared" si="175"/>
        <v>701.16480000000001</v>
      </c>
      <c r="DV17" s="69">
        <f t="shared" si="57"/>
        <v>26.64</v>
      </c>
      <c r="DW17" s="69">
        <f t="shared" si="58"/>
        <v>17.399999999999999</v>
      </c>
      <c r="DX17" s="69">
        <f t="shared" si="176"/>
        <v>463.53599999999994</v>
      </c>
      <c r="DY17" s="69">
        <f t="shared" si="59"/>
        <v>26.64</v>
      </c>
      <c r="DZ17" s="69">
        <f t="shared" si="60"/>
        <v>25.22</v>
      </c>
      <c r="EA17" s="69">
        <f t="shared" si="177"/>
        <v>671.86080000000004</v>
      </c>
      <c r="EB17" s="69">
        <f t="shared" si="61"/>
        <v>26.64</v>
      </c>
      <c r="EC17" s="69">
        <f t="shared" si="62"/>
        <v>21.980246995494621</v>
      </c>
      <c r="ED17" s="69">
        <f t="shared" si="178"/>
        <v>585.55377995997674</v>
      </c>
      <c r="EF17" s="69">
        <f t="shared" si="63"/>
        <v>18.739999999999998</v>
      </c>
      <c r="EG17" s="69">
        <f t="shared" si="64"/>
        <v>23.27</v>
      </c>
      <c r="EH17" s="69">
        <f t="shared" si="179"/>
        <v>436.07979999999998</v>
      </c>
      <c r="EI17" s="69">
        <f t="shared" si="65"/>
        <v>18.739999999999998</v>
      </c>
      <c r="EJ17" s="69">
        <f t="shared" si="66"/>
        <v>21.37</v>
      </c>
      <c r="EK17" s="69">
        <f t="shared" si="180"/>
        <v>400.47379999999998</v>
      </c>
      <c r="EL17" s="69">
        <f t="shared" si="67"/>
        <v>18.739999999999998</v>
      </c>
      <c r="EM17" s="69">
        <f t="shared" si="68"/>
        <v>19.86</v>
      </c>
      <c r="EN17" s="69">
        <f t="shared" si="181"/>
        <v>372.17639999999994</v>
      </c>
      <c r="EO17" s="69">
        <f t="shared" si="69"/>
        <v>18.739999999999998</v>
      </c>
      <c r="EP17" s="69">
        <f t="shared" si="70"/>
        <v>26.32</v>
      </c>
      <c r="EQ17" s="69">
        <f t="shared" si="182"/>
        <v>493.23679999999996</v>
      </c>
      <c r="ER17" s="69">
        <f t="shared" si="71"/>
        <v>18.739999999999998</v>
      </c>
      <c r="ES17" s="69">
        <f t="shared" si="72"/>
        <v>17.399999999999999</v>
      </c>
      <c r="ET17" s="69">
        <f t="shared" si="183"/>
        <v>326.07599999999996</v>
      </c>
      <c r="EU17" s="69">
        <f t="shared" si="73"/>
        <v>18.739999999999998</v>
      </c>
      <c r="EV17" s="69">
        <f t="shared" si="74"/>
        <v>25.22</v>
      </c>
      <c r="EW17" s="69">
        <f t="shared" si="184"/>
        <v>472.62279999999993</v>
      </c>
      <c r="EX17" s="69">
        <f t="shared" si="75"/>
        <v>18.739999999999998</v>
      </c>
      <c r="EY17" s="69">
        <f t="shared" si="76"/>
        <v>21.980246995494621</v>
      </c>
      <c r="EZ17" s="69">
        <f t="shared" si="185"/>
        <v>411.90982869556916</v>
      </c>
      <c r="FB17" s="69">
        <f t="shared" si="77"/>
        <v>23.27</v>
      </c>
      <c r="FC17" s="69">
        <f t="shared" si="78"/>
        <v>21.37</v>
      </c>
      <c r="FD17" s="69">
        <f t="shared" si="186"/>
        <v>497.2799</v>
      </c>
      <c r="FE17" s="69">
        <f t="shared" si="79"/>
        <v>23.27</v>
      </c>
      <c r="FF17" s="69">
        <f t="shared" si="80"/>
        <v>19.86</v>
      </c>
      <c r="FG17" s="69">
        <f t="shared" si="187"/>
        <v>462.1422</v>
      </c>
      <c r="FH17" s="69">
        <f t="shared" si="81"/>
        <v>23.27</v>
      </c>
      <c r="FI17" s="69">
        <f t="shared" si="82"/>
        <v>26.32</v>
      </c>
      <c r="FJ17" s="69">
        <f t="shared" si="188"/>
        <v>612.46640000000002</v>
      </c>
      <c r="FK17" s="69">
        <f t="shared" si="83"/>
        <v>23.27</v>
      </c>
      <c r="FL17" s="69">
        <f t="shared" si="84"/>
        <v>17.399999999999999</v>
      </c>
      <c r="FM17" s="69">
        <f t="shared" si="189"/>
        <v>404.89799999999997</v>
      </c>
      <c r="FN17" s="69">
        <f t="shared" si="85"/>
        <v>23.27</v>
      </c>
      <c r="FO17" s="69">
        <f t="shared" si="86"/>
        <v>25.22</v>
      </c>
      <c r="FP17" s="69">
        <f t="shared" si="190"/>
        <v>586.86939999999993</v>
      </c>
      <c r="FQ17" s="69">
        <f t="shared" si="87"/>
        <v>23.27</v>
      </c>
      <c r="FR17" s="69">
        <f t="shared" si="88"/>
        <v>21.980246995494621</v>
      </c>
      <c r="FS17" s="69">
        <f t="shared" si="191"/>
        <v>511.48034758515985</v>
      </c>
      <c r="FU17" s="69">
        <f t="shared" si="89"/>
        <v>21.37</v>
      </c>
      <c r="FV17" s="69">
        <f t="shared" si="90"/>
        <v>19.86</v>
      </c>
      <c r="FW17" s="69">
        <f t="shared" si="192"/>
        <v>424.40820000000002</v>
      </c>
      <c r="FX17" s="69">
        <f t="shared" si="91"/>
        <v>21.37</v>
      </c>
      <c r="FY17" s="69">
        <f t="shared" si="92"/>
        <v>26.32</v>
      </c>
      <c r="FZ17" s="69">
        <f t="shared" si="193"/>
        <v>562.45839999999998</v>
      </c>
      <c r="GA17" s="69">
        <f t="shared" si="93"/>
        <v>21.37</v>
      </c>
      <c r="GB17" s="69">
        <f t="shared" si="94"/>
        <v>17.399999999999999</v>
      </c>
      <c r="GC17" s="69">
        <f t="shared" si="194"/>
        <v>371.83799999999997</v>
      </c>
      <c r="GD17" s="69">
        <f t="shared" si="95"/>
        <v>21.37</v>
      </c>
      <c r="GE17" s="69">
        <f t="shared" si="96"/>
        <v>25.22</v>
      </c>
      <c r="GF17" s="69">
        <f t="shared" si="195"/>
        <v>538.95140000000004</v>
      </c>
      <c r="GG17" s="69">
        <f t="shared" si="97"/>
        <v>21.37</v>
      </c>
      <c r="GH17" s="69">
        <f t="shared" si="98"/>
        <v>21.980246995494621</v>
      </c>
      <c r="GI17" s="69">
        <f t="shared" si="196"/>
        <v>469.71787829372005</v>
      </c>
      <c r="GK17" s="69">
        <f t="shared" si="99"/>
        <v>19.86</v>
      </c>
      <c r="GL17" s="69">
        <f t="shared" si="100"/>
        <v>26.32</v>
      </c>
      <c r="GM17" s="69">
        <f t="shared" si="197"/>
        <v>522.71519999999998</v>
      </c>
      <c r="GN17" s="69">
        <f t="shared" si="101"/>
        <v>19.86</v>
      </c>
      <c r="GO17" s="69">
        <f t="shared" si="102"/>
        <v>17.399999999999999</v>
      </c>
      <c r="GP17" s="69">
        <f t="shared" si="198"/>
        <v>345.56399999999996</v>
      </c>
      <c r="GQ17" s="69">
        <f t="shared" si="103"/>
        <v>19.86</v>
      </c>
      <c r="GR17" s="69">
        <f t="shared" si="104"/>
        <v>25.22</v>
      </c>
      <c r="GS17" s="69">
        <f t="shared" si="199"/>
        <v>500.86919999999998</v>
      </c>
      <c r="GT17" s="69">
        <f t="shared" si="105"/>
        <v>19.86</v>
      </c>
      <c r="GU17" s="69">
        <f t="shared" si="106"/>
        <v>21.980246995494621</v>
      </c>
      <c r="GV17" s="69">
        <f t="shared" si="200"/>
        <v>436.52770533052319</v>
      </c>
      <c r="GX17" s="69">
        <f t="shared" si="201"/>
        <v>26.32</v>
      </c>
      <c r="GY17" s="69">
        <f t="shared" si="202"/>
        <v>17.399999999999999</v>
      </c>
      <c r="GZ17" s="69">
        <f t="shared" si="203"/>
        <v>457.96799999999996</v>
      </c>
      <c r="HA17" s="69">
        <f t="shared" si="204"/>
        <v>26.32</v>
      </c>
      <c r="HB17" s="69">
        <f t="shared" si="205"/>
        <v>25.22</v>
      </c>
      <c r="HC17" s="69">
        <f t="shared" si="206"/>
        <v>663.79039999999998</v>
      </c>
      <c r="HD17" s="69">
        <f t="shared" si="207"/>
        <v>26.32</v>
      </c>
      <c r="HE17" s="69">
        <f t="shared" si="208"/>
        <v>21.980246995494621</v>
      </c>
      <c r="HF17" s="69">
        <f t="shared" si="209"/>
        <v>578.52010092141848</v>
      </c>
      <c r="HH17" s="69">
        <f t="shared" si="210"/>
        <v>17.399999999999999</v>
      </c>
      <c r="HI17" s="69">
        <f t="shared" si="211"/>
        <v>25.22</v>
      </c>
      <c r="HJ17" s="69">
        <f t="shared" si="212"/>
        <v>438.82799999999992</v>
      </c>
      <c r="HK17" s="69">
        <f t="shared" si="213"/>
        <v>17.399999999999999</v>
      </c>
      <c r="HL17" s="69">
        <f t="shared" si="214"/>
        <v>21.980246995494621</v>
      </c>
      <c r="HM17" s="69">
        <f t="shared" si="215"/>
        <v>382.4562977216064</v>
      </c>
      <c r="HO17" s="69">
        <f t="shared" si="216"/>
        <v>25.22</v>
      </c>
      <c r="HP17" s="69">
        <f t="shared" si="217"/>
        <v>21.980246995494621</v>
      </c>
      <c r="HQ17" s="69">
        <f t="shared" si="218"/>
        <v>554.34182922637433</v>
      </c>
      <c r="HS17" s="69">
        <f t="shared" si="107"/>
        <v>21.980246995494621</v>
      </c>
      <c r="HT17" s="69">
        <f t="shared" si="108"/>
        <v>19.52</v>
      </c>
      <c r="HU17" s="69">
        <f t="shared" si="219"/>
        <v>429.05442135205499</v>
      </c>
      <c r="HV17" s="69">
        <f t="shared" si="109"/>
        <v>21.980246995494621</v>
      </c>
      <c r="HW17" s="69">
        <f t="shared" si="110"/>
        <v>23.68</v>
      </c>
      <c r="HX17" s="69">
        <f t="shared" si="220"/>
        <v>520.49224885331262</v>
      </c>
      <c r="HY17" s="69">
        <f t="shared" si="111"/>
        <v>21.980246995494621</v>
      </c>
      <c r="HZ17" s="69">
        <f t="shared" si="112"/>
        <v>26.64</v>
      </c>
      <c r="IA17" s="69">
        <f t="shared" si="221"/>
        <v>585.55377995997674</v>
      </c>
      <c r="IB17" s="69">
        <f t="shared" si="113"/>
        <v>21.980246995494621</v>
      </c>
      <c r="IC17" s="69">
        <f t="shared" si="114"/>
        <v>18.739999999999998</v>
      </c>
      <c r="ID17" s="69">
        <f t="shared" si="222"/>
        <v>411.90982869556916</v>
      </c>
      <c r="IE17" s="69">
        <f t="shared" si="115"/>
        <v>21.980246995494621</v>
      </c>
      <c r="IF17" s="69">
        <f t="shared" si="116"/>
        <v>23.27</v>
      </c>
      <c r="IG17" s="69">
        <f t="shared" si="223"/>
        <v>511.48034758515985</v>
      </c>
      <c r="IH17" s="69">
        <f t="shared" si="117"/>
        <v>21.980246995494621</v>
      </c>
      <c r="II17" s="69">
        <f t="shared" si="118"/>
        <v>21.37</v>
      </c>
      <c r="IJ17" s="69">
        <f t="shared" si="224"/>
        <v>469.71787829372005</v>
      </c>
      <c r="IK17" s="69">
        <f t="shared" si="119"/>
        <v>21.980246995494621</v>
      </c>
      <c r="IL17" s="69">
        <f t="shared" si="120"/>
        <v>19.86</v>
      </c>
      <c r="IM17" s="69">
        <f t="shared" si="225"/>
        <v>436.52770533052319</v>
      </c>
      <c r="IN17" s="69">
        <f t="shared" si="226"/>
        <v>21.980246995494621</v>
      </c>
      <c r="IO17" s="69">
        <f t="shared" si="227"/>
        <v>26.32</v>
      </c>
      <c r="IP17" s="69">
        <f t="shared" si="228"/>
        <v>578.52010092141848</v>
      </c>
      <c r="IQ17" s="69">
        <f t="shared" si="229"/>
        <v>21.980246995494621</v>
      </c>
      <c r="IR17" s="69">
        <f t="shared" si="230"/>
        <v>17.399999999999999</v>
      </c>
      <c r="IS17" s="69">
        <f t="shared" si="231"/>
        <v>382.4562977216064</v>
      </c>
      <c r="IT17" s="69">
        <f t="shared" si="232"/>
        <v>21.980246995494621</v>
      </c>
      <c r="IU17" s="69">
        <f t="shared" si="233"/>
        <v>25.22</v>
      </c>
      <c r="IV17" s="69">
        <f t="shared" si="234"/>
        <v>554.34182922637433</v>
      </c>
    </row>
    <row r="18" spans="1:256" ht="15" x14ac:dyDescent="0.25">
      <c r="A18" s="57" t="s">
        <v>21</v>
      </c>
      <c r="B18" s="295">
        <v>18.7</v>
      </c>
      <c r="C18" s="295">
        <v>24.09</v>
      </c>
      <c r="D18" s="295">
        <v>26.16</v>
      </c>
      <c r="E18" s="295">
        <v>18.010000000000002</v>
      </c>
      <c r="F18" s="295">
        <v>22.16</v>
      </c>
      <c r="G18" s="295">
        <v>21.17</v>
      </c>
      <c r="H18" s="295">
        <v>19.87</v>
      </c>
      <c r="I18" s="296">
        <v>25.33</v>
      </c>
      <c r="J18" s="295">
        <v>17.48</v>
      </c>
      <c r="K18" s="295">
        <v>24.08</v>
      </c>
      <c r="L18" s="68">
        <f t="shared" si="0"/>
        <v>10</v>
      </c>
      <c r="M18" s="69">
        <f t="shared" si="1"/>
        <v>21.498845767361992</v>
      </c>
      <c r="N18" s="69" t="str">
        <f t="shared" si="121"/>
        <v>±0,41</v>
      </c>
      <c r="O18" s="69" t="str">
        <f t="shared" si="122"/>
        <v>±1,95</v>
      </c>
      <c r="P18" s="69" t="str">
        <f t="shared" si="235"/>
        <v>±0,27</v>
      </c>
      <c r="Q18" s="70">
        <f t="shared" si="2"/>
        <v>18.7</v>
      </c>
      <c r="R18" s="71">
        <f t="shared" si="124"/>
        <v>-0.26862524317590086</v>
      </c>
      <c r="S18" s="71">
        <f t="shared" si="125"/>
        <v>-1.4161555712770557</v>
      </c>
      <c r="T18" s="70">
        <f t="shared" si="3"/>
        <v>24.09</v>
      </c>
      <c r="U18" s="71">
        <f t="shared" si="126"/>
        <v>0.12877782706700103</v>
      </c>
      <c r="V18" s="71">
        <f t="shared" si="127"/>
        <v>0.53744264853263779</v>
      </c>
      <c r="W18" s="70">
        <f t="shared" si="4"/>
        <v>26.16</v>
      </c>
      <c r="X18" s="71">
        <f t="shared" si="128"/>
        <v>0.47173871622193531</v>
      </c>
      <c r="Y18" s="71">
        <f t="shared" si="129"/>
        <v>1.8363979991118828</v>
      </c>
      <c r="Z18" s="70">
        <f t="shared" si="5"/>
        <v>18.010000000000002</v>
      </c>
      <c r="AA18" s="71">
        <f t="shared" si="130"/>
        <v>-0.68185185283979521</v>
      </c>
      <c r="AB18" s="71">
        <f t="shared" si="131"/>
        <v>-3.6478560723035236</v>
      </c>
      <c r="AC18" s="70">
        <f t="shared" si="6"/>
        <v>22.16</v>
      </c>
      <c r="AD18" s="71">
        <f t="shared" si="132"/>
        <v>-0.39312115284107918</v>
      </c>
      <c r="AE18" s="71">
        <f t="shared" si="133"/>
        <v>-1.743089793101904</v>
      </c>
      <c r="AF18" s="70">
        <f t="shared" si="7"/>
        <v>21.17</v>
      </c>
      <c r="AG18" s="71">
        <f t="shared" si="134"/>
        <v>0.56730674281997295</v>
      </c>
      <c r="AH18" s="71">
        <f t="shared" si="135"/>
        <v>2.7535562255787349</v>
      </c>
      <c r="AI18" s="70">
        <f t="shared" si="8"/>
        <v>19.87</v>
      </c>
      <c r="AJ18" s="71">
        <f t="shared" si="136"/>
        <v>0.13294613444836401</v>
      </c>
      <c r="AK18" s="71">
        <f t="shared" si="137"/>
        <v>0.67358652083533421</v>
      </c>
      <c r="AL18" s="70">
        <f t="shared" si="138"/>
        <v>25.33</v>
      </c>
      <c r="AM18" s="71">
        <f t="shared" si="139"/>
        <v>-0.50964076216532206</v>
      </c>
      <c r="AN18" s="71">
        <f t="shared" si="140"/>
        <v>-1.9723213912150928</v>
      </c>
      <c r="AO18" s="70">
        <f t="shared" si="141"/>
        <v>17.48</v>
      </c>
      <c r="AP18" s="71">
        <f t="shared" si="142"/>
        <v>-0.25710214259447994</v>
      </c>
      <c r="AQ18" s="71">
        <f t="shared" si="143"/>
        <v>-1.4495160513118166</v>
      </c>
      <c r="AR18" s="70">
        <f t="shared" si="144"/>
        <v>24.08</v>
      </c>
      <c r="AS18" s="71">
        <f t="shared" si="145"/>
        <v>6.3946427187033805E-4</v>
      </c>
      <c r="AT18" s="71">
        <f t="shared" si="146"/>
        <v>2.6556530474453055E-3</v>
      </c>
      <c r="AU18" s="69">
        <f t="shared" si="147"/>
        <v>21.498845767361992</v>
      </c>
      <c r="AV18" s="131" t="str">
        <f t="shared" si="148"/>
        <v>±0,41</v>
      </c>
      <c r="AW18" s="69" t="str">
        <f t="shared" ref="AW18:AW71" si="236">IF(L18&gt;0,"±"&amp;ROUND(STDEV(S18,V18,Y18,AB18,AE18,AH18,AK18,AN18,AQ18,AT18),2),"")</f>
        <v>±1,95</v>
      </c>
      <c r="AX18" s="132">
        <f t="shared" si="150"/>
        <v>0.41</v>
      </c>
      <c r="AY18" s="132">
        <f t="shared" si="151"/>
        <v>1.95</v>
      </c>
      <c r="AZ18" s="69">
        <f t="shared" si="9"/>
        <v>18.7</v>
      </c>
      <c r="BA18" s="69">
        <f t="shared" si="10"/>
        <v>24.09</v>
      </c>
      <c r="BB18" s="69">
        <f t="shared" si="152"/>
        <v>450.483</v>
      </c>
      <c r="BC18" s="69">
        <f t="shared" si="11"/>
        <v>18.7</v>
      </c>
      <c r="BD18" s="69">
        <f t="shared" si="12"/>
        <v>26.16</v>
      </c>
      <c r="BE18" s="69">
        <f t="shared" si="153"/>
        <v>489.19200000000001</v>
      </c>
      <c r="BF18" s="69">
        <f t="shared" si="13"/>
        <v>18.7</v>
      </c>
      <c r="BG18" s="69">
        <f t="shared" si="14"/>
        <v>18.010000000000002</v>
      </c>
      <c r="BH18" s="69">
        <f t="shared" si="154"/>
        <v>336.78700000000003</v>
      </c>
      <c r="BI18" s="69">
        <f t="shared" si="15"/>
        <v>18.7</v>
      </c>
      <c r="BJ18" s="69">
        <f t="shared" si="16"/>
        <v>22.16</v>
      </c>
      <c r="BK18" s="69">
        <f t="shared" si="155"/>
        <v>414.392</v>
      </c>
      <c r="BL18" s="69">
        <f t="shared" si="17"/>
        <v>18.7</v>
      </c>
      <c r="BM18" s="69">
        <f t="shared" si="18"/>
        <v>21.17</v>
      </c>
      <c r="BN18" s="69">
        <f t="shared" si="156"/>
        <v>395.87900000000002</v>
      </c>
      <c r="BO18" s="69">
        <f t="shared" si="19"/>
        <v>18.7</v>
      </c>
      <c r="BP18" s="69">
        <f t="shared" si="20"/>
        <v>19.87</v>
      </c>
      <c r="BQ18" s="69">
        <f t="shared" si="157"/>
        <v>371.56900000000002</v>
      </c>
      <c r="BR18" s="69">
        <f t="shared" si="21"/>
        <v>18.7</v>
      </c>
      <c r="BS18" s="69">
        <f t="shared" si="22"/>
        <v>25.33</v>
      </c>
      <c r="BT18" s="69">
        <f t="shared" si="158"/>
        <v>473.67099999999994</v>
      </c>
      <c r="BU18" s="69">
        <f t="shared" si="23"/>
        <v>18.7</v>
      </c>
      <c r="BV18" s="69">
        <f t="shared" si="24"/>
        <v>17.48</v>
      </c>
      <c r="BW18" s="69">
        <f t="shared" si="159"/>
        <v>326.87599999999998</v>
      </c>
      <c r="BX18" s="69">
        <f t="shared" si="25"/>
        <v>18.7</v>
      </c>
      <c r="BY18" s="69">
        <f t="shared" si="26"/>
        <v>24.08</v>
      </c>
      <c r="BZ18" s="69">
        <f t="shared" si="160"/>
        <v>450.29599999999994</v>
      </c>
      <c r="CA18" s="69">
        <f t="shared" si="27"/>
        <v>18.7</v>
      </c>
      <c r="CB18" s="69">
        <f t="shared" si="28"/>
        <v>21.498845767361992</v>
      </c>
      <c r="CC18" s="69">
        <f t="shared" si="161"/>
        <v>402.02841584966922</v>
      </c>
      <c r="CE18" s="69">
        <f t="shared" si="29"/>
        <v>24.09</v>
      </c>
      <c r="CF18" s="69">
        <f t="shared" si="30"/>
        <v>26.16</v>
      </c>
      <c r="CG18" s="69">
        <f t="shared" si="162"/>
        <v>630.19439999999997</v>
      </c>
      <c r="CH18" s="69">
        <f t="shared" si="31"/>
        <v>24.09</v>
      </c>
      <c r="CI18" s="69">
        <f t="shared" si="32"/>
        <v>18.010000000000002</v>
      </c>
      <c r="CJ18" s="69">
        <f t="shared" si="163"/>
        <v>433.86090000000002</v>
      </c>
      <c r="CK18" s="69">
        <f t="shared" si="33"/>
        <v>24.09</v>
      </c>
      <c r="CL18" s="69">
        <f t="shared" si="34"/>
        <v>22.16</v>
      </c>
      <c r="CM18" s="69">
        <f t="shared" si="164"/>
        <v>533.83439999999996</v>
      </c>
      <c r="CN18" s="69">
        <f t="shared" si="35"/>
        <v>24.09</v>
      </c>
      <c r="CO18" s="69">
        <f t="shared" si="36"/>
        <v>21.17</v>
      </c>
      <c r="CP18" s="69">
        <f t="shared" si="165"/>
        <v>509.98530000000005</v>
      </c>
      <c r="CQ18" s="69">
        <f t="shared" si="37"/>
        <v>24.09</v>
      </c>
      <c r="CR18" s="69">
        <f t="shared" si="38"/>
        <v>19.87</v>
      </c>
      <c r="CS18" s="69">
        <f t="shared" si="166"/>
        <v>478.66830000000004</v>
      </c>
      <c r="CT18" s="69">
        <f t="shared" si="39"/>
        <v>24.09</v>
      </c>
      <c r="CU18" s="69">
        <f t="shared" si="40"/>
        <v>25.33</v>
      </c>
      <c r="CV18" s="69">
        <f t="shared" si="167"/>
        <v>610.19970000000001</v>
      </c>
      <c r="CW18" s="69">
        <f t="shared" si="41"/>
        <v>24.09</v>
      </c>
      <c r="CX18" s="69">
        <f t="shared" si="42"/>
        <v>17.48</v>
      </c>
      <c r="CY18" s="69">
        <f t="shared" si="168"/>
        <v>421.09320000000002</v>
      </c>
      <c r="CZ18" s="69">
        <f t="shared" si="43"/>
        <v>24.09</v>
      </c>
      <c r="DA18" s="69">
        <f t="shared" si="44"/>
        <v>24.08</v>
      </c>
      <c r="DB18" s="69">
        <f t="shared" si="169"/>
        <v>580.08719999999994</v>
      </c>
      <c r="DC18" s="69">
        <f t="shared" si="45"/>
        <v>24.09</v>
      </c>
      <c r="DD18" s="69">
        <f t="shared" si="46"/>
        <v>21.498845767361992</v>
      </c>
      <c r="DE18" s="69">
        <f t="shared" si="170"/>
        <v>517.90719453575036</v>
      </c>
      <c r="DG18" s="69">
        <f t="shared" si="47"/>
        <v>26.16</v>
      </c>
      <c r="DH18" s="69">
        <f t="shared" si="48"/>
        <v>18.010000000000002</v>
      </c>
      <c r="DI18" s="69">
        <f t="shared" si="171"/>
        <v>471.14160000000004</v>
      </c>
      <c r="DJ18" s="69">
        <f t="shared" si="49"/>
        <v>26.16</v>
      </c>
      <c r="DK18" s="69">
        <f t="shared" si="50"/>
        <v>22.16</v>
      </c>
      <c r="DL18" s="69">
        <f t="shared" si="172"/>
        <v>579.7056</v>
      </c>
      <c r="DM18" s="69">
        <f t="shared" si="51"/>
        <v>26.16</v>
      </c>
      <c r="DN18" s="69">
        <f t="shared" si="52"/>
        <v>21.17</v>
      </c>
      <c r="DO18" s="69">
        <f t="shared" si="173"/>
        <v>553.80720000000008</v>
      </c>
      <c r="DP18" s="69">
        <f t="shared" si="53"/>
        <v>26.16</v>
      </c>
      <c r="DQ18" s="69">
        <f t="shared" si="54"/>
        <v>19.87</v>
      </c>
      <c r="DR18" s="69">
        <f t="shared" si="174"/>
        <v>519.79920000000004</v>
      </c>
      <c r="DS18" s="69">
        <f t="shared" si="55"/>
        <v>26.16</v>
      </c>
      <c r="DT18" s="69">
        <f t="shared" si="56"/>
        <v>25.33</v>
      </c>
      <c r="DU18" s="69">
        <f t="shared" si="175"/>
        <v>662.63279999999997</v>
      </c>
      <c r="DV18" s="69">
        <f t="shared" si="57"/>
        <v>26.16</v>
      </c>
      <c r="DW18" s="69">
        <f t="shared" si="58"/>
        <v>17.48</v>
      </c>
      <c r="DX18" s="69">
        <f t="shared" si="176"/>
        <v>457.27680000000004</v>
      </c>
      <c r="DY18" s="69">
        <f t="shared" si="59"/>
        <v>26.16</v>
      </c>
      <c r="DZ18" s="69">
        <f t="shared" si="60"/>
        <v>24.08</v>
      </c>
      <c r="EA18" s="69">
        <f t="shared" si="177"/>
        <v>629.93279999999993</v>
      </c>
      <c r="EB18" s="69">
        <f t="shared" si="61"/>
        <v>26.16</v>
      </c>
      <c r="EC18" s="69">
        <f t="shared" si="62"/>
        <v>21.498845767361992</v>
      </c>
      <c r="ED18" s="69">
        <f t="shared" si="178"/>
        <v>562.40980527418969</v>
      </c>
      <c r="EF18" s="69">
        <f t="shared" si="63"/>
        <v>18.010000000000002</v>
      </c>
      <c r="EG18" s="69">
        <f t="shared" si="64"/>
        <v>22.16</v>
      </c>
      <c r="EH18" s="69">
        <f t="shared" si="179"/>
        <v>399.10160000000002</v>
      </c>
      <c r="EI18" s="69">
        <f t="shared" si="65"/>
        <v>18.010000000000002</v>
      </c>
      <c r="EJ18" s="69">
        <f t="shared" si="66"/>
        <v>21.17</v>
      </c>
      <c r="EK18" s="69">
        <f t="shared" si="180"/>
        <v>381.27170000000007</v>
      </c>
      <c r="EL18" s="69">
        <f t="shared" si="67"/>
        <v>18.010000000000002</v>
      </c>
      <c r="EM18" s="69">
        <f t="shared" si="68"/>
        <v>19.87</v>
      </c>
      <c r="EN18" s="69">
        <f t="shared" si="181"/>
        <v>357.85870000000006</v>
      </c>
      <c r="EO18" s="69">
        <f t="shared" si="69"/>
        <v>18.010000000000002</v>
      </c>
      <c r="EP18" s="69">
        <f t="shared" si="70"/>
        <v>25.33</v>
      </c>
      <c r="EQ18" s="69">
        <f t="shared" si="182"/>
        <v>456.19330000000002</v>
      </c>
      <c r="ER18" s="69">
        <f t="shared" si="71"/>
        <v>18.010000000000002</v>
      </c>
      <c r="ES18" s="69">
        <f t="shared" si="72"/>
        <v>17.48</v>
      </c>
      <c r="ET18" s="69">
        <f t="shared" si="183"/>
        <v>314.81480000000005</v>
      </c>
      <c r="EU18" s="69">
        <f t="shared" si="73"/>
        <v>18.010000000000002</v>
      </c>
      <c r="EV18" s="69">
        <f t="shared" si="74"/>
        <v>24.08</v>
      </c>
      <c r="EW18" s="69">
        <f t="shared" si="184"/>
        <v>433.68080000000003</v>
      </c>
      <c r="EX18" s="69">
        <f t="shared" si="75"/>
        <v>18.010000000000002</v>
      </c>
      <c r="EY18" s="69">
        <f t="shared" si="76"/>
        <v>21.498845767361992</v>
      </c>
      <c r="EZ18" s="69">
        <f t="shared" si="185"/>
        <v>387.1942122701895</v>
      </c>
      <c r="FB18" s="69">
        <f t="shared" si="77"/>
        <v>22.16</v>
      </c>
      <c r="FC18" s="69">
        <f t="shared" si="78"/>
        <v>21.17</v>
      </c>
      <c r="FD18" s="69">
        <f t="shared" si="186"/>
        <v>469.12720000000002</v>
      </c>
      <c r="FE18" s="69">
        <f t="shared" si="79"/>
        <v>22.16</v>
      </c>
      <c r="FF18" s="69">
        <f t="shared" si="80"/>
        <v>19.87</v>
      </c>
      <c r="FG18" s="69">
        <f t="shared" si="187"/>
        <v>440.31920000000002</v>
      </c>
      <c r="FH18" s="69">
        <f t="shared" si="81"/>
        <v>22.16</v>
      </c>
      <c r="FI18" s="69">
        <f t="shared" si="82"/>
        <v>25.33</v>
      </c>
      <c r="FJ18" s="69">
        <f t="shared" si="188"/>
        <v>561.31279999999992</v>
      </c>
      <c r="FK18" s="69">
        <f t="shared" si="83"/>
        <v>22.16</v>
      </c>
      <c r="FL18" s="69">
        <f t="shared" si="84"/>
        <v>17.48</v>
      </c>
      <c r="FM18" s="69">
        <f t="shared" si="189"/>
        <v>387.35680000000002</v>
      </c>
      <c r="FN18" s="69">
        <f t="shared" si="85"/>
        <v>22.16</v>
      </c>
      <c r="FO18" s="69">
        <f t="shared" si="86"/>
        <v>24.08</v>
      </c>
      <c r="FP18" s="69">
        <f t="shared" si="190"/>
        <v>533.61279999999999</v>
      </c>
      <c r="FQ18" s="69">
        <f t="shared" si="87"/>
        <v>22.16</v>
      </c>
      <c r="FR18" s="69">
        <f t="shared" si="88"/>
        <v>21.498845767361992</v>
      </c>
      <c r="FS18" s="69">
        <f t="shared" si="191"/>
        <v>476.41442220474175</v>
      </c>
      <c r="FU18" s="69">
        <f t="shared" si="89"/>
        <v>21.17</v>
      </c>
      <c r="FV18" s="69">
        <f t="shared" si="90"/>
        <v>19.87</v>
      </c>
      <c r="FW18" s="69">
        <f t="shared" si="192"/>
        <v>420.64790000000005</v>
      </c>
      <c r="FX18" s="69">
        <f t="shared" si="91"/>
        <v>21.17</v>
      </c>
      <c r="FY18" s="69">
        <f t="shared" si="92"/>
        <v>25.33</v>
      </c>
      <c r="FZ18" s="69">
        <f t="shared" si="193"/>
        <v>536.23609999999996</v>
      </c>
      <c r="GA18" s="69">
        <f t="shared" si="93"/>
        <v>21.17</v>
      </c>
      <c r="GB18" s="69">
        <f t="shared" si="94"/>
        <v>17.48</v>
      </c>
      <c r="GC18" s="69">
        <f t="shared" si="194"/>
        <v>370.05160000000006</v>
      </c>
      <c r="GD18" s="69">
        <f t="shared" si="95"/>
        <v>21.17</v>
      </c>
      <c r="GE18" s="69">
        <f t="shared" si="96"/>
        <v>24.08</v>
      </c>
      <c r="GF18" s="69">
        <f t="shared" si="195"/>
        <v>509.77359999999999</v>
      </c>
      <c r="GG18" s="69">
        <f t="shared" si="97"/>
        <v>21.17</v>
      </c>
      <c r="GH18" s="69">
        <f t="shared" si="98"/>
        <v>21.498845767361992</v>
      </c>
      <c r="GI18" s="69">
        <f t="shared" si="196"/>
        <v>455.1305648950534</v>
      </c>
      <c r="GK18" s="69">
        <f t="shared" si="99"/>
        <v>19.87</v>
      </c>
      <c r="GL18" s="69">
        <f t="shared" si="100"/>
        <v>25.33</v>
      </c>
      <c r="GM18" s="69">
        <f t="shared" si="197"/>
        <v>503.30709999999999</v>
      </c>
      <c r="GN18" s="69">
        <f t="shared" si="101"/>
        <v>19.87</v>
      </c>
      <c r="GO18" s="69">
        <f t="shared" si="102"/>
        <v>17.48</v>
      </c>
      <c r="GP18" s="69">
        <f t="shared" si="198"/>
        <v>347.32760000000002</v>
      </c>
      <c r="GQ18" s="69">
        <f t="shared" si="103"/>
        <v>19.87</v>
      </c>
      <c r="GR18" s="69">
        <f t="shared" si="104"/>
        <v>24.08</v>
      </c>
      <c r="GS18" s="69">
        <f t="shared" si="199"/>
        <v>478.46960000000001</v>
      </c>
      <c r="GT18" s="69">
        <f t="shared" si="105"/>
        <v>19.87</v>
      </c>
      <c r="GU18" s="69">
        <f t="shared" si="106"/>
        <v>21.498845767361992</v>
      </c>
      <c r="GV18" s="69">
        <f t="shared" si="200"/>
        <v>427.1820653974828</v>
      </c>
      <c r="GX18" s="69">
        <f t="shared" si="201"/>
        <v>25.33</v>
      </c>
      <c r="GY18" s="69">
        <f t="shared" si="202"/>
        <v>17.48</v>
      </c>
      <c r="GZ18" s="69">
        <f t="shared" si="203"/>
        <v>442.76839999999999</v>
      </c>
      <c r="HA18" s="69">
        <f t="shared" si="204"/>
        <v>25.33</v>
      </c>
      <c r="HB18" s="69">
        <f t="shared" si="205"/>
        <v>24.08</v>
      </c>
      <c r="HC18" s="69">
        <f t="shared" si="206"/>
        <v>609.94639999999993</v>
      </c>
      <c r="HD18" s="69">
        <f t="shared" si="207"/>
        <v>25.33</v>
      </c>
      <c r="HE18" s="69">
        <f t="shared" si="208"/>
        <v>21.498845767361992</v>
      </c>
      <c r="HF18" s="69">
        <f t="shared" si="209"/>
        <v>544.5657632872792</v>
      </c>
      <c r="HH18" s="69">
        <f t="shared" si="210"/>
        <v>17.48</v>
      </c>
      <c r="HI18" s="69">
        <f t="shared" si="211"/>
        <v>24.08</v>
      </c>
      <c r="HJ18" s="69">
        <f t="shared" si="212"/>
        <v>420.91839999999996</v>
      </c>
      <c r="HK18" s="69">
        <f t="shared" si="213"/>
        <v>17.48</v>
      </c>
      <c r="HL18" s="69">
        <f t="shared" si="214"/>
        <v>21.498845767361992</v>
      </c>
      <c r="HM18" s="69">
        <f t="shared" si="215"/>
        <v>375.79982401348764</v>
      </c>
      <c r="HO18" s="69">
        <f t="shared" si="216"/>
        <v>24.08</v>
      </c>
      <c r="HP18" s="69">
        <f t="shared" si="217"/>
        <v>21.498845767361992</v>
      </c>
      <c r="HQ18" s="69">
        <f t="shared" si="218"/>
        <v>517.69220607807677</v>
      </c>
      <c r="HS18" s="69">
        <f t="shared" si="107"/>
        <v>21.498845767361992</v>
      </c>
      <c r="HT18" s="69">
        <f t="shared" si="108"/>
        <v>18.7</v>
      </c>
      <c r="HU18" s="69">
        <f t="shared" si="219"/>
        <v>402.02841584966922</v>
      </c>
      <c r="HV18" s="69">
        <f t="shared" si="109"/>
        <v>21.498845767361992</v>
      </c>
      <c r="HW18" s="69">
        <f t="shared" si="110"/>
        <v>24.09</v>
      </c>
      <c r="HX18" s="69">
        <f t="shared" si="220"/>
        <v>517.90719453575036</v>
      </c>
      <c r="HY18" s="69">
        <f t="shared" si="111"/>
        <v>21.498845767361992</v>
      </c>
      <c r="HZ18" s="69">
        <f t="shared" si="112"/>
        <v>26.16</v>
      </c>
      <c r="IA18" s="69">
        <f t="shared" si="221"/>
        <v>562.40980527418969</v>
      </c>
      <c r="IB18" s="69">
        <f t="shared" si="113"/>
        <v>21.498845767361992</v>
      </c>
      <c r="IC18" s="69">
        <f t="shared" si="114"/>
        <v>18.010000000000002</v>
      </c>
      <c r="ID18" s="69">
        <f t="shared" si="222"/>
        <v>387.1942122701895</v>
      </c>
      <c r="IE18" s="69">
        <f t="shared" si="115"/>
        <v>21.498845767361992</v>
      </c>
      <c r="IF18" s="69">
        <f t="shared" si="116"/>
        <v>22.16</v>
      </c>
      <c r="IG18" s="69">
        <f t="shared" si="223"/>
        <v>476.41442220474175</v>
      </c>
      <c r="IH18" s="69">
        <f t="shared" si="117"/>
        <v>21.498845767361992</v>
      </c>
      <c r="II18" s="69">
        <f t="shared" si="118"/>
        <v>21.17</v>
      </c>
      <c r="IJ18" s="69">
        <f t="shared" si="224"/>
        <v>455.1305648950534</v>
      </c>
      <c r="IK18" s="69">
        <f t="shared" si="119"/>
        <v>21.498845767361992</v>
      </c>
      <c r="IL18" s="69">
        <f t="shared" si="120"/>
        <v>19.87</v>
      </c>
      <c r="IM18" s="69">
        <f t="shared" si="225"/>
        <v>427.1820653974828</v>
      </c>
      <c r="IN18" s="69">
        <f t="shared" si="226"/>
        <v>21.498845767361992</v>
      </c>
      <c r="IO18" s="69">
        <f t="shared" si="227"/>
        <v>25.33</v>
      </c>
      <c r="IP18" s="69">
        <f t="shared" si="228"/>
        <v>544.5657632872792</v>
      </c>
      <c r="IQ18" s="69">
        <f t="shared" si="229"/>
        <v>21.498845767361992</v>
      </c>
      <c r="IR18" s="69">
        <f t="shared" si="230"/>
        <v>17.48</v>
      </c>
      <c r="IS18" s="69">
        <f t="shared" si="231"/>
        <v>375.79982401348764</v>
      </c>
      <c r="IT18" s="69">
        <f t="shared" si="232"/>
        <v>21.498845767361992</v>
      </c>
      <c r="IU18" s="69">
        <f t="shared" si="233"/>
        <v>24.08</v>
      </c>
      <c r="IV18" s="69">
        <f t="shared" si="234"/>
        <v>517.69220607807677</v>
      </c>
    </row>
    <row r="19" spans="1:256" ht="15" x14ac:dyDescent="0.25">
      <c r="A19" s="57" t="s">
        <v>22</v>
      </c>
      <c r="B19" s="295">
        <v>20.59</v>
      </c>
      <c r="C19" s="295">
        <v>26.42</v>
      </c>
      <c r="D19" s="295">
        <v>24.49</v>
      </c>
      <c r="E19" s="295">
        <v>20.67</v>
      </c>
      <c r="F19" s="295">
        <v>25.63</v>
      </c>
      <c r="G19" s="295">
        <v>22.47</v>
      </c>
      <c r="H19" s="295">
        <v>21.39</v>
      </c>
      <c r="I19" s="296">
        <v>29.06</v>
      </c>
      <c r="J19" s="295">
        <v>20.53</v>
      </c>
      <c r="K19" s="295">
        <v>25.57</v>
      </c>
      <c r="L19" s="68">
        <f t="shared" si="0"/>
        <v>10</v>
      </c>
      <c r="M19" s="69">
        <f t="shared" si="1"/>
        <v>23.517416852369028</v>
      </c>
      <c r="N19" s="69" t="str">
        <f t="shared" si="121"/>
        <v>±1,25</v>
      </c>
      <c r="O19" s="69" t="str">
        <f t="shared" si="122"/>
        <v>±5,56</v>
      </c>
      <c r="P19" s="69" t="str">
        <f t="shared" si="235"/>
        <v>±2,29</v>
      </c>
      <c r="Q19" s="70">
        <f t="shared" si="2"/>
        <v>20.59</v>
      </c>
      <c r="R19" s="71">
        <f t="shared" si="124"/>
        <v>1.6213747568240997</v>
      </c>
      <c r="S19" s="71">
        <f t="shared" si="125"/>
        <v>8.5476661383639296</v>
      </c>
      <c r="T19" s="70">
        <f t="shared" si="3"/>
        <v>26.42</v>
      </c>
      <c r="U19" s="71">
        <f t="shared" si="126"/>
        <v>2.4587778270670029</v>
      </c>
      <c r="V19" s="71">
        <f t="shared" si="127"/>
        <v>10.261487537328051</v>
      </c>
      <c r="W19" s="70">
        <f t="shared" si="4"/>
        <v>24.49</v>
      </c>
      <c r="X19" s="71">
        <f t="shared" si="128"/>
        <v>-1.1982612837780664</v>
      </c>
      <c r="Y19" s="71">
        <f t="shared" si="129"/>
        <v>-4.6646258792717887</v>
      </c>
      <c r="Z19" s="70">
        <f t="shared" si="5"/>
        <v>20.67</v>
      </c>
      <c r="AA19" s="71">
        <f t="shared" si="130"/>
        <v>1.9781481471602049</v>
      </c>
      <c r="AB19" s="71">
        <f t="shared" si="131"/>
        <v>10.582943641615007</v>
      </c>
      <c r="AC19" s="70">
        <f t="shared" si="6"/>
        <v>25.63</v>
      </c>
      <c r="AD19" s="71">
        <f t="shared" si="132"/>
        <v>3.0768788471589197</v>
      </c>
      <c r="AE19" s="71">
        <f t="shared" si="133"/>
        <v>13.642807247418688</v>
      </c>
      <c r="AF19" s="70">
        <f t="shared" si="7"/>
        <v>22.47</v>
      </c>
      <c r="AG19" s="71">
        <f t="shared" si="134"/>
        <v>1.8673067428199701</v>
      </c>
      <c r="AH19" s="71">
        <f t="shared" si="135"/>
        <v>9.0634108827942317</v>
      </c>
      <c r="AI19" s="70">
        <f t="shared" si="8"/>
        <v>21.39</v>
      </c>
      <c r="AJ19" s="71">
        <f t="shared" si="136"/>
        <v>1.6529461344483636</v>
      </c>
      <c r="AK19" s="71">
        <f t="shared" si="137"/>
        <v>8.3748372260024073</v>
      </c>
      <c r="AL19" s="70">
        <f t="shared" si="138"/>
        <v>29.06</v>
      </c>
      <c r="AM19" s="71">
        <f t="shared" si="139"/>
        <v>3.2203592378346784</v>
      </c>
      <c r="AN19" s="71">
        <f t="shared" si="140"/>
        <v>12.462863812526237</v>
      </c>
      <c r="AO19" s="70">
        <f t="shared" si="141"/>
        <v>20.53</v>
      </c>
      <c r="AP19" s="71">
        <f t="shared" si="142"/>
        <v>2.7928978574055208</v>
      </c>
      <c r="AQ19" s="71">
        <f t="shared" si="143"/>
        <v>15.746077543854021</v>
      </c>
      <c r="AR19" s="70">
        <f t="shared" si="144"/>
        <v>25.57</v>
      </c>
      <c r="AS19" s="71">
        <f t="shared" si="145"/>
        <v>1.4906394642718723</v>
      </c>
      <c r="AT19" s="71">
        <f t="shared" si="146"/>
        <v>6.1905276182899982</v>
      </c>
      <c r="AU19" s="69">
        <f t="shared" si="147"/>
        <v>23.517416852369028</v>
      </c>
      <c r="AV19" s="131" t="str">
        <f t="shared" si="148"/>
        <v>±1,25</v>
      </c>
      <c r="AW19" s="69" t="str">
        <f t="shared" si="236"/>
        <v>±5,56</v>
      </c>
      <c r="AX19" s="132">
        <f t="shared" si="150"/>
        <v>1.25</v>
      </c>
      <c r="AY19" s="132">
        <f t="shared" si="151"/>
        <v>5.56</v>
      </c>
      <c r="AZ19" s="69">
        <f t="shared" si="9"/>
        <v>20.59</v>
      </c>
      <c r="BA19" s="69">
        <f t="shared" si="10"/>
        <v>26.42</v>
      </c>
      <c r="BB19" s="69">
        <f t="shared" si="152"/>
        <v>543.98779999999999</v>
      </c>
      <c r="BC19" s="69">
        <f t="shared" si="11"/>
        <v>20.59</v>
      </c>
      <c r="BD19" s="69">
        <f t="shared" si="12"/>
        <v>24.49</v>
      </c>
      <c r="BE19" s="69">
        <f t="shared" si="153"/>
        <v>504.24909999999994</v>
      </c>
      <c r="BF19" s="69">
        <f t="shared" si="13"/>
        <v>20.59</v>
      </c>
      <c r="BG19" s="69">
        <f t="shared" si="14"/>
        <v>20.67</v>
      </c>
      <c r="BH19" s="69">
        <f t="shared" si="154"/>
        <v>425.59530000000001</v>
      </c>
      <c r="BI19" s="69">
        <f t="shared" si="15"/>
        <v>20.59</v>
      </c>
      <c r="BJ19" s="69">
        <f t="shared" si="16"/>
        <v>25.63</v>
      </c>
      <c r="BK19" s="69">
        <f t="shared" si="155"/>
        <v>527.72169999999994</v>
      </c>
      <c r="BL19" s="69">
        <f t="shared" si="17"/>
        <v>20.59</v>
      </c>
      <c r="BM19" s="69">
        <f t="shared" si="18"/>
        <v>22.47</v>
      </c>
      <c r="BN19" s="69">
        <f t="shared" si="156"/>
        <v>462.65729999999996</v>
      </c>
      <c r="BO19" s="69">
        <f t="shared" si="19"/>
        <v>20.59</v>
      </c>
      <c r="BP19" s="69">
        <f t="shared" si="20"/>
        <v>21.39</v>
      </c>
      <c r="BQ19" s="69">
        <f t="shared" si="157"/>
        <v>440.42009999999999</v>
      </c>
      <c r="BR19" s="69">
        <f t="shared" si="21"/>
        <v>20.59</v>
      </c>
      <c r="BS19" s="69">
        <f t="shared" si="22"/>
        <v>29.06</v>
      </c>
      <c r="BT19" s="69">
        <f t="shared" si="158"/>
        <v>598.34539999999993</v>
      </c>
      <c r="BU19" s="69">
        <f t="shared" si="23"/>
        <v>20.59</v>
      </c>
      <c r="BV19" s="69">
        <f t="shared" si="24"/>
        <v>20.53</v>
      </c>
      <c r="BW19" s="69">
        <f t="shared" si="159"/>
        <v>422.71270000000004</v>
      </c>
      <c r="BX19" s="69">
        <f t="shared" si="25"/>
        <v>20.59</v>
      </c>
      <c r="BY19" s="69">
        <f t="shared" si="26"/>
        <v>25.57</v>
      </c>
      <c r="BZ19" s="69">
        <f t="shared" si="160"/>
        <v>526.48630000000003</v>
      </c>
      <c r="CA19" s="69">
        <f t="shared" si="27"/>
        <v>20.59</v>
      </c>
      <c r="CB19" s="69">
        <f t="shared" si="28"/>
        <v>23.517416852369028</v>
      </c>
      <c r="CC19" s="69">
        <f t="shared" si="161"/>
        <v>484.2236129902783</v>
      </c>
      <c r="CE19" s="69">
        <f t="shared" si="29"/>
        <v>26.42</v>
      </c>
      <c r="CF19" s="69">
        <f t="shared" si="30"/>
        <v>24.49</v>
      </c>
      <c r="CG19" s="69">
        <f t="shared" si="162"/>
        <v>647.0258</v>
      </c>
      <c r="CH19" s="69">
        <f t="shared" si="31"/>
        <v>26.42</v>
      </c>
      <c r="CI19" s="69">
        <f t="shared" si="32"/>
        <v>20.67</v>
      </c>
      <c r="CJ19" s="69">
        <f t="shared" si="163"/>
        <v>546.10140000000013</v>
      </c>
      <c r="CK19" s="69">
        <f t="shared" si="33"/>
        <v>26.42</v>
      </c>
      <c r="CL19" s="69">
        <f t="shared" si="34"/>
        <v>25.63</v>
      </c>
      <c r="CM19" s="69">
        <f t="shared" si="164"/>
        <v>677.14459999999997</v>
      </c>
      <c r="CN19" s="69">
        <f t="shared" si="35"/>
        <v>26.42</v>
      </c>
      <c r="CO19" s="69">
        <f t="shared" si="36"/>
        <v>22.47</v>
      </c>
      <c r="CP19" s="69">
        <f t="shared" si="165"/>
        <v>593.65740000000005</v>
      </c>
      <c r="CQ19" s="69">
        <f t="shared" si="37"/>
        <v>26.42</v>
      </c>
      <c r="CR19" s="69">
        <f t="shared" si="38"/>
        <v>21.39</v>
      </c>
      <c r="CS19" s="69">
        <f t="shared" si="166"/>
        <v>565.12380000000007</v>
      </c>
      <c r="CT19" s="69">
        <f t="shared" si="39"/>
        <v>26.42</v>
      </c>
      <c r="CU19" s="69">
        <f t="shared" si="40"/>
        <v>29.06</v>
      </c>
      <c r="CV19" s="69">
        <f t="shared" si="167"/>
        <v>767.76520000000005</v>
      </c>
      <c r="CW19" s="69">
        <f t="shared" si="41"/>
        <v>26.42</v>
      </c>
      <c r="CX19" s="69">
        <f t="shared" si="42"/>
        <v>20.53</v>
      </c>
      <c r="CY19" s="69">
        <f t="shared" si="168"/>
        <v>542.40260000000012</v>
      </c>
      <c r="CZ19" s="69">
        <f t="shared" si="43"/>
        <v>26.42</v>
      </c>
      <c r="DA19" s="69">
        <f t="shared" si="44"/>
        <v>25.57</v>
      </c>
      <c r="DB19" s="69">
        <f t="shared" si="169"/>
        <v>675.5594000000001</v>
      </c>
      <c r="DC19" s="69">
        <f t="shared" si="45"/>
        <v>26.42</v>
      </c>
      <c r="DD19" s="69">
        <f t="shared" si="46"/>
        <v>23.517416852369028</v>
      </c>
      <c r="DE19" s="69">
        <f t="shared" si="170"/>
        <v>621.33015323958978</v>
      </c>
      <c r="DG19" s="69">
        <f t="shared" si="47"/>
        <v>24.49</v>
      </c>
      <c r="DH19" s="69">
        <f t="shared" si="48"/>
        <v>20.67</v>
      </c>
      <c r="DI19" s="69">
        <f t="shared" si="171"/>
        <v>506.20830000000001</v>
      </c>
      <c r="DJ19" s="69">
        <f t="shared" si="49"/>
        <v>24.49</v>
      </c>
      <c r="DK19" s="69">
        <f t="shared" si="50"/>
        <v>25.63</v>
      </c>
      <c r="DL19" s="69">
        <f t="shared" si="172"/>
        <v>627.67869999999994</v>
      </c>
      <c r="DM19" s="69">
        <f t="shared" si="51"/>
        <v>24.49</v>
      </c>
      <c r="DN19" s="69">
        <f t="shared" si="52"/>
        <v>22.47</v>
      </c>
      <c r="DO19" s="69">
        <f t="shared" si="173"/>
        <v>550.29029999999989</v>
      </c>
      <c r="DP19" s="69">
        <f t="shared" si="53"/>
        <v>24.49</v>
      </c>
      <c r="DQ19" s="69">
        <f t="shared" si="54"/>
        <v>21.39</v>
      </c>
      <c r="DR19" s="69">
        <f t="shared" si="174"/>
        <v>523.84109999999998</v>
      </c>
      <c r="DS19" s="69">
        <f t="shared" si="55"/>
        <v>24.49</v>
      </c>
      <c r="DT19" s="69">
        <f t="shared" si="56"/>
        <v>29.06</v>
      </c>
      <c r="DU19" s="69">
        <f t="shared" si="175"/>
        <v>711.67939999999987</v>
      </c>
      <c r="DV19" s="69">
        <f t="shared" si="57"/>
        <v>24.49</v>
      </c>
      <c r="DW19" s="69">
        <f t="shared" si="58"/>
        <v>20.53</v>
      </c>
      <c r="DX19" s="69">
        <f t="shared" si="176"/>
        <v>502.77969999999999</v>
      </c>
      <c r="DY19" s="69">
        <f t="shared" si="59"/>
        <v>24.49</v>
      </c>
      <c r="DZ19" s="69">
        <f t="shared" si="60"/>
        <v>25.57</v>
      </c>
      <c r="EA19" s="69">
        <f t="shared" si="177"/>
        <v>626.20929999999998</v>
      </c>
      <c r="EB19" s="69">
        <f t="shared" si="61"/>
        <v>24.49</v>
      </c>
      <c r="EC19" s="69">
        <f t="shared" si="62"/>
        <v>23.517416852369028</v>
      </c>
      <c r="ED19" s="69">
        <f t="shared" si="178"/>
        <v>575.94153871451749</v>
      </c>
      <c r="EF19" s="69">
        <f t="shared" si="63"/>
        <v>20.67</v>
      </c>
      <c r="EG19" s="69">
        <f t="shared" si="64"/>
        <v>25.63</v>
      </c>
      <c r="EH19" s="69">
        <f t="shared" si="179"/>
        <v>529.77210000000002</v>
      </c>
      <c r="EI19" s="69">
        <f t="shared" si="65"/>
        <v>20.67</v>
      </c>
      <c r="EJ19" s="69">
        <f t="shared" si="66"/>
        <v>22.47</v>
      </c>
      <c r="EK19" s="69">
        <f t="shared" si="180"/>
        <v>464.45490000000001</v>
      </c>
      <c r="EL19" s="69">
        <f t="shared" si="67"/>
        <v>20.67</v>
      </c>
      <c r="EM19" s="69">
        <f t="shared" si="68"/>
        <v>21.39</v>
      </c>
      <c r="EN19" s="69">
        <f t="shared" si="181"/>
        <v>442.13130000000007</v>
      </c>
      <c r="EO19" s="69">
        <f t="shared" si="69"/>
        <v>20.67</v>
      </c>
      <c r="EP19" s="69">
        <f t="shared" si="70"/>
        <v>29.06</v>
      </c>
      <c r="EQ19" s="69">
        <f t="shared" si="182"/>
        <v>600.67020000000002</v>
      </c>
      <c r="ER19" s="69">
        <f t="shared" si="71"/>
        <v>20.67</v>
      </c>
      <c r="ES19" s="69">
        <f t="shared" si="72"/>
        <v>20.53</v>
      </c>
      <c r="ET19" s="69">
        <f t="shared" si="183"/>
        <v>424.35510000000005</v>
      </c>
      <c r="EU19" s="69">
        <f t="shared" si="73"/>
        <v>20.67</v>
      </c>
      <c r="EV19" s="69">
        <f t="shared" si="74"/>
        <v>25.57</v>
      </c>
      <c r="EW19" s="69">
        <f t="shared" si="184"/>
        <v>528.53190000000006</v>
      </c>
      <c r="EX19" s="69">
        <f t="shared" si="75"/>
        <v>20.67</v>
      </c>
      <c r="EY19" s="69">
        <f t="shared" si="76"/>
        <v>23.517416852369028</v>
      </c>
      <c r="EZ19" s="69">
        <f t="shared" si="185"/>
        <v>486.10500633846783</v>
      </c>
      <c r="FB19" s="69">
        <f t="shared" si="77"/>
        <v>25.63</v>
      </c>
      <c r="FC19" s="69">
        <f t="shared" si="78"/>
        <v>22.47</v>
      </c>
      <c r="FD19" s="69">
        <f t="shared" si="186"/>
        <v>575.90609999999992</v>
      </c>
      <c r="FE19" s="69">
        <f t="shared" si="79"/>
        <v>25.63</v>
      </c>
      <c r="FF19" s="69">
        <f t="shared" si="80"/>
        <v>21.39</v>
      </c>
      <c r="FG19" s="69">
        <f t="shared" si="187"/>
        <v>548.22569999999996</v>
      </c>
      <c r="FH19" s="69">
        <f t="shared" si="81"/>
        <v>25.63</v>
      </c>
      <c r="FI19" s="69">
        <f t="shared" si="82"/>
        <v>29.06</v>
      </c>
      <c r="FJ19" s="69">
        <f t="shared" si="188"/>
        <v>744.80779999999993</v>
      </c>
      <c r="FK19" s="69">
        <f t="shared" si="83"/>
        <v>25.63</v>
      </c>
      <c r="FL19" s="69">
        <f t="shared" si="84"/>
        <v>20.53</v>
      </c>
      <c r="FM19" s="69">
        <f t="shared" si="189"/>
        <v>526.18389999999999</v>
      </c>
      <c r="FN19" s="69">
        <f t="shared" si="85"/>
        <v>25.63</v>
      </c>
      <c r="FO19" s="69">
        <f t="shared" si="86"/>
        <v>25.57</v>
      </c>
      <c r="FP19" s="69">
        <f t="shared" si="190"/>
        <v>655.35910000000001</v>
      </c>
      <c r="FQ19" s="69">
        <f t="shared" si="87"/>
        <v>25.63</v>
      </c>
      <c r="FR19" s="69">
        <f t="shared" si="88"/>
        <v>23.517416852369028</v>
      </c>
      <c r="FS19" s="69">
        <f t="shared" si="191"/>
        <v>602.75139392621816</v>
      </c>
      <c r="FU19" s="69">
        <f t="shared" si="89"/>
        <v>22.47</v>
      </c>
      <c r="FV19" s="69">
        <f t="shared" si="90"/>
        <v>21.39</v>
      </c>
      <c r="FW19" s="69">
        <f t="shared" si="192"/>
        <v>480.63329999999996</v>
      </c>
      <c r="FX19" s="69">
        <f t="shared" si="91"/>
        <v>22.47</v>
      </c>
      <c r="FY19" s="69">
        <f t="shared" si="92"/>
        <v>29.06</v>
      </c>
      <c r="FZ19" s="69">
        <f t="shared" si="193"/>
        <v>652.9781999999999</v>
      </c>
      <c r="GA19" s="69">
        <f t="shared" si="93"/>
        <v>22.47</v>
      </c>
      <c r="GB19" s="69">
        <f t="shared" si="94"/>
        <v>20.53</v>
      </c>
      <c r="GC19" s="69">
        <f t="shared" si="194"/>
        <v>461.3091</v>
      </c>
      <c r="GD19" s="69">
        <f t="shared" si="95"/>
        <v>22.47</v>
      </c>
      <c r="GE19" s="69">
        <f t="shared" si="96"/>
        <v>25.57</v>
      </c>
      <c r="GF19" s="69">
        <f t="shared" si="195"/>
        <v>574.55790000000002</v>
      </c>
      <c r="GG19" s="69">
        <f t="shared" si="97"/>
        <v>22.47</v>
      </c>
      <c r="GH19" s="69">
        <f t="shared" si="98"/>
        <v>23.517416852369028</v>
      </c>
      <c r="GI19" s="69">
        <f t="shared" si="196"/>
        <v>528.43635667273202</v>
      </c>
      <c r="GK19" s="69">
        <f t="shared" si="99"/>
        <v>21.39</v>
      </c>
      <c r="GL19" s="69">
        <f t="shared" si="100"/>
        <v>29.06</v>
      </c>
      <c r="GM19" s="69">
        <f t="shared" si="197"/>
        <v>621.59339999999997</v>
      </c>
      <c r="GN19" s="69">
        <f t="shared" si="101"/>
        <v>21.39</v>
      </c>
      <c r="GO19" s="69">
        <f t="shared" si="102"/>
        <v>20.53</v>
      </c>
      <c r="GP19" s="69">
        <f t="shared" si="198"/>
        <v>439.13670000000002</v>
      </c>
      <c r="GQ19" s="69">
        <f t="shared" si="103"/>
        <v>21.39</v>
      </c>
      <c r="GR19" s="69">
        <f t="shared" si="104"/>
        <v>25.57</v>
      </c>
      <c r="GS19" s="69">
        <f t="shared" si="199"/>
        <v>546.94230000000005</v>
      </c>
      <c r="GT19" s="69">
        <f t="shared" si="105"/>
        <v>21.39</v>
      </c>
      <c r="GU19" s="69">
        <f t="shared" si="106"/>
        <v>23.517416852369028</v>
      </c>
      <c r="GV19" s="69">
        <f t="shared" si="200"/>
        <v>503.03754647217352</v>
      </c>
      <c r="GX19" s="69">
        <f t="shared" si="201"/>
        <v>29.06</v>
      </c>
      <c r="GY19" s="69">
        <f t="shared" si="202"/>
        <v>20.53</v>
      </c>
      <c r="GZ19" s="69">
        <f t="shared" si="203"/>
        <v>596.60180000000003</v>
      </c>
      <c r="HA19" s="69">
        <f t="shared" si="204"/>
        <v>29.06</v>
      </c>
      <c r="HB19" s="69">
        <f t="shared" si="205"/>
        <v>25.57</v>
      </c>
      <c r="HC19" s="69">
        <f t="shared" si="206"/>
        <v>743.06420000000003</v>
      </c>
      <c r="HD19" s="69">
        <f t="shared" si="207"/>
        <v>29.06</v>
      </c>
      <c r="HE19" s="69">
        <f t="shared" si="208"/>
        <v>23.517416852369028</v>
      </c>
      <c r="HF19" s="69">
        <f t="shared" si="209"/>
        <v>683.41613372984386</v>
      </c>
      <c r="HH19" s="69">
        <f t="shared" si="210"/>
        <v>20.53</v>
      </c>
      <c r="HI19" s="69">
        <f t="shared" si="211"/>
        <v>25.57</v>
      </c>
      <c r="HJ19" s="69">
        <f t="shared" si="212"/>
        <v>524.95210000000009</v>
      </c>
      <c r="HK19" s="69">
        <f t="shared" si="213"/>
        <v>20.53</v>
      </c>
      <c r="HL19" s="69">
        <f t="shared" si="214"/>
        <v>23.517416852369028</v>
      </c>
      <c r="HM19" s="69">
        <f t="shared" si="215"/>
        <v>482.81256797913619</v>
      </c>
      <c r="HO19" s="69">
        <f t="shared" si="216"/>
        <v>25.57</v>
      </c>
      <c r="HP19" s="69">
        <f t="shared" si="217"/>
        <v>23.517416852369028</v>
      </c>
      <c r="HQ19" s="69">
        <f t="shared" si="218"/>
        <v>601.34034891507599</v>
      </c>
      <c r="HS19" s="69">
        <f t="shared" si="107"/>
        <v>23.517416852369028</v>
      </c>
      <c r="HT19" s="69">
        <f t="shared" si="108"/>
        <v>20.59</v>
      </c>
      <c r="HU19" s="69">
        <f t="shared" si="219"/>
        <v>484.2236129902783</v>
      </c>
      <c r="HV19" s="69">
        <f t="shared" si="109"/>
        <v>23.517416852369028</v>
      </c>
      <c r="HW19" s="69">
        <f t="shared" si="110"/>
        <v>26.42</v>
      </c>
      <c r="HX19" s="69">
        <f t="shared" si="220"/>
        <v>621.33015323958978</v>
      </c>
      <c r="HY19" s="69">
        <f t="shared" si="111"/>
        <v>23.517416852369028</v>
      </c>
      <c r="HZ19" s="69">
        <f t="shared" si="112"/>
        <v>24.49</v>
      </c>
      <c r="IA19" s="69">
        <f t="shared" si="221"/>
        <v>575.94153871451749</v>
      </c>
      <c r="IB19" s="69">
        <f t="shared" si="113"/>
        <v>23.517416852369028</v>
      </c>
      <c r="IC19" s="69">
        <f t="shared" si="114"/>
        <v>20.67</v>
      </c>
      <c r="ID19" s="69">
        <f t="shared" si="222"/>
        <v>486.10500633846783</v>
      </c>
      <c r="IE19" s="69">
        <f t="shared" si="115"/>
        <v>23.517416852369028</v>
      </c>
      <c r="IF19" s="69">
        <f t="shared" si="116"/>
        <v>25.63</v>
      </c>
      <c r="IG19" s="69">
        <f t="shared" si="223"/>
        <v>602.75139392621816</v>
      </c>
      <c r="IH19" s="69">
        <f t="shared" si="117"/>
        <v>23.517416852369028</v>
      </c>
      <c r="II19" s="69">
        <f t="shared" si="118"/>
        <v>22.47</v>
      </c>
      <c r="IJ19" s="69">
        <f t="shared" si="224"/>
        <v>528.43635667273202</v>
      </c>
      <c r="IK19" s="69">
        <f t="shared" si="119"/>
        <v>23.517416852369028</v>
      </c>
      <c r="IL19" s="69">
        <f t="shared" si="120"/>
        <v>21.39</v>
      </c>
      <c r="IM19" s="69">
        <f t="shared" si="225"/>
        <v>503.03754647217352</v>
      </c>
      <c r="IN19" s="69">
        <f t="shared" si="226"/>
        <v>23.517416852369028</v>
      </c>
      <c r="IO19" s="69">
        <f t="shared" si="227"/>
        <v>29.06</v>
      </c>
      <c r="IP19" s="69">
        <f t="shared" si="228"/>
        <v>683.41613372984386</v>
      </c>
      <c r="IQ19" s="69">
        <f t="shared" si="229"/>
        <v>23.517416852369028</v>
      </c>
      <c r="IR19" s="69">
        <f t="shared" si="230"/>
        <v>20.53</v>
      </c>
      <c r="IS19" s="69">
        <f t="shared" si="231"/>
        <v>482.81256797913619</v>
      </c>
      <c r="IT19" s="69">
        <f t="shared" si="232"/>
        <v>23.517416852369028</v>
      </c>
      <c r="IU19" s="69">
        <f t="shared" si="233"/>
        <v>25.57</v>
      </c>
      <c r="IV19" s="69">
        <f t="shared" si="234"/>
        <v>601.34034891507599</v>
      </c>
    </row>
    <row r="20" spans="1:256" ht="15" x14ac:dyDescent="0.25">
      <c r="A20" s="57" t="s">
        <v>23</v>
      </c>
      <c r="B20" s="295">
        <v>17.309999999999999</v>
      </c>
      <c r="C20" s="295">
        <v>21.21</v>
      </c>
      <c r="D20" s="295">
        <v>25.14</v>
      </c>
      <c r="E20" s="295">
        <v>16.96</v>
      </c>
      <c r="F20" s="295">
        <v>20.78</v>
      </c>
      <c r="G20" s="295">
        <v>19.260000000000002</v>
      </c>
      <c r="H20" s="295">
        <v>18.98</v>
      </c>
      <c r="I20" s="296">
        <v>23.74</v>
      </c>
      <c r="J20" s="295">
        <v>15.83</v>
      </c>
      <c r="K20" s="295">
        <v>22.06</v>
      </c>
      <c r="L20" s="68">
        <f t="shared" si="0"/>
        <v>10</v>
      </c>
      <c r="M20" s="69">
        <f t="shared" si="1"/>
        <v>19.924131660822795</v>
      </c>
      <c r="N20" s="69" t="str">
        <f t="shared" si="121"/>
        <v>±0,64</v>
      </c>
      <c r="O20" s="69" t="str">
        <f t="shared" si="122"/>
        <v>±2,89</v>
      </c>
      <c r="P20" s="69" t="str">
        <f t="shared" si="235"/>
        <v>±0,16</v>
      </c>
      <c r="Q20" s="70">
        <f t="shared" si="2"/>
        <v>17.309999999999999</v>
      </c>
      <c r="R20" s="71">
        <f t="shared" si="124"/>
        <v>-1.6586252431759014</v>
      </c>
      <c r="S20" s="71">
        <f t="shared" si="125"/>
        <v>-8.7440456117008463</v>
      </c>
      <c r="T20" s="70">
        <f t="shared" si="3"/>
        <v>21.21</v>
      </c>
      <c r="U20" s="71">
        <f t="shared" si="126"/>
        <v>-2.751222172932998</v>
      </c>
      <c r="V20" s="71">
        <f t="shared" si="127"/>
        <v>-11.481977643197283</v>
      </c>
      <c r="W20" s="70">
        <f t="shared" si="4"/>
        <v>25.14</v>
      </c>
      <c r="X20" s="71">
        <f t="shared" si="128"/>
        <v>-0.54826128377806427</v>
      </c>
      <c r="Y20" s="71">
        <f t="shared" si="129"/>
        <v>-2.1342872439727434</v>
      </c>
      <c r="Z20" s="70">
        <f t="shared" si="5"/>
        <v>16.96</v>
      </c>
      <c r="AA20" s="71">
        <f t="shared" si="130"/>
        <v>-1.7318518528397959</v>
      </c>
      <c r="AB20" s="71">
        <f t="shared" si="131"/>
        <v>-9.2652770120082106</v>
      </c>
      <c r="AC20" s="70">
        <f t="shared" si="6"/>
        <v>20.78</v>
      </c>
      <c r="AD20" s="71">
        <f t="shared" si="132"/>
        <v>-1.7731211528410782</v>
      </c>
      <c r="AE20" s="71">
        <f t="shared" si="133"/>
        <v>-7.8619768005711794</v>
      </c>
      <c r="AF20" s="70">
        <f t="shared" si="7"/>
        <v>19.260000000000002</v>
      </c>
      <c r="AG20" s="71">
        <f t="shared" si="134"/>
        <v>-1.3426932571800272</v>
      </c>
      <c r="AH20" s="71">
        <f t="shared" si="135"/>
        <v>-6.517076386176357</v>
      </c>
      <c r="AI20" s="70">
        <f t="shared" si="8"/>
        <v>18.98</v>
      </c>
      <c r="AJ20" s="71">
        <f t="shared" si="136"/>
        <v>-0.75705386555163656</v>
      </c>
      <c r="AK20" s="71">
        <f t="shared" si="137"/>
        <v>-3.8356984315322307</v>
      </c>
      <c r="AL20" s="70">
        <f t="shared" si="138"/>
        <v>23.74</v>
      </c>
      <c r="AM20" s="71">
        <f t="shared" si="139"/>
        <v>-2.0996407621653219</v>
      </c>
      <c r="AN20" s="71">
        <f t="shared" si="140"/>
        <v>-8.1256577113085875</v>
      </c>
      <c r="AO20" s="70">
        <f t="shared" si="141"/>
        <v>15.83</v>
      </c>
      <c r="AP20" s="71">
        <f t="shared" si="142"/>
        <v>-1.9071021425944803</v>
      </c>
      <c r="AQ20" s="71">
        <f t="shared" si="143"/>
        <v>-10.75205029131957</v>
      </c>
      <c r="AR20" s="70">
        <f t="shared" si="144"/>
        <v>22.06</v>
      </c>
      <c r="AS20" s="71">
        <f t="shared" si="145"/>
        <v>-2.0193605357281292</v>
      </c>
      <c r="AT20" s="71">
        <f t="shared" si="146"/>
        <v>-8.3862714407713206</v>
      </c>
      <c r="AU20" s="69">
        <f t="shared" si="147"/>
        <v>19.924131660822795</v>
      </c>
      <c r="AV20" s="131" t="str">
        <f t="shared" si="148"/>
        <v>±0,64</v>
      </c>
      <c r="AW20" s="69" t="str">
        <f t="shared" si="236"/>
        <v>±2,89</v>
      </c>
      <c r="AX20" s="132">
        <f t="shared" si="150"/>
        <v>0.64</v>
      </c>
      <c r="AY20" s="132">
        <f t="shared" si="151"/>
        <v>2.89</v>
      </c>
      <c r="AZ20" s="69">
        <f t="shared" si="9"/>
        <v>17.309999999999999</v>
      </c>
      <c r="BA20" s="69">
        <f t="shared" si="10"/>
        <v>21.21</v>
      </c>
      <c r="BB20" s="69">
        <f t="shared" si="152"/>
        <v>367.14510000000001</v>
      </c>
      <c r="BC20" s="69">
        <f t="shared" si="11"/>
        <v>17.309999999999999</v>
      </c>
      <c r="BD20" s="69">
        <f t="shared" si="12"/>
        <v>25.14</v>
      </c>
      <c r="BE20" s="69">
        <f t="shared" si="153"/>
        <v>435.17339999999996</v>
      </c>
      <c r="BF20" s="69">
        <f t="shared" si="13"/>
        <v>17.309999999999999</v>
      </c>
      <c r="BG20" s="69">
        <f t="shared" si="14"/>
        <v>16.96</v>
      </c>
      <c r="BH20" s="69">
        <f t="shared" si="154"/>
        <v>293.57760000000002</v>
      </c>
      <c r="BI20" s="69">
        <f t="shared" si="15"/>
        <v>17.309999999999999</v>
      </c>
      <c r="BJ20" s="69">
        <f t="shared" si="16"/>
        <v>20.78</v>
      </c>
      <c r="BK20" s="69">
        <f t="shared" si="155"/>
        <v>359.70179999999999</v>
      </c>
      <c r="BL20" s="69">
        <f t="shared" si="17"/>
        <v>17.309999999999999</v>
      </c>
      <c r="BM20" s="69">
        <f t="shared" si="18"/>
        <v>19.260000000000002</v>
      </c>
      <c r="BN20" s="69">
        <f t="shared" si="156"/>
        <v>333.39060000000001</v>
      </c>
      <c r="BO20" s="69">
        <f t="shared" si="19"/>
        <v>17.309999999999999</v>
      </c>
      <c r="BP20" s="69">
        <f t="shared" si="20"/>
        <v>18.98</v>
      </c>
      <c r="BQ20" s="69">
        <f t="shared" si="157"/>
        <v>328.54379999999998</v>
      </c>
      <c r="BR20" s="69">
        <f t="shared" si="21"/>
        <v>17.309999999999999</v>
      </c>
      <c r="BS20" s="69">
        <f t="shared" si="22"/>
        <v>23.74</v>
      </c>
      <c r="BT20" s="69">
        <f t="shared" si="158"/>
        <v>410.93939999999992</v>
      </c>
      <c r="BU20" s="69">
        <f t="shared" si="23"/>
        <v>17.309999999999999</v>
      </c>
      <c r="BV20" s="69">
        <f t="shared" si="24"/>
        <v>15.83</v>
      </c>
      <c r="BW20" s="69">
        <f t="shared" si="159"/>
        <v>274.01729999999998</v>
      </c>
      <c r="BX20" s="69">
        <f t="shared" si="25"/>
        <v>17.309999999999999</v>
      </c>
      <c r="BY20" s="69">
        <f t="shared" si="26"/>
        <v>22.06</v>
      </c>
      <c r="BZ20" s="69">
        <f t="shared" si="160"/>
        <v>381.85859999999997</v>
      </c>
      <c r="CA20" s="69">
        <f t="shared" si="27"/>
        <v>17.309999999999999</v>
      </c>
      <c r="CB20" s="69">
        <f t="shared" si="28"/>
        <v>19.924131660822795</v>
      </c>
      <c r="CC20" s="69">
        <f t="shared" si="161"/>
        <v>344.88671904884256</v>
      </c>
      <c r="CE20" s="69">
        <f t="shared" si="29"/>
        <v>21.21</v>
      </c>
      <c r="CF20" s="69">
        <f t="shared" si="30"/>
        <v>25.14</v>
      </c>
      <c r="CG20" s="69">
        <f t="shared" si="162"/>
        <v>533.21940000000006</v>
      </c>
      <c r="CH20" s="69">
        <f t="shared" si="31"/>
        <v>21.21</v>
      </c>
      <c r="CI20" s="69">
        <f t="shared" si="32"/>
        <v>16.96</v>
      </c>
      <c r="CJ20" s="69">
        <f t="shared" si="163"/>
        <v>359.72160000000002</v>
      </c>
      <c r="CK20" s="69">
        <f t="shared" si="33"/>
        <v>21.21</v>
      </c>
      <c r="CL20" s="69">
        <f t="shared" si="34"/>
        <v>20.78</v>
      </c>
      <c r="CM20" s="69">
        <f t="shared" si="164"/>
        <v>440.74380000000002</v>
      </c>
      <c r="CN20" s="69">
        <f t="shared" si="35"/>
        <v>21.21</v>
      </c>
      <c r="CO20" s="69">
        <f t="shared" si="36"/>
        <v>19.260000000000002</v>
      </c>
      <c r="CP20" s="69">
        <f t="shared" si="165"/>
        <v>408.50460000000004</v>
      </c>
      <c r="CQ20" s="69">
        <f t="shared" si="37"/>
        <v>21.21</v>
      </c>
      <c r="CR20" s="69">
        <f t="shared" si="38"/>
        <v>18.98</v>
      </c>
      <c r="CS20" s="69">
        <f t="shared" si="166"/>
        <v>402.56580000000002</v>
      </c>
      <c r="CT20" s="69">
        <f t="shared" si="39"/>
        <v>21.21</v>
      </c>
      <c r="CU20" s="69">
        <f t="shared" si="40"/>
        <v>23.74</v>
      </c>
      <c r="CV20" s="69">
        <f t="shared" si="167"/>
        <v>503.52539999999999</v>
      </c>
      <c r="CW20" s="69">
        <f t="shared" si="41"/>
        <v>21.21</v>
      </c>
      <c r="CX20" s="69">
        <f t="shared" si="42"/>
        <v>15.83</v>
      </c>
      <c r="CY20" s="69">
        <f t="shared" si="168"/>
        <v>335.7543</v>
      </c>
      <c r="CZ20" s="69">
        <f t="shared" si="43"/>
        <v>21.21</v>
      </c>
      <c r="DA20" s="69">
        <f t="shared" si="44"/>
        <v>22.06</v>
      </c>
      <c r="DB20" s="69">
        <f t="shared" si="169"/>
        <v>467.89260000000002</v>
      </c>
      <c r="DC20" s="69">
        <f t="shared" si="45"/>
        <v>21.21</v>
      </c>
      <c r="DD20" s="69">
        <f t="shared" si="46"/>
        <v>19.924131660822795</v>
      </c>
      <c r="DE20" s="69">
        <f t="shared" si="170"/>
        <v>422.59083252605149</v>
      </c>
      <c r="DG20" s="69">
        <f t="shared" si="47"/>
        <v>25.14</v>
      </c>
      <c r="DH20" s="69">
        <f t="shared" si="48"/>
        <v>16.96</v>
      </c>
      <c r="DI20" s="69">
        <f t="shared" si="171"/>
        <v>426.37440000000004</v>
      </c>
      <c r="DJ20" s="69">
        <f t="shared" si="49"/>
        <v>25.14</v>
      </c>
      <c r="DK20" s="69">
        <f t="shared" si="50"/>
        <v>20.78</v>
      </c>
      <c r="DL20" s="69">
        <f t="shared" si="172"/>
        <v>522.40920000000006</v>
      </c>
      <c r="DM20" s="69">
        <f t="shared" si="51"/>
        <v>25.14</v>
      </c>
      <c r="DN20" s="69">
        <f t="shared" si="52"/>
        <v>19.260000000000002</v>
      </c>
      <c r="DO20" s="69">
        <f t="shared" si="173"/>
        <v>484.19640000000004</v>
      </c>
      <c r="DP20" s="69">
        <f t="shared" si="53"/>
        <v>25.14</v>
      </c>
      <c r="DQ20" s="69">
        <f t="shared" si="54"/>
        <v>18.98</v>
      </c>
      <c r="DR20" s="69">
        <f t="shared" si="174"/>
        <v>477.15720000000005</v>
      </c>
      <c r="DS20" s="69">
        <f t="shared" si="55"/>
        <v>25.14</v>
      </c>
      <c r="DT20" s="69">
        <f t="shared" si="56"/>
        <v>23.74</v>
      </c>
      <c r="DU20" s="69">
        <f t="shared" si="175"/>
        <v>596.82359999999994</v>
      </c>
      <c r="DV20" s="69">
        <f t="shared" si="57"/>
        <v>25.14</v>
      </c>
      <c r="DW20" s="69">
        <f t="shared" si="58"/>
        <v>15.83</v>
      </c>
      <c r="DX20" s="69">
        <f t="shared" si="176"/>
        <v>397.96620000000001</v>
      </c>
      <c r="DY20" s="69">
        <f t="shared" si="59"/>
        <v>25.14</v>
      </c>
      <c r="DZ20" s="69">
        <f t="shared" si="60"/>
        <v>22.06</v>
      </c>
      <c r="EA20" s="69">
        <f t="shared" si="177"/>
        <v>554.58839999999998</v>
      </c>
      <c r="EB20" s="69">
        <f t="shared" si="61"/>
        <v>25.14</v>
      </c>
      <c r="EC20" s="69">
        <f t="shared" si="62"/>
        <v>19.924131660822795</v>
      </c>
      <c r="ED20" s="69">
        <f t="shared" si="178"/>
        <v>500.89266995308509</v>
      </c>
      <c r="EF20" s="69">
        <f t="shared" si="63"/>
        <v>16.96</v>
      </c>
      <c r="EG20" s="69">
        <f t="shared" si="64"/>
        <v>20.78</v>
      </c>
      <c r="EH20" s="69">
        <f t="shared" si="179"/>
        <v>352.42880000000002</v>
      </c>
      <c r="EI20" s="69">
        <f t="shared" si="65"/>
        <v>16.96</v>
      </c>
      <c r="EJ20" s="69">
        <f t="shared" si="66"/>
        <v>19.260000000000002</v>
      </c>
      <c r="EK20" s="69">
        <f t="shared" si="180"/>
        <v>326.64960000000002</v>
      </c>
      <c r="EL20" s="69">
        <f t="shared" si="67"/>
        <v>16.96</v>
      </c>
      <c r="EM20" s="69">
        <f t="shared" si="68"/>
        <v>18.98</v>
      </c>
      <c r="EN20" s="69">
        <f t="shared" si="181"/>
        <v>321.9008</v>
      </c>
      <c r="EO20" s="69">
        <f t="shared" si="69"/>
        <v>16.96</v>
      </c>
      <c r="EP20" s="69">
        <f t="shared" si="70"/>
        <v>23.74</v>
      </c>
      <c r="EQ20" s="69">
        <f t="shared" si="182"/>
        <v>402.63040000000001</v>
      </c>
      <c r="ER20" s="69">
        <f t="shared" si="71"/>
        <v>16.96</v>
      </c>
      <c r="ES20" s="69">
        <f t="shared" si="72"/>
        <v>15.83</v>
      </c>
      <c r="ET20" s="69">
        <f t="shared" si="183"/>
        <v>268.47680000000003</v>
      </c>
      <c r="EU20" s="69">
        <f t="shared" si="73"/>
        <v>16.96</v>
      </c>
      <c r="EV20" s="69">
        <f t="shared" si="74"/>
        <v>22.06</v>
      </c>
      <c r="EW20" s="69">
        <f t="shared" si="184"/>
        <v>374.13760000000002</v>
      </c>
      <c r="EX20" s="69">
        <f t="shared" si="75"/>
        <v>16.96</v>
      </c>
      <c r="EY20" s="69">
        <f t="shared" si="76"/>
        <v>19.924131660822795</v>
      </c>
      <c r="EZ20" s="69">
        <f t="shared" si="185"/>
        <v>337.91327296755463</v>
      </c>
      <c r="FB20" s="69">
        <f t="shared" si="77"/>
        <v>20.78</v>
      </c>
      <c r="FC20" s="69">
        <f t="shared" si="78"/>
        <v>19.260000000000002</v>
      </c>
      <c r="FD20" s="69">
        <f t="shared" si="186"/>
        <v>400.22280000000006</v>
      </c>
      <c r="FE20" s="69">
        <f t="shared" si="79"/>
        <v>20.78</v>
      </c>
      <c r="FF20" s="69">
        <f t="shared" si="80"/>
        <v>18.98</v>
      </c>
      <c r="FG20" s="69">
        <f t="shared" si="187"/>
        <v>394.40440000000001</v>
      </c>
      <c r="FH20" s="69">
        <f t="shared" si="81"/>
        <v>20.78</v>
      </c>
      <c r="FI20" s="69">
        <f t="shared" si="82"/>
        <v>23.74</v>
      </c>
      <c r="FJ20" s="69">
        <f t="shared" si="188"/>
        <v>493.31720000000001</v>
      </c>
      <c r="FK20" s="69">
        <f t="shared" si="83"/>
        <v>20.78</v>
      </c>
      <c r="FL20" s="69">
        <f t="shared" si="84"/>
        <v>15.83</v>
      </c>
      <c r="FM20" s="69">
        <f t="shared" si="189"/>
        <v>328.94740000000002</v>
      </c>
      <c r="FN20" s="69">
        <f t="shared" si="85"/>
        <v>20.78</v>
      </c>
      <c r="FO20" s="69">
        <f t="shared" si="86"/>
        <v>22.06</v>
      </c>
      <c r="FP20" s="69">
        <f t="shared" si="190"/>
        <v>458.40679999999998</v>
      </c>
      <c r="FQ20" s="69">
        <f t="shared" si="87"/>
        <v>20.78</v>
      </c>
      <c r="FR20" s="69">
        <f t="shared" si="88"/>
        <v>19.924131660822795</v>
      </c>
      <c r="FS20" s="69">
        <f t="shared" si="191"/>
        <v>414.02345591189771</v>
      </c>
      <c r="FU20" s="69">
        <f t="shared" si="89"/>
        <v>19.260000000000002</v>
      </c>
      <c r="FV20" s="69">
        <f t="shared" si="90"/>
        <v>18.98</v>
      </c>
      <c r="FW20" s="69">
        <f t="shared" si="192"/>
        <v>365.55480000000006</v>
      </c>
      <c r="FX20" s="69">
        <f t="shared" si="91"/>
        <v>19.260000000000002</v>
      </c>
      <c r="FY20" s="69">
        <f t="shared" si="92"/>
        <v>23.74</v>
      </c>
      <c r="FZ20" s="69">
        <f t="shared" si="193"/>
        <v>457.23239999999998</v>
      </c>
      <c r="GA20" s="69">
        <f t="shared" si="93"/>
        <v>19.260000000000002</v>
      </c>
      <c r="GB20" s="69">
        <f t="shared" si="94"/>
        <v>15.83</v>
      </c>
      <c r="GC20" s="69">
        <f t="shared" si="194"/>
        <v>304.88580000000002</v>
      </c>
      <c r="GD20" s="69">
        <f t="shared" si="95"/>
        <v>19.260000000000002</v>
      </c>
      <c r="GE20" s="69">
        <f t="shared" si="96"/>
        <v>22.06</v>
      </c>
      <c r="GF20" s="69">
        <f t="shared" si="195"/>
        <v>424.87560000000002</v>
      </c>
      <c r="GG20" s="69">
        <f t="shared" si="97"/>
        <v>19.260000000000002</v>
      </c>
      <c r="GH20" s="69">
        <f t="shared" si="98"/>
        <v>19.924131660822795</v>
      </c>
      <c r="GI20" s="69">
        <f t="shared" si="196"/>
        <v>383.73877578744708</v>
      </c>
      <c r="GK20" s="69">
        <f t="shared" si="99"/>
        <v>18.98</v>
      </c>
      <c r="GL20" s="69">
        <f t="shared" si="100"/>
        <v>23.74</v>
      </c>
      <c r="GM20" s="69">
        <f t="shared" si="197"/>
        <v>450.58519999999999</v>
      </c>
      <c r="GN20" s="69">
        <f t="shared" si="101"/>
        <v>18.98</v>
      </c>
      <c r="GO20" s="69">
        <f t="shared" si="102"/>
        <v>15.83</v>
      </c>
      <c r="GP20" s="69">
        <f t="shared" si="198"/>
        <v>300.45339999999999</v>
      </c>
      <c r="GQ20" s="69">
        <f t="shared" si="103"/>
        <v>18.98</v>
      </c>
      <c r="GR20" s="69">
        <f t="shared" si="104"/>
        <v>22.06</v>
      </c>
      <c r="GS20" s="69">
        <f t="shared" si="199"/>
        <v>418.69880000000001</v>
      </c>
      <c r="GT20" s="69">
        <f t="shared" si="105"/>
        <v>18.98</v>
      </c>
      <c r="GU20" s="69">
        <f t="shared" si="106"/>
        <v>19.924131660822795</v>
      </c>
      <c r="GV20" s="69">
        <f t="shared" si="200"/>
        <v>378.16001892241667</v>
      </c>
      <c r="GX20" s="69">
        <f t="shared" si="201"/>
        <v>23.74</v>
      </c>
      <c r="GY20" s="69">
        <f t="shared" si="202"/>
        <v>15.83</v>
      </c>
      <c r="GZ20" s="69">
        <f t="shared" si="203"/>
        <v>375.80419999999998</v>
      </c>
      <c r="HA20" s="69">
        <f t="shared" si="204"/>
        <v>23.74</v>
      </c>
      <c r="HB20" s="69">
        <f t="shared" si="205"/>
        <v>22.06</v>
      </c>
      <c r="HC20" s="69">
        <f t="shared" si="206"/>
        <v>523.70439999999996</v>
      </c>
      <c r="HD20" s="69">
        <f t="shared" si="207"/>
        <v>23.74</v>
      </c>
      <c r="HE20" s="69">
        <f t="shared" si="208"/>
        <v>19.924131660822795</v>
      </c>
      <c r="HF20" s="69">
        <f t="shared" si="209"/>
        <v>472.99888562793313</v>
      </c>
      <c r="HH20" s="69">
        <f t="shared" si="210"/>
        <v>15.83</v>
      </c>
      <c r="HI20" s="69">
        <f t="shared" si="211"/>
        <v>22.06</v>
      </c>
      <c r="HJ20" s="69">
        <f t="shared" si="212"/>
        <v>349.20979999999997</v>
      </c>
      <c r="HK20" s="69">
        <f t="shared" si="213"/>
        <v>15.83</v>
      </c>
      <c r="HL20" s="69">
        <f t="shared" si="214"/>
        <v>19.924131660822795</v>
      </c>
      <c r="HM20" s="69">
        <f t="shared" si="215"/>
        <v>315.39900419082483</v>
      </c>
      <c r="HO20" s="69">
        <f t="shared" si="216"/>
        <v>22.06</v>
      </c>
      <c r="HP20" s="69">
        <f t="shared" si="217"/>
        <v>19.924131660822795</v>
      </c>
      <c r="HQ20" s="69">
        <f t="shared" si="218"/>
        <v>439.52634443775082</v>
      </c>
      <c r="HS20" s="69">
        <f t="shared" si="107"/>
        <v>19.924131660822795</v>
      </c>
      <c r="HT20" s="69">
        <f t="shared" si="108"/>
        <v>17.309999999999999</v>
      </c>
      <c r="HU20" s="69">
        <f t="shared" si="219"/>
        <v>344.88671904884256</v>
      </c>
      <c r="HV20" s="69">
        <f t="shared" si="109"/>
        <v>19.924131660822795</v>
      </c>
      <c r="HW20" s="69">
        <f t="shared" si="110"/>
        <v>21.21</v>
      </c>
      <c r="HX20" s="69">
        <f t="shared" si="220"/>
        <v>422.59083252605149</v>
      </c>
      <c r="HY20" s="69">
        <f t="shared" si="111"/>
        <v>19.924131660822795</v>
      </c>
      <c r="HZ20" s="69">
        <f t="shared" si="112"/>
        <v>25.14</v>
      </c>
      <c r="IA20" s="69">
        <f t="shared" si="221"/>
        <v>500.89266995308509</v>
      </c>
      <c r="IB20" s="69">
        <f t="shared" si="113"/>
        <v>19.924131660822795</v>
      </c>
      <c r="IC20" s="69">
        <f t="shared" si="114"/>
        <v>16.96</v>
      </c>
      <c r="ID20" s="69">
        <f t="shared" si="222"/>
        <v>337.91327296755463</v>
      </c>
      <c r="IE20" s="69">
        <f t="shared" si="115"/>
        <v>19.924131660822795</v>
      </c>
      <c r="IF20" s="69">
        <f t="shared" si="116"/>
        <v>20.78</v>
      </c>
      <c r="IG20" s="69">
        <f t="shared" si="223"/>
        <v>414.02345591189771</v>
      </c>
      <c r="IH20" s="69">
        <f t="shared" si="117"/>
        <v>19.924131660822795</v>
      </c>
      <c r="II20" s="69">
        <f t="shared" si="118"/>
        <v>19.260000000000002</v>
      </c>
      <c r="IJ20" s="69">
        <f t="shared" si="224"/>
        <v>383.73877578744708</v>
      </c>
      <c r="IK20" s="69">
        <f t="shared" si="119"/>
        <v>19.924131660822795</v>
      </c>
      <c r="IL20" s="69">
        <f t="shared" si="120"/>
        <v>18.98</v>
      </c>
      <c r="IM20" s="69">
        <f t="shared" si="225"/>
        <v>378.16001892241667</v>
      </c>
      <c r="IN20" s="69">
        <f t="shared" si="226"/>
        <v>19.924131660822795</v>
      </c>
      <c r="IO20" s="69">
        <f t="shared" si="227"/>
        <v>23.74</v>
      </c>
      <c r="IP20" s="69">
        <f t="shared" si="228"/>
        <v>472.99888562793313</v>
      </c>
      <c r="IQ20" s="69">
        <f t="shared" si="229"/>
        <v>19.924131660822795</v>
      </c>
      <c r="IR20" s="69">
        <f t="shared" si="230"/>
        <v>15.83</v>
      </c>
      <c r="IS20" s="69">
        <f t="shared" si="231"/>
        <v>315.39900419082483</v>
      </c>
      <c r="IT20" s="69">
        <f t="shared" si="232"/>
        <v>19.924131660822795</v>
      </c>
      <c r="IU20" s="69">
        <f t="shared" si="233"/>
        <v>22.06</v>
      </c>
      <c r="IV20" s="69">
        <f t="shared" si="234"/>
        <v>439.52634443775082</v>
      </c>
    </row>
    <row r="21" spans="1:256" ht="15" x14ac:dyDescent="0.25">
      <c r="A21" s="57" t="s">
        <v>24</v>
      </c>
      <c r="B21" s="295">
        <v>18.8</v>
      </c>
      <c r="C21" s="295">
        <v>22.73</v>
      </c>
      <c r="D21" s="295">
        <v>25.44</v>
      </c>
      <c r="E21" s="295">
        <v>17.82</v>
      </c>
      <c r="F21" s="295">
        <v>23.4</v>
      </c>
      <c r="G21" s="295">
        <v>21.38</v>
      </c>
      <c r="H21" s="295">
        <v>20.04</v>
      </c>
      <c r="I21" s="296">
        <v>26.93</v>
      </c>
      <c r="J21" s="295">
        <v>17.7</v>
      </c>
      <c r="K21" s="295">
        <v>25.44</v>
      </c>
      <c r="L21" s="68">
        <f t="shared" si="0"/>
        <v>10</v>
      </c>
      <c r="M21" s="69">
        <f t="shared" si="1"/>
        <v>21.737170376056429</v>
      </c>
      <c r="N21" s="69" t="str">
        <f t="shared" si="121"/>
        <v>±0,85</v>
      </c>
      <c r="O21" s="69" t="str">
        <f t="shared" si="122"/>
        <v>±3,73</v>
      </c>
      <c r="P21" s="69" t="str">
        <f t="shared" si="235"/>
        <v>±0,66</v>
      </c>
      <c r="Q21" s="70">
        <f t="shared" si="2"/>
        <v>18.8</v>
      </c>
      <c r="R21" s="71">
        <f t="shared" si="124"/>
        <v>-0.16862524317589944</v>
      </c>
      <c r="S21" s="71">
        <f t="shared" si="125"/>
        <v>-0.88896923743361222</v>
      </c>
      <c r="T21" s="70">
        <f t="shared" si="3"/>
        <v>22.73</v>
      </c>
      <c r="U21" s="71">
        <f t="shared" si="126"/>
        <v>-1.2312221729329984</v>
      </c>
      <c r="V21" s="71">
        <f t="shared" si="127"/>
        <v>-5.1383947114509336</v>
      </c>
      <c r="W21" s="70">
        <f t="shared" si="4"/>
        <v>25.44</v>
      </c>
      <c r="X21" s="71">
        <f t="shared" si="128"/>
        <v>-0.24826128377806356</v>
      </c>
      <c r="Y21" s="71">
        <f t="shared" si="129"/>
        <v>-0.96643864306549254</v>
      </c>
      <c r="Z21" s="70">
        <f t="shared" si="5"/>
        <v>17.82</v>
      </c>
      <c r="AA21" s="71">
        <f t="shared" si="130"/>
        <v>-0.87185185283979649</v>
      </c>
      <c r="AB21" s="71">
        <f t="shared" si="131"/>
        <v>-4.6643417661548554</v>
      </c>
      <c r="AC21" s="70">
        <f t="shared" si="6"/>
        <v>23.4</v>
      </c>
      <c r="AD21" s="71">
        <f t="shared" si="132"/>
        <v>0.84687884715891926</v>
      </c>
      <c r="AE21" s="71">
        <f t="shared" si="133"/>
        <v>3.7550405614357185</v>
      </c>
      <c r="AF21" s="70">
        <f t="shared" si="7"/>
        <v>21.38</v>
      </c>
      <c r="AG21" s="71">
        <f t="shared" si="134"/>
        <v>0.77730674281997025</v>
      </c>
      <c r="AH21" s="71">
        <f t="shared" si="135"/>
        <v>3.77284043943662</v>
      </c>
      <c r="AI21" s="70">
        <f t="shared" si="8"/>
        <v>20.04</v>
      </c>
      <c r="AJ21" s="71">
        <f t="shared" si="136"/>
        <v>0.30294613444836216</v>
      </c>
      <c r="AK21" s="71">
        <f t="shared" si="137"/>
        <v>1.5349106128605738</v>
      </c>
      <c r="AL21" s="70">
        <f t="shared" si="138"/>
        <v>26.93</v>
      </c>
      <c r="AM21" s="71">
        <f t="shared" si="139"/>
        <v>1.0903592378346794</v>
      </c>
      <c r="AN21" s="71">
        <f t="shared" si="140"/>
        <v>4.2197151573066582</v>
      </c>
      <c r="AO21" s="70">
        <f t="shared" si="141"/>
        <v>17.7</v>
      </c>
      <c r="AP21" s="71">
        <f t="shared" si="142"/>
        <v>-3.710214259448108E-2</v>
      </c>
      <c r="AQ21" s="71">
        <f t="shared" si="143"/>
        <v>-0.20917815264412942</v>
      </c>
      <c r="AR21" s="70">
        <f t="shared" si="144"/>
        <v>25.44</v>
      </c>
      <c r="AS21" s="71">
        <f t="shared" si="145"/>
        <v>1.3606394642718733</v>
      </c>
      <c r="AT21" s="71">
        <f t="shared" si="146"/>
        <v>5.6506461716580914</v>
      </c>
      <c r="AU21" s="69">
        <f t="shared" si="147"/>
        <v>21.737170376056429</v>
      </c>
      <c r="AV21" s="131" t="str">
        <f t="shared" si="148"/>
        <v>±0,85</v>
      </c>
      <c r="AW21" s="69" t="str">
        <f t="shared" si="236"/>
        <v>±3,73</v>
      </c>
      <c r="AX21" s="132">
        <f t="shared" si="150"/>
        <v>0.85</v>
      </c>
      <c r="AY21" s="132">
        <f t="shared" si="151"/>
        <v>3.73</v>
      </c>
      <c r="AZ21" s="69">
        <f t="shared" si="9"/>
        <v>18.8</v>
      </c>
      <c r="BA21" s="69">
        <f t="shared" si="10"/>
        <v>22.73</v>
      </c>
      <c r="BB21" s="69">
        <f t="shared" si="152"/>
        <v>427.32400000000001</v>
      </c>
      <c r="BC21" s="69">
        <f t="shared" si="11"/>
        <v>18.8</v>
      </c>
      <c r="BD21" s="69">
        <f t="shared" si="12"/>
        <v>25.44</v>
      </c>
      <c r="BE21" s="69">
        <f t="shared" si="153"/>
        <v>478.27200000000005</v>
      </c>
      <c r="BF21" s="69">
        <f t="shared" si="13"/>
        <v>18.8</v>
      </c>
      <c r="BG21" s="69">
        <f t="shared" si="14"/>
        <v>17.82</v>
      </c>
      <c r="BH21" s="69">
        <f t="shared" si="154"/>
        <v>335.01600000000002</v>
      </c>
      <c r="BI21" s="69">
        <f t="shared" si="15"/>
        <v>18.8</v>
      </c>
      <c r="BJ21" s="69">
        <f t="shared" si="16"/>
        <v>23.4</v>
      </c>
      <c r="BK21" s="69">
        <f t="shared" si="155"/>
        <v>439.92</v>
      </c>
      <c r="BL21" s="69">
        <f t="shared" si="17"/>
        <v>18.8</v>
      </c>
      <c r="BM21" s="69">
        <f t="shared" si="18"/>
        <v>21.38</v>
      </c>
      <c r="BN21" s="69">
        <f t="shared" si="156"/>
        <v>401.94400000000002</v>
      </c>
      <c r="BO21" s="69">
        <f t="shared" si="19"/>
        <v>18.8</v>
      </c>
      <c r="BP21" s="69">
        <f t="shared" si="20"/>
        <v>20.04</v>
      </c>
      <c r="BQ21" s="69">
        <f t="shared" si="157"/>
        <v>376.75200000000001</v>
      </c>
      <c r="BR21" s="69">
        <f t="shared" si="21"/>
        <v>18.8</v>
      </c>
      <c r="BS21" s="69">
        <f t="shared" si="22"/>
        <v>26.93</v>
      </c>
      <c r="BT21" s="69">
        <f t="shared" si="158"/>
        <v>506.28399999999999</v>
      </c>
      <c r="BU21" s="69">
        <f t="shared" si="23"/>
        <v>18.8</v>
      </c>
      <c r="BV21" s="69">
        <f t="shared" si="24"/>
        <v>17.7</v>
      </c>
      <c r="BW21" s="69">
        <f t="shared" si="159"/>
        <v>332.76</v>
      </c>
      <c r="BX21" s="69">
        <f t="shared" si="25"/>
        <v>18.8</v>
      </c>
      <c r="BY21" s="69">
        <f t="shared" si="26"/>
        <v>25.44</v>
      </c>
      <c r="BZ21" s="69">
        <f t="shared" si="160"/>
        <v>478.27200000000005</v>
      </c>
      <c r="CA21" s="69">
        <f t="shared" si="27"/>
        <v>18.8</v>
      </c>
      <c r="CB21" s="69">
        <f t="shared" si="28"/>
        <v>21.737170376056429</v>
      </c>
      <c r="CC21" s="69">
        <f t="shared" si="161"/>
        <v>408.65880306986088</v>
      </c>
      <c r="CE21" s="69">
        <f t="shared" si="29"/>
        <v>22.73</v>
      </c>
      <c r="CF21" s="69">
        <f t="shared" si="30"/>
        <v>25.44</v>
      </c>
      <c r="CG21" s="69">
        <f t="shared" si="162"/>
        <v>578.25120000000004</v>
      </c>
      <c r="CH21" s="69">
        <f t="shared" si="31"/>
        <v>22.73</v>
      </c>
      <c r="CI21" s="69">
        <f t="shared" si="32"/>
        <v>17.82</v>
      </c>
      <c r="CJ21" s="69">
        <f t="shared" si="163"/>
        <v>405.04860000000002</v>
      </c>
      <c r="CK21" s="69">
        <f t="shared" si="33"/>
        <v>22.73</v>
      </c>
      <c r="CL21" s="69">
        <f t="shared" si="34"/>
        <v>23.4</v>
      </c>
      <c r="CM21" s="69">
        <f t="shared" si="164"/>
        <v>531.88199999999995</v>
      </c>
      <c r="CN21" s="69">
        <f t="shared" si="35"/>
        <v>22.73</v>
      </c>
      <c r="CO21" s="69">
        <f t="shared" si="36"/>
        <v>21.38</v>
      </c>
      <c r="CP21" s="69">
        <f t="shared" si="165"/>
        <v>485.9674</v>
      </c>
      <c r="CQ21" s="69">
        <f t="shared" si="37"/>
        <v>22.73</v>
      </c>
      <c r="CR21" s="69">
        <f t="shared" si="38"/>
        <v>20.04</v>
      </c>
      <c r="CS21" s="69">
        <f t="shared" si="166"/>
        <v>455.50919999999996</v>
      </c>
      <c r="CT21" s="69">
        <f t="shared" si="39"/>
        <v>22.73</v>
      </c>
      <c r="CU21" s="69">
        <f t="shared" si="40"/>
        <v>26.93</v>
      </c>
      <c r="CV21" s="69">
        <f t="shared" si="167"/>
        <v>612.11890000000005</v>
      </c>
      <c r="CW21" s="69">
        <f t="shared" si="41"/>
        <v>22.73</v>
      </c>
      <c r="CX21" s="69">
        <f t="shared" si="42"/>
        <v>17.7</v>
      </c>
      <c r="CY21" s="69">
        <f t="shared" si="168"/>
        <v>402.32099999999997</v>
      </c>
      <c r="CZ21" s="69">
        <f t="shared" si="43"/>
        <v>22.73</v>
      </c>
      <c r="DA21" s="69">
        <f t="shared" si="44"/>
        <v>25.44</v>
      </c>
      <c r="DB21" s="69">
        <f t="shared" si="169"/>
        <v>578.25120000000004</v>
      </c>
      <c r="DC21" s="69">
        <f t="shared" si="45"/>
        <v>22.73</v>
      </c>
      <c r="DD21" s="69">
        <f t="shared" si="46"/>
        <v>21.737170376056429</v>
      </c>
      <c r="DE21" s="69">
        <f t="shared" si="170"/>
        <v>494.08588264776267</v>
      </c>
      <c r="DG21" s="69">
        <f t="shared" si="47"/>
        <v>25.44</v>
      </c>
      <c r="DH21" s="69">
        <f t="shared" si="48"/>
        <v>17.82</v>
      </c>
      <c r="DI21" s="69">
        <f t="shared" si="171"/>
        <v>453.34080000000006</v>
      </c>
      <c r="DJ21" s="69">
        <f t="shared" si="49"/>
        <v>25.44</v>
      </c>
      <c r="DK21" s="69">
        <f t="shared" si="50"/>
        <v>23.4</v>
      </c>
      <c r="DL21" s="69">
        <f t="shared" si="172"/>
        <v>595.29600000000005</v>
      </c>
      <c r="DM21" s="69">
        <f t="shared" si="51"/>
        <v>25.44</v>
      </c>
      <c r="DN21" s="69">
        <f t="shared" si="52"/>
        <v>21.38</v>
      </c>
      <c r="DO21" s="69">
        <f t="shared" si="173"/>
        <v>543.90719999999999</v>
      </c>
      <c r="DP21" s="69">
        <f t="shared" si="53"/>
        <v>25.44</v>
      </c>
      <c r="DQ21" s="69">
        <f t="shared" si="54"/>
        <v>20.04</v>
      </c>
      <c r="DR21" s="69">
        <f t="shared" si="174"/>
        <v>509.81760000000003</v>
      </c>
      <c r="DS21" s="69">
        <f t="shared" si="55"/>
        <v>25.44</v>
      </c>
      <c r="DT21" s="69">
        <f t="shared" si="56"/>
        <v>26.93</v>
      </c>
      <c r="DU21" s="69">
        <f t="shared" si="175"/>
        <v>685.0992</v>
      </c>
      <c r="DV21" s="69">
        <f t="shared" si="57"/>
        <v>25.44</v>
      </c>
      <c r="DW21" s="69">
        <f t="shared" si="58"/>
        <v>17.7</v>
      </c>
      <c r="DX21" s="69">
        <f t="shared" si="176"/>
        <v>450.28800000000001</v>
      </c>
      <c r="DY21" s="69">
        <f t="shared" si="59"/>
        <v>25.44</v>
      </c>
      <c r="DZ21" s="69">
        <f t="shared" si="60"/>
        <v>25.44</v>
      </c>
      <c r="EA21" s="69">
        <f t="shared" si="177"/>
        <v>647.19360000000006</v>
      </c>
      <c r="EB21" s="69">
        <f t="shared" si="61"/>
        <v>25.44</v>
      </c>
      <c r="EC21" s="69">
        <f t="shared" si="62"/>
        <v>21.737170376056429</v>
      </c>
      <c r="ED21" s="69">
        <f t="shared" si="178"/>
        <v>552.99361436687559</v>
      </c>
      <c r="EF21" s="69">
        <f t="shared" si="63"/>
        <v>17.82</v>
      </c>
      <c r="EG21" s="69">
        <f t="shared" si="64"/>
        <v>23.4</v>
      </c>
      <c r="EH21" s="69">
        <f t="shared" si="179"/>
        <v>416.988</v>
      </c>
      <c r="EI21" s="69">
        <f t="shared" si="65"/>
        <v>17.82</v>
      </c>
      <c r="EJ21" s="69">
        <f t="shared" si="66"/>
        <v>21.38</v>
      </c>
      <c r="EK21" s="69">
        <f t="shared" si="180"/>
        <v>380.99160000000001</v>
      </c>
      <c r="EL21" s="69">
        <f t="shared" si="67"/>
        <v>17.82</v>
      </c>
      <c r="EM21" s="69">
        <f t="shared" si="68"/>
        <v>20.04</v>
      </c>
      <c r="EN21" s="69">
        <f t="shared" si="181"/>
        <v>357.11279999999999</v>
      </c>
      <c r="EO21" s="69">
        <f t="shared" si="69"/>
        <v>17.82</v>
      </c>
      <c r="EP21" s="69">
        <f t="shared" si="70"/>
        <v>26.93</v>
      </c>
      <c r="EQ21" s="69">
        <f t="shared" si="182"/>
        <v>479.89260000000002</v>
      </c>
      <c r="ER21" s="69">
        <f t="shared" si="71"/>
        <v>17.82</v>
      </c>
      <c r="ES21" s="69">
        <f t="shared" si="72"/>
        <v>17.7</v>
      </c>
      <c r="ET21" s="69">
        <f t="shared" si="183"/>
        <v>315.41399999999999</v>
      </c>
      <c r="EU21" s="69">
        <f t="shared" si="73"/>
        <v>17.82</v>
      </c>
      <c r="EV21" s="69">
        <f t="shared" si="74"/>
        <v>25.44</v>
      </c>
      <c r="EW21" s="69">
        <f t="shared" si="184"/>
        <v>453.34080000000006</v>
      </c>
      <c r="EX21" s="69">
        <f t="shared" si="75"/>
        <v>17.82</v>
      </c>
      <c r="EY21" s="69">
        <f t="shared" si="76"/>
        <v>21.737170376056429</v>
      </c>
      <c r="EZ21" s="69">
        <f t="shared" si="185"/>
        <v>387.35637610132557</v>
      </c>
      <c r="FB21" s="69">
        <f t="shared" si="77"/>
        <v>23.4</v>
      </c>
      <c r="FC21" s="69">
        <f t="shared" si="78"/>
        <v>21.38</v>
      </c>
      <c r="FD21" s="69">
        <f t="shared" si="186"/>
        <v>500.29199999999997</v>
      </c>
      <c r="FE21" s="69">
        <f t="shared" si="79"/>
        <v>23.4</v>
      </c>
      <c r="FF21" s="69">
        <f t="shared" si="80"/>
        <v>20.04</v>
      </c>
      <c r="FG21" s="69">
        <f t="shared" si="187"/>
        <v>468.93599999999998</v>
      </c>
      <c r="FH21" s="69">
        <f t="shared" si="81"/>
        <v>23.4</v>
      </c>
      <c r="FI21" s="69">
        <f t="shared" si="82"/>
        <v>26.93</v>
      </c>
      <c r="FJ21" s="69">
        <f t="shared" si="188"/>
        <v>630.16199999999992</v>
      </c>
      <c r="FK21" s="69">
        <f t="shared" si="83"/>
        <v>23.4</v>
      </c>
      <c r="FL21" s="69">
        <f t="shared" si="84"/>
        <v>17.7</v>
      </c>
      <c r="FM21" s="69">
        <f t="shared" si="189"/>
        <v>414.17999999999995</v>
      </c>
      <c r="FN21" s="69">
        <f t="shared" si="85"/>
        <v>23.4</v>
      </c>
      <c r="FO21" s="69">
        <f t="shared" si="86"/>
        <v>25.44</v>
      </c>
      <c r="FP21" s="69">
        <f t="shared" si="190"/>
        <v>595.29600000000005</v>
      </c>
      <c r="FQ21" s="69">
        <f t="shared" si="87"/>
        <v>23.4</v>
      </c>
      <c r="FR21" s="69">
        <f t="shared" si="88"/>
        <v>21.737170376056429</v>
      </c>
      <c r="FS21" s="69">
        <f t="shared" si="191"/>
        <v>508.6497867997204</v>
      </c>
      <c r="FU21" s="69">
        <f t="shared" si="89"/>
        <v>21.38</v>
      </c>
      <c r="FV21" s="69">
        <f t="shared" si="90"/>
        <v>20.04</v>
      </c>
      <c r="FW21" s="69">
        <f t="shared" si="192"/>
        <v>428.45519999999993</v>
      </c>
      <c r="FX21" s="69">
        <f t="shared" si="91"/>
        <v>21.38</v>
      </c>
      <c r="FY21" s="69">
        <f t="shared" si="92"/>
        <v>26.93</v>
      </c>
      <c r="FZ21" s="69">
        <f t="shared" si="193"/>
        <v>575.76339999999993</v>
      </c>
      <c r="GA21" s="69">
        <f t="shared" si="93"/>
        <v>21.38</v>
      </c>
      <c r="GB21" s="69">
        <f t="shared" si="94"/>
        <v>17.7</v>
      </c>
      <c r="GC21" s="69">
        <f t="shared" si="194"/>
        <v>378.42599999999999</v>
      </c>
      <c r="GD21" s="69">
        <f t="shared" si="95"/>
        <v>21.38</v>
      </c>
      <c r="GE21" s="69">
        <f t="shared" si="96"/>
        <v>25.44</v>
      </c>
      <c r="GF21" s="69">
        <f t="shared" si="195"/>
        <v>543.90719999999999</v>
      </c>
      <c r="GG21" s="69">
        <f t="shared" si="97"/>
        <v>21.38</v>
      </c>
      <c r="GH21" s="69">
        <f t="shared" si="98"/>
        <v>21.737170376056429</v>
      </c>
      <c r="GI21" s="69">
        <f t="shared" si="196"/>
        <v>464.74070264008645</v>
      </c>
      <c r="GK21" s="69">
        <f t="shared" si="99"/>
        <v>20.04</v>
      </c>
      <c r="GL21" s="69">
        <f t="shared" si="100"/>
        <v>26.93</v>
      </c>
      <c r="GM21" s="69">
        <f t="shared" si="197"/>
        <v>539.67719999999997</v>
      </c>
      <c r="GN21" s="69">
        <f t="shared" si="101"/>
        <v>20.04</v>
      </c>
      <c r="GO21" s="69">
        <f t="shared" si="102"/>
        <v>17.7</v>
      </c>
      <c r="GP21" s="69">
        <f t="shared" si="198"/>
        <v>354.70799999999997</v>
      </c>
      <c r="GQ21" s="69">
        <f t="shared" si="103"/>
        <v>20.04</v>
      </c>
      <c r="GR21" s="69">
        <f t="shared" si="104"/>
        <v>25.44</v>
      </c>
      <c r="GS21" s="69">
        <f t="shared" si="199"/>
        <v>509.81760000000003</v>
      </c>
      <c r="GT21" s="69">
        <f t="shared" si="105"/>
        <v>20.04</v>
      </c>
      <c r="GU21" s="69">
        <f t="shared" si="106"/>
        <v>21.737170376056429</v>
      </c>
      <c r="GV21" s="69">
        <f t="shared" si="200"/>
        <v>435.61289433617083</v>
      </c>
      <c r="GX21" s="69">
        <f t="shared" si="201"/>
        <v>26.93</v>
      </c>
      <c r="GY21" s="69">
        <f t="shared" si="202"/>
        <v>17.7</v>
      </c>
      <c r="GZ21" s="69">
        <f t="shared" si="203"/>
        <v>476.661</v>
      </c>
      <c r="HA21" s="69">
        <f t="shared" si="204"/>
        <v>26.93</v>
      </c>
      <c r="HB21" s="69">
        <f t="shared" si="205"/>
        <v>25.44</v>
      </c>
      <c r="HC21" s="69">
        <f t="shared" si="206"/>
        <v>685.0992</v>
      </c>
      <c r="HD21" s="69">
        <f t="shared" si="207"/>
        <v>26.93</v>
      </c>
      <c r="HE21" s="69">
        <f t="shared" si="208"/>
        <v>21.737170376056429</v>
      </c>
      <c r="HF21" s="69">
        <f t="shared" si="209"/>
        <v>585.38199822719969</v>
      </c>
      <c r="HH21" s="69">
        <f t="shared" si="210"/>
        <v>17.7</v>
      </c>
      <c r="HI21" s="69">
        <f t="shared" si="211"/>
        <v>25.44</v>
      </c>
      <c r="HJ21" s="69">
        <f t="shared" si="212"/>
        <v>450.28800000000001</v>
      </c>
      <c r="HK21" s="69">
        <f t="shared" si="213"/>
        <v>17.7</v>
      </c>
      <c r="HL21" s="69">
        <f t="shared" si="214"/>
        <v>21.737170376056429</v>
      </c>
      <c r="HM21" s="69">
        <f t="shared" si="215"/>
        <v>384.74791565619881</v>
      </c>
      <c r="HO21" s="69">
        <f t="shared" si="216"/>
        <v>25.44</v>
      </c>
      <c r="HP21" s="69">
        <f t="shared" si="217"/>
        <v>21.737170376056429</v>
      </c>
      <c r="HQ21" s="69">
        <f t="shared" si="218"/>
        <v>552.99361436687559</v>
      </c>
      <c r="HS21" s="69">
        <f t="shared" si="107"/>
        <v>21.737170376056429</v>
      </c>
      <c r="HT21" s="69">
        <f t="shared" si="108"/>
        <v>18.8</v>
      </c>
      <c r="HU21" s="69">
        <f t="shared" si="219"/>
        <v>408.65880306986088</v>
      </c>
      <c r="HV21" s="69">
        <f t="shared" si="109"/>
        <v>21.737170376056429</v>
      </c>
      <c r="HW21" s="69">
        <f t="shared" si="110"/>
        <v>22.73</v>
      </c>
      <c r="HX21" s="69">
        <f t="shared" si="220"/>
        <v>494.08588264776267</v>
      </c>
      <c r="HY21" s="69">
        <f t="shared" si="111"/>
        <v>21.737170376056429</v>
      </c>
      <c r="HZ21" s="69">
        <f t="shared" si="112"/>
        <v>25.44</v>
      </c>
      <c r="IA21" s="69">
        <f t="shared" si="221"/>
        <v>552.99361436687559</v>
      </c>
      <c r="IB21" s="69">
        <f t="shared" si="113"/>
        <v>21.737170376056429</v>
      </c>
      <c r="IC21" s="69">
        <f t="shared" si="114"/>
        <v>17.82</v>
      </c>
      <c r="ID21" s="69">
        <f t="shared" si="222"/>
        <v>387.35637610132557</v>
      </c>
      <c r="IE21" s="69">
        <f t="shared" si="115"/>
        <v>21.737170376056429</v>
      </c>
      <c r="IF21" s="69">
        <f t="shared" si="116"/>
        <v>23.4</v>
      </c>
      <c r="IG21" s="69">
        <f t="shared" si="223"/>
        <v>508.6497867997204</v>
      </c>
      <c r="IH21" s="69">
        <f t="shared" si="117"/>
        <v>21.737170376056429</v>
      </c>
      <c r="II21" s="69">
        <f t="shared" si="118"/>
        <v>21.38</v>
      </c>
      <c r="IJ21" s="69">
        <f t="shared" si="224"/>
        <v>464.74070264008645</v>
      </c>
      <c r="IK21" s="69">
        <f t="shared" si="119"/>
        <v>21.737170376056429</v>
      </c>
      <c r="IL21" s="69">
        <f t="shared" si="120"/>
        <v>20.04</v>
      </c>
      <c r="IM21" s="69">
        <f t="shared" si="225"/>
        <v>435.61289433617083</v>
      </c>
      <c r="IN21" s="69">
        <f t="shared" si="226"/>
        <v>21.737170376056429</v>
      </c>
      <c r="IO21" s="69">
        <f t="shared" si="227"/>
        <v>26.93</v>
      </c>
      <c r="IP21" s="69">
        <f t="shared" si="228"/>
        <v>585.38199822719969</v>
      </c>
      <c r="IQ21" s="69">
        <f t="shared" si="229"/>
        <v>21.737170376056429</v>
      </c>
      <c r="IR21" s="69">
        <f t="shared" si="230"/>
        <v>17.7</v>
      </c>
      <c r="IS21" s="69">
        <f t="shared" si="231"/>
        <v>384.74791565619881</v>
      </c>
      <c r="IT21" s="69">
        <f t="shared" si="232"/>
        <v>21.737170376056429</v>
      </c>
      <c r="IU21" s="69">
        <f t="shared" si="233"/>
        <v>25.44</v>
      </c>
      <c r="IV21" s="69">
        <f t="shared" si="234"/>
        <v>552.99361436687559</v>
      </c>
    </row>
    <row r="22" spans="1:256" ht="15" x14ac:dyDescent="0.25">
      <c r="A22" s="57" t="s">
        <v>25</v>
      </c>
      <c r="B22" s="295">
        <v>17.34</v>
      </c>
      <c r="C22" s="295">
        <v>20.65</v>
      </c>
      <c r="D22" s="295">
        <v>24.53</v>
      </c>
      <c r="E22" s="295">
        <v>17.440000000000001</v>
      </c>
      <c r="F22" s="295">
        <v>21.4</v>
      </c>
      <c r="G22" s="295">
        <v>20.49</v>
      </c>
      <c r="H22" s="295">
        <v>18.37</v>
      </c>
      <c r="I22" s="296">
        <v>23.24</v>
      </c>
      <c r="J22" s="295">
        <v>15.93</v>
      </c>
      <c r="K22" s="295">
        <v>21.91</v>
      </c>
      <c r="L22" s="68">
        <f t="shared" si="0"/>
        <v>10</v>
      </c>
      <c r="M22" s="69">
        <f t="shared" si="1"/>
        <v>19.954333864373606</v>
      </c>
      <c r="N22" s="69" t="str">
        <f t="shared" si="121"/>
        <v>±0,88</v>
      </c>
      <c r="O22" s="69" t="str">
        <f t="shared" si="122"/>
        <v>±3,67</v>
      </c>
      <c r="P22" s="69" t="str">
        <f t="shared" si="235"/>
        <v>±0,22</v>
      </c>
      <c r="Q22" s="70">
        <f t="shared" si="2"/>
        <v>17.34</v>
      </c>
      <c r="R22" s="71">
        <f t="shared" si="124"/>
        <v>-1.6286252431759003</v>
      </c>
      <c r="S22" s="71">
        <f t="shared" si="125"/>
        <v>-8.5858897115478108</v>
      </c>
      <c r="T22" s="70">
        <f t="shared" si="3"/>
        <v>20.65</v>
      </c>
      <c r="U22" s="71">
        <f t="shared" si="126"/>
        <v>-3.3112221729330003</v>
      </c>
      <c r="V22" s="71">
        <f t="shared" si="127"/>
        <v>-13.819087144367003</v>
      </c>
      <c r="W22" s="70">
        <f t="shared" si="4"/>
        <v>24.53</v>
      </c>
      <c r="X22" s="71">
        <f t="shared" si="128"/>
        <v>-1.1582612837780637</v>
      </c>
      <c r="Y22" s="71">
        <f t="shared" si="129"/>
        <v>-4.5089127324841378</v>
      </c>
      <c r="Z22" s="70">
        <f t="shared" si="5"/>
        <v>17.440000000000001</v>
      </c>
      <c r="AA22" s="71">
        <f t="shared" si="130"/>
        <v>-1.2518518528397955</v>
      </c>
      <c r="AB22" s="71">
        <f t="shared" si="131"/>
        <v>-6.6973131538574986</v>
      </c>
      <c r="AC22" s="70">
        <f t="shared" si="6"/>
        <v>21.4</v>
      </c>
      <c r="AD22" s="71">
        <f t="shared" si="132"/>
        <v>-1.1531211528410807</v>
      </c>
      <c r="AE22" s="71">
        <f t="shared" si="133"/>
        <v>-5.1129116233023852</v>
      </c>
      <c r="AF22" s="70">
        <f t="shared" si="7"/>
        <v>20.49</v>
      </c>
      <c r="AG22" s="71">
        <f t="shared" si="134"/>
        <v>-0.11269325718003032</v>
      </c>
      <c r="AH22" s="71">
        <f t="shared" si="135"/>
        <v>-0.54698313358015893</v>
      </c>
      <c r="AI22" s="70">
        <f t="shared" si="8"/>
        <v>18.37</v>
      </c>
      <c r="AJ22" s="71">
        <f t="shared" si="136"/>
        <v>-1.367053865551636</v>
      </c>
      <c r="AK22" s="71">
        <f t="shared" si="137"/>
        <v>-6.9263319382111277</v>
      </c>
      <c r="AL22" s="70">
        <f t="shared" si="138"/>
        <v>23.24</v>
      </c>
      <c r="AM22" s="71">
        <f t="shared" si="139"/>
        <v>-2.5996407621653219</v>
      </c>
      <c r="AN22" s="71">
        <f t="shared" si="140"/>
        <v>-10.060669132721623</v>
      </c>
      <c r="AO22" s="70">
        <f t="shared" si="141"/>
        <v>15.93</v>
      </c>
      <c r="AP22" s="71">
        <f t="shared" si="142"/>
        <v>-1.8071021425944807</v>
      </c>
      <c r="AQ22" s="71">
        <f t="shared" si="143"/>
        <v>-10.188260337379717</v>
      </c>
      <c r="AR22" s="70">
        <f t="shared" si="144"/>
        <v>21.91</v>
      </c>
      <c r="AS22" s="71">
        <f t="shared" si="145"/>
        <v>-2.1693605357281278</v>
      </c>
      <c r="AT22" s="71">
        <f t="shared" si="146"/>
        <v>-9.0092115715004297</v>
      </c>
      <c r="AU22" s="69">
        <f t="shared" si="147"/>
        <v>19.954333864373606</v>
      </c>
      <c r="AV22" s="131" t="str">
        <f t="shared" si="148"/>
        <v>±0,88</v>
      </c>
      <c r="AW22" s="69" t="str">
        <f>IF(L22&gt;0,"±"&amp;ROUND(STDEV(S22,V22,Y22,AB22,AE22,AH22,AK22,AN22,AQ22,AT22),2),"")</f>
        <v>±3,67</v>
      </c>
      <c r="AX22" s="132">
        <f t="shared" si="150"/>
        <v>0.88</v>
      </c>
      <c r="AY22" s="132">
        <f t="shared" si="151"/>
        <v>3.67</v>
      </c>
      <c r="AZ22" s="69">
        <f t="shared" si="9"/>
        <v>17.34</v>
      </c>
      <c r="BA22" s="69">
        <f t="shared" si="10"/>
        <v>20.65</v>
      </c>
      <c r="BB22" s="69">
        <f t="shared" si="152"/>
        <v>358.07099999999997</v>
      </c>
      <c r="BC22" s="69">
        <f t="shared" si="11"/>
        <v>17.34</v>
      </c>
      <c r="BD22" s="69">
        <f t="shared" si="12"/>
        <v>24.53</v>
      </c>
      <c r="BE22" s="69">
        <f t="shared" si="153"/>
        <v>425.35020000000003</v>
      </c>
      <c r="BF22" s="69">
        <f t="shared" si="13"/>
        <v>17.34</v>
      </c>
      <c r="BG22" s="69">
        <f t="shared" si="14"/>
        <v>17.440000000000001</v>
      </c>
      <c r="BH22" s="69">
        <f t="shared" si="154"/>
        <v>302.40960000000001</v>
      </c>
      <c r="BI22" s="69">
        <f t="shared" si="15"/>
        <v>17.34</v>
      </c>
      <c r="BJ22" s="69">
        <f t="shared" si="16"/>
        <v>21.4</v>
      </c>
      <c r="BK22" s="69">
        <f t="shared" si="155"/>
        <v>371.07599999999996</v>
      </c>
      <c r="BL22" s="69">
        <f t="shared" si="17"/>
        <v>17.34</v>
      </c>
      <c r="BM22" s="69">
        <f t="shared" si="18"/>
        <v>20.49</v>
      </c>
      <c r="BN22" s="69">
        <f t="shared" si="156"/>
        <v>355.29659999999996</v>
      </c>
      <c r="BO22" s="69">
        <f t="shared" si="19"/>
        <v>17.34</v>
      </c>
      <c r="BP22" s="69">
        <f t="shared" si="20"/>
        <v>18.37</v>
      </c>
      <c r="BQ22" s="69">
        <f t="shared" si="157"/>
        <v>318.53579999999999</v>
      </c>
      <c r="BR22" s="69">
        <f t="shared" si="21"/>
        <v>17.34</v>
      </c>
      <c r="BS22" s="69">
        <f t="shared" si="22"/>
        <v>23.24</v>
      </c>
      <c r="BT22" s="69">
        <f t="shared" si="158"/>
        <v>402.98159999999996</v>
      </c>
      <c r="BU22" s="69">
        <f t="shared" si="23"/>
        <v>17.34</v>
      </c>
      <c r="BV22" s="69">
        <f t="shared" si="24"/>
        <v>15.93</v>
      </c>
      <c r="BW22" s="69">
        <f t="shared" si="159"/>
        <v>276.22620000000001</v>
      </c>
      <c r="BX22" s="69">
        <f t="shared" si="25"/>
        <v>17.34</v>
      </c>
      <c r="BY22" s="69">
        <f t="shared" si="26"/>
        <v>21.91</v>
      </c>
      <c r="BZ22" s="69">
        <f t="shared" si="160"/>
        <v>379.9194</v>
      </c>
      <c r="CA22" s="69">
        <f t="shared" si="27"/>
        <v>17.34</v>
      </c>
      <c r="CB22" s="69">
        <f t="shared" si="28"/>
        <v>19.954333864373606</v>
      </c>
      <c r="CC22" s="69">
        <f t="shared" si="161"/>
        <v>346.00814920823831</v>
      </c>
      <c r="CE22" s="69">
        <f t="shared" si="29"/>
        <v>20.65</v>
      </c>
      <c r="CF22" s="69">
        <f t="shared" si="30"/>
        <v>24.53</v>
      </c>
      <c r="CG22" s="69">
        <f t="shared" si="162"/>
        <v>506.54449999999997</v>
      </c>
      <c r="CH22" s="69">
        <f t="shared" si="31"/>
        <v>20.65</v>
      </c>
      <c r="CI22" s="69">
        <f t="shared" si="32"/>
        <v>17.440000000000001</v>
      </c>
      <c r="CJ22" s="69">
        <f t="shared" si="163"/>
        <v>360.13600000000002</v>
      </c>
      <c r="CK22" s="69">
        <f t="shared" si="33"/>
        <v>20.65</v>
      </c>
      <c r="CL22" s="69">
        <f t="shared" si="34"/>
        <v>21.4</v>
      </c>
      <c r="CM22" s="69">
        <f t="shared" si="164"/>
        <v>441.90999999999997</v>
      </c>
      <c r="CN22" s="69">
        <f t="shared" si="35"/>
        <v>20.65</v>
      </c>
      <c r="CO22" s="69">
        <f t="shared" si="36"/>
        <v>20.49</v>
      </c>
      <c r="CP22" s="69">
        <f t="shared" si="165"/>
        <v>423.11849999999993</v>
      </c>
      <c r="CQ22" s="69">
        <f t="shared" si="37"/>
        <v>20.65</v>
      </c>
      <c r="CR22" s="69">
        <f t="shared" si="38"/>
        <v>18.37</v>
      </c>
      <c r="CS22" s="69">
        <f t="shared" si="166"/>
        <v>379.34050000000002</v>
      </c>
      <c r="CT22" s="69">
        <f t="shared" si="39"/>
        <v>20.65</v>
      </c>
      <c r="CU22" s="69">
        <f t="shared" si="40"/>
        <v>23.24</v>
      </c>
      <c r="CV22" s="69">
        <f t="shared" si="167"/>
        <v>479.90599999999995</v>
      </c>
      <c r="CW22" s="69">
        <f t="shared" si="41"/>
        <v>20.65</v>
      </c>
      <c r="CX22" s="69">
        <f t="shared" si="42"/>
        <v>15.93</v>
      </c>
      <c r="CY22" s="69">
        <f t="shared" si="168"/>
        <v>328.9545</v>
      </c>
      <c r="CZ22" s="69">
        <f t="shared" si="43"/>
        <v>20.65</v>
      </c>
      <c r="DA22" s="69">
        <f t="shared" si="44"/>
        <v>21.91</v>
      </c>
      <c r="DB22" s="69">
        <f t="shared" si="169"/>
        <v>452.44149999999996</v>
      </c>
      <c r="DC22" s="69">
        <f t="shared" si="45"/>
        <v>20.65</v>
      </c>
      <c r="DD22" s="69">
        <f t="shared" si="46"/>
        <v>19.954333864373606</v>
      </c>
      <c r="DE22" s="69">
        <f t="shared" si="170"/>
        <v>412.05699429931491</v>
      </c>
      <c r="DG22" s="69">
        <f t="shared" si="47"/>
        <v>24.53</v>
      </c>
      <c r="DH22" s="69">
        <f t="shared" si="48"/>
        <v>17.440000000000001</v>
      </c>
      <c r="DI22" s="69">
        <f t="shared" si="171"/>
        <v>427.80320000000006</v>
      </c>
      <c r="DJ22" s="69">
        <f t="shared" si="49"/>
        <v>24.53</v>
      </c>
      <c r="DK22" s="69">
        <f t="shared" si="50"/>
        <v>21.4</v>
      </c>
      <c r="DL22" s="69">
        <f t="shared" si="172"/>
        <v>524.94200000000001</v>
      </c>
      <c r="DM22" s="69">
        <f t="shared" si="51"/>
        <v>24.53</v>
      </c>
      <c r="DN22" s="69">
        <f t="shared" si="52"/>
        <v>20.49</v>
      </c>
      <c r="DO22" s="69">
        <f t="shared" si="173"/>
        <v>502.61969999999997</v>
      </c>
      <c r="DP22" s="69">
        <f t="shared" si="53"/>
        <v>24.53</v>
      </c>
      <c r="DQ22" s="69">
        <f t="shared" si="54"/>
        <v>18.37</v>
      </c>
      <c r="DR22" s="69">
        <f t="shared" si="174"/>
        <v>450.61610000000002</v>
      </c>
      <c r="DS22" s="69">
        <f t="shared" si="55"/>
        <v>24.53</v>
      </c>
      <c r="DT22" s="69">
        <f t="shared" si="56"/>
        <v>23.24</v>
      </c>
      <c r="DU22" s="69">
        <f t="shared" si="175"/>
        <v>570.07719999999995</v>
      </c>
      <c r="DV22" s="69">
        <f t="shared" si="57"/>
        <v>24.53</v>
      </c>
      <c r="DW22" s="69">
        <f t="shared" si="58"/>
        <v>15.93</v>
      </c>
      <c r="DX22" s="69">
        <f t="shared" si="176"/>
        <v>390.7629</v>
      </c>
      <c r="DY22" s="69">
        <f t="shared" si="59"/>
        <v>24.53</v>
      </c>
      <c r="DZ22" s="69">
        <f t="shared" si="60"/>
        <v>21.91</v>
      </c>
      <c r="EA22" s="69">
        <f t="shared" si="177"/>
        <v>537.45230000000004</v>
      </c>
      <c r="EB22" s="69">
        <f t="shared" si="61"/>
        <v>24.53</v>
      </c>
      <c r="EC22" s="69">
        <f t="shared" si="62"/>
        <v>19.954333864373606</v>
      </c>
      <c r="ED22" s="69">
        <f t="shared" si="178"/>
        <v>489.47980969308458</v>
      </c>
      <c r="EF22" s="69">
        <f t="shared" si="63"/>
        <v>17.440000000000001</v>
      </c>
      <c r="EG22" s="69">
        <f t="shared" si="64"/>
        <v>21.4</v>
      </c>
      <c r="EH22" s="69">
        <f t="shared" si="179"/>
        <v>373.21600000000001</v>
      </c>
      <c r="EI22" s="69">
        <f t="shared" si="65"/>
        <v>17.440000000000001</v>
      </c>
      <c r="EJ22" s="69">
        <f t="shared" si="66"/>
        <v>20.49</v>
      </c>
      <c r="EK22" s="69">
        <f t="shared" si="180"/>
        <v>357.34559999999999</v>
      </c>
      <c r="EL22" s="69">
        <f t="shared" si="67"/>
        <v>17.440000000000001</v>
      </c>
      <c r="EM22" s="69">
        <f t="shared" si="68"/>
        <v>18.37</v>
      </c>
      <c r="EN22" s="69">
        <f t="shared" si="181"/>
        <v>320.37280000000004</v>
      </c>
      <c r="EO22" s="69">
        <f t="shared" si="69"/>
        <v>17.440000000000001</v>
      </c>
      <c r="EP22" s="69">
        <f t="shared" si="70"/>
        <v>23.24</v>
      </c>
      <c r="EQ22" s="69">
        <f t="shared" si="182"/>
        <v>405.30560000000003</v>
      </c>
      <c r="ER22" s="69">
        <f t="shared" si="71"/>
        <v>17.440000000000001</v>
      </c>
      <c r="ES22" s="69">
        <f t="shared" si="72"/>
        <v>15.93</v>
      </c>
      <c r="ET22" s="69">
        <f t="shared" si="183"/>
        <v>277.81920000000002</v>
      </c>
      <c r="EU22" s="69">
        <f t="shared" si="73"/>
        <v>17.440000000000001</v>
      </c>
      <c r="EV22" s="69">
        <f t="shared" si="74"/>
        <v>21.91</v>
      </c>
      <c r="EW22" s="69">
        <f t="shared" si="184"/>
        <v>382.11040000000003</v>
      </c>
      <c r="EX22" s="69">
        <f t="shared" si="75"/>
        <v>17.440000000000001</v>
      </c>
      <c r="EY22" s="69">
        <f t="shared" si="76"/>
        <v>19.954333864373606</v>
      </c>
      <c r="EZ22" s="69">
        <f t="shared" si="185"/>
        <v>348.00358259467572</v>
      </c>
      <c r="FB22" s="69">
        <f t="shared" si="77"/>
        <v>21.4</v>
      </c>
      <c r="FC22" s="69">
        <f t="shared" si="78"/>
        <v>20.49</v>
      </c>
      <c r="FD22" s="69">
        <f t="shared" si="186"/>
        <v>438.48599999999993</v>
      </c>
      <c r="FE22" s="69">
        <f t="shared" si="79"/>
        <v>21.4</v>
      </c>
      <c r="FF22" s="69">
        <f t="shared" si="80"/>
        <v>18.37</v>
      </c>
      <c r="FG22" s="69">
        <f t="shared" si="187"/>
        <v>393.11799999999999</v>
      </c>
      <c r="FH22" s="69">
        <f t="shared" si="81"/>
        <v>21.4</v>
      </c>
      <c r="FI22" s="69">
        <f t="shared" si="82"/>
        <v>23.24</v>
      </c>
      <c r="FJ22" s="69">
        <f t="shared" si="188"/>
        <v>497.33599999999996</v>
      </c>
      <c r="FK22" s="69">
        <f t="shared" si="83"/>
        <v>21.4</v>
      </c>
      <c r="FL22" s="69">
        <f t="shared" si="84"/>
        <v>15.93</v>
      </c>
      <c r="FM22" s="69">
        <f t="shared" si="189"/>
        <v>340.90199999999999</v>
      </c>
      <c r="FN22" s="69">
        <f t="shared" si="85"/>
        <v>21.4</v>
      </c>
      <c r="FO22" s="69">
        <f t="shared" si="86"/>
        <v>21.91</v>
      </c>
      <c r="FP22" s="69">
        <f t="shared" si="190"/>
        <v>468.87399999999997</v>
      </c>
      <c r="FQ22" s="69">
        <f t="shared" si="87"/>
        <v>21.4</v>
      </c>
      <c r="FR22" s="69">
        <f t="shared" si="88"/>
        <v>19.954333864373606</v>
      </c>
      <c r="FS22" s="69">
        <f t="shared" si="191"/>
        <v>427.02274469759516</v>
      </c>
      <c r="FU22" s="69">
        <f t="shared" si="89"/>
        <v>20.49</v>
      </c>
      <c r="FV22" s="69">
        <f t="shared" si="90"/>
        <v>18.37</v>
      </c>
      <c r="FW22" s="69">
        <f t="shared" si="192"/>
        <v>376.40129999999999</v>
      </c>
      <c r="FX22" s="69">
        <f t="shared" si="91"/>
        <v>20.49</v>
      </c>
      <c r="FY22" s="69">
        <f t="shared" si="92"/>
        <v>23.24</v>
      </c>
      <c r="FZ22" s="69">
        <f t="shared" si="193"/>
        <v>476.18759999999992</v>
      </c>
      <c r="GA22" s="69">
        <f t="shared" si="93"/>
        <v>20.49</v>
      </c>
      <c r="GB22" s="69">
        <f t="shared" si="94"/>
        <v>15.93</v>
      </c>
      <c r="GC22" s="69">
        <f t="shared" si="194"/>
        <v>326.40569999999997</v>
      </c>
      <c r="GD22" s="69">
        <f t="shared" si="95"/>
        <v>20.49</v>
      </c>
      <c r="GE22" s="69">
        <f t="shared" si="96"/>
        <v>21.91</v>
      </c>
      <c r="GF22" s="69">
        <f t="shared" si="195"/>
        <v>448.93589999999995</v>
      </c>
      <c r="GG22" s="69">
        <f t="shared" si="97"/>
        <v>20.49</v>
      </c>
      <c r="GH22" s="69">
        <f t="shared" si="98"/>
        <v>19.954333864373606</v>
      </c>
      <c r="GI22" s="69">
        <f t="shared" si="196"/>
        <v>408.86430088101514</v>
      </c>
      <c r="GK22" s="69">
        <f t="shared" si="99"/>
        <v>18.37</v>
      </c>
      <c r="GL22" s="69">
        <f t="shared" si="100"/>
        <v>23.24</v>
      </c>
      <c r="GM22" s="69">
        <f t="shared" si="197"/>
        <v>426.91879999999998</v>
      </c>
      <c r="GN22" s="69">
        <f t="shared" si="101"/>
        <v>18.37</v>
      </c>
      <c r="GO22" s="69">
        <f t="shared" si="102"/>
        <v>15.93</v>
      </c>
      <c r="GP22" s="69">
        <f t="shared" si="198"/>
        <v>292.63409999999999</v>
      </c>
      <c r="GQ22" s="69">
        <f t="shared" si="103"/>
        <v>18.37</v>
      </c>
      <c r="GR22" s="69">
        <f t="shared" si="104"/>
        <v>21.91</v>
      </c>
      <c r="GS22" s="69">
        <f t="shared" si="199"/>
        <v>402.48670000000004</v>
      </c>
      <c r="GT22" s="69">
        <f t="shared" si="105"/>
        <v>18.37</v>
      </c>
      <c r="GU22" s="69">
        <f t="shared" si="106"/>
        <v>19.954333864373606</v>
      </c>
      <c r="GV22" s="69">
        <f t="shared" si="200"/>
        <v>366.56111308854315</v>
      </c>
      <c r="GX22" s="69">
        <f t="shared" si="201"/>
        <v>23.24</v>
      </c>
      <c r="GY22" s="69">
        <f t="shared" si="202"/>
        <v>15.93</v>
      </c>
      <c r="GZ22" s="69">
        <f t="shared" si="203"/>
        <v>370.21319999999997</v>
      </c>
      <c r="HA22" s="69">
        <f t="shared" si="204"/>
        <v>23.24</v>
      </c>
      <c r="HB22" s="69">
        <f t="shared" si="205"/>
        <v>21.91</v>
      </c>
      <c r="HC22" s="69">
        <f t="shared" si="206"/>
        <v>509.18839999999994</v>
      </c>
      <c r="HD22" s="69">
        <f t="shared" si="207"/>
        <v>23.24</v>
      </c>
      <c r="HE22" s="69">
        <f t="shared" si="208"/>
        <v>19.954333864373606</v>
      </c>
      <c r="HF22" s="69">
        <f t="shared" si="209"/>
        <v>463.73871900804255</v>
      </c>
      <c r="HH22" s="69">
        <f t="shared" si="210"/>
        <v>15.93</v>
      </c>
      <c r="HI22" s="69">
        <f t="shared" si="211"/>
        <v>21.91</v>
      </c>
      <c r="HJ22" s="69">
        <f t="shared" si="212"/>
        <v>349.02629999999999</v>
      </c>
      <c r="HK22" s="69">
        <f t="shared" si="213"/>
        <v>15.93</v>
      </c>
      <c r="HL22" s="69">
        <f t="shared" si="214"/>
        <v>19.954333864373606</v>
      </c>
      <c r="HM22" s="69">
        <f t="shared" si="215"/>
        <v>317.87253845947151</v>
      </c>
      <c r="HO22" s="69">
        <f t="shared" si="216"/>
        <v>21.91</v>
      </c>
      <c r="HP22" s="69">
        <f t="shared" si="217"/>
        <v>19.954333864373606</v>
      </c>
      <c r="HQ22" s="69">
        <f t="shared" si="218"/>
        <v>437.1994549684257</v>
      </c>
      <c r="HS22" s="69">
        <f t="shared" si="107"/>
        <v>19.954333864373606</v>
      </c>
      <c r="HT22" s="69">
        <f t="shared" si="108"/>
        <v>17.34</v>
      </c>
      <c r="HU22" s="69">
        <f t="shared" si="219"/>
        <v>346.00814920823831</v>
      </c>
      <c r="HV22" s="69">
        <f t="shared" si="109"/>
        <v>19.954333864373606</v>
      </c>
      <c r="HW22" s="69">
        <f t="shared" si="110"/>
        <v>20.65</v>
      </c>
      <c r="HX22" s="69">
        <f t="shared" si="220"/>
        <v>412.05699429931491</v>
      </c>
      <c r="HY22" s="69">
        <f t="shared" si="111"/>
        <v>19.954333864373606</v>
      </c>
      <c r="HZ22" s="69">
        <f t="shared" si="112"/>
        <v>24.53</v>
      </c>
      <c r="IA22" s="69">
        <f t="shared" si="221"/>
        <v>489.47980969308458</v>
      </c>
      <c r="IB22" s="69">
        <f t="shared" si="113"/>
        <v>19.954333864373606</v>
      </c>
      <c r="IC22" s="69">
        <f t="shared" si="114"/>
        <v>17.440000000000001</v>
      </c>
      <c r="ID22" s="69">
        <f t="shared" si="222"/>
        <v>348.00358259467572</v>
      </c>
      <c r="IE22" s="69">
        <f t="shared" si="115"/>
        <v>19.954333864373606</v>
      </c>
      <c r="IF22" s="69">
        <f t="shared" si="116"/>
        <v>21.4</v>
      </c>
      <c r="IG22" s="69">
        <f t="shared" si="223"/>
        <v>427.02274469759516</v>
      </c>
      <c r="IH22" s="69">
        <f t="shared" si="117"/>
        <v>19.954333864373606</v>
      </c>
      <c r="II22" s="69">
        <f t="shared" si="118"/>
        <v>20.49</v>
      </c>
      <c r="IJ22" s="69">
        <f t="shared" si="224"/>
        <v>408.86430088101514</v>
      </c>
      <c r="IK22" s="69">
        <f t="shared" si="119"/>
        <v>19.954333864373606</v>
      </c>
      <c r="IL22" s="69">
        <f t="shared" si="120"/>
        <v>18.37</v>
      </c>
      <c r="IM22" s="69">
        <f t="shared" si="225"/>
        <v>366.56111308854315</v>
      </c>
      <c r="IN22" s="69">
        <f t="shared" si="226"/>
        <v>19.954333864373606</v>
      </c>
      <c r="IO22" s="69">
        <f t="shared" si="227"/>
        <v>23.24</v>
      </c>
      <c r="IP22" s="69">
        <f t="shared" si="228"/>
        <v>463.73871900804255</v>
      </c>
      <c r="IQ22" s="69">
        <f t="shared" si="229"/>
        <v>19.954333864373606</v>
      </c>
      <c r="IR22" s="69">
        <f t="shared" si="230"/>
        <v>15.93</v>
      </c>
      <c r="IS22" s="69">
        <f t="shared" si="231"/>
        <v>317.87253845947151</v>
      </c>
      <c r="IT22" s="69">
        <f t="shared" si="232"/>
        <v>19.954333864373606</v>
      </c>
      <c r="IU22" s="69">
        <f t="shared" si="233"/>
        <v>21.91</v>
      </c>
      <c r="IV22" s="69">
        <f t="shared" si="234"/>
        <v>437.1994549684257</v>
      </c>
    </row>
    <row r="23" spans="1:256" ht="15" x14ac:dyDescent="0.25">
      <c r="A23" s="57" t="s">
        <v>26</v>
      </c>
      <c r="B23" s="295">
        <v>18.7</v>
      </c>
      <c r="C23" s="295">
        <v>22.52</v>
      </c>
      <c r="D23" s="295">
        <v>26.53</v>
      </c>
      <c r="E23" s="295">
        <v>18.63</v>
      </c>
      <c r="F23" s="295">
        <v>21.77</v>
      </c>
      <c r="G23" s="295">
        <v>20.86</v>
      </c>
      <c r="H23" s="295">
        <v>19.18</v>
      </c>
      <c r="I23" s="296">
        <v>25.17</v>
      </c>
      <c r="J23" s="295">
        <v>18.14</v>
      </c>
      <c r="K23" s="295">
        <v>23.1</v>
      </c>
      <c r="L23" s="68">
        <f t="shared" si="0"/>
        <v>10</v>
      </c>
      <c r="M23" s="69">
        <f t="shared" si="1"/>
        <v>21.288810255385243</v>
      </c>
      <c r="N23" s="69" t="str">
        <f t="shared" si="121"/>
        <v>±0,7</v>
      </c>
      <c r="O23" s="69" t="str">
        <f t="shared" si="122"/>
        <v>±2,98</v>
      </c>
      <c r="P23" s="69" t="str">
        <f t="shared" si="235"/>
        <v>±0,43</v>
      </c>
      <c r="Q23" s="70">
        <f t="shared" si="2"/>
        <v>18.7</v>
      </c>
      <c r="R23" s="71">
        <f t="shared" si="124"/>
        <v>-0.26862524317590086</v>
      </c>
      <c r="S23" s="71">
        <f t="shared" si="125"/>
        <v>-1.4161555712770557</v>
      </c>
      <c r="T23" s="70">
        <f t="shared" si="3"/>
        <v>22.52</v>
      </c>
      <c r="U23" s="71">
        <f t="shared" si="126"/>
        <v>-1.4412221729329993</v>
      </c>
      <c r="V23" s="71">
        <f t="shared" si="127"/>
        <v>-6.0148107743895789</v>
      </c>
      <c r="W23" s="70">
        <f t="shared" si="4"/>
        <v>26.53</v>
      </c>
      <c r="X23" s="71">
        <f t="shared" si="128"/>
        <v>0.8417387162219363</v>
      </c>
      <c r="Y23" s="71">
        <f t="shared" si="129"/>
        <v>3.2767446068975081</v>
      </c>
      <c r="Z23" s="70">
        <f t="shared" si="5"/>
        <v>18.63</v>
      </c>
      <c r="AA23" s="71">
        <f t="shared" si="130"/>
        <v>-6.1851852839797772E-2</v>
      </c>
      <c r="AB23" s="71">
        <f t="shared" si="131"/>
        <v>-0.33090275552553061</v>
      </c>
      <c r="AC23" s="70">
        <f t="shared" si="6"/>
        <v>21.77</v>
      </c>
      <c r="AD23" s="71">
        <f t="shared" si="132"/>
        <v>-0.78312115284107975</v>
      </c>
      <c r="AE23" s="71">
        <f t="shared" si="133"/>
        <v>-3.4723404691258342</v>
      </c>
      <c r="AF23" s="70">
        <f t="shared" si="7"/>
        <v>20.86</v>
      </c>
      <c r="AG23" s="71">
        <f t="shared" si="134"/>
        <v>0.25730674281997068</v>
      </c>
      <c r="AH23" s="71">
        <f t="shared" si="135"/>
        <v>1.2488985765504168</v>
      </c>
      <c r="AI23" s="70">
        <f t="shared" si="8"/>
        <v>19.18</v>
      </c>
      <c r="AJ23" s="71">
        <f t="shared" si="136"/>
        <v>-0.55705386555163727</v>
      </c>
      <c r="AK23" s="71">
        <f t="shared" si="137"/>
        <v>-2.8223759703260409</v>
      </c>
      <c r="AL23" s="70">
        <f t="shared" si="138"/>
        <v>25.17</v>
      </c>
      <c r="AM23" s="71">
        <f t="shared" si="139"/>
        <v>-0.66964076216531865</v>
      </c>
      <c r="AN23" s="71">
        <f t="shared" si="140"/>
        <v>-2.5915250460672556</v>
      </c>
      <c r="AO23" s="70">
        <f t="shared" si="141"/>
        <v>18.14</v>
      </c>
      <c r="AP23" s="71">
        <f t="shared" si="142"/>
        <v>0.4028978574055202</v>
      </c>
      <c r="AQ23" s="71">
        <f t="shared" si="143"/>
        <v>2.2714976446912782</v>
      </c>
      <c r="AR23" s="70">
        <f t="shared" si="144"/>
        <v>23.1</v>
      </c>
      <c r="AS23" s="71">
        <f t="shared" si="145"/>
        <v>-0.97936053572812654</v>
      </c>
      <c r="AT23" s="71">
        <f t="shared" si="146"/>
        <v>-4.0672198677161102</v>
      </c>
      <c r="AU23" s="69">
        <f t="shared" si="147"/>
        <v>21.288810255385243</v>
      </c>
      <c r="AV23" s="131" t="str">
        <f t="shared" si="148"/>
        <v>±0,7</v>
      </c>
      <c r="AW23" s="69" t="str">
        <f t="shared" si="236"/>
        <v>±2,98</v>
      </c>
      <c r="AX23" s="132">
        <f t="shared" si="150"/>
        <v>0.7</v>
      </c>
      <c r="AY23" s="132">
        <f t="shared" si="151"/>
        <v>2.98</v>
      </c>
      <c r="AZ23" s="69">
        <f t="shared" si="9"/>
        <v>18.7</v>
      </c>
      <c r="BA23" s="69">
        <f t="shared" si="10"/>
        <v>22.52</v>
      </c>
      <c r="BB23" s="69">
        <f t="shared" si="152"/>
        <v>421.12399999999997</v>
      </c>
      <c r="BC23" s="69">
        <f t="shared" si="11"/>
        <v>18.7</v>
      </c>
      <c r="BD23" s="69">
        <f t="shared" si="12"/>
        <v>26.53</v>
      </c>
      <c r="BE23" s="69">
        <f t="shared" si="153"/>
        <v>496.11099999999999</v>
      </c>
      <c r="BF23" s="69">
        <f t="shared" si="13"/>
        <v>18.7</v>
      </c>
      <c r="BG23" s="69">
        <f t="shared" si="14"/>
        <v>18.63</v>
      </c>
      <c r="BH23" s="69">
        <f t="shared" si="154"/>
        <v>348.38099999999997</v>
      </c>
      <c r="BI23" s="69">
        <f t="shared" si="15"/>
        <v>18.7</v>
      </c>
      <c r="BJ23" s="69">
        <f t="shared" si="16"/>
        <v>21.77</v>
      </c>
      <c r="BK23" s="69">
        <f t="shared" si="155"/>
        <v>407.09899999999999</v>
      </c>
      <c r="BL23" s="69">
        <f t="shared" si="17"/>
        <v>18.7</v>
      </c>
      <c r="BM23" s="69">
        <f t="shared" si="18"/>
        <v>20.86</v>
      </c>
      <c r="BN23" s="69">
        <f t="shared" si="156"/>
        <v>390.08199999999999</v>
      </c>
      <c r="BO23" s="69">
        <f t="shared" si="19"/>
        <v>18.7</v>
      </c>
      <c r="BP23" s="69">
        <f t="shared" si="20"/>
        <v>19.18</v>
      </c>
      <c r="BQ23" s="69">
        <f t="shared" si="157"/>
        <v>358.666</v>
      </c>
      <c r="BR23" s="69">
        <f t="shared" si="21"/>
        <v>18.7</v>
      </c>
      <c r="BS23" s="69">
        <f t="shared" si="22"/>
        <v>25.17</v>
      </c>
      <c r="BT23" s="69">
        <f t="shared" si="158"/>
        <v>470.67900000000003</v>
      </c>
      <c r="BU23" s="69">
        <f t="shared" si="23"/>
        <v>18.7</v>
      </c>
      <c r="BV23" s="69">
        <f t="shared" si="24"/>
        <v>18.14</v>
      </c>
      <c r="BW23" s="69">
        <f t="shared" si="159"/>
        <v>339.21800000000002</v>
      </c>
      <c r="BX23" s="69">
        <f t="shared" si="25"/>
        <v>18.7</v>
      </c>
      <c r="BY23" s="69">
        <f t="shared" si="26"/>
        <v>23.1</v>
      </c>
      <c r="BZ23" s="69">
        <f t="shared" si="160"/>
        <v>431.97</v>
      </c>
      <c r="CA23" s="69">
        <f t="shared" si="27"/>
        <v>18.7</v>
      </c>
      <c r="CB23" s="69">
        <f t="shared" si="28"/>
        <v>21.288810255385243</v>
      </c>
      <c r="CC23" s="69">
        <f t="shared" si="161"/>
        <v>398.10075177570405</v>
      </c>
      <c r="CE23" s="69">
        <f t="shared" si="29"/>
        <v>22.52</v>
      </c>
      <c r="CF23" s="69">
        <f t="shared" si="30"/>
        <v>26.53</v>
      </c>
      <c r="CG23" s="69">
        <f t="shared" si="162"/>
        <v>597.4556</v>
      </c>
      <c r="CH23" s="69">
        <f t="shared" si="31"/>
        <v>22.52</v>
      </c>
      <c r="CI23" s="69">
        <f t="shared" si="32"/>
        <v>18.63</v>
      </c>
      <c r="CJ23" s="69">
        <f t="shared" si="163"/>
        <v>419.54759999999999</v>
      </c>
      <c r="CK23" s="69">
        <f t="shared" si="33"/>
        <v>22.52</v>
      </c>
      <c r="CL23" s="69">
        <f t="shared" si="34"/>
        <v>21.77</v>
      </c>
      <c r="CM23" s="69">
        <f t="shared" si="164"/>
        <v>490.2604</v>
      </c>
      <c r="CN23" s="69">
        <f t="shared" si="35"/>
        <v>22.52</v>
      </c>
      <c r="CO23" s="69">
        <f t="shared" si="36"/>
        <v>20.86</v>
      </c>
      <c r="CP23" s="69">
        <f t="shared" si="165"/>
        <v>469.7672</v>
      </c>
      <c r="CQ23" s="69">
        <f t="shared" si="37"/>
        <v>22.52</v>
      </c>
      <c r="CR23" s="69">
        <f t="shared" si="38"/>
        <v>19.18</v>
      </c>
      <c r="CS23" s="69">
        <f t="shared" si="166"/>
        <v>431.93360000000001</v>
      </c>
      <c r="CT23" s="69">
        <f t="shared" si="39"/>
        <v>22.52</v>
      </c>
      <c r="CU23" s="69">
        <f t="shared" si="40"/>
        <v>25.17</v>
      </c>
      <c r="CV23" s="69">
        <f t="shared" si="167"/>
        <v>566.82839999999999</v>
      </c>
      <c r="CW23" s="69">
        <f t="shared" si="41"/>
        <v>22.52</v>
      </c>
      <c r="CX23" s="69">
        <f t="shared" si="42"/>
        <v>18.14</v>
      </c>
      <c r="CY23" s="69">
        <f t="shared" si="168"/>
        <v>408.51280000000003</v>
      </c>
      <c r="CZ23" s="69">
        <f t="shared" si="43"/>
        <v>22.52</v>
      </c>
      <c r="DA23" s="69">
        <f t="shared" si="44"/>
        <v>23.1</v>
      </c>
      <c r="DB23" s="69">
        <f t="shared" si="169"/>
        <v>520.21199999999999</v>
      </c>
      <c r="DC23" s="69">
        <f t="shared" si="45"/>
        <v>22.52</v>
      </c>
      <c r="DD23" s="69">
        <f t="shared" si="46"/>
        <v>21.288810255385243</v>
      </c>
      <c r="DE23" s="69">
        <f t="shared" si="170"/>
        <v>479.42400695127566</v>
      </c>
      <c r="DG23" s="69">
        <f t="shared" si="47"/>
        <v>26.53</v>
      </c>
      <c r="DH23" s="69">
        <f t="shared" si="48"/>
        <v>18.63</v>
      </c>
      <c r="DI23" s="69">
        <f t="shared" si="171"/>
        <v>494.25389999999999</v>
      </c>
      <c r="DJ23" s="69">
        <f t="shared" si="49"/>
        <v>26.53</v>
      </c>
      <c r="DK23" s="69">
        <f t="shared" si="50"/>
        <v>21.77</v>
      </c>
      <c r="DL23" s="69">
        <f t="shared" si="172"/>
        <v>577.55809999999997</v>
      </c>
      <c r="DM23" s="69">
        <f t="shared" si="51"/>
        <v>26.53</v>
      </c>
      <c r="DN23" s="69">
        <f t="shared" si="52"/>
        <v>20.86</v>
      </c>
      <c r="DO23" s="69">
        <f t="shared" si="173"/>
        <v>553.41579999999999</v>
      </c>
      <c r="DP23" s="69">
        <f t="shared" si="53"/>
        <v>26.53</v>
      </c>
      <c r="DQ23" s="69">
        <f t="shared" si="54"/>
        <v>19.18</v>
      </c>
      <c r="DR23" s="69">
        <f t="shared" si="174"/>
        <v>508.84540000000004</v>
      </c>
      <c r="DS23" s="69">
        <f t="shared" si="55"/>
        <v>26.53</v>
      </c>
      <c r="DT23" s="69">
        <f t="shared" si="56"/>
        <v>25.17</v>
      </c>
      <c r="DU23" s="69">
        <f t="shared" si="175"/>
        <v>667.76010000000008</v>
      </c>
      <c r="DV23" s="69">
        <f t="shared" si="57"/>
        <v>26.53</v>
      </c>
      <c r="DW23" s="69">
        <f t="shared" si="58"/>
        <v>18.14</v>
      </c>
      <c r="DX23" s="69">
        <f t="shared" si="176"/>
        <v>481.25420000000003</v>
      </c>
      <c r="DY23" s="69">
        <f t="shared" si="59"/>
        <v>26.53</v>
      </c>
      <c r="DZ23" s="69">
        <f t="shared" si="60"/>
        <v>23.1</v>
      </c>
      <c r="EA23" s="69">
        <f t="shared" si="177"/>
        <v>612.84300000000007</v>
      </c>
      <c r="EB23" s="69">
        <f t="shared" si="61"/>
        <v>26.53</v>
      </c>
      <c r="EC23" s="69">
        <f t="shared" si="62"/>
        <v>21.288810255385243</v>
      </c>
      <c r="ED23" s="69">
        <f t="shared" si="178"/>
        <v>564.79213607537054</v>
      </c>
      <c r="EF23" s="69">
        <f t="shared" si="63"/>
        <v>18.63</v>
      </c>
      <c r="EG23" s="69">
        <f t="shared" si="64"/>
        <v>21.77</v>
      </c>
      <c r="EH23" s="69">
        <f t="shared" si="179"/>
        <v>405.57509999999996</v>
      </c>
      <c r="EI23" s="69">
        <f t="shared" si="65"/>
        <v>18.63</v>
      </c>
      <c r="EJ23" s="69">
        <f t="shared" si="66"/>
        <v>20.86</v>
      </c>
      <c r="EK23" s="69">
        <f t="shared" si="180"/>
        <v>388.62179999999995</v>
      </c>
      <c r="EL23" s="69">
        <f t="shared" si="67"/>
        <v>18.63</v>
      </c>
      <c r="EM23" s="69">
        <f t="shared" si="68"/>
        <v>19.18</v>
      </c>
      <c r="EN23" s="69">
        <f t="shared" si="181"/>
        <v>357.32339999999999</v>
      </c>
      <c r="EO23" s="69">
        <f t="shared" si="69"/>
        <v>18.63</v>
      </c>
      <c r="EP23" s="69">
        <f t="shared" si="70"/>
        <v>25.17</v>
      </c>
      <c r="EQ23" s="69">
        <f t="shared" si="182"/>
        <v>468.9171</v>
      </c>
      <c r="ER23" s="69">
        <f t="shared" si="71"/>
        <v>18.63</v>
      </c>
      <c r="ES23" s="69">
        <f t="shared" si="72"/>
        <v>18.14</v>
      </c>
      <c r="ET23" s="69">
        <f t="shared" si="183"/>
        <v>337.94819999999999</v>
      </c>
      <c r="EU23" s="69">
        <f t="shared" si="73"/>
        <v>18.63</v>
      </c>
      <c r="EV23" s="69">
        <f t="shared" si="74"/>
        <v>23.1</v>
      </c>
      <c r="EW23" s="69">
        <f t="shared" si="184"/>
        <v>430.35300000000001</v>
      </c>
      <c r="EX23" s="69">
        <f t="shared" si="75"/>
        <v>18.63</v>
      </c>
      <c r="EY23" s="69">
        <f t="shared" si="76"/>
        <v>21.288810255385243</v>
      </c>
      <c r="EZ23" s="69">
        <f t="shared" si="185"/>
        <v>396.61053505782706</v>
      </c>
      <c r="FB23" s="69">
        <f t="shared" si="77"/>
        <v>21.77</v>
      </c>
      <c r="FC23" s="69">
        <f t="shared" si="78"/>
        <v>20.86</v>
      </c>
      <c r="FD23" s="69">
        <f t="shared" si="186"/>
        <v>454.12219999999996</v>
      </c>
      <c r="FE23" s="69">
        <f t="shared" si="79"/>
        <v>21.77</v>
      </c>
      <c r="FF23" s="69">
        <f t="shared" si="80"/>
        <v>19.18</v>
      </c>
      <c r="FG23" s="69">
        <f t="shared" si="187"/>
        <v>417.54859999999996</v>
      </c>
      <c r="FH23" s="69">
        <f t="shared" si="81"/>
        <v>21.77</v>
      </c>
      <c r="FI23" s="69">
        <f t="shared" si="82"/>
        <v>25.17</v>
      </c>
      <c r="FJ23" s="69">
        <f t="shared" si="188"/>
        <v>547.95090000000005</v>
      </c>
      <c r="FK23" s="69">
        <f t="shared" si="83"/>
        <v>21.77</v>
      </c>
      <c r="FL23" s="69">
        <f t="shared" si="84"/>
        <v>18.14</v>
      </c>
      <c r="FM23" s="69">
        <f t="shared" si="189"/>
        <v>394.90780000000001</v>
      </c>
      <c r="FN23" s="69">
        <f t="shared" si="85"/>
        <v>21.77</v>
      </c>
      <c r="FO23" s="69">
        <f t="shared" si="86"/>
        <v>23.1</v>
      </c>
      <c r="FP23" s="69">
        <f t="shared" si="190"/>
        <v>502.887</v>
      </c>
      <c r="FQ23" s="69">
        <f t="shared" si="87"/>
        <v>21.77</v>
      </c>
      <c r="FR23" s="69">
        <f t="shared" si="88"/>
        <v>21.288810255385243</v>
      </c>
      <c r="FS23" s="69">
        <f t="shared" si="191"/>
        <v>463.45739925973675</v>
      </c>
      <c r="FU23" s="69">
        <f t="shared" si="89"/>
        <v>20.86</v>
      </c>
      <c r="FV23" s="69">
        <f t="shared" si="90"/>
        <v>19.18</v>
      </c>
      <c r="FW23" s="69">
        <f t="shared" si="192"/>
        <v>400.09479999999996</v>
      </c>
      <c r="FX23" s="69">
        <f t="shared" si="91"/>
        <v>20.86</v>
      </c>
      <c r="FY23" s="69">
        <f t="shared" si="92"/>
        <v>25.17</v>
      </c>
      <c r="FZ23" s="69">
        <f t="shared" si="193"/>
        <v>525.0462</v>
      </c>
      <c r="GA23" s="69">
        <f t="shared" si="93"/>
        <v>20.86</v>
      </c>
      <c r="GB23" s="69">
        <f t="shared" si="94"/>
        <v>18.14</v>
      </c>
      <c r="GC23" s="69">
        <f t="shared" si="194"/>
        <v>378.40039999999999</v>
      </c>
      <c r="GD23" s="69">
        <f t="shared" si="95"/>
        <v>20.86</v>
      </c>
      <c r="GE23" s="69">
        <f t="shared" si="96"/>
        <v>23.1</v>
      </c>
      <c r="GF23" s="69">
        <f t="shared" si="195"/>
        <v>481.86600000000004</v>
      </c>
      <c r="GG23" s="69">
        <f t="shared" si="97"/>
        <v>20.86</v>
      </c>
      <c r="GH23" s="69">
        <f t="shared" si="98"/>
        <v>21.288810255385243</v>
      </c>
      <c r="GI23" s="69">
        <f t="shared" si="196"/>
        <v>444.08458192733616</v>
      </c>
      <c r="GK23" s="69">
        <f t="shared" si="99"/>
        <v>19.18</v>
      </c>
      <c r="GL23" s="69">
        <f t="shared" si="100"/>
        <v>25.17</v>
      </c>
      <c r="GM23" s="69">
        <f t="shared" si="197"/>
        <v>482.76060000000001</v>
      </c>
      <c r="GN23" s="69">
        <f t="shared" si="101"/>
        <v>19.18</v>
      </c>
      <c r="GO23" s="69">
        <f t="shared" si="102"/>
        <v>18.14</v>
      </c>
      <c r="GP23" s="69">
        <f t="shared" si="198"/>
        <v>347.92520000000002</v>
      </c>
      <c r="GQ23" s="69">
        <f t="shared" si="103"/>
        <v>19.18</v>
      </c>
      <c r="GR23" s="69">
        <f t="shared" si="104"/>
        <v>23.1</v>
      </c>
      <c r="GS23" s="69">
        <f t="shared" si="199"/>
        <v>443.05799999999999</v>
      </c>
      <c r="GT23" s="69">
        <f t="shared" si="105"/>
        <v>19.18</v>
      </c>
      <c r="GU23" s="69">
        <f t="shared" si="106"/>
        <v>21.288810255385243</v>
      </c>
      <c r="GV23" s="69">
        <f t="shared" si="200"/>
        <v>408.31938069828897</v>
      </c>
      <c r="GX23" s="69">
        <f t="shared" si="201"/>
        <v>25.17</v>
      </c>
      <c r="GY23" s="69">
        <f t="shared" si="202"/>
        <v>18.14</v>
      </c>
      <c r="GZ23" s="69">
        <f t="shared" si="203"/>
        <v>456.58380000000005</v>
      </c>
      <c r="HA23" s="69">
        <f t="shared" si="204"/>
        <v>25.17</v>
      </c>
      <c r="HB23" s="69">
        <f t="shared" si="205"/>
        <v>23.1</v>
      </c>
      <c r="HC23" s="69">
        <f t="shared" si="206"/>
        <v>581.42700000000002</v>
      </c>
      <c r="HD23" s="69">
        <f t="shared" si="207"/>
        <v>25.17</v>
      </c>
      <c r="HE23" s="69">
        <f t="shared" si="208"/>
        <v>21.288810255385243</v>
      </c>
      <c r="HF23" s="69">
        <f t="shared" si="209"/>
        <v>535.83935412804658</v>
      </c>
      <c r="HH23" s="69">
        <f t="shared" si="210"/>
        <v>18.14</v>
      </c>
      <c r="HI23" s="69">
        <f t="shared" si="211"/>
        <v>23.1</v>
      </c>
      <c r="HJ23" s="69">
        <f t="shared" si="212"/>
        <v>419.03400000000005</v>
      </c>
      <c r="HK23" s="69">
        <f t="shared" si="213"/>
        <v>18.14</v>
      </c>
      <c r="HL23" s="69">
        <f t="shared" si="214"/>
        <v>21.288810255385243</v>
      </c>
      <c r="HM23" s="69">
        <f t="shared" si="215"/>
        <v>386.1790180326883</v>
      </c>
      <c r="HO23" s="69">
        <f t="shared" si="216"/>
        <v>23.1</v>
      </c>
      <c r="HP23" s="69">
        <f t="shared" si="217"/>
        <v>21.288810255385243</v>
      </c>
      <c r="HQ23" s="69">
        <f t="shared" si="218"/>
        <v>491.77151689939916</v>
      </c>
      <c r="HS23" s="69">
        <f t="shared" si="107"/>
        <v>21.288810255385243</v>
      </c>
      <c r="HT23" s="69">
        <f t="shared" si="108"/>
        <v>18.7</v>
      </c>
      <c r="HU23" s="69">
        <f t="shared" si="219"/>
        <v>398.10075177570405</v>
      </c>
      <c r="HV23" s="69">
        <f t="shared" si="109"/>
        <v>21.288810255385243</v>
      </c>
      <c r="HW23" s="69">
        <f t="shared" si="110"/>
        <v>22.52</v>
      </c>
      <c r="HX23" s="69">
        <f t="shared" si="220"/>
        <v>479.42400695127566</v>
      </c>
      <c r="HY23" s="69">
        <f t="shared" si="111"/>
        <v>21.288810255385243</v>
      </c>
      <c r="HZ23" s="69">
        <f t="shared" si="112"/>
        <v>26.53</v>
      </c>
      <c r="IA23" s="69">
        <f t="shared" si="221"/>
        <v>564.79213607537054</v>
      </c>
      <c r="IB23" s="69">
        <f t="shared" si="113"/>
        <v>21.288810255385243</v>
      </c>
      <c r="IC23" s="69">
        <f t="shared" si="114"/>
        <v>18.63</v>
      </c>
      <c r="ID23" s="69">
        <f t="shared" si="222"/>
        <v>396.61053505782706</v>
      </c>
      <c r="IE23" s="69">
        <f t="shared" si="115"/>
        <v>21.288810255385243</v>
      </c>
      <c r="IF23" s="69">
        <f t="shared" si="116"/>
        <v>21.77</v>
      </c>
      <c r="IG23" s="69">
        <f t="shared" si="223"/>
        <v>463.45739925973675</v>
      </c>
      <c r="IH23" s="69">
        <f t="shared" si="117"/>
        <v>21.288810255385243</v>
      </c>
      <c r="II23" s="69">
        <f t="shared" si="118"/>
        <v>20.86</v>
      </c>
      <c r="IJ23" s="69">
        <f t="shared" si="224"/>
        <v>444.08458192733616</v>
      </c>
      <c r="IK23" s="69">
        <f t="shared" si="119"/>
        <v>21.288810255385243</v>
      </c>
      <c r="IL23" s="69">
        <f t="shared" si="120"/>
        <v>19.18</v>
      </c>
      <c r="IM23" s="69">
        <f t="shared" si="225"/>
        <v>408.31938069828897</v>
      </c>
      <c r="IN23" s="69">
        <f t="shared" si="226"/>
        <v>21.288810255385243</v>
      </c>
      <c r="IO23" s="69">
        <f t="shared" si="227"/>
        <v>25.17</v>
      </c>
      <c r="IP23" s="69">
        <f t="shared" si="228"/>
        <v>535.83935412804658</v>
      </c>
      <c r="IQ23" s="69">
        <f t="shared" si="229"/>
        <v>21.288810255385243</v>
      </c>
      <c r="IR23" s="69">
        <f t="shared" si="230"/>
        <v>18.14</v>
      </c>
      <c r="IS23" s="69">
        <f t="shared" si="231"/>
        <v>386.1790180326883</v>
      </c>
      <c r="IT23" s="69">
        <f t="shared" si="232"/>
        <v>21.288810255385243</v>
      </c>
      <c r="IU23" s="69">
        <f t="shared" si="233"/>
        <v>23.1</v>
      </c>
      <c r="IV23" s="69">
        <f t="shared" si="234"/>
        <v>491.77151689939916</v>
      </c>
    </row>
    <row r="24" spans="1:256" ht="15" x14ac:dyDescent="0.25">
      <c r="A24" s="57" t="s">
        <v>27</v>
      </c>
      <c r="B24" s="295">
        <v>19.39</v>
      </c>
      <c r="C24" s="295">
        <v>24.9</v>
      </c>
      <c r="D24" s="295">
        <v>24.87</v>
      </c>
      <c r="E24" s="295">
        <v>18.329999999999998</v>
      </c>
      <c r="F24" s="295">
        <v>22.57</v>
      </c>
      <c r="G24" s="295">
        <v>19</v>
      </c>
      <c r="H24" s="295">
        <v>18.28</v>
      </c>
      <c r="I24" s="296">
        <v>25.2</v>
      </c>
      <c r="J24" s="295">
        <v>16.12</v>
      </c>
      <c r="K24" s="295">
        <v>23.46</v>
      </c>
      <c r="L24" s="68">
        <f t="shared" si="0"/>
        <v>10</v>
      </c>
      <c r="M24" s="69">
        <f t="shared" si="1"/>
        <v>20.969932590149632</v>
      </c>
      <c r="N24" s="69" t="str">
        <f t="shared" si="121"/>
        <v>±0,86</v>
      </c>
      <c r="O24" s="69" t="str">
        <f t="shared" si="122"/>
        <v>±4,29</v>
      </c>
      <c r="P24" s="69" t="str">
        <f t="shared" si="235"/>
        <v>±0,49</v>
      </c>
      <c r="Q24" s="70">
        <f t="shared" si="2"/>
        <v>19.39</v>
      </c>
      <c r="R24" s="71">
        <f t="shared" si="124"/>
        <v>0.42137475682410042</v>
      </c>
      <c r="S24" s="71">
        <f t="shared" si="125"/>
        <v>2.2214301322426744</v>
      </c>
      <c r="T24" s="70">
        <f t="shared" si="3"/>
        <v>24.9</v>
      </c>
      <c r="U24" s="71">
        <f t="shared" si="126"/>
        <v>0.93877782706699975</v>
      </c>
      <c r="V24" s="71">
        <f t="shared" si="127"/>
        <v>3.9179046055816791</v>
      </c>
      <c r="W24" s="70">
        <f t="shared" si="4"/>
        <v>24.87</v>
      </c>
      <c r="X24" s="71">
        <f t="shared" si="128"/>
        <v>-0.81826128377806384</v>
      </c>
      <c r="Y24" s="71">
        <f t="shared" si="129"/>
        <v>-3.1853509847892592</v>
      </c>
      <c r="Z24" s="70">
        <f t="shared" si="5"/>
        <v>18.329999999999998</v>
      </c>
      <c r="AA24" s="71">
        <f t="shared" si="130"/>
        <v>-0.36185185283979848</v>
      </c>
      <c r="AB24" s="71">
        <f t="shared" si="131"/>
        <v>-1.9358801668697301</v>
      </c>
      <c r="AC24" s="70">
        <f t="shared" si="6"/>
        <v>22.57</v>
      </c>
      <c r="AD24" s="71">
        <f t="shared" si="132"/>
        <v>1.6878847158920962E-2</v>
      </c>
      <c r="AE24" s="71">
        <f t="shared" si="133"/>
        <v>7.4840404769416224E-2</v>
      </c>
      <c r="AF24" s="70">
        <f t="shared" si="7"/>
        <v>19</v>
      </c>
      <c r="AG24" s="71">
        <f t="shared" si="134"/>
        <v>-1.6026932571800288</v>
      </c>
      <c r="AH24" s="71">
        <f t="shared" si="135"/>
        <v>-7.7790473176194581</v>
      </c>
      <c r="AI24" s="70">
        <f t="shared" si="8"/>
        <v>18.28</v>
      </c>
      <c r="AJ24" s="71">
        <f t="shared" si="136"/>
        <v>-1.4570538655516359</v>
      </c>
      <c r="AK24" s="71">
        <f t="shared" si="137"/>
        <v>-7.382327045753911</v>
      </c>
      <c r="AL24" s="70">
        <f t="shared" si="138"/>
        <v>25.2</v>
      </c>
      <c r="AM24" s="71">
        <f t="shared" si="139"/>
        <v>-0.63964076216532106</v>
      </c>
      <c r="AN24" s="71">
        <f t="shared" si="140"/>
        <v>-2.4754243607824855</v>
      </c>
      <c r="AO24" s="70">
        <f t="shared" si="141"/>
        <v>16.12</v>
      </c>
      <c r="AP24" s="71">
        <f t="shared" si="142"/>
        <v>-1.6171021425944794</v>
      </c>
      <c r="AQ24" s="71">
        <f t="shared" si="143"/>
        <v>-9.11705942489397</v>
      </c>
      <c r="AR24" s="70">
        <f t="shared" si="144"/>
        <v>23.46</v>
      </c>
      <c r="AS24" s="71">
        <f t="shared" si="145"/>
        <v>-0.6193605357281271</v>
      </c>
      <c r="AT24" s="71">
        <f t="shared" si="146"/>
        <v>-2.5721635539662335</v>
      </c>
      <c r="AU24" s="69">
        <f t="shared" si="147"/>
        <v>20.969932590149632</v>
      </c>
      <c r="AV24" s="131" t="str">
        <f t="shared" si="148"/>
        <v>±0,86</v>
      </c>
      <c r="AW24" s="69" t="str">
        <f t="shared" si="236"/>
        <v>±4,29</v>
      </c>
      <c r="AX24" s="132">
        <f t="shared" si="150"/>
        <v>0.86</v>
      </c>
      <c r="AY24" s="132">
        <f t="shared" si="151"/>
        <v>4.29</v>
      </c>
      <c r="AZ24" s="69">
        <f t="shared" si="9"/>
        <v>19.39</v>
      </c>
      <c r="BA24" s="69">
        <f t="shared" si="10"/>
        <v>24.9</v>
      </c>
      <c r="BB24" s="69">
        <f t="shared" si="152"/>
        <v>482.81099999999998</v>
      </c>
      <c r="BC24" s="69">
        <f t="shared" si="11"/>
        <v>19.39</v>
      </c>
      <c r="BD24" s="69">
        <f t="shared" si="12"/>
        <v>24.87</v>
      </c>
      <c r="BE24" s="69">
        <f t="shared" si="153"/>
        <v>482.22930000000002</v>
      </c>
      <c r="BF24" s="69">
        <f t="shared" si="13"/>
        <v>19.39</v>
      </c>
      <c r="BG24" s="69">
        <f t="shared" si="14"/>
        <v>18.329999999999998</v>
      </c>
      <c r="BH24" s="69">
        <f t="shared" si="154"/>
        <v>355.4187</v>
      </c>
      <c r="BI24" s="69">
        <f t="shared" si="15"/>
        <v>19.39</v>
      </c>
      <c r="BJ24" s="69">
        <f t="shared" si="16"/>
        <v>22.57</v>
      </c>
      <c r="BK24" s="69">
        <f t="shared" si="155"/>
        <v>437.63230000000004</v>
      </c>
      <c r="BL24" s="69">
        <f t="shared" si="17"/>
        <v>19.39</v>
      </c>
      <c r="BM24" s="69">
        <f t="shared" si="18"/>
        <v>19</v>
      </c>
      <c r="BN24" s="69">
        <f t="shared" si="156"/>
        <v>368.41</v>
      </c>
      <c r="BO24" s="69">
        <f t="shared" si="19"/>
        <v>19.39</v>
      </c>
      <c r="BP24" s="69">
        <f t="shared" si="20"/>
        <v>18.28</v>
      </c>
      <c r="BQ24" s="69">
        <f t="shared" si="157"/>
        <v>354.44920000000002</v>
      </c>
      <c r="BR24" s="69">
        <f t="shared" si="21"/>
        <v>19.39</v>
      </c>
      <c r="BS24" s="69">
        <f t="shared" si="22"/>
        <v>25.2</v>
      </c>
      <c r="BT24" s="69">
        <f t="shared" si="158"/>
        <v>488.62799999999999</v>
      </c>
      <c r="BU24" s="69">
        <f t="shared" si="23"/>
        <v>19.39</v>
      </c>
      <c r="BV24" s="69">
        <f t="shared" si="24"/>
        <v>16.12</v>
      </c>
      <c r="BW24" s="69">
        <f t="shared" si="159"/>
        <v>312.5668</v>
      </c>
      <c r="BX24" s="69">
        <f t="shared" si="25"/>
        <v>19.39</v>
      </c>
      <c r="BY24" s="69">
        <f t="shared" si="26"/>
        <v>23.46</v>
      </c>
      <c r="BZ24" s="69">
        <f t="shared" si="160"/>
        <v>454.88940000000002</v>
      </c>
      <c r="CA24" s="69">
        <f t="shared" si="27"/>
        <v>19.39</v>
      </c>
      <c r="CB24" s="69">
        <f t="shared" si="28"/>
        <v>20.969932590149632</v>
      </c>
      <c r="CC24" s="69">
        <f t="shared" si="161"/>
        <v>406.60699292300137</v>
      </c>
      <c r="CE24" s="69">
        <f t="shared" si="29"/>
        <v>24.9</v>
      </c>
      <c r="CF24" s="69">
        <f t="shared" si="30"/>
        <v>24.87</v>
      </c>
      <c r="CG24" s="69">
        <f t="shared" si="162"/>
        <v>619.26300000000003</v>
      </c>
      <c r="CH24" s="69">
        <f t="shared" si="31"/>
        <v>24.9</v>
      </c>
      <c r="CI24" s="69">
        <f t="shared" si="32"/>
        <v>18.329999999999998</v>
      </c>
      <c r="CJ24" s="69">
        <f t="shared" si="163"/>
        <v>456.41699999999992</v>
      </c>
      <c r="CK24" s="69">
        <f t="shared" si="33"/>
        <v>24.9</v>
      </c>
      <c r="CL24" s="69">
        <f t="shared" si="34"/>
        <v>22.57</v>
      </c>
      <c r="CM24" s="69">
        <f t="shared" si="164"/>
        <v>561.99299999999994</v>
      </c>
      <c r="CN24" s="69">
        <f t="shared" si="35"/>
        <v>24.9</v>
      </c>
      <c r="CO24" s="69">
        <f t="shared" si="36"/>
        <v>19</v>
      </c>
      <c r="CP24" s="69">
        <f t="shared" si="165"/>
        <v>473.09999999999997</v>
      </c>
      <c r="CQ24" s="69">
        <f t="shared" si="37"/>
        <v>24.9</v>
      </c>
      <c r="CR24" s="69">
        <f t="shared" si="38"/>
        <v>18.28</v>
      </c>
      <c r="CS24" s="69">
        <f t="shared" si="166"/>
        <v>455.17200000000003</v>
      </c>
      <c r="CT24" s="69">
        <f t="shared" si="39"/>
        <v>24.9</v>
      </c>
      <c r="CU24" s="69">
        <f t="shared" si="40"/>
        <v>25.2</v>
      </c>
      <c r="CV24" s="69">
        <f t="shared" si="167"/>
        <v>627.4799999999999</v>
      </c>
      <c r="CW24" s="69">
        <f t="shared" si="41"/>
        <v>24.9</v>
      </c>
      <c r="CX24" s="69">
        <f t="shared" si="42"/>
        <v>16.12</v>
      </c>
      <c r="CY24" s="69">
        <f t="shared" si="168"/>
        <v>401.38799999999998</v>
      </c>
      <c r="CZ24" s="69">
        <f t="shared" si="43"/>
        <v>24.9</v>
      </c>
      <c r="DA24" s="69">
        <f t="shared" si="44"/>
        <v>23.46</v>
      </c>
      <c r="DB24" s="69">
        <f t="shared" si="169"/>
        <v>584.154</v>
      </c>
      <c r="DC24" s="69">
        <f t="shared" si="45"/>
        <v>24.9</v>
      </c>
      <c r="DD24" s="69">
        <f t="shared" si="46"/>
        <v>20.969932590149632</v>
      </c>
      <c r="DE24" s="69">
        <f t="shared" si="170"/>
        <v>522.15132149472583</v>
      </c>
      <c r="DG24" s="69">
        <f t="shared" si="47"/>
        <v>24.87</v>
      </c>
      <c r="DH24" s="69">
        <f t="shared" si="48"/>
        <v>18.329999999999998</v>
      </c>
      <c r="DI24" s="69">
        <f t="shared" si="171"/>
        <v>455.86709999999999</v>
      </c>
      <c r="DJ24" s="69">
        <f t="shared" si="49"/>
        <v>24.87</v>
      </c>
      <c r="DK24" s="69">
        <f t="shared" si="50"/>
        <v>22.57</v>
      </c>
      <c r="DL24" s="69">
        <f t="shared" si="172"/>
        <v>561.31590000000006</v>
      </c>
      <c r="DM24" s="69">
        <f t="shared" si="51"/>
        <v>24.87</v>
      </c>
      <c r="DN24" s="69">
        <f t="shared" si="52"/>
        <v>19</v>
      </c>
      <c r="DO24" s="69">
        <f t="shared" si="173"/>
        <v>472.53000000000003</v>
      </c>
      <c r="DP24" s="69">
        <f t="shared" si="53"/>
        <v>24.87</v>
      </c>
      <c r="DQ24" s="69">
        <f t="shared" si="54"/>
        <v>18.28</v>
      </c>
      <c r="DR24" s="69">
        <f t="shared" si="174"/>
        <v>454.62360000000007</v>
      </c>
      <c r="DS24" s="69">
        <f t="shared" si="55"/>
        <v>24.87</v>
      </c>
      <c r="DT24" s="69">
        <f t="shared" si="56"/>
        <v>25.2</v>
      </c>
      <c r="DU24" s="69">
        <f t="shared" si="175"/>
        <v>626.72400000000005</v>
      </c>
      <c r="DV24" s="69">
        <f t="shared" si="57"/>
        <v>24.87</v>
      </c>
      <c r="DW24" s="69">
        <f t="shared" si="58"/>
        <v>16.12</v>
      </c>
      <c r="DX24" s="69">
        <f t="shared" si="176"/>
        <v>400.90440000000007</v>
      </c>
      <c r="DY24" s="69">
        <f t="shared" si="59"/>
        <v>24.87</v>
      </c>
      <c r="DZ24" s="69">
        <f t="shared" si="60"/>
        <v>23.46</v>
      </c>
      <c r="EA24" s="69">
        <f t="shared" si="177"/>
        <v>583.4502</v>
      </c>
      <c r="EB24" s="69">
        <f t="shared" si="61"/>
        <v>24.87</v>
      </c>
      <c r="EC24" s="69">
        <f t="shared" si="62"/>
        <v>20.969932590149632</v>
      </c>
      <c r="ED24" s="69">
        <f t="shared" si="178"/>
        <v>521.52222351702142</v>
      </c>
      <c r="EF24" s="69">
        <f t="shared" si="63"/>
        <v>18.329999999999998</v>
      </c>
      <c r="EG24" s="69">
        <f t="shared" si="64"/>
        <v>22.57</v>
      </c>
      <c r="EH24" s="69">
        <f t="shared" si="179"/>
        <v>413.70809999999994</v>
      </c>
      <c r="EI24" s="69">
        <f t="shared" si="65"/>
        <v>18.329999999999998</v>
      </c>
      <c r="EJ24" s="69">
        <f t="shared" si="66"/>
        <v>19</v>
      </c>
      <c r="EK24" s="69">
        <f t="shared" si="180"/>
        <v>348.27</v>
      </c>
      <c r="EL24" s="69">
        <f t="shared" si="67"/>
        <v>18.329999999999998</v>
      </c>
      <c r="EM24" s="69">
        <f t="shared" si="68"/>
        <v>18.28</v>
      </c>
      <c r="EN24" s="69">
        <f t="shared" si="181"/>
        <v>335.07240000000002</v>
      </c>
      <c r="EO24" s="69">
        <f t="shared" si="69"/>
        <v>18.329999999999998</v>
      </c>
      <c r="EP24" s="69">
        <f t="shared" si="70"/>
        <v>25.2</v>
      </c>
      <c r="EQ24" s="69">
        <f t="shared" si="182"/>
        <v>461.91599999999994</v>
      </c>
      <c r="ER24" s="69">
        <f t="shared" si="71"/>
        <v>18.329999999999998</v>
      </c>
      <c r="ES24" s="69">
        <f t="shared" si="72"/>
        <v>16.12</v>
      </c>
      <c r="ET24" s="69">
        <f t="shared" si="183"/>
        <v>295.4796</v>
      </c>
      <c r="EU24" s="69">
        <f t="shared" si="73"/>
        <v>18.329999999999998</v>
      </c>
      <c r="EV24" s="69">
        <f t="shared" si="74"/>
        <v>23.46</v>
      </c>
      <c r="EW24" s="69">
        <f t="shared" si="184"/>
        <v>430.02179999999998</v>
      </c>
      <c r="EX24" s="69">
        <f t="shared" si="75"/>
        <v>18.329999999999998</v>
      </c>
      <c r="EY24" s="69">
        <f t="shared" si="76"/>
        <v>20.969932590149632</v>
      </c>
      <c r="EZ24" s="69">
        <f t="shared" si="185"/>
        <v>384.37886437744271</v>
      </c>
      <c r="FB24" s="69">
        <f t="shared" si="77"/>
        <v>22.57</v>
      </c>
      <c r="FC24" s="69">
        <f t="shared" si="78"/>
        <v>19</v>
      </c>
      <c r="FD24" s="69">
        <f t="shared" si="186"/>
        <v>428.83</v>
      </c>
      <c r="FE24" s="69">
        <f t="shared" si="79"/>
        <v>22.57</v>
      </c>
      <c r="FF24" s="69">
        <f t="shared" si="80"/>
        <v>18.28</v>
      </c>
      <c r="FG24" s="69">
        <f t="shared" si="187"/>
        <v>412.57960000000003</v>
      </c>
      <c r="FH24" s="69">
        <f t="shared" si="81"/>
        <v>22.57</v>
      </c>
      <c r="FI24" s="69">
        <f t="shared" si="82"/>
        <v>25.2</v>
      </c>
      <c r="FJ24" s="69">
        <f t="shared" si="188"/>
        <v>568.76400000000001</v>
      </c>
      <c r="FK24" s="69">
        <f t="shared" si="83"/>
        <v>22.57</v>
      </c>
      <c r="FL24" s="69">
        <f t="shared" si="84"/>
        <v>16.12</v>
      </c>
      <c r="FM24" s="69">
        <f t="shared" si="189"/>
        <v>363.82840000000004</v>
      </c>
      <c r="FN24" s="69">
        <f t="shared" si="85"/>
        <v>22.57</v>
      </c>
      <c r="FO24" s="69">
        <f t="shared" si="86"/>
        <v>23.46</v>
      </c>
      <c r="FP24" s="69">
        <f t="shared" si="190"/>
        <v>529.49220000000003</v>
      </c>
      <c r="FQ24" s="69">
        <f t="shared" si="87"/>
        <v>22.57</v>
      </c>
      <c r="FR24" s="69">
        <f t="shared" si="88"/>
        <v>20.969932590149632</v>
      </c>
      <c r="FS24" s="69">
        <f t="shared" si="191"/>
        <v>473.29137855967718</v>
      </c>
      <c r="FU24" s="69">
        <f t="shared" si="89"/>
        <v>19</v>
      </c>
      <c r="FV24" s="69">
        <f t="shared" si="90"/>
        <v>18.28</v>
      </c>
      <c r="FW24" s="69">
        <f t="shared" si="192"/>
        <v>347.32000000000005</v>
      </c>
      <c r="FX24" s="69">
        <f t="shared" si="91"/>
        <v>19</v>
      </c>
      <c r="FY24" s="69">
        <f t="shared" si="92"/>
        <v>25.2</v>
      </c>
      <c r="FZ24" s="69">
        <f t="shared" si="193"/>
        <v>478.8</v>
      </c>
      <c r="GA24" s="69">
        <f t="shared" si="93"/>
        <v>19</v>
      </c>
      <c r="GB24" s="69">
        <f t="shared" si="94"/>
        <v>16.12</v>
      </c>
      <c r="GC24" s="69">
        <f t="shared" si="194"/>
        <v>306.28000000000003</v>
      </c>
      <c r="GD24" s="69">
        <f t="shared" si="95"/>
        <v>19</v>
      </c>
      <c r="GE24" s="69">
        <f t="shared" si="96"/>
        <v>23.46</v>
      </c>
      <c r="GF24" s="69">
        <f t="shared" si="195"/>
        <v>445.74</v>
      </c>
      <c r="GG24" s="69">
        <f t="shared" si="97"/>
        <v>19</v>
      </c>
      <c r="GH24" s="69">
        <f t="shared" si="98"/>
        <v>20.969932590149632</v>
      </c>
      <c r="GI24" s="69">
        <f t="shared" si="196"/>
        <v>398.42871921284302</v>
      </c>
      <c r="GK24" s="69">
        <f t="shared" si="99"/>
        <v>18.28</v>
      </c>
      <c r="GL24" s="69">
        <f t="shared" si="100"/>
        <v>25.2</v>
      </c>
      <c r="GM24" s="69">
        <f t="shared" si="197"/>
        <v>460.65600000000001</v>
      </c>
      <c r="GN24" s="69">
        <f t="shared" si="101"/>
        <v>18.28</v>
      </c>
      <c r="GO24" s="69">
        <f t="shared" si="102"/>
        <v>16.12</v>
      </c>
      <c r="GP24" s="69">
        <f t="shared" si="198"/>
        <v>294.67360000000002</v>
      </c>
      <c r="GQ24" s="69">
        <f t="shared" si="103"/>
        <v>18.28</v>
      </c>
      <c r="GR24" s="69">
        <f t="shared" si="104"/>
        <v>23.46</v>
      </c>
      <c r="GS24" s="69">
        <f t="shared" si="199"/>
        <v>428.84880000000004</v>
      </c>
      <c r="GT24" s="69">
        <f t="shared" si="105"/>
        <v>18.28</v>
      </c>
      <c r="GU24" s="69">
        <f t="shared" si="106"/>
        <v>20.969932590149632</v>
      </c>
      <c r="GV24" s="69">
        <f t="shared" si="200"/>
        <v>383.33036774793533</v>
      </c>
      <c r="GX24" s="69">
        <f t="shared" si="201"/>
        <v>25.2</v>
      </c>
      <c r="GY24" s="69">
        <f t="shared" si="202"/>
        <v>16.12</v>
      </c>
      <c r="GZ24" s="69">
        <f t="shared" si="203"/>
        <v>406.22399999999999</v>
      </c>
      <c r="HA24" s="69">
        <f t="shared" si="204"/>
        <v>25.2</v>
      </c>
      <c r="HB24" s="69">
        <f t="shared" si="205"/>
        <v>23.46</v>
      </c>
      <c r="HC24" s="69">
        <f t="shared" si="206"/>
        <v>591.19200000000001</v>
      </c>
      <c r="HD24" s="69">
        <f t="shared" si="207"/>
        <v>25.2</v>
      </c>
      <c r="HE24" s="69">
        <f t="shared" si="208"/>
        <v>20.969932590149632</v>
      </c>
      <c r="HF24" s="69">
        <f t="shared" si="209"/>
        <v>528.4423012717707</v>
      </c>
      <c r="HH24" s="69">
        <f t="shared" si="210"/>
        <v>16.12</v>
      </c>
      <c r="HI24" s="69">
        <f t="shared" si="211"/>
        <v>23.46</v>
      </c>
      <c r="HJ24" s="69">
        <f t="shared" si="212"/>
        <v>378.17520000000002</v>
      </c>
      <c r="HK24" s="69">
        <f t="shared" si="213"/>
        <v>16.12</v>
      </c>
      <c r="HL24" s="69">
        <f t="shared" si="214"/>
        <v>20.969932590149632</v>
      </c>
      <c r="HM24" s="69">
        <f t="shared" si="215"/>
        <v>338.03531335321208</v>
      </c>
      <c r="HO24" s="69">
        <f t="shared" si="216"/>
        <v>23.46</v>
      </c>
      <c r="HP24" s="69">
        <f t="shared" si="217"/>
        <v>20.969932590149632</v>
      </c>
      <c r="HQ24" s="69">
        <f t="shared" si="218"/>
        <v>491.95461856491039</v>
      </c>
      <c r="HS24" s="69">
        <f t="shared" si="107"/>
        <v>20.969932590149632</v>
      </c>
      <c r="HT24" s="69">
        <f t="shared" si="108"/>
        <v>19.39</v>
      </c>
      <c r="HU24" s="69">
        <f t="shared" si="219"/>
        <v>406.60699292300137</v>
      </c>
      <c r="HV24" s="69">
        <f t="shared" si="109"/>
        <v>20.969932590149632</v>
      </c>
      <c r="HW24" s="69">
        <f t="shared" si="110"/>
        <v>24.9</v>
      </c>
      <c r="HX24" s="69">
        <f t="shared" si="220"/>
        <v>522.15132149472583</v>
      </c>
      <c r="HY24" s="69">
        <f t="shared" si="111"/>
        <v>20.969932590149632</v>
      </c>
      <c r="HZ24" s="69">
        <f t="shared" si="112"/>
        <v>24.87</v>
      </c>
      <c r="IA24" s="69">
        <f t="shared" si="221"/>
        <v>521.52222351702142</v>
      </c>
      <c r="IB24" s="69">
        <f t="shared" si="113"/>
        <v>20.969932590149632</v>
      </c>
      <c r="IC24" s="69">
        <f t="shared" si="114"/>
        <v>18.329999999999998</v>
      </c>
      <c r="ID24" s="69">
        <f t="shared" si="222"/>
        <v>384.37886437744271</v>
      </c>
      <c r="IE24" s="69">
        <f t="shared" si="115"/>
        <v>20.969932590149632</v>
      </c>
      <c r="IF24" s="69">
        <f t="shared" si="116"/>
        <v>22.57</v>
      </c>
      <c r="IG24" s="69">
        <f t="shared" si="223"/>
        <v>473.29137855967718</v>
      </c>
      <c r="IH24" s="69">
        <f t="shared" si="117"/>
        <v>20.969932590149632</v>
      </c>
      <c r="II24" s="69">
        <f t="shared" si="118"/>
        <v>19</v>
      </c>
      <c r="IJ24" s="69">
        <f t="shared" si="224"/>
        <v>398.42871921284302</v>
      </c>
      <c r="IK24" s="69">
        <f t="shared" si="119"/>
        <v>20.969932590149632</v>
      </c>
      <c r="IL24" s="69">
        <f t="shared" si="120"/>
        <v>18.28</v>
      </c>
      <c r="IM24" s="69">
        <f t="shared" si="225"/>
        <v>383.33036774793533</v>
      </c>
      <c r="IN24" s="69">
        <f t="shared" si="226"/>
        <v>20.969932590149632</v>
      </c>
      <c r="IO24" s="69">
        <f t="shared" si="227"/>
        <v>25.2</v>
      </c>
      <c r="IP24" s="69">
        <f t="shared" si="228"/>
        <v>528.4423012717707</v>
      </c>
      <c r="IQ24" s="69">
        <f t="shared" si="229"/>
        <v>20.969932590149632</v>
      </c>
      <c r="IR24" s="69">
        <f t="shared" si="230"/>
        <v>16.12</v>
      </c>
      <c r="IS24" s="69">
        <f t="shared" si="231"/>
        <v>338.03531335321208</v>
      </c>
      <c r="IT24" s="69">
        <f t="shared" si="232"/>
        <v>20.969932590149632</v>
      </c>
      <c r="IU24" s="69">
        <f t="shared" si="233"/>
        <v>23.46</v>
      </c>
      <c r="IV24" s="69">
        <f t="shared" si="234"/>
        <v>491.95461856491039</v>
      </c>
    </row>
    <row r="25" spans="1:256" ht="15" x14ac:dyDescent="0.25">
      <c r="A25" s="57" t="s">
        <v>28</v>
      </c>
      <c r="B25" s="295">
        <v>19.350000000000001</v>
      </c>
      <c r="C25" s="295">
        <v>24.11</v>
      </c>
      <c r="D25" s="295">
        <v>25.8</v>
      </c>
      <c r="E25" s="295">
        <v>18.899999999999999</v>
      </c>
      <c r="F25" s="295">
        <v>20.94</v>
      </c>
      <c r="G25" s="295">
        <v>20.239999999999998</v>
      </c>
      <c r="H25" s="295">
        <v>19.45</v>
      </c>
      <c r="I25" s="296">
        <v>25.01</v>
      </c>
      <c r="J25" s="295">
        <v>17.350000000000001</v>
      </c>
      <c r="K25" s="295">
        <v>24.1</v>
      </c>
      <c r="L25" s="68">
        <f t="shared" si="0"/>
        <v>10</v>
      </c>
      <c r="M25" s="69">
        <f t="shared" si="1"/>
        <v>21.342715215320588</v>
      </c>
      <c r="N25" s="69" t="str">
        <f t="shared" si="121"/>
        <v>±0,6</v>
      </c>
      <c r="O25" s="69" t="str">
        <f t="shared" si="122"/>
        <v>±2,67</v>
      </c>
      <c r="P25" s="69" t="str">
        <f t="shared" si="235"/>
        <v>±0,29</v>
      </c>
      <c r="Q25" s="70">
        <f t="shared" si="2"/>
        <v>19.350000000000001</v>
      </c>
      <c r="R25" s="71">
        <f t="shared" si="124"/>
        <v>0.38137475682410127</v>
      </c>
      <c r="S25" s="71">
        <f t="shared" si="125"/>
        <v>2.0105555987053103</v>
      </c>
      <c r="T25" s="70">
        <f t="shared" si="3"/>
        <v>24.11</v>
      </c>
      <c r="U25" s="71">
        <f t="shared" si="126"/>
        <v>0.1487778270670006</v>
      </c>
      <c r="V25" s="71">
        <f t="shared" si="127"/>
        <v>0.62091084500297544</v>
      </c>
      <c r="W25" s="70">
        <f t="shared" si="4"/>
        <v>25.8</v>
      </c>
      <c r="X25" s="71">
        <f t="shared" si="128"/>
        <v>0.11173871622193587</v>
      </c>
      <c r="Y25" s="71">
        <f t="shared" si="129"/>
        <v>0.43497967802319515</v>
      </c>
      <c r="Z25" s="70">
        <f t="shared" si="5"/>
        <v>18.899999999999999</v>
      </c>
      <c r="AA25" s="71">
        <f t="shared" si="130"/>
        <v>0.2081481471602018</v>
      </c>
      <c r="AB25" s="71">
        <f t="shared" si="131"/>
        <v>1.1135769146842334</v>
      </c>
      <c r="AC25" s="70">
        <f t="shared" si="6"/>
        <v>20.94</v>
      </c>
      <c r="AD25" s="71">
        <f t="shared" si="132"/>
        <v>-1.613121152841078</v>
      </c>
      <c r="AE25" s="71">
        <f t="shared" si="133"/>
        <v>-7.1525406257921365</v>
      </c>
      <c r="AF25" s="70">
        <f t="shared" si="7"/>
        <v>20.239999999999998</v>
      </c>
      <c r="AG25" s="71">
        <f t="shared" si="134"/>
        <v>-0.36269325718003032</v>
      </c>
      <c r="AH25" s="71">
        <f t="shared" si="135"/>
        <v>-1.7604167215062083</v>
      </c>
      <c r="AI25" s="70">
        <f t="shared" si="8"/>
        <v>19.45</v>
      </c>
      <c r="AJ25" s="71">
        <f t="shared" si="136"/>
        <v>-0.2870538655516377</v>
      </c>
      <c r="AK25" s="71">
        <f t="shared" si="137"/>
        <v>-1.4543906476976898</v>
      </c>
      <c r="AL25" s="70">
        <f t="shared" si="138"/>
        <v>25.01</v>
      </c>
      <c r="AM25" s="71">
        <f t="shared" si="139"/>
        <v>-0.82964076216531879</v>
      </c>
      <c r="AN25" s="71">
        <f t="shared" si="140"/>
        <v>-3.2107287009194296</v>
      </c>
      <c r="AO25" s="70">
        <f t="shared" si="141"/>
        <v>17.350000000000001</v>
      </c>
      <c r="AP25" s="71">
        <f t="shared" si="142"/>
        <v>-0.38710214259447895</v>
      </c>
      <c r="AQ25" s="71">
        <f t="shared" si="143"/>
        <v>-2.1824429914336418</v>
      </c>
      <c r="AR25" s="70">
        <f t="shared" si="144"/>
        <v>24.1</v>
      </c>
      <c r="AS25" s="71">
        <f t="shared" si="145"/>
        <v>2.0639464271873464E-2</v>
      </c>
      <c r="AT25" s="71">
        <f t="shared" si="146"/>
        <v>8.5714337144660036E-2</v>
      </c>
      <c r="AU25" s="69">
        <f t="shared" si="147"/>
        <v>21.342715215320588</v>
      </c>
      <c r="AV25" s="131" t="str">
        <f t="shared" si="148"/>
        <v>±0,6</v>
      </c>
      <c r="AW25" s="69" t="str">
        <f t="shared" si="236"/>
        <v>±2,67</v>
      </c>
      <c r="AX25" s="132">
        <f t="shared" si="150"/>
        <v>0.6</v>
      </c>
      <c r="AY25" s="132">
        <f t="shared" si="151"/>
        <v>2.67</v>
      </c>
      <c r="AZ25" s="69">
        <f t="shared" si="9"/>
        <v>19.350000000000001</v>
      </c>
      <c r="BA25" s="69">
        <f t="shared" si="10"/>
        <v>24.11</v>
      </c>
      <c r="BB25" s="69">
        <f t="shared" si="152"/>
        <v>466.52850000000001</v>
      </c>
      <c r="BC25" s="69">
        <f t="shared" si="11"/>
        <v>19.350000000000001</v>
      </c>
      <c r="BD25" s="69">
        <f t="shared" si="12"/>
        <v>25.8</v>
      </c>
      <c r="BE25" s="69">
        <f t="shared" si="153"/>
        <v>499.23000000000008</v>
      </c>
      <c r="BF25" s="69">
        <f t="shared" si="13"/>
        <v>19.350000000000001</v>
      </c>
      <c r="BG25" s="69">
        <f t="shared" si="14"/>
        <v>18.899999999999999</v>
      </c>
      <c r="BH25" s="69">
        <f t="shared" si="154"/>
        <v>365.71499999999997</v>
      </c>
      <c r="BI25" s="69">
        <f t="shared" si="15"/>
        <v>19.350000000000001</v>
      </c>
      <c r="BJ25" s="69">
        <f t="shared" si="16"/>
        <v>20.94</v>
      </c>
      <c r="BK25" s="69">
        <f t="shared" si="155"/>
        <v>405.18900000000008</v>
      </c>
      <c r="BL25" s="69">
        <f t="shared" si="17"/>
        <v>19.350000000000001</v>
      </c>
      <c r="BM25" s="69">
        <f t="shared" si="18"/>
        <v>20.239999999999998</v>
      </c>
      <c r="BN25" s="69">
        <f t="shared" si="156"/>
        <v>391.64400000000001</v>
      </c>
      <c r="BO25" s="69">
        <f t="shared" si="19"/>
        <v>19.350000000000001</v>
      </c>
      <c r="BP25" s="69">
        <f t="shared" si="20"/>
        <v>19.45</v>
      </c>
      <c r="BQ25" s="69">
        <f t="shared" si="157"/>
        <v>376.35750000000002</v>
      </c>
      <c r="BR25" s="69">
        <f t="shared" si="21"/>
        <v>19.350000000000001</v>
      </c>
      <c r="BS25" s="69">
        <f t="shared" si="22"/>
        <v>25.01</v>
      </c>
      <c r="BT25" s="69">
        <f t="shared" si="158"/>
        <v>483.94350000000009</v>
      </c>
      <c r="BU25" s="69">
        <f t="shared" si="23"/>
        <v>19.350000000000001</v>
      </c>
      <c r="BV25" s="69">
        <f t="shared" si="24"/>
        <v>17.350000000000001</v>
      </c>
      <c r="BW25" s="69">
        <f t="shared" si="159"/>
        <v>335.72250000000003</v>
      </c>
      <c r="BX25" s="69">
        <f t="shared" si="25"/>
        <v>19.350000000000001</v>
      </c>
      <c r="BY25" s="69">
        <f t="shared" si="26"/>
        <v>24.1</v>
      </c>
      <c r="BZ25" s="69">
        <f t="shared" si="160"/>
        <v>466.33500000000004</v>
      </c>
      <c r="CA25" s="69">
        <f t="shared" si="27"/>
        <v>19.350000000000001</v>
      </c>
      <c r="CB25" s="69">
        <f t="shared" si="28"/>
        <v>21.342715215320588</v>
      </c>
      <c r="CC25" s="69">
        <f t="shared" si="161"/>
        <v>412.98153941645342</v>
      </c>
      <c r="CE25" s="69">
        <f t="shared" si="29"/>
        <v>24.11</v>
      </c>
      <c r="CF25" s="69">
        <f t="shared" si="30"/>
        <v>25.8</v>
      </c>
      <c r="CG25" s="69">
        <f t="shared" si="162"/>
        <v>622.03800000000001</v>
      </c>
      <c r="CH25" s="69">
        <f t="shared" si="31"/>
        <v>24.11</v>
      </c>
      <c r="CI25" s="69">
        <f t="shared" si="32"/>
        <v>18.899999999999999</v>
      </c>
      <c r="CJ25" s="69">
        <f t="shared" si="163"/>
        <v>455.67899999999997</v>
      </c>
      <c r="CK25" s="69">
        <f t="shared" si="33"/>
        <v>24.11</v>
      </c>
      <c r="CL25" s="69">
        <f t="shared" si="34"/>
        <v>20.94</v>
      </c>
      <c r="CM25" s="69">
        <f t="shared" si="164"/>
        <v>504.86340000000001</v>
      </c>
      <c r="CN25" s="69">
        <f t="shared" si="35"/>
        <v>24.11</v>
      </c>
      <c r="CO25" s="69">
        <f t="shared" si="36"/>
        <v>20.239999999999998</v>
      </c>
      <c r="CP25" s="69">
        <f t="shared" si="165"/>
        <v>487.98639999999995</v>
      </c>
      <c r="CQ25" s="69">
        <f t="shared" si="37"/>
        <v>24.11</v>
      </c>
      <c r="CR25" s="69">
        <f t="shared" si="38"/>
        <v>19.45</v>
      </c>
      <c r="CS25" s="69">
        <f t="shared" si="166"/>
        <v>468.93949999999995</v>
      </c>
      <c r="CT25" s="69">
        <f t="shared" si="39"/>
        <v>24.11</v>
      </c>
      <c r="CU25" s="69">
        <f t="shared" si="40"/>
        <v>25.01</v>
      </c>
      <c r="CV25" s="69">
        <f t="shared" si="167"/>
        <v>602.99110000000007</v>
      </c>
      <c r="CW25" s="69">
        <f t="shared" si="41"/>
        <v>24.11</v>
      </c>
      <c r="CX25" s="69">
        <f t="shared" si="42"/>
        <v>17.350000000000001</v>
      </c>
      <c r="CY25" s="69">
        <f t="shared" si="168"/>
        <v>418.30850000000004</v>
      </c>
      <c r="CZ25" s="69">
        <f t="shared" si="43"/>
        <v>24.11</v>
      </c>
      <c r="DA25" s="69">
        <f t="shared" si="44"/>
        <v>24.1</v>
      </c>
      <c r="DB25" s="69">
        <f t="shared" si="169"/>
        <v>581.05100000000004</v>
      </c>
      <c r="DC25" s="69">
        <f t="shared" si="45"/>
        <v>24.11</v>
      </c>
      <c r="DD25" s="69">
        <f t="shared" si="46"/>
        <v>21.342715215320588</v>
      </c>
      <c r="DE25" s="69">
        <f t="shared" si="170"/>
        <v>514.57286384137933</v>
      </c>
      <c r="DG25" s="69">
        <f t="shared" si="47"/>
        <v>25.8</v>
      </c>
      <c r="DH25" s="69">
        <f t="shared" si="48"/>
        <v>18.899999999999999</v>
      </c>
      <c r="DI25" s="69">
        <f t="shared" si="171"/>
        <v>487.62</v>
      </c>
      <c r="DJ25" s="69">
        <f t="shared" si="49"/>
        <v>25.8</v>
      </c>
      <c r="DK25" s="69">
        <f t="shared" si="50"/>
        <v>20.94</v>
      </c>
      <c r="DL25" s="69">
        <f t="shared" si="172"/>
        <v>540.25200000000007</v>
      </c>
      <c r="DM25" s="69">
        <f t="shared" si="51"/>
        <v>25.8</v>
      </c>
      <c r="DN25" s="69">
        <f t="shared" si="52"/>
        <v>20.239999999999998</v>
      </c>
      <c r="DO25" s="69">
        <f t="shared" si="173"/>
        <v>522.19200000000001</v>
      </c>
      <c r="DP25" s="69">
        <f t="shared" si="53"/>
        <v>25.8</v>
      </c>
      <c r="DQ25" s="69">
        <f t="shared" si="54"/>
        <v>19.45</v>
      </c>
      <c r="DR25" s="69">
        <f t="shared" si="174"/>
        <v>501.81</v>
      </c>
      <c r="DS25" s="69">
        <f t="shared" si="55"/>
        <v>25.8</v>
      </c>
      <c r="DT25" s="69">
        <f t="shared" si="56"/>
        <v>25.01</v>
      </c>
      <c r="DU25" s="69">
        <f t="shared" si="175"/>
        <v>645.25800000000004</v>
      </c>
      <c r="DV25" s="69">
        <f t="shared" si="57"/>
        <v>25.8</v>
      </c>
      <c r="DW25" s="69">
        <f t="shared" si="58"/>
        <v>17.350000000000001</v>
      </c>
      <c r="DX25" s="69">
        <f t="shared" si="176"/>
        <v>447.63000000000005</v>
      </c>
      <c r="DY25" s="69">
        <f t="shared" si="59"/>
        <v>25.8</v>
      </c>
      <c r="DZ25" s="69">
        <f t="shared" si="60"/>
        <v>24.1</v>
      </c>
      <c r="EA25" s="69">
        <f t="shared" si="177"/>
        <v>621.78000000000009</v>
      </c>
      <c r="EB25" s="69">
        <f t="shared" si="61"/>
        <v>25.8</v>
      </c>
      <c r="EC25" s="69">
        <f t="shared" si="62"/>
        <v>21.342715215320588</v>
      </c>
      <c r="ED25" s="69">
        <f t="shared" si="178"/>
        <v>550.64205255527122</v>
      </c>
      <c r="EF25" s="69">
        <f t="shared" si="63"/>
        <v>18.899999999999999</v>
      </c>
      <c r="EG25" s="69">
        <f t="shared" si="64"/>
        <v>20.94</v>
      </c>
      <c r="EH25" s="69">
        <f t="shared" si="179"/>
        <v>395.76600000000002</v>
      </c>
      <c r="EI25" s="69">
        <f t="shared" si="65"/>
        <v>18.899999999999999</v>
      </c>
      <c r="EJ25" s="69">
        <f t="shared" si="66"/>
        <v>20.239999999999998</v>
      </c>
      <c r="EK25" s="69">
        <f t="shared" si="180"/>
        <v>382.53599999999994</v>
      </c>
      <c r="EL25" s="69">
        <f t="shared" si="67"/>
        <v>18.899999999999999</v>
      </c>
      <c r="EM25" s="69">
        <f t="shared" si="68"/>
        <v>19.45</v>
      </c>
      <c r="EN25" s="69">
        <f t="shared" si="181"/>
        <v>367.60499999999996</v>
      </c>
      <c r="EO25" s="69">
        <f t="shared" si="69"/>
        <v>18.899999999999999</v>
      </c>
      <c r="EP25" s="69">
        <f t="shared" si="70"/>
        <v>25.01</v>
      </c>
      <c r="EQ25" s="69">
        <f t="shared" si="182"/>
        <v>472.68900000000002</v>
      </c>
      <c r="ER25" s="69">
        <f t="shared" si="71"/>
        <v>18.899999999999999</v>
      </c>
      <c r="ES25" s="69">
        <f t="shared" si="72"/>
        <v>17.350000000000001</v>
      </c>
      <c r="ET25" s="69">
        <f t="shared" si="183"/>
        <v>327.91500000000002</v>
      </c>
      <c r="EU25" s="69">
        <f t="shared" si="73"/>
        <v>18.899999999999999</v>
      </c>
      <c r="EV25" s="69">
        <f t="shared" si="74"/>
        <v>24.1</v>
      </c>
      <c r="EW25" s="69">
        <f t="shared" si="184"/>
        <v>455.49</v>
      </c>
      <c r="EX25" s="69">
        <f t="shared" si="75"/>
        <v>18.899999999999999</v>
      </c>
      <c r="EY25" s="69">
        <f t="shared" si="76"/>
        <v>21.342715215320588</v>
      </c>
      <c r="EZ25" s="69">
        <f t="shared" si="185"/>
        <v>403.37731756955907</v>
      </c>
      <c r="FB25" s="69">
        <f t="shared" si="77"/>
        <v>20.94</v>
      </c>
      <c r="FC25" s="69">
        <f t="shared" si="78"/>
        <v>20.239999999999998</v>
      </c>
      <c r="FD25" s="69">
        <f t="shared" si="186"/>
        <v>423.82560000000001</v>
      </c>
      <c r="FE25" s="69">
        <f t="shared" si="79"/>
        <v>20.94</v>
      </c>
      <c r="FF25" s="69">
        <f t="shared" si="80"/>
        <v>19.45</v>
      </c>
      <c r="FG25" s="69">
        <f t="shared" si="187"/>
        <v>407.28300000000002</v>
      </c>
      <c r="FH25" s="69">
        <f t="shared" si="81"/>
        <v>20.94</v>
      </c>
      <c r="FI25" s="69">
        <f t="shared" si="82"/>
        <v>25.01</v>
      </c>
      <c r="FJ25" s="69">
        <f t="shared" si="188"/>
        <v>523.70940000000007</v>
      </c>
      <c r="FK25" s="69">
        <f t="shared" si="83"/>
        <v>20.94</v>
      </c>
      <c r="FL25" s="69">
        <f t="shared" si="84"/>
        <v>17.350000000000001</v>
      </c>
      <c r="FM25" s="69">
        <f t="shared" si="189"/>
        <v>363.30900000000003</v>
      </c>
      <c r="FN25" s="69">
        <f t="shared" si="85"/>
        <v>20.94</v>
      </c>
      <c r="FO25" s="69">
        <f t="shared" si="86"/>
        <v>24.1</v>
      </c>
      <c r="FP25" s="69">
        <f t="shared" si="190"/>
        <v>504.65400000000005</v>
      </c>
      <c r="FQ25" s="69">
        <f t="shared" si="87"/>
        <v>20.94</v>
      </c>
      <c r="FR25" s="69">
        <f t="shared" si="88"/>
        <v>21.342715215320588</v>
      </c>
      <c r="FS25" s="69">
        <f t="shared" si="191"/>
        <v>446.91645660881312</v>
      </c>
      <c r="FU25" s="69">
        <f t="shared" si="89"/>
        <v>20.239999999999998</v>
      </c>
      <c r="FV25" s="69">
        <f t="shared" si="90"/>
        <v>19.45</v>
      </c>
      <c r="FW25" s="69">
        <f t="shared" si="192"/>
        <v>393.66799999999995</v>
      </c>
      <c r="FX25" s="69">
        <f t="shared" si="91"/>
        <v>20.239999999999998</v>
      </c>
      <c r="FY25" s="69">
        <f t="shared" si="92"/>
        <v>25.01</v>
      </c>
      <c r="FZ25" s="69">
        <f t="shared" si="193"/>
        <v>506.20240000000001</v>
      </c>
      <c r="GA25" s="69">
        <f t="shared" si="93"/>
        <v>20.239999999999998</v>
      </c>
      <c r="GB25" s="69">
        <f t="shared" si="94"/>
        <v>17.350000000000001</v>
      </c>
      <c r="GC25" s="69">
        <f t="shared" si="194"/>
        <v>351.16399999999999</v>
      </c>
      <c r="GD25" s="69">
        <f t="shared" si="95"/>
        <v>20.239999999999998</v>
      </c>
      <c r="GE25" s="69">
        <f t="shared" si="96"/>
        <v>24.1</v>
      </c>
      <c r="GF25" s="69">
        <f t="shared" si="195"/>
        <v>487.78399999999999</v>
      </c>
      <c r="GG25" s="69">
        <f t="shared" si="97"/>
        <v>20.239999999999998</v>
      </c>
      <c r="GH25" s="69">
        <f t="shared" si="98"/>
        <v>21.342715215320588</v>
      </c>
      <c r="GI25" s="69">
        <f t="shared" si="196"/>
        <v>431.97655595808868</v>
      </c>
      <c r="GK25" s="69">
        <f t="shared" si="99"/>
        <v>19.45</v>
      </c>
      <c r="GL25" s="69">
        <f t="shared" si="100"/>
        <v>25.01</v>
      </c>
      <c r="GM25" s="69">
        <f t="shared" si="197"/>
        <v>486.44450000000001</v>
      </c>
      <c r="GN25" s="69">
        <f t="shared" si="101"/>
        <v>19.45</v>
      </c>
      <c r="GO25" s="69">
        <f t="shared" si="102"/>
        <v>17.350000000000001</v>
      </c>
      <c r="GP25" s="69">
        <f t="shared" si="198"/>
        <v>337.45750000000004</v>
      </c>
      <c r="GQ25" s="69">
        <f t="shared" si="103"/>
        <v>19.45</v>
      </c>
      <c r="GR25" s="69">
        <f t="shared" si="104"/>
        <v>24.1</v>
      </c>
      <c r="GS25" s="69">
        <f t="shared" si="199"/>
        <v>468.745</v>
      </c>
      <c r="GT25" s="69">
        <f t="shared" si="105"/>
        <v>19.45</v>
      </c>
      <c r="GU25" s="69">
        <f t="shared" si="106"/>
        <v>21.342715215320588</v>
      </c>
      <c r="GV25" s="69">
        <f t="shared" si="200"/>
        <v>415.11581093798543</v>
      </c>
      <c r="GX25" s="69">
        <f t="shared" si="201"/>
        <v>25.01</v>
      </c>
      <c r="GY25" s="69">
        <f t="shared" si="202"/>
        <v>17.350000000000001</v>
      </c>
      <c r="GZ25" s="69">
        <f t="shared" si="203"/>
        <v>433.92350000000005</v>
      </c>
      <c r="HA25" s="69">
        <f t="shared" si="204"/>
        <v>25.01</v>
      </c>
      <c r="HB25" s="69">
        <f t="shared" si="205"/>
        <v>24.1</v>
      </c>
      <c r="HC25" s="69">
        <f t="shared" si="206"/>
        <v>602.7410000000001</v>
      </c>
      <c r="HD25" s="69">
        <f t="shared" si="207"/>
        <v>25.01</v>
      </c>
      <c r="HE25" s="69">
        <f t="shared" si="208"/>
        <v>21.342715215320588</v>
      </c>
      <c r="HF25" s="69">
        <f t="shared" si="209"/>
        <v>533.78130753516791</v>
      </c>
      <c r="HH25" s="69">
        <f t="shared" si="210"/>
        <v>17.350000000000001</v>
      </c>
      <c r="HI25" s="69">
        <f t="shared" si="211"/>
        <v>24.1</v>
      </c>
      <c r="HJ25" s="69">
        <f t="shared" si="212"/>
        <v>418.13500000000005</v>
      </c>
      <c r="HK25" s="69">
        <f t="shared" si="213"/>
        <v>17.350000000000001</v>
      </c>
      <c r="HL25" s="69">
        <f t="shared" si="214"/>
        <v>21.342715215320588</v>
      </c>
      <c r="HM25" s="69">
        <f t="shared" si="215"/>
        <v>370.29610898581223</v>
      </c>
      <c r="HO25" s="69">
        <f t="shared" si="216"/>
        <v>24.1</v>
      </c>
      <c r="HP25" s="69">
        <f t="shared" si="217"/>
        <v>21.342715215320588</v>
      </c>
      <c r="HQ25" s="69">
        <f t="shared" si="218"/>
        <v>514.35943668922619</v>
      </c>
      <c r="HS25" s="69">
        <f t="shared" si="107"/>
        <v>21.342715215320588</v>
      </c>
      <c r="HT25" s="69">
        <f t="shared" si="108"/>
        <v>19.350000000000001</v>
      </c>
      <c r="HU25" s="69">
        <f t="shared" si="219"/>
        <v>412.98153941645342</v>
      </c>
      <c r="HV25" s="69">
        <f t="shared" si="109"/>
        <v>21.342715215320588</v>
      </c>
      <c r="HW25" s="69">
        <f t="shared" si="110"/>
        <v>24.11</v>
      </c>
      <c r="HX25" s="69">
        <f t="shared" si="220"/>
        <v>514.57286384137933</v>
      </c>
      <c r="HY25" s="69">
        <f t="shared" si="111"/>
        <v>21.342715215320588</v>
      </c>
      <c r="HZ25" s="69">
        <f t="shared" si="112"/>
        <v>25.8</v>
      </c>
      <c r="IA25" s="69">
        <f t="shared" si="221"/>
        <v>550.64205255527122</v>
      </c>
      <c r="IB25" s="69">
        <f t="shared" si="113"/>
        <v>21.342715215320588</v>
      </c>
      <c r="IC25" s="69">
        <f t="shared" si="114"/>
        <v>18.899999999999999</v>
      </c>
      <c r="ID25" s="69">
        <f t="shared" si="222"/>
        <v>403.37731756955907</v>
      </c>
      <c r="IE25" s="69">
        <f t="shared" si="115"/>
        <v>21.342715215320588</v>
      </c>
      <c r="IF25" s="69">
        <f t="shared" si="116"/>
        <v>20.94</v>
      </c>
      <c r="IG25" s="69">
        <f t="shared" si="223"/>
        <v>446.91645660881312</v>
      </c>
      <c r="IH25" s="69">
        <f t="shared" si="117"/>
        <v>21.342715215320588</v>
      </c>
      <c r="II25" s="69">
        <f t="shared" si="118"/>
        <v>20.239999999999998</v>
      </c>
      <c r="IJ25" s="69">
        <f t="shared" si="224"/>
        <v>431.97655595808868</v>
      </c>
      <c r="IK25" s="69">
        <f t="shared" si="119"/>
        <v>21.342715215320588</v>
      </c>
      <c r="IL25" s="69">
        <f t="shared" si="120"/>
        <v>19.45</v>
      </c>
      <c r="IM25" s="69">
        <f t="shared" si="225"/>
        <v>415.11581093798543</v>
      </c>
      <c r="IN25" s="69">
        <f t="shared" si="226"/>
        <v>21.342715215320588</v>
      </c>
      <c r="IO25" s="69">
        <f t="shared" si="227"/>
        <v>25.01</v>
      </c>
      <c r="IP25" s="69">
        <f t="shared" si="228"/>
        <v>533.78130753516791</v>
      </c>
      <c r="IQ25" s="69">
        <f t="shared" si="229"/>
        <v>21.342715215320588</v>
      </c>
      <c r="IR25" s="69">
        <f t="shared" si="230"/>
        <v>17.350000000000001</v>
      </c>
      <c r="IS25" s="69">
        <f t="shared" si="231"/>
        <v>370.29610898581223</v>
      </c>
      <c r="IT25" s="69">
        <f t="shared" si="232"/>
        <v>21.342715215320588</v>
      </c>
      <c r="IU25" s="69">
        <f t="shared" si="233"/>
        <v>24.1</v>
      </c>
      <c r="IV25" s="69">
        <f t="shared" si="234"/>
        <v>514.35943668922619</v>
      </c>
    </row>
    <row r="26" spans="1:256" ht="15" x14ac:dyDescent="0.25">
      <c r="A26" s="57" t="s">
        <v>29</v>
      </c>
      <c r="B26" s="295">
        <v>18.28</v>
      </c>
      <c r="C26" s="295">
        <v>23.71</v>
      </c>
      <c r="D26" s="295">
        <v>25.39</v>
      </c>
      <c r="E26" s="295">
        <v>18.09</v>
      </c>
      <c r="F26" s="295">
        <v>21.27</v>
      </c>
      <c r="G26" s="295">
        <v>20.329999999999998</v>
      </c>
      <c r="H26" s="295">
        <v>19.86</v>
      </c>
      <c r="I26" s="296">
        <v>27.04</v>
      </c>
      <c r="J26" s="295">
        <v>17.559999999999999</v>
      </c>
      <c r="K26" s="295">
        <v>24.14</v>
      </c>
      <c r="L26" s="68">
        <f t="shared" si="0"/>
        <v>10</v>
      </c>
      <c r="M26" s="69">
        <f t="shared" si="1"/>
        <v>21.341068462954023</v>
      </c>
      <c r="N26" s="69" t="str">
        <f t="shared" si="121"/>
        <v>±0,64</v>
      </c>
      <c r="O26" s="69" t="str">
        <f t="shared" si="122"/>
        <v>±2,78</v>
      </c>
      <c r="P26" s="69" t="str">
        <f t="shared" si="235"/>
        <v>±0,47</v>
      </c>
      <c r="Q26" s="70">
        <f t="shared" si="2"/>
        <v>18.28</v>
      </c>
      <c r="R26" s="71">
        <f t="shared" si="124"/>
        <v>-0.68862524317589902</v>
      </c>
      <c r="S26" s="71">
        <f t="shared" si="125"/>
        <v>-3.6303381734194784</v>
      </c>
      <c r="T26" s="70">
        <f t="shared" si="3"/>
        <v>23.71</v>
      </c>
      <c r="U26" s="71">
        <f t="shared" si="126"/>
        <v>-0.25122217293299798</v>
      </c>
      <c r="V26" s="71">
        <f t="shared" si="127"/>
        <v>-1.0484530844039441</v>
      </c>
      <c r="W26" s="70">
        <f t="shared" si="4"/>
        <v>25.39</v>
      </c>
      <c r="X26" s="71">
        <f t="shared" si="128"/>
        <v>-0.29826128377806427</v>
      </c>
      <c r="Y26" s="71">
        <f t="shared" si="129"/>
        <v>-1.1610800765500362</v>
      </c>
      <c r="Z26" s="70">
        <f t="shared" si="5"/>
        <v>18.09</v>
      </c>
      <c r="AA26" s="71">
        <f t="shared" si="130"/>
        <v>-0.60185185283979692</v>
      </c>
      <c r="AB26" s="71">
        <f t="shared" si="131"/>
        <v>-3.2198620959450808</v>
      </c>
      <c r="AC26" s="70">
        <f t="shared" si="6"/>
        <v>21.27</v>
      </c>
      <c r="AD26" s="71">
        <f t="shared" si="132"/>
        <v>-1.2831211528410797</v>
      </c>
      <c r="AE26" s="71">
        <f t="shared" si="133"/>
        <v>-5.6893285153103541</v>
      </c>
      <c r="AF26" s="70">
        <f t="shared" si="7"/>
        <v>20.329999999999998</v>
      </c>
      <c r="AG26" s="71">
        <f t="shared" si="134"/>
        <v>-0.27269325718003046</v>
      </c>
      <c r="AH26" s="71">
        <f t="shared" si="135"/>
        <v>-1.3235806298528274</v>
      </c>
      <c r="AI26" s="70">
        <f t="shared" si="8"/>
        <v>19.86</v>
      </c>
      <c r="AJ26" s="71">
        <f t="shared" si="136"/>
        <v>0.12294613444836244</v>
      </c>
      <c r="AK26" s="71">
        <f t="shared" si="137"/>
        <v>0.62292039777500641</v>
      </c>
      <c r="AL26" s="70">
        <f t="shared" si="138"/>
        <v>27.04</v>
      </c>
      <c r="AM26" s="71">
        <f t="shared" si="139"/>
        <v>1.2003592378346788</v>
      </c>
      <c r="AN26" s="71">
        <f t="shared" si="140"/>
        <v>4.6454176700175154</v>
      </c>
      <c r="AO26" s="70">
        <f t="shared" si="141"/>
        <v>17.559999999999999</v>
      </c>
      <c r="AP26" s="71">
        <f t="shared" si="142"/>
        <v>-0.17710214259448165</v>
      </c>
      <c r="AQ26" s="71">
        <f t="shared" si="143"/>
        <v>-0.99848408815993439</v>
      </c>
      <c r="AR26" s="70">
        <f t="shared" si="144"/>
        <v>24.14</v>
      </c>
      <c r="AS26" s="71">
        <f t="shared" si="145"/>
        <v>6.0639464271872612E-2</v>
      </c>
      <c r="AT26" s="71">
        <f t="shared" si="146"/>
        <v>0.2518317053390895</v>
      </c>
      <c r="AU26" s="69">
        <f t="shared" si="147"/>
        <v>21.341068462954023</v>
      </c>
      <c r="AV26" s="131" t="str">
        <f t="shared" si="148"/>
        <v>±0,64</v>
      </c>
      <c r="AW26" s="69" t="str">
        <f t="shared" si="236"/>
        <v>±2,78</v>
      </c>
      <c r="AX26" s="132">
        <f t="shared" si="150"/>
        <v>0.64</v>
      </c>
      <c r="AY26" s="132">
        <f t="shared" si="151"/>
        <v>2.78</v>
      </c>
      <c r="AZ26" s="69">
        <f t="shared" si="9"/>
        <v>18.28</v>
      </c>
      <c r="BA26" s="69">
        <f t="shared" si="10"/>
        <v>23.71</v>
      </c>
      <c r="BB26" s="69">
        <f t="shared" si="152"/>
        <v>433.41880000000003</v>
      </c>
      <c r="BC26" s="69">
        <f t="shared" si="11"/>
        <v>18.28</v>
      </c>
      <c r="BD26" s="69">
        <f t="shared" si="12"/>
        <v>25.39</v>
      </c>
      <c r="BE26" s="69">
        <f t="shared" si="153"/>
        <v>464.12920000000003</v>
      </c>
      <c r="BF26" s="69">
        <f t="shared" si="13"/>
        <v>18.28</v>
      </c>
      <c r="BG26" s="69">
        <f t="shared" si="14"/>
        <v>18.09</v>
      </c>
      <c r="BH26" s="69">
        <f t="shared" si="154"/>
        <v>330.68520000000001</v>
      </c>
      <c r="BI26" s="69">
        <f t="shared" si="15"/>
        <v>18.28</v>
      </c>
      <c r="BJ26" s="69">
        <f t="shared" si="16"/>
        <v>21.27</v>
      </c>
      <c r="BK26" s="69">
        <f t="shared" si="155"/>
        <v>388.81560000000002</v>
      </c>
      <c r="BL26" s="69">
        <f t="shared" si="17"/>
        <v>18.28</v>
      </c>
      <c r="BM26" s="69">
        <f t="shared" si="18"/>
        <v>20.329999999999998</v>
      </c>
      <c r="BN26" s="69">
        <f t="shared" si="156"/>
        <v>371.63240000000002</v>
      </c>
      <c r="BO26" s="69">
        <f t="shared" si="19"/>
        <v>18.28</v>
      </c>
      <c r="BP26" s="69">
        <f t="shared" si="20"/>
        <v>19.86</v>
      </c>
      <c r="BQ26" s="69">
        <f t="shared" si="157"/>
        <v>363.04079999999999</v>
      </c>
      <c r="BR26" s="69">
        <f t="shared" si="21"/>
        <v>18.28</v>
      </c>
      <c r="BS26" s="69">
        <f t="shared" si="22"/>
        <v>27.04</v>
      </c>
      <c r="BT26" s="69">
        <f t="shared" si="158"/>
        <v>494.2912</v>
      </c>
      <c r="BU26" s="69">
        <f t="shared" si="23"/>
        <v>18.28</v>
      </c>
      <c r="BV26" s="69">
        <f t="shared" si="24"/>
        <v>17.559999999999999</v>
      </c>
      <c r="BW26" s="69">
        <f t="shared" si="159"/>
        <v>320.99680000000001</v>
      </c>
      <c r="BX26" s="69">
        <f t="shared" si="25"/>
        <v>18.28</v>
      </c>
      <c r="BY26" s="69">
        <f t="shared" si="26"/>
        <v>24.14</v>
      </c>
      <c r="BZ26" s="69">
        <f t="shared" si="160"/>
        <v>441.27920000000006</v>
      </c>
      <c r="CA26" s="69">
        <f t="shared" si="27"/>
        <v>18.28</v>
      </c>
      <c r="CB26" s="69">
        <f t="shared" si="28"/>
        <v>21.341068462954023</v>
      </c>
      <c r="CC26" s="69">
        <f t="shared" si="161"/>
        <v>390.1147315027996</v>
      </c>
      <c r="CE26" s="69">
        <f t="shared" si="29"/>
        <v>23.71</v>
      </c>
      <c r="CF26" s="69">
        <f t="shared" si="30"/>
        <v>25.39</v>
      </c>
      <c r="CG26" s="69">
        <f t="shared" si="162"/>
        <v>601.99689999999998</v>
      </c>
      <c r="CH26" s="69">
        <f t="shared" si="31"/>
        <v>23.71</v>
      </c>
      <c r="CI26" s="69">
        <f t="shared" si="32"/>
        <v>18.09</v>
      </c>
      <c r="CJ26" s="69">
        <f t="shared" si="163"/>
        <v>428.91390000000001</v>
      </c>
      <c r="CK26" s="69">
        <f t="shared" si="33"/>
        <v>23.71</v>
      </c>
      <c r="CL26" s="69">
        <f t="shared" si="34"/>
        <v>21.27</v>
      </c>
      <c r="CM26" s="69">
        <f t="shared" si="164"/>
        <v>504.31170000000003</v>
      </c>
      <c r="CN26" s="69">
        <f t="shared" si="35"/>
        <v>23.71</v>
      </c>
      <c r="CO26" s="69">
        <f t="shared" si="36"/>
        <v>20.329999999999998</v>
      </c>
      <c r="CP26" s="69">
        <f t="shared" si="165"/>
        <v>482.02429999999998</v>
      </c>
      <c r="CQ26" s="69">
        <f t="shared" si="37"/>
        <v>23.71</v>
      </c>
      <c r="CR26" s="69">
        <f t="shared" si="38"/>
        <v>19.86</v>
      </c>
      <c r="CS26" s="69">
        <f t="shared" si="166"/>
        <v>470.88060000000002</v>
      </c>
      <c r="CT26" s="69">
        <f t="shared" si="39"/>
        <v>23.71</v>
      </c>
      <c r="CU26" s="69">
        <f t="shared" si="40"/>
        <v>27.04</v>
      </c>
      <c r="CV26" s="69">
        <f t="shared" si="167"/>
        <v>641.11839999999995</v>
      </c>
      <c r="CW26" s="69">
        <f t="shared" si="41"/>
        <v>23.71</v>
      </c>
      <c r="CX26" s="69">
        <f t="shared" si="42"/>
        <v>17.559999999999999</v>
      </c>
      <c r="CY26" s="69">
        <f t="shared" si="168"/>
        <v>416.3476</v>
      </c>
      <c r="CZ26" s="69">
        <f t="shared" si="43"/>
        <v>23.71</v>
      </c>
      <c r="DA26" s="69">
        <f t="shared" si="44"/>
        <v>24.14</v>
      </c>
      <c r="DB26" s="69">
        <f t="shared" si="169"/>
        <v>572.35940000000005</v>
      </c>
      <c r="DC26" s="69">
        <f t="shared" si="45"/>
        <v>23.71</v>
      </c>
      <c r="DD26" s="69">
        <f t="shared" si="46"/>
        <v>21.341068462954023</v>
      </c>
      <c r="DE26" s="69">
        <f t="shared" si="170"/>
        <v>505.99673325663991</v>
      </c>
      <c r="DG26" s="69">
        <f t="shared" si="47"/>
        <v>25.39</v>
      </c>
      <c r="DH26" s="69">
        <f t="shared" si="48"/>
        <v>18.09</v>
      </c>
      <c r="DI26" s="69">
        <f t="shared" si="171"/>
        <v>459.30509999999998</v>
      </c>
      <c r="DJ26" s="69">
        <f t="shared" si="49"/>
        <v>25.39</v>
      </c>
      <c r="DK26" s="69">
        <f t="shared" si="50"/>
        <v>21.27</v>
      </c>
      <c r="DL26" s="69">
        <f t="shared" si="172"/>
        <v>540.0453</v>
      </c>
      <c r="DM26" s="69">
        <f t="shared" si="51"/>
        <v>25.39</v>
      </c>
      <c r="DN26" s="69">
        <f t="shared" si="52"/>
        <v>20.329999999999998</v>
      </c>
      <c r="DO26" s="69">
        <f t="shared" si="173"/>
        <v>516.17869999999994</v>
      </c>
      <c r="DP26" s="69">
        <f t="shared" si="53"/>
        <v>25.39</v>
      </c>
      <c r="DQ26" s="69">
        <f t="shared" si="54"/>
        <v>19.86</v>
      </c>
      <c r="DR26" s="69">
        <f t="shared" si="174"/>
        <v>504.24540000000002</v>
      </c>
      <c r="DS26" s="69">
        <f t="shared" si="55"/>
        <v>25.39</v>
      </c>
      <c r="DT26" s="69">
        <f t="shared" si="56"/>
        <v>27.04</v>
      </c>
      <c r="DU26" s="69">
        <f t="shared" si="175"/>
        <v>686.54560000000004</v>
      </c>
      <c r="DV26" s="69">
        <f t="shared" si="57"/>
        <v>25.39</v>
      </c>
      <c r="DW26" s="69">
        <f t="shared" si="58"/>
        <v>17.559999999999999</v>
      </c>
      <c r="DX26" s="69">
        <f t="shared" si="176"/>
        <v>445.84839999999997</v>
      </c>
      <c r="DY26" s="69">
        <f t="shared" si="59"/>
        <v>25.39</v>
      </c>
      <c r="DZ26" s="69">
        <f t="shared" si="60"/>
        <v>24.14</v>
      </c>
      <c r="EA26" s="69">
        <f t="shared" si="177"/>
        <v>612.91460000000006</v>
      </c>
      <c r="EB26" s="69">
        <f t="shared" si="61"/>
        <v>25.39</v>
      </c>
      <c r="EC26" s="69">
        <f t="shared" si="62"/>
        <v>21.341068462954023</v>
      </c>
      <c r="ED26" s="69">
        <f t="shared" si="178"/>
        <v>541.84972827440265</v>
      </c>
      <c r="EF26" s="69">
        <f t="shared" si="63"/>
        <v>18.09</v>
      </c>
      <c r="EG26" s="69">
        <f t="shared" si="64"/>
        <v>21.27</v>
      </c>
      <c r="EH26" s="69">
        <f t="shared" si="179"/>
        <v>384.77429999999998</v>
      </c>
      <c r="EI26" s="69">
        <f t="shared" si="65"/>
        <v>18.09</v>
      </c>
      <c r="EJ26" s="69">
        <f t="shared" si="66"/>
        <v>20.329999999999998</v>
      </c>
      <c r="EK26" s="69">
        <f t="shared" si="180"/>
        <v>367.76969999999994</v>
      </c>
      <c r="EL26" s="69">
        <f t="shared" si="67"/>
        <v>18.09</v>
      </c>
      <c r="EM26" s="69">
        <f t="shared" si="68"/>
        <v>19.86</v>
      </c>
      <c r="EN26" s="69">
        <f t="shared" si="181"/>
        <v>359.26740000000001</v>
      </c>
      <c r="EO26" s="69">
        <f t="shared" si="69"/>
        <v>18.09</v>
      </c>
      <c r="EP26" s="69">
        <f t="shared" si="70"/>
        <v>27.04</v>
      </c>
      <c r="EQ26" s="69">
        <f t="shared" si="182"/>
        <v>489.15359999999998</v>
      </c>
      <c r="ER26" s="69">
        <f t="shared" si="71"/>
        <v>18.09</v>
      </c>
      <c r="ES26" s="69">
        <f t="shared" si="72"/>
        <v>17.559999999999999</v>
      </c>
      <c r="ET26" s="69">
        <f t="shared" si="183"/>
        <v>317.66039999999998</v>
      </c>
      <c r="EU26" s="69">
        <f t="shared" si="73"/>
        <v>18.09</v>
      </c>
      <c r="EV26" s="69">
        <f t="shared" si="74"/>
        <v>24.14</v>
      </c>
      <c r="EW26" s="69">
        <f t="shared" si="184"/>
        <v>436.69260000000003</v>
      </c>
      <c r="EX26" s="69">
        <f t="shared" si="75"/>
        <v>18.09</v>
      </c>
      <c r="EY26" s="69">
        <f t="shared" si="76"/>
        <v>21.341068462954023</v>
      </c>
      <c r="EZ26" s="69">
        <f t="shared" si="185"/>
        <v>386.05992849483829</v>
      </c>
      <c r="FB26" s="69">
        <f t="shared" si="77"/>
        <v>21.27</v>
      </c>
      <c r="FC26" s="69">
        <f t="shared" si="78"/>
        <v>20.329999999999998</v>
      </c>
      <c r="FD26" s="69">
        <f t="shared" si="186"/>
        <v>432.41909999999996</v>
      </c>
      <c r="FE26" s="69">
        <f t="shared" si="79"/>
        <v>21.27</v>
      </c>
      <c r="FF26" s="69">
        <f t="shared" si="80"/>
        <v>19.86</v>
      </c>
      <c r="FG26" s="69">
        <f t="shared" si="187"/>
        <v>422.42219999999998</v>
      </c>
      <c r="FH26" s="69">
        <f t="shared" si="81"/>
        <v>21.27</v>
      </c>
      <c r="FI26" s="69">
        <f t="shared" si="82"/>
        <v>27.04</v>
      </c>
      <c r="FJ26" s="69">
        <f t="shared" si="188"/>
        <v>575.14080000000001</v>
      </c>
      <c r="FK26" s="69">
        <f t="shared" si="83"/>
        <v>21.27</v>
      </c>
      <c r="FL26" s="69">
        <f t="shared" si="84"/>
        <v>17.559999999999999</v>
      </c>
      <c r="FM26" s="69">
        <f t="shared" si="189"/>
        <v>373.50119999999998</v>
      </c>
      <c r="FN26" s="69">
        <f t="shared" si="85"/>
        <v>21.27</v>
      </c>
      <c r="FO26" s="69">
        <f t="shared" si="86"/>
        <v>24.14</v>
      </c>
      <c r="FP26" s="69">
        <f t="shared" si="190"/>
        <v>513.45780000000002</v>
      </c>
      <c r="FQ26" s="69">
        <f t="shared" si="87"/>
        <v>21.27</v>
      </c>
      <c r="FR26" s="69">
        <f t="shared" si="88"/>
        <v>21.341068462954023</v>
      </c>
      <c r="FS26" s="69">
        <f t="shared" si="191"/>
        <v>453.92452620703205</v>
      </c>
      <c r="FU26" s="69">
        <f t="shared" si="89"/>
        <v>20.329999999999998</v>
      </c>
      <c r="FV26" s="69">
        <f t="shared" si="90"/>
        <v>19.86</v>
      </c>
      <c r="FW26" s="69">
        <f t="shared" si="192"/>
        <v>403.75379999999996</v>
      </c>
      <c r="FX26" s="69">
        <f t="shared" si="91"/>
        <v>20.329999999999998</v>
      </c>
      <c r="FY26" s="69">
        <f t="shared" si="92"/>
        <v>27.04</v>
      </c>
      <c r="FZ26" s="69">
        <f t="shared" si="193"/>
        <v>549.72319999999991</v>
      </c>
      <c r="GA26" s="69">
        <f t="shared" si="93"/>
        <v>20.329999999999998</v>
      </c>
      <c r="GB26" s="69">
        <f t="shared" si="94"/>
        <v>17.559999999999999</v>
      </c>
      <c r="GC26" s="69">
        <f t="shared" si="194"/>
        <v>356.99479999999994</v>
      </c>
      <c r="GD26" s="69">
        <f t="shared" si="95"/>
        <v>20.329999999999998</v>
      </c>
      <c r="GE26" s="69">
        <f t="shared" si="96"/>
        <v>24.14</v>
      </c>
      <c r="GF26" s="69">
        <f t="shared" si="195"/>
        <v>490.76619999999997</v>
      </c>
      <c r="GG26" s="69">
        <f t="shared" si="97"/>
        <v>20.329999999999998</v>
      </c>
      <c r="GH26" s="69">
        <f t="shared" si="98"/>
        <v>21.341068462954023</v>
      </c>
      <c r="GI26" s="69">
        <f t="shared" si="196"/>
        <v>433.86392185185525</v>
      </c>
      <c r="GK26" s="69">
        <f t="shared" si="99"/>
        <v>19.86</v>
      </c>
      <c r="GL26" s="69">
        <f t="shared" si="100"/>
        <v>27.04</v>
      </c>
      <c r="GM26" s="69">
        <f t="shared" si="197"/>
        <v>537.01440000000002</v>
      </c>
      <c r="GN26" s="69">
        <f t="shared" si="101"/>
        <v>19.86</v>
      </c>
      <c r="GO26" s="69">
        <f t="shared" si="102"/>
        <v>17.559999999999999</v>
      </c>
      <c r="GP26" s="69">
        <f t="shared" si="198"/>
        <v>348.74159999999995</v>
      </c>
      <c r="GQ26" s="69">
        <f t="shared" si="103"/>
        <v>19.86</v>
      </c>
      <c r="GR26" s="69">
        <f t="shared" si="104"/>
        <v>24.14</v>
      </c>
      <c r="GS26" s="69">
        <f t="shared" si="199"/>
        <v>479.42039999999997</v>
      </c>
      <c r="GT26" s="69">
        <f t="shared" si="105"/>
        <v>19.86</v>
      </c>
      <c r="GU26" s="69">
        <f t="shared" si="106"/>
        <v>21.341068462954023</v>
      </c>
      <c r="GV26" s="69">
        <f t="shared" si="200"/>
        <v>423.83361967426691</v>
      </c>
      <c r="GX26" s="69">
        <f t="shared" si="201"/>
        <v>27.04</v>
      </c>
      <c r="GY26" s="69">
        <f t="shared" si="202"/>
        <v>17.559999999999999</v>
      </c>
      <c r="GZ26" s="69">
        <f t="shared" si="203"/>
        <v>474.82239999999996</v>
      </c>
      <c r="HA26" s="69">
        <f t="shared" si="204"/>
        <v>27.04</v>
      </c>
      <c r="HB26" s="69">
        <f t="shared" si="205"/>
        <v>24.14</v>
      </c>
      <c r="HC26" s="69">
        <f t="shared" si="206"/>
        <v>652.74559999999997</v>
      </c>
      <c r="HD26" s="69">
        <f t="shared" si="207"/>
        <v>27.04</v>
      </c>
      <c r="HE26" s="69">
        <f t="shared" si="208"/>
        <v>21.341068462954023</v>
      </c>
      <c r="HF26" s="69">
        <f t="shared" si="209"/>
        <v>577.06249123827672</v>
      </c>
      <c r="HH26" s="69">
        <f t="shared" si="210"/>
        <v>17.559999999999999</v>
      </c>
      <c r="HI26" s="69">
        <f t="shared" si="211"/>
        <v>24.14</v>
      </c>
      <c r="HJ26" s="69">
        <f t="shared" si="212"/>
        <v>423.89839999999998</v>
      </c>
      <c r="HK26" s="69">
        <f t="shared" si="213"/>
        <v>17.559999999999999</v>
      </c>
      <c r="HL26" s="69">
        <f t="shared" si="214"/>
        <v>21.341068462954023</v>
      </c>
      <c r="HM26" s="69">
        <f t="shared" si="215"/>
        <v>374.74916220947262</v>
      </c>
      <c r="HO26" s="69">
        <f t="shared" si="216"/>
        <v>24.14</v>
      </c>
      <c r="HP26" s="69">
        <f t="shared" si="217"/>
        <v>21.341068462954023</v>
      </c>
      <c r="HQ26" s="69">
        <f t="shared" si="218"/>
        <v>515.17339269571016</v>
      </c>
      <c r="HS26" s="69">
        <f t="shared" si="107"/>
        <v>21.341068462954023</v>
      </c>
      <c r="HT26" s="69">
        <f t="shared" si="108"/>
        <v>18.28</v>
      </c>
      <c r="HU26" s="69">
        <f t="shared" si="219"/>
        <v>390.1147315027996</v>
      </c>
      <c r="HV26" s="69">
        <f t="shared" si="109"/>
        <v>21.341068462954023</v>
      </c>
      <c r="HW26" s="69">
        <f t="shared" si="110"/>
        <v>23.71</v>
      </c>
      <c r="HX26" s="69">
        <f t="shared" si="220"/>
        <v>505.99673325663991</v>
      </c>
      <c r="HY26" s="69">
        <f t="shared" si="111"/>
        <v>21.341068462954023</v>
      </c>
      <c r="HZ26" s="69">
        <f t="shared" si="112"/>
        <v>25.39</v>
      </c>
      <c r="IA26" s="69">
        <f t="shared" si="221"/>
        <v>541.84972827440265</v>
      </c>
      <c r="IB26" s="69">
        <f t="shared" si="113"/>
        <v>21.341068462954023</v>
      </c>
      <c r="IC26" s="69">
        <f t="shared" si="114"/>
        <v>18.09</v>
      </c>
      <c r="ID26" s="69">
        <f t="shared" si="222"/>
        <v>386.05992849483829</v>
      </c>
      <c r="IE26" s="69">
        <f t="shared" si="115"/>
        <v>21.341068462954023</v>
      </c>
      <c r="IF26" s="69">
        <f t="shared" si="116"/>
        <v>21.27</v>
      </c>
      <c r="IG26" s="69">
        <f t="shared" si="223"/>
        <v>453.92452620703205</v>
      </c>
      <c r="IH26" s="69">
        <f t="shared" si="117"/>
        <v>21.341068462954023</v>
      </c>
      <c r="II26" s="69">
        <f t="shared" si="118"/>
        <v>20.329999999999998</v>
      </c>
      <c r="IJ26" s="69">
        <f t="shared" si="224"/>
        <v>433.86392185185525</v>
      </c>
      <c r="IK26" s="69">
        <f t="shared" si="119"/>
        <v>21.341068462954023</v>
      </c>
      <c r="IL26" s="69">
        <f t="shared" si="120"/>
        <v>19.86</v>
      </c>
      <c r="IM26" s="69">
        <f t="shared" si="225"/>
        <v>423.83361967426691</v>
      </c>
      <c r="IN26" s="69">
        <f t="shared" si="226"/>
        <v>21.341068462954023</v>
      </c>
      <c r="IO26" s="69">
        <f t="shared" si="227"/>
        <v>27.04</v>
      </c>
      <c r="IP26" s="69">
        <f t="shared" si="228"/>
        <v>577.06249123827672</v>
      </c>
      <c r="IQ26" s="69">
        <f t="shared" si="229"/>
        <v>21.341068462954023</v>
      </c>
      <c r="IR26" s="69">
        <f t="shared" si="230"/>
        <v>17.559999999999999</v>
      </c>
      <c r="IS26" s="69">
        <f t="shared" si="231"/>
        <v>374.74916220947262</v>
      </c>
      <c r="IT26" s="69">
        <f t="shared" si="232"/>
        <v>21.341068462954023</v>
      </c>
      <c r="IU26" s="69">
        <f t="shared" si="233"/>
        <v>24.14</v>
      </c>
      <c r="IV26" s="69">
        <f t="shared" si="234"/>
        <v>515.17339269571016</v>
      </c>
    </row>
    <row r="27" spans="1:256" ht="15" x14ac:dyDescent="0.25">
      <c r="A27" s="57" t="s">
        <v>30</v>
      </c>
      <c r="B27" s="295">
        <v>18.03</v>
      </c>
      <c r="C27" s="295">
        <v>22.84</v>
      </c>
      <c r="D27" s="295">
        <v>26.66</v>
      </c>
      <c r="E27" s="295">
        <v>18.38</v>
      </c>
      <c r="F27" s="295">
        <v>21.76</v>
      </c>
      <c r="G27" s="295">
        <v>20.65</v>
      </c>
      <c r="H27" s="295">
        <v>19.059999999999999</v>
      </c>
      <c r="I27" s="296">
        <v>21.35</v>
      </c>
      <c r="J27" s="295">
        <v>18.04</v>
      </c>
      <c r="K27" s="295">
        <v>24.09</v>
      </c>
      <c r="L27" s="68">
        <f t="shared" si="0"/>
        <v>10</v>
      </c>
      <c r="M27" s="69">
        <f t="shared" si="1"/>
        <v>20.917368789874118</v>
      </c>
      <c r="N27" s="69" t="str">
        <f t="shared" si="121"/>
        <v>±1,48</v>
      </c>
      <c r="O27" s="69" t="str">
        <f t="shared" si="122"/>
        <v>±5,81</v>
      </c>
      <c r="P27" s="69" t="str">
        <f t="shared" si="235"/>
        <v>±0,52</v>
      </c>
      <c r="Q27" s="70">
        <f t="shared" si="2"/>
        <v>18.03</v>
      </c>
      <c r="R27" s="71">
        <f t="shared" si="124"/>
        <v>-0.93862524317589902</v>
      </c>
      <c r="S27" s="71">
        <f t="shared" si="125"/>
        <v>-4.9483040080280816</v>
      </c>
      <c r="T27" s="70">
        <f t="shared" si="3"/>
        <v>22.84</v>
      </c>
      <c r="U27" s="71">
        <f t="shared" si="126"/>
        <v>-1.121222172932999</v>
      </c>
      <c r="V27" s="71">
        <f t="shared" si="127"/>
        <v>-4.6793196308640317</v>
      </c>
      <c r="W27" s="70">
        <f t="shared" si="4"/>
        <v>26.66</v>
      </c>
      <c r="X27" s="71">
        <f t="shared" si="128"/>
        <v>0.97173871622193531</v>
      </c>
      <c r="Y27" s="71">
        <f t="shared" si="129"/>
        <v>3.7828123339572972</v>
      </c>
      <c r="Z27" s="70">
        <f t="shared" si="5"/>
        <v>18.38</v>
      </c>
      <c r="AA27" s="71">
        <f t="shared" si="130"/>
        <v>-0.31185185283979777</v>
      </c>
      <c r="AB27" s="71">
        <f t="shared" si="131"/>
        <v>-1.6683839316457005</v>
      </c>
      <c r="AC27" s="70">
        <f t="shared" si="6"/>
        <v>21.76</v>
      </c>
      <c r="AD27" s="71">
        <f t="shared" si="132"/>
        <v>-0.79312115284107776</v>
      </c>
      <c r="AE27" s="71">
        <f t="shared" si="133"/>
        <v>-3.5166802300495181</v>
      </c>
      <c r="AF27" s="70">
        <f t="shared" si="7"/>
        <v>20.65</v>
      </c>
      <c r="AG27" s="71">
        <f t="shared" si="134"/>
        <v>4.7306742819969827E-2</v>
      </c>
      <c r="AH27" s="71">
        <f t="shared" si="135"/>
        <v>0.22961436269253177</v>
      </c>
      <c r="AI27" s="70">
        <f t="shared" si="8"/>
        <v>19.059999999999999</v>
      </c>
      <c r="AJ27" s="71">
        <f t="shared" si="136"/>
        <v>-0.67705386555163827</v>
      </c>
      <c r="AK27" s="71">
        <f t="shared" si="137"/>
        <v>-3.4303694470497637</v>
      </c>
      <c r="AL27" s="70">
        <f t="shared" si="138"/>
        <v>21.35</v>
      </c>
      <c r="AM27" s="71">
        <f t="shared" si="139"/>
        <v>-4.4896407621653189</v>
      </c>
      <c r="AN27" s="71">
        <f t="shared" si="140"/>
        <v>-17.375012305662928</v>
      </c>
      <c r="AO27" s="70">
        <f t="shared" si="141"/>
        <v>18.04</v>
      </c>
      <c r="AP27" s="71">
        <f t="shared" si="142"/>
        <v>0.30289785740551878</v>
      </c>
      <c r="AQ27" s="71">
        <f t="shared" si="143"/>
        <v>1.7077076907514144</v>
      </c>
      <c r="AR27" s="70">
        <f t="shared" si="144"/>
        <v>24.09</v>
      </c>
      <c r="AS27" s="71">
        <f t="shared" si="145"/>
        <v>1.0639464271871901E-2</v>
      </c>
      <c r="AT27" s="71">
        <f t="shared" si="146"/>
        <v>4.4184995096041568E-2</v>
      </c>
      <c r="AU27" s="69">
        <f t="shared" si="147"/>
        <v>20.917368789874118</v>
      </c>
      <c r="AV27" s="131" t="str">
        <f t="shared" si="148"/>
        <v>±1,48</v>
      </c>
      <c r="AW27" s="69" t="str">
        <f t="shared" si="236"/>
        <v>±5,81</v>
      </c>
      <c r="AX27" s="132">
        <f t="shared" si="150"/>
        <v>1.48</v>
      </c>
      <c r="AY27" s="132">
        <f t="shared" si="151"/>
        <v>5.81</v>
      </c>
      <c r="AZ27" s="69">
        <f t="shared" si="9"/>
        <v>18.03</v>
      </c>
      <c r="BA27" s="69">
        <f t="shared" si="10"/>
        <v>22.84</v>
      </c>
      <c r="BB27" s="69">
        <f t="shared" si="152"/>
        <v>411.80520000000001</v>
      </c>
      <c r="BC27" s="69">
        <f t="shared" si="11"/>
        <v>18.03</v>
      </c>
      <c r="BD27" s="69">
        <f t="shared" si="12"/>
        <v>26.66</v>
      </c>
      <c r="BE27" s="69">
        <f t="shared" si="153"/>
        <v>480.67980000000006</v>
      </c>
      <c r="BF27" s="69">
        <f t="shared" si="13"/>
        <v>18.03</v>
      </c>
      <c r="BG27" s="69">
        <f t="shared" si="14"/>
        <v>18.38</v>
      </c>
      <c r="BH27" s="69">
        <f t="shared" si="154"/>
        <v>331.39139999999998</v>
      </c>
      <c r="BI27" s="69">
        <f t="shared" si="15"/>
        <v>18.03</v>
      </c>
      <c r="BJ27" s="69">
        <f t="shared" si="16"/>
        <v>21.76</v>
      </c>
      <c r="BK27" s="69">
        <f t="shared" si="155"/>
        <v>392.33280000000008</v>
      </c>
      <c r="BL27" s="69">
        <f t="shared" si="17"/>
        <v>18.03</v>
      </c>
      <c r="BM27" s="69">
        <f t="shared" si="18"/>
        <v>20.65</v>
      </c>
      <c r="BN27" s="69">
        <f t="shared" si="156"/>
        <v>372.31950000000001</v>
      </c>
      <c r="BO27" s="69">
        <f t="shared" si="19"/>
        <v>18.03</v>
      </c>
      <c r="BP27" s="69">
        <f t="shared" si="20"/>
        <v>19.059999999999999</v>
      </c>
      <c r="BQ27" s="69">
        <f t="shared" si="157"/>
        <v>343.65179999999998</v>
      </c>
      <c r="BR27" s="69">
        <f t="shared" si="21"/>
        <v>18.03</v>
      </c>
      <c r="BS27" s="69">
        <f t="shared" si="22"/>
        <v>21.35</v>
      </c>
      <c r="BT27" s="69">
        <f t="shared" si="158"/>
        <v>384.94050000000004</v>
      </c>
      <c r="BU27" s="69">
        <f t="shared" si="23"/>
        <v>18.03</v>
      </c>
      <c r="BV27" s="69">
        <f t="shared" si="24"/>
        <v>18.04</v>
      </c>
      <c r="BW27" s="69">
        <f t="shared" si="159"/>
        <v>325.26120000000003</v>
      </c>
      <c r="BX27" s="69">
        <f t="shared" si="25"/>
        <v>18.03</v>
      </c>
      <c r="BY27" s="69">
        <f t="shared" si="26"/>
        <v>24.09</v>
      </c>
      <c r="BZ27" s="69">
        <f t="shared" si="160"/>
        <v>434.34270000000004</v>
      </c>
      <c r="CA27" s="69">
        <f t="shared" si="27"/>
        <v>18.03</v>
      </c>
      <c r="CB27" s="69">
        <f t="shared" si="28"/>
        <v>20.917368789874118</v>
      </c>
      <c r="CC27" s="69">
        <f t="shared" si="161"/>
        <v>377.14015928143039</v>
      </c>
      <c r="CE27" s="69">
        <f t="shared" si="29"/>
        <v>22.84</v>
      </c>
      <c r="CF27" s="69">
        <f t="shared" si="30"/>
        <v>26.66</v>
      </c>
      <c r="CG27" s="69">
        <f t="shared" si="162"/>
        <v>608.9144</v>
      </c>
      <c r="CH27" s="69">
        <f t="shared" si="31"/>
        <v>22.84</v>
      </c>
      <c r="CI27" s="69">
        <f t="shared" si="32"/>
        <v>18.38</v>
      </c>
      <c r="CJ27" s="69">
        <f t="shared" si="163"/>
        <v>419.79919999999998</v>
      </c>
      <c r="CK27" s="69">
        <f t="shared" si="33"/>
        <v>22.84</v>
      </c>
      <c r="CL27" s="69">
        <f t="shared" si="34"/>
        <v>21.76</v>
      </c>
      <c r="CM27" s="69">
        <f t="shared" si="164"/>
        <v>496.99840000000006</v>
      </c>
      <c r="CN27" s="69">
        <f t="shared" si="35"/>
        <v>22.84</v>
      </c>
      <c r="CO27" s="69">
        <f t="shared" si="36"/>
        <v>20.65</v>
      </c>
      <c r="CP27" s="69">
        <f t="shared" si="165"/>
        <v>471.64599999999996</v>
      </c>
      <c r="CQ27" s="69">
        <f t="shared" si="37"/>
        <v>22.84</v>
      </c>
      <c r="CR27" s="69">
        <f t="shared" si="38"/>
        <v>19.059999999999999</v>
      </c>
      <c r="CS27" s="69">
        <f t="shared" si="166"/>
        <v>435.33039999999994</v>
      </c>
      <c r="CT27" s="69">
        <f t="shared" si="39"/>
        <v>22.84</v>
      </c>
      <c r="CU27" s="69">
        <f t="shared" si="40"/>
        <v>21.35</v>
      </c>
      <c r="CV27" s="69">
        <f t="shared" si="167"/>
        <v>487.63400000000001</v>
      </c>
      <c r="CW27" s="69">
        <f t="shared" si="41"/>
        <v>22.84</v>
      </c>
      <c r="CX27" s="69">
        <f t="shared" si="42"/>
        <v>18.04</v>
      </c>
      <c r="CY27" s="69">
        <f t="shared" si="168"/>
        <v>412.03359999999998</v>
      </c>
      <c r="CZ27" s="69">
        <f t="shared" si="43"/>
        <v>22.84</v>
      </c>
      <c r="DA27" s="69">
        <f t="shared" si="44"/>
        <v>24.09</v>
      </c>
      <c r="DB27" s="69">
        <f t="shared" si="169"/>
        <v>550.21559999999999</v>
      </c>
      <c r="DC27" s="69">
        <f t="shared" si="45"/>
        <v>22.84</v>
      </c>
      <c r="DD27" s="69">
        <f t="shared" si="46"/>
        <v>20.917368789874118</v>
      </c>
      <c r="DE27" s="69">
        <f t="shared" si="170"/>
        <v>477.75270316072482</v>
      </c>
      <c r="DG27" s="69">
        <f t="shared" si="47"/>
        <v>26.66</v>
      </c>
      <c r="DH27" s="69">
        <f t="shared" si="48"/>
        <v>18.38</v>
      </c>
      <c r="DI27" s="69">
        <f t="shared" si="171"/>
        <v>490.01079999999996</v>
      </c>
      <c r="DJ27" s="69">
        <f t="shared" si="49"/>
        <v>26.66</v>
      </c>
      <c r="DK27" s="69">
        <f t="shared" si="50"/>
        <v>21.76</v>
      </c>
      <c r="DL27" s="69">
        <f t="shared" si="172"/>
        <v>580.12160000000006</v>
      </c>
      <c r="DM27" s="69">
        <f t="shared" si="51"/>
        <v>26.66</v>
      </c>
      <c r="DN27" s="69">
        <f t="shared" si="52"/>
        <v>20.65</v>
      </c>
      <c r="DO27" s="69">
        <f t="shared" si="173"/>
        <v>550.529</v>
      </c>
      <c r="DP27" s="69">
        <f t="shared" si="53"/>
        <v>26.66</v>
      </c>
      <c r="DQ27" s="69">
        <f t="shared" si="54"/>
        <v>19.059999999999999</v>
      </c>
      <c r="DR27" s="69">
        <f t="shared" si="174"/>
        <v>508.13959999999997</v>
      </c>
      <c r="DS27" s="69">
        <f t="shared" si="55"/>
        <v>26.66</v>
      </c>
      <c r="DT27" s="69">
        <f t="shared" si="56"/>
        <v>21.35</v>
      </c>
      <c r="DU27" s="69">
        <f t="shared" si="175"/>
        <v>569.19100000000003</v>
      </c>
      <c r="DV27" s="69">
        <f t="shared" si="57"/>
        <v>26.66</v>
      </c>
      <c r="DW27" s="69">
        <f t="shared" si="58"/>
        <v>18.04</v>
      </c>
      <c r="DX27" s="69">
        <f t="shared" si="176"/>
        <v>480.94639999999998</v>
      </c>
      <c r="DY27" s="69">
        <f t="shared" si="59"/>
        <v>26.66</v>
      </c>
      <c r="DZ27" s="69">
        <f t="shared" si="60"/>
        <v>24.09</v>
      </c>
      <c r="EA27" s="69">
        <f t="shared" si="177"/>
        <v>642.23940000000005</v>
      </c>
      <c r="EB27" s="69">
        <f t="shared" si="61"/>
        <v>26.66</v>
      </c>
      <c r="EC27" s="69">
        <f t="shared" si="62"/>
        <v>20.917368789874118</v>
      </c>
      <c r="ED27" s="69">
        <f t="shared" si="178"/>
        <v>557.65705193804399</v>
      </c>
      <c r="EF27" s="69">
        <f t="shared" si="63"/>
        <v>18.38</v>
      </c>
      <c r="EG27" s="69">
        <f t="shared" si="64"/>
        <v>21.76</v>
      </c>
      <c r="EH27" s="69">
        <f t="shared" si="179"/>
        <v>399.94880000000001</v>
      </c>
      <c r="EI27" s="69">
        <f t="shared" si="65"/>
        <v>18.38</v>
      </c>
      <c r="EJ27" s="69">
        <f t="shared" si="66"/>
        <v>20.65</v>
      </c>
      <c r="EK27" s="69">
        <f t="shared" si="180"/>
        <v>379.54699999999997</v>
      </c>
      <c r="EL27" s="69">
        <f t="shared" si="67"/>
        <v>18.38</v>
      </c>
      <c r="EM27" s="69">
        <f t="shared" si="68"/>
        <v>19.059999999999999</v>
      </c>
      <c r="EN27" s="69">
        <f t="shared" si="181"/>
        <v>350.32279999999997</v>
      </c>
      <c r="EO27" s="69">
        <f t="shared" si="69"/>
        <v>18.38</v>
      </c>
      <c r="EP27" s="69">
        <f t="shared" si="70"/>
        <v>21.35</v>
      </c>
      <c r="EQ27" s="69">
        <f t="shared" si="182"/>
        <v>392.41300000000001</v>
      </c>
      <c r="ER27" s="69">
        <f t="shared" si="71"/>
        <v>18.38</v>
      </c>
      <c r="ES27" s="69">
        <f t="shared" si="72"/>
        <v>18.04</v>
      </c>
      <c r="ET27" s="69">
        <f t="shared" si="183"/>
        <v>331.57519999999994</v>
      </c>
      <c r="EU27" s="69">
        <f t="shared" si="73"/>
        <v>18.38</v>
      </c>
      <c r="EV27" s="69">
        <f t="shared" si="74"/>
        <v>24.09</v>
      </c>
      <c r="EW27" s="69">
        <f t="shared" si="184"/>
        <v>442.77419999999995</v>
      </c>
      <c r="EX27" s="69">
        <f t="shared" si="75"/>
        <v>18.38</v>
      </c>
      <c r="EY27" s="69">
        <f t="shared" si="76"/>
        <v>20.917368789874118</v>
      </c>
      <c r="EZ27" s="69">
        <f t="shared" si="185"/>
        <v>384.46123835788626</v>
      </c>
      <c r="FB27" s="69">
        <f t="shared" si="77"/>
        <v>21.76</v>
      </c>
      <c r="FC27" s="69">
        <f t="shared" si="78"/>
        <v>20.65</v>
      </c>
      <c r="FD27" s="69">
        <f t="shared" si="186"/>
        <v>449.34399999999999</v>
      </c>
      <c r="FE27" s="69">
        <f t="shared" si="79"/>
        <v>21.76</v>
      </c>
      <c r="FF27" s="69">
        <f t="shared" si="80"/>
        <v>19.059999999999999</v>
      </c>
      <c r="FG27" s="69">
        <f t="shared" si="187"/>
        <v>414.74560000000002</v>
      </c>
      <c r="FH27" s="69">
        <f t="shared" si="81"/>
        <v>21.76</v>
      </c>
      <c r="FI27" s="69">
        <f t="shared" si="82"/>
        <v>21.35</v>
      </c>
      <c r="FJ27" s="69">
        <f t="shared" si="188"/>
        <v>464.57600000000008</v>
      </c>
      <c r="FK27" s="69">
        <f t="shared" si="83"/>
        <v>21.76</v>
      </c>
      <c r="FL27" s="69">
        <f t="shared" si="84"/>
        <v>18.04</v>
      </c>
      <c r="FM27" s="69">
        <f t="shared" si="189"/>
        <v>392.55040000000002</v>
      </c>
      <c r="FN27" s="69">
        <f t="shared" si="85"/>
        <v>21.76</v>
      </c>
      <c r="FO27" s="69">
        <f t="shared" si="86"/>
        <v>24.09</v>
      </c>
      <c r="FP27" s="69">
        <f t="shared" si="190"/>
        <v>524.19839999999999</v>
      </c>
      <c r="FQ27" s="69">
        <f t="shared" si="87"/>
        <v>21.76</v>
      </c>
      <c r="FR27" s="69">
        <f t="shared" si="88"/>
        <v>20.917368789874118</v>
      </c>
      <c r="FS27" s="69">
        <f t="shared" si="191"/>
        <v>455.16194486766085</v>
      </c>
      <c r="FU27" s="69">
        <f t="shared" si="89"/>
        <v>20.65</v>
      </c>
      <c r="FV27" s="69">
        <f t="shared" si="90"/>
        <v>19.059999999999999</v>
      </c>
      <c r="FW27" s="69">
        <f t="shared" si="192"/>
        <v>393.58899999999994</v>
      </c>
      <c r="FX27" s="69">
        <f t="shared" si="91"/>
        <v>20.65</v>
      </c>
      <c r="FY27" s="69">
        <f t="shared" si="92"/>
        <v>21.35</v>
      </c>
      <c r="FZ27" s="69">
        <f t="shared" si="193"/>
        <v>440.8775</v>
      </c>
      <c r="GA27" s="69">
        <f t="shared" si="93"/>
        <v>20.65</v>
      </c>
      <c r="GB27" s="69">
        <f t="shared" si="94"/>
        <v>18.04</v>
      </c>
      <c r="GC27" s="69">
        <f t="shared" si="194"/>
        <v>372.52599999999995</v>
      </c>
      <c r="GD27" s="69">
        <f t="shared" si="95"/>
        <v>20.65</v>
      </c>
      <c r="GE27" s="69">
        <f t="shared" si="96"/>
        <v>24.09</v>
      </c>
      <c r="GF27" s="69">
        <f t="shared" si="195"/>
        <v>497.45849999999996</v>
      </c>
      <c r="GG27" s="69">
        <f t="shared" si="97"/>
        <v>20.65</v>
      </c>
      <c r="GH27" s="69">
        <f t="shared" si="98"/>
        <v>20.917368789874118</v>
      </c>
      <c r="GI27" s="69">
        <f t="shared" si="196"/>
        <v>431.94366551090053</v>
      </c>
      <c r="GK27" s="69">
        <f t="shared" si="99"/>
        <v>19.059999999999999</v>
      </c>
      <c r="GL27" s="69">
        <f t="shared" si="100"/>
        <v>21.35</v>
      </c>
      <c r="GM27" s="69">
        <f t="shared" si="197"/>
        <v>406.93099999999998</v>
      </c>
      <c r="GN27" s="69">
        <f t="shared" si="101"/>
        <v>19.059999999999999</v>
      </c>
      <c r="GO27" s="69">
        <f t="shared" si="102"/>
        <v>18.04</v>
      </c>
      <c r="GP27" s="69">
        <f t="shared" si="198"/>
        <v>343.84239999999994</v>
      </c>
      <c r="GQ27" s="69">
        <f t="shared" si="103"/>
        <v>19.059999999999999</v>
      </c>
      <c r="GR27" s="69">
        <f t="shared" si="104"/>
        <v>24.09</v>
      </c>
      <c r="GS27" s="69">
        <f t="shared" si="199"/>
        <v>459.15539999999999</v>
      </c>
      <c r="GT27" s="69">
        <f t="shared" si="105"/>
        <v>19.059999999999999</v>
      </c>
      <c r="GU27" s="69">
        <f t="shared" si="106"/>
        <v>20.917368789874118</v>
      </c>
      <c r="GV27" s="69">
        <f t="shared" si="200"/>
        <v>398.68504913500067</v>
      </c>
      <c r="GX27" s="69">
        <f t="shared" si="201"/>
        <v>21.35</v>
      </c>
      <c r="GY27" s="69">
        <f t="shared" si="202"/>
        <v>18.04</v>
      </c>
      <c r="GZ27" s="69">
        <f t="shared" si="203"/>
        <v>385.154</v>
      </c>
      <c r="HA27" s="69">
        <f t="shared" si="204"/>
        <v>21.35</v>
      </c>
      <c r="HB27" s="69">
        <f t="shared" si="205"/>
        <v>24.09</v>
      </c>
      <c r="HC27" s="69">
        <f t="shared" si="206"/>
        <v>514.32150000000001</v>
      </c>
      <c r="HD27" s="69">
        <f t="shared" si="207"/>
        <v>21.35</v>
      </c>
      <c r="HE27" s="69">
        <f t="shared" si="208"/>
        <v>20.917368789874118</v>
      </c>
      <c r="HF27" s="69">
        <f t="shared" si="209"/>
        <v>446.58582366381245</v>
      </c>
      <c r="HH27" s="69">
        <f t="shared" si="210"/>
        <v>18.04</v>
      </c>
      <c r="HI27" s="69">
        <f t="shared" si="211"/>
        <v>24.09</v>
      </c>
      <c r="HJ27" s="69">
        <f t="shared" si="212"/>
        <v>434.58359999999999</v>
      </c>
      <c r="HK27" s="69">
        <f t="shared" si="213"/>
        <v>18.04</v>
      </c>
      <c r="HL27" s="69">
        <f t="shared" si="214"/>
        <v>20.917368789874118</v>
      </c>
      <c r="HM27" s="69">
        <f t="shared" si="215"/>
        <v>377.34933296932905</v>
      </c>
      <c r="HO27" s="69">
        <f t="shared" si="216"/>
        <v>24.09</v>
      </c>
      <c r="HP27" s="69">
        <f t="shared" si="217"/>
        <v>20.917368789874118</v>
      </c>
      <c r="HQ27" s="69">
        <f t="shared" si="218"/>
        <v>503.89941414806748</v>
      </c>
      <c r="HS27" s="69">
        <f t="shared" si="107"/>
        <v>20.917368789874118</v>
      </c>
      <c r="HT27" s="69">
        <f t="shared" si="108"/>
        <v>18.03</v>
      </c>
      <c r="HU27" s="69">
        <f t="shared" si="219"/>
        <v>377.14015928143039</v>
      </c>
      <c r="HV27" s="69">
        <f t="shared" si="109"/>
        <v>20.917368789874118</v>
      </c>
      <c r="HW27" s="69">
        <f t="shared" si="110"/>
        <v>22.84</v>
      </c>
      <c r="HX27" s="69">
        <f t="shared" si="220"/>
        <v>477.75270316072482</v>
      </c>
      <c r="HY27" s="69">
        <f t="shared" si="111"/>
        <v>20.917368789874118</v>
      </c>
      <c r="HZ27" s="69">
        <f t="shared" si="112"/>
        <v>26.66</v>
      </c>
      <c r="IA27" s="69">
        <f t="shared" si="221"/>
        <v>557.65705193804399</v>
      </c>
      <c r="IB27" s="69">
        <f t="shared" si="113"/>
        <v>20.917368789874118</v>
      </c>
      <c r="IC27" s="69">
        <f t="shared" si="114"/>
        <v>18.38</v>
      </c>
      <c r="ID27" s="69">
        <f t="shared" si="222"/>
        <v>384.46123835788626</v>
      </c>
      <c r="IE27" s="69">
        <f t="shared" si="115"/>
        <v>20.917368789874118</v>
      </c>
      <c r="IF27" s="69">
        <f t="shared" si="116"/>
        <v>21.76</v>
      </c>
      <c r="IG27" s="69">
        <f t="shared" si="223"/>
        <v>455.16194486766085</v>
      </c>
      <c r="IH27" s="69">
        <f t="shared" si="117"/>
        <v>20.917368789874118</v>
      </c>
      <c r="II27" s="69">
        <f t="shared" si="118"/>
        <v>20.65</v>
      </c>
      <c r="IJ27" s="69">
        <f t="shared" si="224"/>
        <v>431.94366551090053</v>
      </c>
      <c r="IK27" s="69">
        <f t="shared" si="119"/>
        <v>20.917368789874118</v>
      </c>
      <c r="IL27" s="69">
        <f t="shared" si="120"/>
        <v>19.059999999999999</v>
      </c>
      <c r="IM27" s="69">
        <f t="shared" si="225"/>
        <v>398.68504913500067</v>
      </c>
      <c r="IN27" s="69">
        <f t="shared" si="226"/>
        <v>20.917368789874118</v>
      </c>
      <c r="IO27" s="69">
        <f t="shared" si="227"/>
        <v>21.35</v>
      </c>
      <c r="IP27" s="69">
        <f t="shared" si="228"/>
        <v>446.58582366381245</v>
      </c>
      <c r="IQ27" s="69">
        <f t="shared" si="229"/>
        <v>20.917368789874118</v>
      </c>
      <c r="IR27" s="69">
        <f t="shared" si="230"/>
        <v>18.04</v>
      </c>
      <c r="IS27" s="69">
        <f t="shared" si="231"/>
        <v>377.34933296932905</v>
      </c>
      <c r="IT27" s="69">
        <f t="shared" si="232"/>
        <v>20.917368789874118</v>
      </c>
      <c r="IU27" s="69">
        <f t="shared" si="233"/>
        <v>24.09</v>
      </c>
      <c r="IV27" s="69">
        <f t="shared" si="234"/>
        <v>503.89941414806748</v>
      </c>
    </row>
    <row r="28" spans="1:256" ht="15" x14ac:dyDescent="0.25">
      <c r="A28" s="57" t="s">
        <v>31</v>
      </c>
      <c r="B28" s="295">
        <v>18.239999999999998</v>
      </c>
      <c r="C28" s="295">
        <v>22.09</v>
      </c>
      <c r="D28" s="295">
        <v>25.69</v>
      </c>
      <c r="E28" s="295">
        <v>18.600000000000001</v>
      </c>
      <c r="F28" s="295">
        <v>22.35</v>
      </c>
      <c r="G28" s="295">
        <v>21.12</v>
      </c>
      <c r="H28" s="295">
        <v>18.670000000000002</v>
      </c>
      <c r="I28" s="296">
        <v>23.16</v>
      </c>
      <c r="J28" s="295">
        <v>17.57</v>
      </c>
      <c r="K28" s="295">
        <v>23.76</v>
      </c>
      <c r="L28" s="68">
        <f t="shared" si="0"/>
        <v>10</v>
      </c>
      <c r="M28" s="69">
        <f t="shared" si="1"/>
        <v>20.965103513981621</v>
      </c>
      <c r="N28" s="69" t="str">
        <f t="shared" si="121"/>
        <v>±0,97</v>
      </c>
      <c r="O28" s="69" t="str">
        <f t="shared" si="122"/>
        <v>±3,96</v>
      </c>
      <c r="P28" s="69" t="str">
        <f t="shared" si="235"/>
        <v>±0,36</v>
      </c>
      <c r="Q28" s="70">
        <f t="shared" si="2"/>
        <v>18.239999999999998</v>
      </c>
      <c r="R28" s="71">
        <f t="shared" si="124"/>
        <v>-0.72862524317590172</v>
      </c>
      <c r="S28" s="71">
        <f t="shared" si="125"/>
        <v>-3.8412127069568758</v>
      </c>
      <c r="T28" s="70">
        <f t="shared" si="3"/>
        <v>22.09</v>
      </c>
      <c r="U28" s="71">
        <f t="shared" si="126"/>
        <v>-1.871222172932999</v>
      </c>
      <c r="V28" s="71">
        <f t="shared" si="127"/>
        <v>-7.8093769985020378</v>
      </c>
      <c r="W28" s="70">
        <f t="shared" si="4"/>
        <v>25.69</v>
      </c>
      <c r="X28" s="71">
        <f t="shared" si="128"/>
        <v>1.7387162219364427E-3</v>
      </c>
      <c r="Y28" s="71">
        <f t="shared" si="129"/>
        <v>6.7685243572146447E-3</v>
      </c>
      <c r="Z28" s="70">
        <f t="shared" si="5"/>
        <v>18.600000000000001</v>
      </c>
      <c r="AA28" s="71">
        <f t="shared" si="130"/>
        <v>-9.1851852839795356E-2</v>
      </c>
      <c r="AB28" s="71">
        <f t="shared" si="131"/>
        <v>-0.4914004966599439</v>
      </c>
      <c r="AC28" s="70">
        <f t="shared" si="6"/>
        <v>22.35</v>
      </c>
      <c r="AD28" s="71">
        <f t="shared" si="132"/>
        <v>-0.2031211528410779</v>
      </c>
      <c r="AE28" s="71">
        <f t="shared" si="133"/>
        <v>-0.90063433555177541</v>
      </c>
      <c r="AF28" s="70">
        <f t="shared" si="7"/>
        <v>21.12</v>
      </c>
      <c r="AG28" s="71">
        <f t="shared" si="134"/>
        <v>0.51730674281997224</v>
      </c>
      <c r="AH28" s="71">
        <f t="shared" si="135"/>
        <v>2.5108695079935295</v>
      </c>
      <c r="AI28" s="70">
        <f t="shared" si="8"/>
        <v>18.670000000000002</v>
      </c>
      <c r="AJ28" s="71">
        <f t="shared" si="136"/>
        <v>-1.0670538655516353</v>
      </c>
      <c r="AK28" s="71">
        <f t="shared" si="137"/>
        <v>-5.4063482464018264</v>
      </c>
      <c r="AL28" s="70">
        <f t="shared" si="138"/>
        <v>23.16</v>
      </c>
      <c r="AM28" s="71">
        <f t="shared" si="139"/>
        <v>-2.6796407621653202</v>
      </c>
      <c r="AN28" s="71">
        <f t="shared" si="140"/>
        <v>-10.37027096014771</v>
      </c>
      <c r="AO28" s="70">
        <f t="shared" si="141"/>
        <v>17.57</v>
      </c>
      <c r="AP28" s="71">
        <f t="shared" si="142"/>
        <v>-0.16710214259448009</v>
      </c>
      <c r="AQ28" s="71">
        <f t="shared" si="143"/>
        <v>-0.94210509276594356</v>
      </c>
      <c r="AR28" s="70">
        <f t="shared" si="144"/>
        <v>23.76</v>
      </c>
      <c r="AS28" s="71">
        <f t="shared" si="145"/>
        <v>-0.31936053572812639</v>
      </c>
      <c r="AT28" s="71">
        <f t="shared" si="146"/>
        <v>-1.3262832925080015</v>
      </c>
      <c r="AU28" s="69">
        <f t="shared" si="147"/>
        <v>20.965103513981621</v>
      </c>
      <c r="AV28" s="131" t="str">
        <f t="shared" si="148"/>
        <v>±0,97</v>
      </c>
      <c r="AW28" s="69" t="str">
        <f t="shared" si="236"/>
        <v>±3,96</v>
      </c>
      <c r="AX28" s="132">
        <f t="shared" si="150"/>
        <v>0.97</v>
      </c>
      <c r="AY28" s="132">
        <f t="shared" si="151"/>
        <v>3.96</v>
      </c>
      <c r="AZ28" s="69">
        <f t="shared" si="9"/>
        <v>18.239999999999998</v>
      </c>
      <c r="BA28" s="69">
        <f t="shared" si="10"/>
        <v>22.09</v>
      </c>
      <c r="BB28" s="69">
        <f t="shared" si="152"/>
        <v>402.92159999999996</v>
      </c>
      <c r="BC28" s="69">
        <f t="shared" si="11"/>
        <v>18.239999999999998</v>
      </c>
      <c r="BD28" s="69">
        <f t="shared" si="12"/>
        <v>25.69</v>
      </c>
      <c r="BE28" s="69">
        <f t="shared" si="153"/>
        <v>468.5856</v>
      </c>
      <c r="BF28" s="69">
        <f t="shared" si="13"/>
        <v>18.239999999999998</v>
      </c>
      <c r="BG28" s="69">
        <f t="shared" si="14"/>
        <v>18.600000000000001</v>
      </c>
      <c r="BH28" s="69">
        <f t="shared" si="154"/>
        <v>339.26400000000001</v>
      </c>
      <c r="BI28" s="69">
        <f t="shared" si="15"/>
        <v>18.239999999999998</v>
      </c>
      <c r="BJ28" s="69">
        <f t="shared" si="16"/>
        <v>22.35</v>
      </c>
      <c r="BK28" s="69">
        <f t="shared" si="155"/>
        <v>407.66399999999999</v>
      </c>
      <c r="BL28" s="69">
        <f t="shared" si="17"/>
        <v>18.239999999999998</v>
      </c>
      <c r="BM28" s="69">
        <f t="shared" si="18"/>
        <v>21.12</v>
      </c>
      <c r="BN28" s="69">
        <f t="shared" si="156"/>
        <v>385.22879999999998</v>
      </c>
      <c r="BO28" s="69">
        <f t="shared" si="19"/>
        <v>18.239999999999998</v>
      </c>
      <c r="BP28" s="69">
        <f t="shared" si="20"/>
        <v>18.670000000000002</v>
      </c>
      <c r="BQ28" s="69">
        <f t="shared" si="157"/>
        <v>340.54079999999999</v>
      </c>
      <c r="BR28" s="69">
        <f t="shared" si="21"/>
        <v>18.239999999999998</v>
      </c>
      <c r="BS28" s="69">
        <f t="shared" si="22"/>
        <v>23.16</v>
      </c>
      <c r="BT28" s="69">
        <f t="shared" si="158"/>
        <v>422.43839999999994</v>
      </c>
      <c r="BU28" s="69">
        <f t="shared" si="23"/>
        <v>18.239999999999998</v>
      </c>
      <c r="BV28" s="69">
        <f t="shared" si="24"/>
        <v>17.57</v>
      </c>
      <c r="BW28" s="69">
        <f t="shared" si="159"/>
        <v>320.47679999999997</v>
      </c>
      <c r="BX28" s="69">
        <f t="shared" si="25"/>
        <v>18.239999999999998</v>
      </c>
      <c r="BY28" s="69">
        <f t="shared" si="26"/>
        <v>23.76</v>
      </c>
      <c r="BZ28" s="69">
        <f t="shared" si="160"/>
        <v>433.38240000000002</v>
      </c>
      <c r="CA28" s="69">
        <f t="shared" si="27"/>
        <v>18.239999999999998</v>
      </c>
      <c r="CB28" s="69">
        <f t="shared" si="28"/>
        <v>20.965103513981621</v>
      </c>
      <c r="CC28" s="69">
        <f t="shared" si="161"/>
        <v>382.40348809502473</v>
      </c>
      <c r="CE28" s="69">
        <f t="shared" si="29"/>
        <v>22.09</v>
      </c>
      <c r="CF28" s="69">
        <f t="shared" si="30"/>
        <v>25.69</v>
      </c>
      <c r="CG28" s="69">
        <f t="shared" si="162"/>
        <v>567.49210000000005</v>
      </c>
      <c r="CH28" s="69">
        <f t="shared" si="31"/>
        <v>22.09</v>
      </c>
      <c r="CI28" s="69">
        <f t="shared" si="32"/>
        <v>18.600000000000001</v>
      </c>
      <c r="CJ28" s="69">
        <f t="shared" si="163"/>
        <v>410.87400000000002</v>
      </c>
      <c r="CK28" s="69">
        <f t="shared" si="33"/>
        <v>22.09</v>
      </c>
      <c r="CL28" s="69">
        <f t="shared" si="34"/>
        <v>22.35</v>
      </c>
      <c r="CM28" s="69">
        <f t="shared" si="164"/>
        <v>493.7115</v>
      </c>
      <c r="CN28" s="69">
        <f t="shared" si="35"/>
        <v>22.09</v>
      </c>
      <c r="CO28" s="69">
        <f t="shared" si="36"/>
        <v>21.12</v>
      </c>
      <c r="CP28" s="69">
        <f t="shared" si="165"/>
        <v>466.54080000000005</v>
      </c>
      <c r="CQ28" s="69">
        <f t="shared" si="37"/>
        <v>22.09</v>
      </c>
      <c r="CR28" s="69">
        <f t="shared" si="38"/>
        <v>18.670000000000002</v>
      </c>
      <c r="CS28" s="69">
        <f t="shared" si="166"/>
        <v>412.42030000000005</v>
      </c>
      <c r="CT28" s="69">
        <f t="shared" si="39"/>
        <v>22.09</v>
      </c>
      <c r="CU28" s="69">
        <f t="shared" si="40"/>
        <v>23.16</v>
      </c>
      <c r="CV28" s="69">
        <f t="shared" si="167"/>
        <v>511.6044</v>
      </c>
      <c r="CW28" s="69">
        <f t="shared" si="41"/>
        <v>22.09</v>
      </c>
      <c r="CX28" s="69">
        <f t="shared" si="42"/>
        <v>17.57</v>
      </c>
      <c r="CY28" s="69">
        <f t="shared" si="168"/>
        <v>388.12130000000002</v>
      </c>
      <c r="CZ28" s="69">
        <f t="shared" si="43"/>
        <v>22.09</v>
      </c>
      <c r="DA28" s="69">
        <f t="shared" si="44"/>
        <v>23.76</v>
      </c>
      <c r="DB28" s="69">
        <f t="shared" si="169"/>
        <v>524.85840000000007</v>
      </c>
      <c r="DC28" s="69">
        <f t="shared" si="45"/>
        <v>22.09</v>
      </c>
      <c r="DD28" s="69">
        <f t="shared" si="46"/>
        <v>20.965103513981621</v>
      </c>
      <c r="DE28" s="69">
        <f t="shared" si="170"/>
        <v>463.11913662385399</v>
      </c>
      <c r="DG28" s="69">
        <f t="shared" si="47"/>
        <v>25.69</v>
      </c>
      <c r="DH28" s="69">
        <f t="shared" si="48"/>
        <v>18.600000000000001</v>
      </c>
      <c r="DI28" s="69">
        <f t="shared" si="171"/>
        <v>477.83400000000006</v>
      </c>
      <c r="DJ28" s="69">
        <f t="shared" si="49"/>
        <v>25.69</v>
      </c>
      <c r="DK28" s="69">
        <f t="shared" si="50"/>
        <v>22.35</v>
      </c>
      <c r="DL28" s="69">
        <f t="shared" si="172"/>
        <v>574.17150000000004</v>
      </c>
      <c r="DM28" s="69">
        <f t="shared" si="51"/>
        <v>25.69</v>
      </c>
      <c r="DN28" s="69">
        <f t="shared" si="52"/>
        <v>21.12</v>
      </c>
      <c r="DO28" s="69">
        <f t="shared" si="173"/>
        <v>542.57280000000003</v>
      </c>
      <c r="DP28" s="69">
        <f t="shared" si="53"/>
        <v>25.69</v>
      </c>
      <c r="DQ28" s="69">
        <f t="shared" si="54"/>
        <v>18.670000000000002</v>
      </c>
      <c r="DR28" s="69">
        <f t="shared" si="174"/>
        <v>479.63230000000004</v>
      </c>
      <c r="DS28" s="69">
        <f t="shared" si="55"/>
        <v>25.69</v>
      </c>
      <c r="DT28" s="69">
        <f t="shared" si="56"/>
        <v>23.16</v>
      </c>
      <c r="DU28" s="69">
        <f t="shared" si="175"/>
        <v>594.98040000000003</v>
      </c>
      <c r="DV28" s="69">
        <f t="shared" si="57"/>
        <v>25.69</v>
      </c>
      <c r="DW28" s="69">
        <f t="shared" si="58"/>
        <v>17.57</v>
      </c>
      <c r="DX28" s="69">
        <f t="shared" si="176"/>
        <v>451.37330000000003</v>
      </c>
      <c r="DY28" s="69">
        <f t="shared" si="59"/>
        <v>25.69</v>
      </c>
      <c r="DZ28" s="69">
        <f t="shared" si="60"/>
        <v>23.76</v>
      </c>
      <c r="EA28" s="69">
        <f t="shared" si="177"/>
        <v>610.39440000000002</v>
      </c>
      <c r="EB28" s="69">
        <f t="shared" si="61"/>
        <v>25.69</v>
      </c>
      <c r="EC28" s="69">
        <f t="shared" si="62"/>
        <v>20.965103513981621</v>
      </c>
      <c r="ED28" s="69">
        <f t="shared" si="178"/>
        <v>538.59350927418791</v>
      </c>
      <c r="EF28" s="69">
        <f t="shared" si="63"/>
        <v>18.600000000000001</v>
      </c>
      <c r="EG28" s="69">
        <f t="shared" si="64"/>
        <v>22.35</v>
      </c>
      <c r="EH28" s="69">
        <f t="shared" si="179"/>
        <v>415.71000000000004</v>
      </c>
      <c r="EI28" s="69">
        <f t="shared" si="65"/>
        <v>18.600000000000001</v>
      </c>
      <c r="EJ28" s="69">
        <f t="shared" si="66"/>
        <v>21.12</v>
      </c>
      <c r="EK28" s="69">
        <f t="shared" si="180"/>
        <v>392.83200000000005</v>
      </c>
      <c r="EL28" s="69">
        <f t="shared" si="67"/>
        <v>18.600000000000001</v>
      </c>
      <c r="EM28" s="69">
        <f t="shared" si="68"/>
        <v>18.670000000000002</v>
      </c>
      <c r="EN28" s="69">
        <f t="shared" si="181"/>
        <v>347.26200000000006</v>
      </c>
      <c r="EO28" s="69">
        <f t="shared" si="69"/>
        <v>18.600000000000001</v>
      </c>
      <c r="EP28" s="69">
        <f t="shared" si="70"/>
        <v>23.16</v>
      </c>
      <c r="EQ28" s="69">
        <f t="shared" si="182"/>
        <v>430.77600000000001</v>
      </c>
      <c r="ER28" s="69">
        <f t="shared" si="71"/>
        <v>18.600000000000001</v>
      </c>
      <c r="ES28" s="69">
        <f t="shared" si="72"/>
        <v>17.57</v>
      </c>
      <c r="ET28" s="69">
        <f t="shared" si="183"/>
        <v>326.80200000000002</v>
      </c>
      <c r="EU28" s="69">
        <f t="shared" si="73"/>
        <v>18.600000000000001</v>
      </c>
      <c r="EV28" s="69">
        <f t="shared" si="74"/>
        <v>23.76</v>
      </c>
      <c r="EW28" s="69">
        <f t="shared" si="184"/>
        <v>441.93600000000004</v>
      </c>
      <c r="EX28" s="69">
        <f t="shared" si="75"/>
        <v>18.600000000000001</v>
      </c>
      <c r="EY28" s="69">
        <f t="shared" si="76"/>
        <v>20.965103513981621</v>
      </c>
      <c r="EZ28" s="69">
        <f t="shared" si="185"/>
        <v>389.95092536005819</v>
      </c>
      <c r="FB28" s="69">
        <f t="shared" si="77"/>
        <v>22.35</v>
      </c>
      <c r="FC28" s="69">
        <f t="shared" si="78"/>
        <v>21.12</v>
      </c>
      <c r="FD28" s="69">
        <f t="shared" si="186"/>
        <v>472.03200000000004</v>
      </c>
      <c r="FE28" s="69">
        <f t="shared" si="79"/>
        <v>22.35</v>
      </c>
      <c r="FF28" s="69">
        <f t="shared" si="80"/>
        <v>18.670000000000002</v>
      </c>
      <c r="FG28" s="69">
        <f t="shared" si="187"/>
        <v>417.27450000000005</v>
      </c>
      <c r="FH28" s="69">
        <f t="shared" si="81"/>
        <v>22.35</v>
      </c>
      <c r="FI28" s="69">
        <f t="shared" si="82"/>
        <v>23.16</v>
      </c>
      <c r="FJ28" s="69">
        <f t="shared" si="188"/>
        <v>517.62600000000009</v>
      </c>
      <c r="FK28" s="69">
        <f t="shared" si="83"/>
        <v>22.35</v>
      </c>
      <c r="FL28" s="69">
        <f t="shared" si="84"/>
        <v>17.57</v>
      </c>
      <c r="FM28" s="69">
        <f t="shared" si="189"/>
        <v>392.68950000000001</v>
      </c>
      <c r="FN28" s="69">
        <f t="shared" si="85"/>
        <v>22.35</v>
      </c>
      <c r="FO28" s="69">
        <f t="shared" si="86"/>
        <v>23.76</v>
      </c>
      <c r="FP28" s="69">
        <f t="shared" si="190"/>
        <v>531.03600000000006</v>
      </c>
      <c r="FQ28" s="69">
        <f t="shared" si="87"/>
        <v>22.35</v>
      </c>
      <c r="FR28" s="69">
        <f t="shared" si="88"/>
        <v>20.965103513981621</v>
      </c>
      <c r="FS28" s="69">
        <f t="shared" si="191"/>
        <v>468.57006353748926</v>
      </c>
      <c r="FU28" s="69">
        <f t="shared" si="89"/>
        <v>21.12</v>
      </c>
      <c r="FV28" s="69">
        <f t="shared" si="90"/>
        <v>18.670000000000002</v>
      </c>
      <c r="FW28" s="69">
        <f t="shared" si="192"/>
        <v>394.31040000000007</v>
      </c>
      <c r="FX28" s="69">
        <f t="shared" si="91"/>
        <v>21.12</v>
      </c>
      <c r="FY28" s="69">
        <f t="shared" si="92"/>
        <v>23.16</v>
      </c>
      <c r="FZ28" s="69">
        <f t="shared" si="193"/>
        <v>489.13920000000002</v>
      </c>
      <c r="GA28" s="69">
        <f t="shared" si="93"/>
        <v>21.12</v>
      </c>
      <c r="GB28" s="69">
        <f t="shared" si="94"/>
        <v>17.57</v>
      </c>
      <c r="GC28" s="69">
        <f t="shared" si="194"/>
        <v>371.07840000000004</v>
      </c>
      <c r="GD28" s="69">
        <f t="shared" si="95"/>
        <v>21.12</v>
      </c>
      <c r="GE28" s="69">
        <f t="shared" si="96"/>
        <v>23.76</v>
      </c>
      <c r="GF28" s="69">
        <f t="shared" si="195"/>
        <v>501.81120000000004</v>
      </c>
      <c r="GG28" s="69">
        <f t="shared" si="97"/>
        <v>21.12</v>
      </c>
      <c r="GH28" s="69">
        <f t="shared" si="98"/>
        <v>20.965103513981621</v>
      </c>
      <c r="GI28" s="69">
        <f t="shared" si="196"/>
        <v>442.78298621529183</v>
      </c>
      <c r="GK28" s="69">
        <f t="shared" si="99"/>
        <v>18.670000000000002</v>
      </c>
      <c r="GL28" s="69">
        <f t="shared" si="100"/>
        <v>23.16</v>
      </c>
      <c r="GM28" s="69">
        <f t="shared" si="197"/>
        <v>432.39720000000005</v>
      </c>
      <c r="GN28" s="69">
        <f t="shared" si="101"/>
        <v>18.670000000000002</v>
      </c>
      <c r="GO28" s="69">
        <f t="shared" si="102"/>
        <v>17.57</v>
      </c>
      <c r="GP28" s="69">
        <f t="shared" si="198"/>
        <v>328.03190000000001</v>
      </c>
      <c r="GQ28" s="69">
        <f t="shared" si="103"/>
        <v>18.670000000000002</v>
      </c>
      <c r="GR28" s="69">
        <f t="shared" si="104"/>
        <v>23.76</v>
      </c>
      <c r="GS28" s="69">
        <f t="shared" si="199"/>
        <v>443.59920000000005</v>
      </c>
      <c r="GT28" s="69">
        <f t="shared" si="105"/>
        <v>18.670000000000002</v>
      </c>
      <c r="GU28" s="69">
        <f t="shared" si="106"/>
        <v>20.965103513981621</v>
      </c>
      <c r="GV28" s="69">
        <f t="shared" si="200"/>
        <v>391.41848260603689</v>
      </c>
      <c r="GX28" s="69">
        <f t="shared" si="201"/>
        <v>23.16</v>
      </c>
      <c r="GY28" s="69">
        <f t="shared" si="202"/>
        <v>17.57</v>
      </c>
      <c r="GZ28" s="69">
        <f t="shared" si="203"/>
        <v>406.9212</v>
      </c>
      <c r="HA28" s="69">
        <f t="shared" si="204"/>
        <v>23.16</v>
      </c>
      <c r="HB28" s="69">
        <f t="shared" si="205"/>
        <v>23.76</v>
      </c>
      <c r="HC28" s="69">
        <f t="shared" si="206"/>
        <v>550.28160000000003</v>
      </c>
      <c r="HD28" s="69">
        <f t="shared" si="207"/>
        <v>23.16</v>
      </c>
      <c r="HE28" s="69">
        <f t="shared" si="208"/>
        <v>20.965103513981621</v>
      </c>
      <c r="HF28" s="69">
        <f t="shared" si="209"/>
        <v>485.55179738381435</v>
      </c>
      <c r="HH28" s="69">
        <f t="shared" si="210"/>
        <v>17.57</v>
      </c>
      <c r="HI28" s="69">
        <f t="shared" si="211"/>
        <v>23.76</v>
      </c>
      <c r="HJ28" s="69">
        <f t="shared" si="212"/>
        <v>417.46320000000003</v>
      </c>
      <c r="HK28" s="69">
        <f t="shared" si="213"/>
        <v>17.57</v>
      </c>
      <c r="HL28" s="69">
        <f t="shared" si="214"/>
        <v>20.965103513981621</v>
      </c>
      <c r="HM28" s="69">
        <f t="shared" si="215"/>
        <v>368.35686874065709</v>
      </c>
      <c r="HO28" s="69">
        <f t="shared" si="216"/>
        <v>23.76</v>
      </c>
      <c r="HP28" s="69">
        <f t="shared" si="217"/>
        <v>20.965103513981621</v>
      </c>
      <c r="HQ28" s="69">
        <f t="shared" si="218"/>
        <v>498.13085949220334</v>
      </c>
      <c r="HS28" s="69">
        <f t="shared" si="107"/>
        <v>20.965103513981621</v>
      </c>
      <c r="HT28" s="69">
        <f t="shared" si="108"/>
        <v>18.239999999999998</v>
      </c>
      <c r="HU28" s="69">
        <f t="shared" si="219"/>
        <v>382.40348809502473</v>
      </c>
      <c r="HV28" s="69">
        <f t="shared" si="109"/>
        <v>20.965103513981621</v>
      </c>
      <c r="HW28" s="69">
        <f t="shared" si="110"/>
        <v>22.09</v>
      </c>
      <c r="HX28" s="69">
        <f t="shared" si="220"/>
        <v>463.11913662385399</v>
      </c>
      <c r="HY28" s="69">
        <f t="shared" si="111"/>
        <v>20.965103513981621</v>
      </c>
      <c r="HZ28" s="69">
        <f t="shared" si="112"/>
        <v>25.69</v>
      </c>
      <c r="IA28" s="69">
        <f t="shared" si="221"/>
        <v>538.59350927418791</v>
      </c>
      <c r="IB28" s="69">
        <f t="shared" si="113"/>
        <v>20.965103513981621</v>
      </c>
      <c r="IC28" s="69">
        <f t="shared" si="114"/>
        <v>18.600000000000001</v>
      </c>
      <c r="ID28" s="69">
        <f t="shared" si="222"/>
        <v>389.95092536005819</v>
      </c>
      <c r="IE28" s="69">
        <f t="shared" si="115"/>
        <v>20.965103513981621</v>
      </c>
      <c r="IF28" s="69">
        <f t="shared" si="116"/>
        <v>22.35</v>
      </c>
      <c r="IG28" s="69">
        <f t="shared" si="223"/>
        <v>468.57006353748926</v>
      </c>
      <c r="IH28" s="69">
        <f t="shared" si="117"/>
        <v>20.965103513981621</v>
      </c>
      <c r="II28" s="69">
        <f t="shared" si="118"/>
        <v>21.12</v>
      </c>
      <c r="IJ28" s="69">
        <f t="shared" si="224"/>
        <v>442.78298621529183</v>
      </c>
      <c r="IK28" s="69">
        <f t="shared" si="119"/>
        <v>20.965103513981621</v>
      </c>
      <c r="IL28" s="69">
        <f t="shared" si="120"/>
        <v>18.670000000000002</v>
      </c>
      <c r="IM28" s="69">
        <f t="shared" si="225"/>
        <v>391.41848260603689</v>
      </c>
      <c r="IN28" s="69">
        <f t="shared" si="226"/>
        <v>20.965103513981621</v>
      </c>
      <c r="IO28" s="69">
        <f t="shared" si="227"/>
        <v>23.16</v>
      </c>
      <c r="IP28" s="69">
        <f t="shared" si="228"/>
        <v>485.55179738381435</v>
      </c>
      <c r="IQ28" s="69">
        <f t="shared" si="229"/>
        <v>20.965103513981621</v>
      </c>
      <c r="IR28" s="69">
        <f t="shared" si="230"/>
        <v>17.57</v>
      </c>
      <c r="IS28" s="69">
        <f t="shared" si="231"/>
        <v>368.35686874065709</v>
      </c>
      <c r="IT28" s="69">
        <f t="shared" si="232"/>
        <v>20.965103513981621</v>
      </c>
      <c r="IU28" s="69">
        <f t="shared" si="233"/>
        <v>23.76</v>
      </c>
      <c r="IV28" s="69">
        <f t="shared" si="234"/>
        <v>498.13085949220334</v>
      </c>
    </row>
    <row r="29" spans="1:256" ht="15" x14ac:dyDescent="0.25">
      <c r="A29" s="57" t="s">
        <v>32</v>
      </c>
      <c r="B29" s="295">
        <v>18.100000000000001</v>
      </c>
      <c r="C29" s="295">
        <v>23.61</v>
      </c>
      <c r="D29" s="295">
        <v>24.92</v>
      </c>
      <c r="E29" s="295">
        <v>18.579999999999998</v>
      </c>
      <c r="F29" s="295">
        <v>21.45</v>
      </c>
      <c r="G29" s="295">
        <v>20.329999999999998</v>
      </c>
      <c r="H29" s="295">
        <v>19.96</v>
      </c>
      <c r="I29" s="296">
        <v>25.89</v>
      </c>
      <c r="J29" s="295">
        <v>17.66</v>
      </c>
      <c r="K29" s="295">
        <v>23.99</v>
      </c>
      <c r="L29" s="68">
        <f t="shared" si="0"/>
        <v>10</v>
      </c>
      <c r="M29" s="69">
        <f t="shared" si="1"/>
        <v>21.263005520124221</v>
      </c>
      <c r="N29" s="69" t="str">
        <f t="shared" si="121"/>
        <v>±0,44</v>
      </c>
      <c r="O29" s="69" t="str">
        <f t="shared" si="122"/>
        <v>±2,01</v>
      </c>
      <c r="P29" s="69" t="str">
        <f t="shared" si="235"/>
        <v>±0,22</v>
      </c>
      <c r="Q29" s="70">
        <f t="shared" si="2"/>
        <v>18.100000000000001</v>
      </c>
      <c r="R29" s="71">
        <f t="shared" si="124"/>
        <v>-0.86862524317589873</v>
      </c>
      <c r="S29" s="71">
        <f t="shared" si="125"/>
        <v>-4.5792735743376722</v>
      </c>
      <c r="T29" s="70">
        <f t="shared" si="3"/>
        <v>23.61</v>
      </c>
      <c r="U29" s="71">
        <f t="shared" si="126"/>
        <v>-0.3512221729329994</v>
      </c>
      <c r="V29" s="71">
        <f t="shared" si="127"/>
        <v>-1.4657940667556879</v>
      </c>
      <c r="W29" s="70">
        <f t="shared" si="4"/>
        <v>24.92</v>
      </c>
      <c r="X29" s="71">
        <f t="shared" si="128"/>
        <v>-0.76826128377806313</v>
      </c>
      <c r="Y29" s="71">
        <f t="shared" si="129"/>
        <v>-2.9907095513047155</v>
      </c>
      <c r="Z29" s="70">
        <f t="shared" si="5"/>
        <v>18.579999999999998</v>
      </c>
      <c r="AA29" s="71">
        <f t="shared" si="130"/>
        <v>-0.11185185283979848</v>
      </c>
      <c r="AB29" s="71">
        <f t="shared" si="131"/>
        <v>-0.59839899074957126</v>
      </c>
      <c r="AC29" s="70">
        <f t="shared" si="6"/>
        <v>21.45</v>
      </c>
      <c r="AD29" s="71">
        <f t="shared" si="132"/>
        <v>-1.10312115284108</v>
      </c>
      <c r="AE29" s="71">
        <f t="shared" si="133"/>
        <v>-4.8912128186839325</v>
      </c>
      <c r="AF29" s="70">
        <f t="shared" si="7"/>
        <v>20.329999999999998</v>
      </c>
      <c r="AG29" s="71">
        <f t="shared" si="134"/>
        <v>-0.27269325718003046</v>
      </c>
      <c r="AH29" s="71">
        <f t="shared" si="135"/>
        <v>-1.3235806298528274</v>
      </c>
      <c r="AI29" s="70">
        <f t="shared" si="8"/>
        <v>19.96</v>
      </c>
      <c r="AJ29" s="71">
        <f t="shared" si="136"/>
        <v>0.22294613444836386</v>
      </c>
      <c r="AK29" s="71">
        <f t="shared" si="137"/>
        <v>1.1295816283781068</v>
      </c>
      <c r="AL29" s="70">
        <f t="shared" si="138"/>
        <v>25.89</v>
      </c>
      <c r="AM29" s="71">
        <f t="shared" si="139"/>
        <v>5.0359237834680215E-2</v>
      </c>
      <c r="AN29" s="71">
        <f t="shared" si="140"/>
        <v>0.19489140076751621</v>
      </c>
      <c r="AO29" s="70">
        <f t="shared" si="141"/>
        <v>17.66</v>
      </c>
      <c r="AP29" s="71">
        <f t="shared" si="142"/>
        <v>-7.7102142594480227E-2</v>
      </c>
      <c r="AQ29" s="71">
        <f t="shared" si="143"/>
        <v>-0.43469413422007053</v>
      </c>
      <c r="AR29" s="70">
        <f t="shared" si="144"/>
        <v>23.99</v>
      </c>
      <c r="AS29" s="71">
        <f t="shared" si="145"/>
        <v>-8.936053572812952E-2</v>
      </c>
      <c r="AT29" s="71">
        <f t="shared" si="146"/>
        <v>-0.37110842539003208</v>
      </c>
      <c r="AU29" s="69">
        <f t="shared" si="147"/>
        <v>21.263005520124221</v>
      </c>
      <c r="AV29" s="131" t="str">
        <f t="shared" si="148"/>
        <v>±0,44</v>
      </c>
      <c r="AW29" s="69" t="str">
        <f t="shared" si="236"/>
        <v>±2,01</v>
      </c>
      <c r="AX29" s="132">
        <f t="shared" si="150"/>
        <v>0.44</v>
      </c>
      <c r="AY29" s="132">
        <f t="shared" si="151"/>
        <v>2.0099999999999998</v>
      </c>
      <c r="AZ29" s="69">
        <f t="shared" si="9"/>
        <v>18.100000000000001</v>
      </c>
      <c r="BA29" s="69">
        <f t="shared" si="10"/>
        <v>23.61</v>
      </c>
      <c r="BB29" s="69">
        <f t="shared" si="152"/>
        <v>427.34100000000001</v>
      </c>
      <c r="BC29" s="69">
        <f t="shared" si="11"/>
        <v>18.100000000000001</v>
      </c>
      <c r="BD29" s="69">
        <f t="shared" si="12"/>
        <v>24.92</v>
      </c>
      <c r="BE29" s="69">
        <f t="shared" si="153"/>
        <v>451.05200000000008</v>
      </c>
      <c r="BF29" s="69">
        <f t="shared" si="13"/>
        <v>18.100000000000001</v>
      </c>
      <c r="BG29" s="69">
        <f t="shared" si="14"/>
        <v>18.579999999999998</v>
      </c>
      <c r="BH29" s="69">
        <f t="shared" si="154"/>
        <v>336.298</v>
      </c>
      <c r="BI29" s="69">
        <f t="shared" si="15"/>
        <v>18.100000000000001</v>
      </c>
      <c r="BJ29" s="69">
        <f t="shared" si="16"/>
        <v>21.45</v>
      </c>
      <c r="BK29" s="69">
        <f t="shared" si="155"/>
        <v>388.245</v>
      </c>
      <c r="BL29" s="69">
        <f t="shared" si="17"/>
        <v>18.100000000000001</v>
      </c>
      <c r="BM29" s="69">
        <f t="shared" si="18"/>
        <v>20.329999999999998</v>
      </c>
      <c r="BN29" s="69">
        <f t="shared" si="156"/>
        <v>367.97300000000001</v>
      </c>
      <c r="BO29" s="69">
        <f t="shared" si="19"/>
        <v>18.100000000000001</v>
      </c>
      <c r="BP29" s="69">
        <f t="shared" si="20"/>
        <v>19.96</v>
      </c>
      <c r="BQ29" s="69">
        <f t="shared" si="157"/>
        <v>361.27600000000007</v>
      </c>
      <c r="BR29" s="69">
        <f t="shared" si="21"/>
        <v>18.100000000000001</v>
      </c>
      <c r="BS29" s="69">
        <f t="shared" si="22"/>
        <v>25.89</v>
      </c>
      <c r="BT29" s="69">
        <f t="shared" si="158"/>
        <v>468.60900000000004</v>
      </c>
      <c r="BU29" s="69">
        <f t="shared" si="23"/>
        <v>18.100000000000001</v>
      </c>
      <c r="BV29" s="69">
        <f t="shared" si="24"/>
        <v>17.66</v>
      </c>
      <c r="BW29" s="69">
        <f t="shared" si="159"/>
        <v>319.64600000000002</v>
      </c>
      <c r="BX29" s="69">
        <f t="shared" si="25"/>
        <v>18.100000000000001</v>
      </c>
      <c r="BY29" s="69">
        <f t="shared" si="26"/>
        <v>23.99</v>
      </c>
      <c r="BZ29" s="69">
        <f t="shared" si="160"/>
        <v>434.21899999999999</v>
      </c>
      <c r="CA29" s="69">
        <f t="shared" si="27"/>
        <v>18.100000000000001</v>
      </c>
      <c r="CB29" s="69">
        <f t="shared" si="28"/>
        <v>21.263005520124221</v>
      </c>
      <c r="CC29" s="69">
        <f t="shared" si="161"/>
        <v>384.86039991424843</v>
      </c>
      <c r="CE29" s="69">
        <f t="shared" si="29"/>
        <v>23.61</v>
      </c>
      <c r="CF29" s="69">
        <f t="shared" si="30"/>
        <v>24.92</v>
      </c>
      <c r="CG29" s="69">
        <f t="shared" si="162"/>
        <v>588.36120000000005</v>
      </c>
      <c r="CH29" s="69">
        <f t="shared" si="31"/>
        <v>23.61</v>
      </c>
      <c r="CI29" s="69">
        <f t="shared" si="32"/>
        <v>18.579999999999998</v>
      </c>
      <c r="CJ29" s="69">
        <f t="shared" si="163"/>
        <v>438.67379999999997</v>
      </c>
      <c r="CK29" s="69">
        <f t="shared" si="33"/>
        <v>23.61</v>
      </c>
      <c r="CL29" s="69">
        <f t="shared" si="34"/>
        <v>21.45</v>
      </c>
      <c r="CM29" s="69">
        <f t="shared" si="164"/>
        <v>506.43449999999996</v>
      </c>
      <c r="CN29" s="69">
        <f t="shared" si="35"/>
        <v>23.61</v>
      </c>
      <c r="CO29" s="69">
        <f t="shared" si="36"/>
        <v>20.329999999999998</v>
      </c>
      <c r="CP29" s="69">
        <f t="shared" si="165"/>
        <v>479.99129999999997</v>
      </c>
      <c r="CQ29" s="69">
        <f t="shared" si="37"/>
        <v>23.61</v>
      </c>
      <c r="CR29" s="69">
        <f t="shared" si="38"/>
        <v>19.96</v>
      </c>
      <c r="CS29" s="69">
        <f t="shared" si="166"/>
        <v>471.25560000000002</v>
      </c>
      <c r="CT29" s="69">
        <f t="shared" si="39"/>
        <v>23.61</v>
      </c>
      <c r="CU29" s="69">
        <f t="shared" si="40"/>
        <v>25.89</v>
      </c>
      <c r="CV29" s="69">
        <f t="shared" si="167"/>
        <v>611.26289999999995</v>
      </c>
      <c r="CW29" s="69">
        <f t="shared" si="41"/>
        <v>23.61</v>
      </c>
      <c r="CX29" s="69">
        <f t="shared" si="42"/>
        <v>17.66</v>
      </c>
      <c r="CY29" s="69">
        <f t="shared" si="168"/>
        <v>416.95260000000002</v>
      </c>
      <c r="CZ29" s="69">
        <f t="shared" si="43"/>
        <v>23.61</v>
      </c>
      <c r="DA29" s="69">
        <f t="shared" si="44"/>
        <v>23.99</v>
      </c>
      <c r="DB29" s="69">
        <f t="shared" si="169"/>
        <v>566.40389999999991</v>
      </c>
      <c r="DC29" s="69">
        <f t="shared" si="45"/>
        <v>23.61</v>
      </c>
      <c r="DD29" s="69">
        <f t="shared" si="46"/>
        <v>21.263005520124221</v>
      </c>
      <c r="DE29" s="69">
        <f t="shared" si="170"/>
        <v>502.01956033013283</v>
      </c>
      <c r="DG29" s="69">
        <f t="shared" si="47"/>
        <v>24.92</v>
      </c>
      <c r="DH29" s="69">
        <f t="shared" si="48"/>
        <v>18.579999999999998</v>
      </c>
      <c r="DI29" s="69">
        <f t="shared" si="171"/>
        <v>463.0136</v>
      </c>
      <c r="DJ29" s="69">
        <f t="shared" si="49"/>
        <v>24.92</v>
      </c>
      <c r="DK29" s="69">
        <f t="shared" si="50"/>
        <v>21.45</v>
      </c>
      <c r="DL29" s="69">
        <f t="shared" si="172"/>
        <v>534.53399999999999</v>
      </c>
      <c r="DM29" s="69">
        <f t="shared" si="51"/>
        <v>24.92</v>
      </c>
      <c r="DN29" s="69">
        <f t="shared" si="52"/>
        <v>20.329999999999998</v>
      </c>
      <c r="DO29" s="69">
        <f t="shared" si="173"/>
        <v>506.62360000000001</v>
      </c>
      <c r="DP29" s="69">
        <f t="shared" si="53"/>
        <v>24.92</v>
      </c>
      <c r="DQ29" s="69">
        <f t="shared" si="54"/>
        <v>19.96</v>
      </c>
      <c r="DR29" s="69">
        <f t="shared" si="174"/>
        <v>497.40320000000008</v>
      </c>
      <c r="DS29" s="69">
        <f t="shared" si="55"/>
        <v>24.92</v>
      </c>
      <c r="DT29" s="69">
        <f t="shared" si="56"/>
        <v>25.89</v>
      </c>
      <c r="DU29" s="69">
        <f t="shared" si="175"/>
        <v>645.17880000000002</v>
      </c>
      <c r="DV29" s="69">
        <f t="shared" si="57"/>
        <v>24.92</v>
      </c>
      <c r="DW29" s="69">
        <f t="shared" si="58"/>
        <v>17.66</v>
      </c>
      <c r="DX29" s="69">
        <f t="shared" si="176"/>
        <v>440.08720000000005</v>
      </c>
      <c r="DY29" s="69">
        <f t="shared" si="59"/>
        <v>24.92</v>
      </c>
      <c r="DZ29" s="69">
        <f t="shared" si="60"/>
        <v>23.99</v>
      </c>
      <c r="EA29" s="69">
        <f t="shared" si="177"/>
        <v>597.83079999999995</v>
      </c>
      <c r="EB29" s="69">
        <f t="shared" si="61"/>
        <v>24.92</v>
      </c>
      <c r="EC29" s="69">
        <f t="shared" si="62"/>
        <v>21.263005520124221</v>
      </c>
      <c r="ED29" s="69">
        <f t="shared" si="178"/>
        <v>529.87409756149566</v>
      </c>
      <c r="EF29" s="69">
        <f t="shared" si="63"/>
        <v>18.579999999999998</v>
      </c>
      <c r="EG29" s="69">
        <f t="shared" si="64"/>
        <v>21.45</v>
      </c>
      <c r="EH29" s="69">
        <f t="shared" si="179"/>
        <v>398.54099999999994</v>
      </c>
      <c r="EI29" s="69">
        <f t="shared" si="65"/>
        <v>18.579999999999998</v>
      </c>
      <c r="EJ29" s="69">
        <f t="shared" si="66"/>
        <v>20.329999999999998</v>
      </c>
      <c r="EK29" s="69">
        <f t="shared" si="180"/>
        <v>377.73139999999995</v>
      </c>
      <c r="EL29" s="69">
        <f t="shared" si="67"/>
        <v>18.579999999999998</v>
      </c>
      <c r="EM29" s="69">
        <f t="shared" si="68"/>
        <v>19.96</v>
      </c>
      <c r="EN29" s="69">
        <f t="shared" si="181"/>
        <v>370.85679999999996</v>
      </c>
      <c r="EO29" s="69">
        <f t="shared" si="69"/>
        <v>18.579999999999998</v>
      </c>
      <c r="EP29" s="69">
        <f t="shared" si="70"/>
        <v>25.89</v>
      </c>
      <c r="EQ29" s="69">
        <f t="shared" si="182"/>
        <v>481.03619999999995</v>
      </c>
      <c r="ER29" s="69">
        <f t="shared" si="71"/>
        <v>18.579999999999998</v>
      </c>
      <c r="ES29" s="69">
        <f t="shared" si="72"/>
        <v>17.66</v>
      </c>
      <c r="ET29" s="69">
        <f t="shared" si="183"/>
        <v>328.12279999999998</v>
      </c>
      <c r="EU29" s="69">
        <f t="shared" si="73"/>
        <v>18.579999999999998</v>
      </c>
      <c r="EV29" s="69">
        <f t="shared" si="74"/>
        <v>23.99</v>
      </c>
      <c r="EW29" s="69">
        <f t="shared" si="184"/>
        <v>445.73419999999993</v>
      </c>
      <c r="EX29" s="69">
        <f t="shared" si="75"/>
        <v>18.579999999999998</v>
      </c>
      <c r="EY29" s="69">
        <f t="shared" si="76"/>
        <v>21.263005520124221</v>
      </c>
      <c r="EZ29" s="69">
        <f t="shared" si="185"/>
        <v>395.06664256390798</v>
      </c>
      <c r="FB29" s="69">
        <f t="shared" si="77"/>
        <v>21.45</v>
      </c>
      <c r="FC29" s="69">
        <f t="shared" si="78"/>
        <v>20.329999999999998</v>
      </c>
      <c r="FD29" s="69">
        <f t="shared" si="186"/>
        <v>436.07849999999996</v>
      </c>
      <c r="FE29" s="69">
        <f t="shared" si="79"/>
        <v>21.45</v>
      </c>
      <c r="FF29" s="69">
        <f t="shared" si="80"/>
        <v>19.96</v>
      </c>
      <c r="FG29" s="69">
        <f t="shared" si="187"/>
        <v>428.142</v>
      </c>
      <c r="FH29" s="69">
        <f t="shared" si="81"/>
        <v>21.45</v>
      </c>
      <c r="FI29" s="69">
        <f t="shared" si="82"/>
        <v>25.89</v>
      </c>
      <c r="FJ29" s="69">
        <f t="shared" si="188"/>
        <v>555.34050000000002</v>
      </c>
      <c r="FK29" s="69">
        <f t="shared" si="83"/>
        <v>21.45</v>
      </c>
      <c r="FL29" s="69">
        <f t="shared" si="84"/>
        <v>17.66</v>
      </c>
      <c r="FM29" s="69">
        <f t="shared" si="189"/>
        <v>378.80700000000002</v>
      </c>
      <c r="FN29" s="69">
        <f t="shared" si="85"/>
        <v>21.45</v>
      </c>
      <c r="FO29" s="69">
        <f t="shared" si="86"/>
        <v>23.99</v>
      </c>
      <c r="FP29" s="69">
        <f t="shared" si="190"/>
        <v>514.58549999999991</v>
      </c>
      <c r="FQ29" s="69">
        <f t="shared" si="87"/>
        <v>21.45</v>
      </c>
      <c r="FR29" s="69">
        <f t="shared" si="88"/>
        <v>21.263005520124221</v>
      </c>
      <c r="FS29" s="69">
        <f t="shared" si="191"/>
        <v>456.09146840666455</v>
      </c>
      <c r="FU29" s="69">
        <f t="shared" si="89"/>
        <v>20.329999999999998</v>
      </c>
      <c r="FV29" s="69">
        <f t="shared" si="90"/>
        <v>19.96</v>
      </c>
      <c r="FW29" s="69">
        <f t="shared" si="192"/>
        <v>405.78679999999997</v>
      </c>
      <c r="FX29" s="69">
        <f t="shared" si="91"/>
        <v>20.329999999999998</v>
      </c>
      <c r="FY29" s="69">
        <f t="shared" si="92"/>
        <v>25.89</v>
      </c>
      <c r="FZ29" s="69">
        <f t="shared" si="193"/>
        <v>526.34370000000001</v>
      </c>
      <c r="GA29" s="69">
        <f t="shared" si="93"/>
        <v>20.329999999999998</v>
      </c>
      <c r="GB29" s="69">
        <f t="shared" si="94"/>
        <v>17.66</v>
      </c>
      <c r="GC29" s="69">
        <f t="shared" si="194"/>
        <v>359.02779999999996</v>
      </c>
      <c r="GD29" s="69">
        <f t="shared" si="95"/>
        <v>20.329999999999998</v>
      </c>
      <c r="GE29" s="69">
        <f t="shared" si="96"/>
        <v>23.99</v>
      </c>
      <c r="GF29" s="69">
        <f t="shared" si="195"/>
        <v>487.71669999999995</v>
      </c>
      <c r="GG29" s="69">
        <f t="shared" si="97"/>
        <v>20.329999999999998</v>
      </c>
      <c r="GH29" s="69">
        <f t="shared" si="98"/>
        <v>21.263005520124221</v>
      </c>
      <c r="GI29" s="69">
        <f t="shared" si="196"/>
        <v>432.27690222412537</v>
      </c>
      <c r="GK29" s="69">
        <f t="shared" si="99"/>
        <v>19.96</v>
      </c>
      <c r="GL29" s="69">
        <f t="shared" si="100"/>
        <v>25.89</v>
      </c>
      <c r="GM29" s="69">
        <f t="shared" si="197"/>
        <v>516.76440000000002</v>
      </c>
      <c r="GN29" s="69">
        <f t="shared" si="101"/>
        <v>19.96</v>
      </c>
      <c r="GO29" s="69">
        <f t="shared" si="102"/>
        <v>17.66</v>
      </c>
      <c r="GP29" s="69">
        <f t="shared" si="198"/>
        <v>352.49360000000001</v>
      </c>
      <c r="GQ29" s="69">
        <f t="shared" si="103"/>
        <v>19.96</v>
      </c>
      <c r="GR29" s="69">
        <f t="shared" si="104"/>
        <v>23.99</v>
      </c>
      <c r="GS29" s="69">
        <f t="shared" si="199"/>
        <v>478.84039999999999</v>
      </c>
      <c r="GT29" s="69">
        <f t="shared" si="105"/>
        <v>19.96</v>
      </c>
      <c r="GU29" s="69">
        <f t="shared" si="106"/>
        <v>21.263005520124221</v>
      </c>
      <c r="GV29" s="69">
        <f t="shared" si="200"/>
        <v>424.40959018167945</v>
      </c>
      <c r="GX29" s="69">
        <f t="shared" si="201"/>
        <v>25.89</v>
      </c>
      <c r="GY29" s="69">
        <f t="shared" si="202"/>
        <v>17.66</v>
      </c>
      <c r="GZ29" s="69">
        <f t="shared" si="203"/>
        <v>457.2174</v>
      </c>
      <c r="HA29" s="69">
        <f t="shared" si="204"/>
        <v>25.89</v>
      </c>
      <c r="HB29" s="69">
        <f t="shared" si="205"/>
        <v>23.99</v>
      </c>
      <c r="HC29" s="69">
        <f t="shared" si="206"/>
        <v>621.10109999999997</v>
      </c>
      <c r="HD29" s="69">
        <f t="shared" si="207"/>
        <v>25.89</v>
      </c>
      <c r="HE29" s="69">
        <f t="shared" si="208"/>
        <v>21.263005520124221</v>
      </c>
      <c r="HF29" s="69">
        <f t="shared" si="209"/>
        <v>550.49921291601606</v>
      </c>
      <c r="HH29" s="69">
        <f t="shared" si="210"/>
        <v>17.66</v>
      </c>
      <c r="HI29" s="69">
        <f t="shared" si="211"/>
        <v>23.99</v>
      </c>
      <c r="HJ29" s="69">
        <f t="shared" si="212"/>
        <v>423.66339999999997</v>
      </c>
      <c r="HK29" s="69">
        <f t="shared" si="213"/>
        <v>17.66</v>
      </c>
      <c r="HL29" s="69">
        <f t="shared" si="214"/>
        <v>21.263005520124221</v>
      </c>
      <c r="HM29" s="69">
        <f t="shared" si="215"/>
        <v>375.50467748539376</v>
      </c>
      <c r="HO29" s="69">
        <f t="shared" si="216"/>
        <v>23.99</v>
      </c>
      <c r="HP29" s="69">
        <f t="shared" si="217"/>
        <v>21.263005520124221</v>
      </c>
      <c r="HQ29" s="69">
        <f t="shared" si="218"/>
        <v>510.09950242778001</v>
      </c>
      <c r="HS29" s="69">
        <f t="shared" si="107"/>
        <v>21.263005520124221</v>
      </c>
      <c r="HT29" s="69">
        <f t="shared" si="108"/>
        <v>18.100000000000001</v>
      </c>
      <c r="HU29" s="69">
        <f t="shared" si="219"/>
        <v>384.86039991424843</v>
      </c>
      <c r="HV29" s="69">
        <f t="shared" si="109"/>
        <v>21.263005520124221</v>
      </c>
      <c r="HW29" s="69">
        <f t="shared" si="110"/>
        <v>23.61</v>
      </c>
      <c r="HX29" s="69">
        <f t="shared" si="220"/>
        <v>502.01956033013283</v>
      </c>
      <c r="HY29" s="69">
        <f t="shared" si="111"/>
        <v>21.263005520124221</v>
      </c>
      <c r="HZ29" s="69">
        <f t="shared" si="112"/>
        <v>24.92</v>
      </c>
      <c r="IA29" s="69">
        <f t="shared" si="221"/>
        <v>529.87409756149566</v>
      </c>
      <c r="IB29" s="69">
        <f t="shared" si="113"/>
        <v>21.263005520124221</v>
      </c>
      <c r="IC29" s="69">
        <f t="shared" si="114"/>
        <v>18.579999999999998</v>
      </c>
      <c r="ID29" s="69">
        <f t="shared" si="222"/>
        <v>395.06664256390798</v>
      </c>
      <c r="IE29" s="69">
        <f t="shared" si="115"/>
        <v>21.263005520124221</v>
      </c>
      <c r="IF29" s="69">
        <f t="shared" si="116"/>
        <v>21.45</v>
      </c>
      <c r="IG29" s="69">
        <f t="shared" si="223"/>
        <v>456.09146840666455</v>
      </c>
      <c r="IH29" s="69">
        <f t="shared" si="117"/>
        <v>21.263005520124221</v>
      </c>
      <c r="II29" s="69">
        <f t="shared" si="118"/>
        <v>20.329999999999998</v>
      </c>
      <c r="IJ29" s="69">
        <f t="shared" si="224"/>
        <v>432.27690222412537</v>
      </c>
      <c r="IK29" s="69">
        <f t="shared" si="119"/>
        <v>21.263005520124221</v>
      </c>
      <c r="IL29" s="69">
        <f t="shared" si="120"/>
        <v>19.96</v>
      </c>
      <c r="IM29" s="69">
        <f t="shared" si="225"/>
        <v>424.40959018167945</v>
      </c>
      <c r="IN29" s="69">
        <f t="shared" si="226"/>
        <v>21.263005520124221</v>
      </c>
      <c r="IO29" s="69">
        <f t="shared" si="227"/>
        <v>25.89</v>
      </c>
      <c r="IP29" s="69">
        <f t="shared" si="228"/>
        <v>550.49921291601606</v>
      </c>
      <c r="IQ29" s="69">
        <f t="shared" si="229"/>
        <v>21.263005520124221</v>
      </c>
      <c r="IR29" s="69">
        <f t="shared" si="230"/>
        <v>17.66</v>
      </c>
      <c r="IS29" s="69">
        <f t="shared" si="231"/>
        <v>375.50467748539376</v>
      </c>
      <c r="IT29" s="69">
        <f t="shared" si="232"/>
        <v>21.263005520124221</v>
      </c>
      <c r="IU29" s="69">
        <f t="shared" si="233"/>
        <v>23.99</v>
      </c>
      <c r="IV29" s="69">
        <f t="shared" si="234"/>
        <v>510.09950242778001</v>
      </c>
    </row>
    <row r="30" spans="1:256" ht="13.15" customHeight="1" x14ac:dyDescent="0.2">
      <c r="A30" s="57" t="s">
        <v>33</v>
      </c>
      <c r="B30" s="298">
        <v>18.48</v>
      </c>
      <c r="C30" s="298">
        <v>24.52</v>
      </c>
      <c r="D30" s="298">
        <v>25.3</v>
      </c>
      <c r="E30" s="298">
        <v>17.43</v>
      </c>
      <c r="F30" s="298">
        <v>22.2</v>
      </c>
      <c r="G30" s="298">
        <v>20.54</v>
      </c>
      <c r="H30" s="298">
        <v>19.61</v>
      </c>
      <c r="I30" s="298">
        <v>26.55</v>
      </c>
      <c r="J30" s="298">
        <v>16.8</v>
      </c>
      <c r="K30" s="298">
        <v>22.93</v>
      </c>
      <c r="L30" s="68">
        <f t="shared" si="0"/>
        <v>10</v>
      </c>
      <c r="M30" s="69">
        <f t="shared" si="1"/>
        <v>21.192633178531661</v>
      </c>
      <c r="N30" s="69" t="str">
        <f t="shared" si="121"/>
        <v>±0,66</v>
      </c>
      <c r="O30" s="69" t="str">
        <f t="shared" si="122"/>
        <v>±3,12</v>
      </c>
      <c r="P30" s="69" t="str">
        <f t="shared" si="235"/>
        <v>±0,39</v>
      </c>
      <c r="Q30" s="70">
        <f t="shared" si="2"/>
        <v>18.48</v>
      </c>
      <c r="R30" s="71">
        <f t="shared" si="124"/>
        <v>-0.48862524317589973</v>
      </c>
      <c r="S30" s="71">
        <f t="shared" si="125"/>
        <v>-2.5759655057326136</v>
      </c>
      <c r="T30" s="70">
        <f t="shared" si="3"/>
        <v>24.52</v>
      </c>
      <c r="U30" s="71">
        <f t="shared" si="126"/>
        <v>0.55877782706700074</v>
      </c>
      <c r="V30" s="71">
        <f t="shared" si="127"/>
        <v>2.3320088726450861</v>
      </c>
      <c r="W30" s="70">
        <f t="shared" si="4"/>
        <v>25.3</v>
      </c>
      <c r="X30" s="71">
        <f t="shared" si="128"/>
        <v>-0.38826128377806413</v>
      </c>
      <c r="Y30" s="71">
        <f t="shared" si="129"/>
        <v>-1.5114346568222081</v>
      </c>
      <c r="Z30" s="70">
        <f t="shared" si="5"/>
        <v>17.43</v>
      </c>
      <c r="AA30" s="71">
        <f t="shared" si="130"/>
        <v>-1.2618518528397971</v>
      </c>
      <c r="AB30" s="71">
        <f t="shared" si="131"/>
        <v>-6.7508124009023067</v>
      </c>
      <c r="AC30" s="70">
        <f t="shared" si="6"/>
        <v>22.2</v>
      </c>
      <c r="AD30" s="71">
        <f t="shared" si="132"/>
        <v>-0.35312115284108003</v>
      </c>
      <c r="AE30" s="71">
        <f t="shared" si="133"/>
        <v>-1.565730749407146</v>
      </c>
      <c r="AF30" s="70">
        <f t="shared" si="7"/>
        <v>20.54</v>
      </c>
      <c r="AG30" s="71">
        <f t="shared" si="134"/>
        <v>-6.2693257180029605E-2</v>
      </c>
      <c r="AH30" s="71">
        <f t="shared" si="135"/>
        <v>-0.30429641599494239</v>
      </c>
      <c r="AI30" s="70">
        <f t="shared" si="8"/>
        <v>19.61</v>
      </c>
      <c r="AJ30" s="71">
        <f t="shared" si="136"/>
        <v>-0.12705386555163756</v>
      </c>
      <c r="AK30" s="71">
        <f t="shared" si="137"/>
        <v>-0.64373267873273354</v>
      </c>
      <c r="AL30" s="70">
        <f t="shared" si="138"/>
        <v>26.55</v>
      </c>
      <c r="AM30" s="71">
        <f t="shared" si="139"/>
        <v>0.71035923783468036</v>
      </c>
      <c r="AN30" s="71">
        <f t="shared" si="140"/>
        <v>2.7491064770327478</v>
      </c>
      <c r="AO30" s="70">
        <f t="shared" si="141"/>
        <v>16.8</v>
      </c>
      <c r="AP30" s="71">
        <f t="shared" si="142"/>
        <v>-0.93710214259447966</v>
      </c>
      <c r="AQ30" s="71">
        <f t="shared" si="143"/>
        <v>-5.2832877381028931</v>
      </c>
      <c r="AR30" s="70">
        <f t="shared" si="144"/>
        <v>22.93</v>
      </c>
      <c r="AS30" s="71">
        <f t="shared" si="145"/>
        <v>-1.1493605357281282</v>
      </c>
      <c r="AT30" s="71">
        <f t="shared" si="146"/>
        <v>-4.7732186825424456</v>
      </c>
      <c r="AU30" s="69">
        <f t="shared" si="147"/>
        <v>21.192633178531661</v>
      </c>
      <c r="AV30" s="131" t="str">
        <f t="shared" si="148"/>
        <v>±0,66</v>
      </c>
      <c r="AW30" s="69" t="str">
        <f t="shared" si="236"/>
        <v>±3,12</v>
      </c>
      <c r="AX30" s="132">
        <f t="shared" si="150"/>
        <v>0.66</v>
      </c>
      <c r="AY30" s="132">
        <f t="shared" si="151"/>
        <v>3.12</v>
      </c>
      <c r="AZ30" s="69">
        <f t="shared" si="9"/>
        <v>18.48</v>
      </c>
      <c r="BA30" s="69">
        <f t="shared" si="10"/>
        <v>24.52</v>
      </c>
      <c r="BB30" s="69">
        <f t="shared" si="152"/>
        <v>453.12959999999998</v>
      </c>
      <c r="BC30" s="69">
        <f t="shared" si="11"/>
        <v>18.48</v>
      </c>
      <c r="BD30" s="69">
        <f t="shared" si="12"/>
        <v>25.3</v>
      </c>
      <c r="BE30" s="69">
        <f t="shared" si="153"/>
        <v>467.54400000000004</v>
      </c>
      <c r="BF30" s="69">
        <f t="shared" si="13"/>
        <v>18.48</v>
      </c>
      <c r="BG30" s="69">
        <f t="shared" si="14"/>
        <v>17.43</v>
      </c>
      <c r="BH30" s="69">
        <f t="shared" si="154"/>
        <v>322.10640000000001</v>
      </c>
      <c r="BI30" s="69">
        <f t="shared" si="15"/>
        <v>18.48</v>
      </c>
      <c r="BJ30" s="69">
        <f t="shared" si="16"/>
        <v>22.2</v>
      </c>
      <c r="BK30" s="69">
        <f t="shared" si="155"/>
        <v>410.25599999999997</v>
      </c>
      <c r="BL30" s="69">
        <f t="shared" si="17"/>
        <v>18.48</v>
      </c>
      <c r="BM30" s="69">
        <f t="shared" si="18"/>
        <v>20.54</v>
      </c>
      <c r="BN30" s="69">
        <f t="shared" si="156"/>
        <v>379.57920000000001</v>
      </c>
      <c r="BO30" s="69">
        <f t="shared" si="19"/>
        <v>18.48</v>
      </c>
      <c r="BP30" s="69">
        <f t="shared" si="20"/>
        <v>19.61</v>
      </c>
      <c r="BQ30" s="69">
        <f t="shared" si="157"/>
        <v>362.39280000000002</v>
      </c>
      <c r="BR30" s="69">
        <f t="shared" si="21"/>
        <v>18.48</v>
      </c>
      <c r="BS30" s="69">
        <f t="shared" si="22"/>
        <v>26.55</v>
      </c>
      <c r="BT30" s="69">
        <f t="shared" si="158"/>
        <v>490.64400000000001</v>
      </c>
      <c r="BU30" s="69">
        <f t="shared" si="23"/>
        <v>18.48</v>
      </c>
      <c r="BV30" s="69">
        <f t="shared" si="24"/>
        <v>16.8</v>
      </c>
      <c r="BW30" s="69">
        <f t="shared" si="159"/>
        <v>310.464</v>
      </c>
      <c r="BX30" s="69">
        <f t="shared" si="25"/>
        <v>18.48</v>
      </c>
      <c r="BY30" s="69">
        <f t="shared" si="26"/>
        <v>22.93</v>
      </c>
      <c r="BZ30" s="69">
        <f t="shared" si="160"/>
        <v>423.74639999999999</v>
      </c>
      <c r="CA30" s="69">
        <f t="shared" si="27"/>
        <v>18.48</v>
      </c>
      <c r="CB30" s="69">
        <f t="shared" si="28"/>
        <v>21.192633178531661</v>
      </c>
      <c r="CC30" s="69">
        <f t="shared" si="161"/>
        <v>391.63986113926512</v>
      </c>
      <c r="CE30" s="69">
        <f t="shared" si="29"/>
        <v>24.52</v>
      </c>
      <c r="CF30" s="69">
        <f t="shared" si="30"/>
        <v>25.3</v>
      </c>
      <c r="CG30" s="69">
        <f t="shared" si="162"/>
        <v>620.35599999999999</v>
      </c>
      <c r="CH30" s="69">
        <f t="shared" si="31"/>
        <v>24.52</v>
      </c>
      <c r="CI30" s="69">
        <f t="shared" si="32"/>
        <v>17.43</v>
      </c>
      <c r="CJ30" s="69">
        <f t="shared" si="163"/>
        <v>427.3836</v>
      </c>
      <c r="CK30" s="69">
        <f t="shared" si="33"/>
        <v>24.52</v>
      </c>
      <c r="CL30" s="69">
        <f t="shared" si="34"/>
        <v>22.2</v>
      </c>
      <c r="CM30" s="69">
        <f t="shared" si="164"/>
        <v>544.34399999999994</v>
      </c>
      <c r="CN30" s="69">
        <f t="shared" si="35"/>
        <v>24.52</v>
      </c>
      <c r="CO30" s="69">
        <f t="shared" si="36"/>
        <v>20.54</v>
      </c>
      <c r="CP30" s="69">
        <f t="shared" si="165"/>
        <v>503.64079999999996</v>
      </c>
      <c r="CQ30" s="69">
        <f t="shared" si="37"/>
        <v>24.52</v>
      </c>
      <c r="CR30" s="69">
        <f t="shared" si="38"/>
        <v>19.61</v>
      </c>
      <c r="CS30" s="69">
        <f t="shared" si="166"/>
        <v>480.8372</v>
      </c>
      <c r="CT30" s="69">
        <f t="shared" si="39"/>
        <v>24.52</v>
      </c>
      <c r="CU30" s="69">
        <f t="shared" si="40"/>
        <v>26.55</v>
      </c>
      <c r="CV30" s="69">
        <f t="shared" si="167"/>
        <v>651.00599999999997</v>
      </c>
      <c r="CW30" s="69">
        <f t="shared" si="41"/>
        <v>24.52</v>
      </c>
      <c r="CX30" s="69">
        <f t="shared" si="42"/>
        <v>16.8</v>
      </c>
      <c r="CY30" s="69">
        <f t="shared" si="168"/>
        <v>411.93600000000004</v>
      </c>
      <c r="CZ30" s="69">
        <f t="shared" si="43"/>
        <v>24.52</v>
      </c>
      <c r="DA30" s="69">
        <f t="shared" si="44"/>
        <v>22.93</v>
      </c>
      <c r="DB30" s="69">
        <f t="shared" si="169"/>
        <v>562.24360000000001</v>
      </c>
      <c r="DC30" s="69">
        <f t="shared" si="45"/>
        <v>24.52</v>
      </c>
      <c r="DD30" s="69">
        <f t="shared" si="46"/>
        <v>21.192633178531661</v>
      </c>
      <c r="DE30" s="69">
        <f t="shared" si="170"/>
        <v>519.64336553759631</v>
      </c>
      <c r="DG30" s="69">
        <f t="shared" si="47"/>
        <v>25.3</v>
      </c>
      <c r="DH30" s="69">
        <f t="shared" si="48"/>
        <v>17.43</v>
      </c>
      <c r="DI30" s="69">
        <f t="shared" si="171"/>
        <v>440.97899999999998</v>
      </c>
      <c r="DJ30" s="69">
        <f t="shared" si="49"/>
        <v>25.3</v>
      </c>
      <c r="DK30" s="69">
        <f t="shared" si="50"/>
        <v>22.2</v>
      </c>
      <c r="DL30" s="69">
        <f t="shared" si="172"/>
        <v>561.66</v>
      </c>
      <c r="DM30" s="69">
        <f t="shared" si="51"/>
        <v>25.3</v>
      </c>
      <c r="DN30" s="69">
        <f t="shared" si="52"/>
        <v>20.54</v>
      </c>
      <c r="DO30" s="69">
        <f t="shared" si="173"/>
        <v>519.66200000000003</v>
      </c>
      <c r="DP30" s="69">
        <f t="shared" si="53"/>
        <v>25.3</v>
      </c>
      <c r="DQ30" s="69">
        <f t="shared" si="54"/>
        <v>19.61</v>
      </c>
      <c r="DR30" s="69">
        <f t="shared" si="174"/>
        <v>496.13299999999998</v>
      </c>
      <c r="DS30" s="69">
        <f t="shared" si="55"/>
        <v>25.3</v>
      </c>
      <c r="DT30" s="69">
        <f t="shared" si="56"/>
        <v>26.55</v>
      </c>
      <c r="DU30" s="69">
        <f t="shared" si="175"/>
        <v>671.71500000000003</v>
      </c>
      <c r="DV30" s="69">
        <f t="shared" si="57"/>
        <v>25.3</v>
      </c>
      <c r="DW30" s="69">
        <f t="shared" si="58"/>
        <v>16.8</v>
      </c>
      <c r="DX30" s="69">
        <f t="shared" si="176"/>
        <v>425.04</v>
      </c>
      <c r="DY30" s="69">
        <f t="shared" si="59"/>
        <v>25.3</v>
      </c>
      <c r="DZ30" s="69">
        <f t="shared" si="60"/>
        <v>22.93</v>
      </c>
      <c r="EA30" s="69">
        <f t="shared" si="177"/>
        <v>580.12900000000002</v>
      </c>
      <c r="EB30" s="69">
        <f t="shared" si="61"/>
        <v>25.3</v>
      </c>
      <c r="EC30" s="69">
        <f t="shared" si="62"/>
        <v>21.192633178531661</v>
      </c>
      <c r="ED30" s="69">
        <f t="shared" si="178"/>
        <v>536.17361941685101</v>
      </c>
      <c r="EF30" s="69">
        <f t="shared" si="63"/>
        <v>17.43</v>
      </c>
      <c r="EG30" s="69">
        <f t="shared" si="64"/>
        <v>22.2</v>
      </c>
      <c r="EH30" s="69">
        <f t="shared" si="179"/>
        <v>386.94599999999997</v>
      </c>
      <c r="EI30" s="69">
        <f t="shared" si="65"/>
        <v>17.43</v>
      </c>
      <c r="EJ30" s="69">
        <f t="shared" si="66"/>
        <v>20.54</v>
      </c>
      <c r="EK30" s="69">
        <f t="shared" si="180"/>
        <v>358.01220000000001</v>
      </c>
      <c r="EL30" s="69">
        <f t="shared" si="67"/>
        <v>17.43</v>
      </c>
      <c r="EM30" s="69">
        <f t="shared" si="68"/>
        <v>19.61</v>
      </c>
      <c r="EN30" s="69">
        <f t="shared" si="181"/>
        <v>341.8023</v>
      </c>
      <c r="EO30" s="69">
        <f t="shared" si="69"/>
        <v>17.43</v>
      </c>
      <c r="EP30" s="69">
        <f t="shared" si="70"/>
        <v>26.55</v>
      </c>
      <c r="EQ30" s="69">
        <f t="shared" si="182"/>
        <v>462.76650000000001</v>
      </c>
      <c r="ER30" s="69">
        <f t="shared" si="71"/>
        <v>17.43</v>
      </c>
      <c r="ES30" s="69">
        <f t="shared" si="72"/>
        <v>16.8</v>
      </c>
      <c r="ET30" s="69">
        <f t="shared" si="183"/>
        <v>292.82400000000001</v>
      </c>
      <c r="EU30" s="69">
        <f t="shared" si="73"/>
        <v>17.43</v>
      </c>
      <c r="EV30" s="69">
        <f t="shared" si="74"/>
        <v>22.93</v>
      </c>
      <c r="EW30" s="69">
        <f t="shared" si="184"/>
        <v>399.66989999999998</v>
      </c>
      <c r="EX30" s="69">
        <f t="shared" si="75"/>
        <v>17.43</v>
      </c>
      <c r="EY30" s="69">
        <f t="shared" si="76"/>
        <v>21.192633178531661</v>
      </c>
      <c r="EZ30" s="69">
        <f t="shared" si="185"/>
        <v>369.38759630180687</v>
      </c>
      <c r="FB30" s="69">
        <f t="shared" si="77"/>
        <v>22.2</v>
      </c>
      <c r="FC30" s="69">
        <f t="shared" si="78"/>
        <v>20.54</v>
      </c>
      <c r="FD30" s="69">
        <f t="shared" si="186"/>
        <v>455.98799999999994</v>
      </c>
      <c r="FE30" s="69">
        <f t="shared" si="79"/>
        <v>22.2</v>
      </c>
      <c r="FF30" s="69">
        <f t="shared" si="80"/>
        <v>19.61</v>
      </c>
      <c r="FG30" s="69">
        <f t="shared" si="187"/>
        <v>435.34199999999998</v>
      </c>
      <c r="FH30" s="69">
        <f t="shared" si="81"/>
        <v>22.2</v>
      </c>
      <c r="FI30" s="69">
        <f t="shared" si="82"/>
        <v>26.55</v>
      </c>
      <c r="FJ30" s="69">
        <f t="shared" si="188"/>
        <v>589.41</v>
      </c>
      <c r="FK30" s="69">
        <f t="shared" si="83"/>
        <v>22.2</v>
      </c>
      <c r="FL30" s="69">
        <f t="shared" si="84"/>
        <v>16.8</v>
      </c>
      <c r="FM30" s="69">
        <f t="shared" si="189"/>
        <v>372.96</v>
      </c>
      <c r="FN30" s="69">
        <f t="shared" si="85"/>
        <v>22.2</v>
      </c>
      <c r="FO30" s="69">
        <f t="shared" si="86"/>
        <v>22.93</v>
      </c>
      <c r="FP30" s="69">
        <f t="shared" si="190"/>
        <v>509.04599999999999</v>
      </c>
      <c r="FQ30" s="69">
        <f t="shared" si="87"/>
        <v>22.2</v>
      </c>
      <c r="FR30" s="69">
        <f t="shared" si="88"/>
        <v>21.192633178531661</v>
      </c>
      <c r="FS30" s="69">
        <f t="shared" si="191"/>
        <v>470.47645656340285</v>
      </c>
      <c r="FU30" s="69">
        <f t="shared" si="89"/>
        <v>20.54</v>
      </c>
      <c r="FV30" s="69">
        <f t="shared" si="90"/>
        <v>19.61</v>
      </c>
      <c r="FW30" s="69">
        <f t="shared" si="192"/>
        <v>402.78939999999994</v>
      </c>
      <c r="FX30" s="69">
        <f t="shared" si="91"/>
        <v>20.54</v>
      </c>
      <c r="FY30" s="69">
        <f t="shared" si="92"/>
        <v>26.55</v>
      </c>
      <c r="FZ30" s="69">
        <f t="shared" si="193"/>
        <v>545.33699999999999</v>
      </c>
      <c r="GA30" s="69">
        <f t="shared" si="93"/>
        <v>20.54</v>
      </c>
      <c r="GB30" s="69">
        <f t="shared" si="94"/>
        <v>16.8</v>
      </c>
      <c r="GC30" s="69">
        <f t="shared" si="194"/>
        <v>345.072</v>
      </c>
      <c r="GD30" s="69">
        <f t="shared" si="95"/>
        <v>20.54</v>
      </c>
      <c r="GE30" s="69">
        <f t="shared" si="96"/>
        <v>22.93</v>
      </c>
      <c r="GF30" s="69">
        <f t="shared" si="195"/>
        <v>470.98219999999998</v>
      </c>
      <c r="GG30" s="69">
        <f t="shared" si="97"/>
        <v>20.54</v>
      </c>
      <c r="GH30" s="69">
        <f t="shared" si="98"/>
        <v>21.192633178531661</v>
      </c>
      <c r="GI30" s="69">
        <f t="shared" si="196"/>
        <v>435.29668548704029</v>
      </c>
      <c r="GK30" s="69">
        <f t="shared" si="99"/>
        <v>19.61</v>
      </c>
      <c r="GL30" s="69">
        <f t="shared" si="100"/>
        <v>26.55</v>
      </c>
      <c r="GM30" s="69">
        <f t="shared" si="197"/>
        <v>520.64549999999997</v>
      </c>
      <c r="GN30" s="69">
        <f t="shared" si="101"/>
        <v>19.61</v>
      </c>
      <c r="GO30" s="69">
        <f t="shared" si="102"/>
        <v>16.8</v>
      </c>
      <c r="GP30" s="69">
        <f t="shared" si="198"/>
        <v>329.44799999999998</v>
      </c>
      <c r="GQ30" s="69">
        <f t="shared" si="103"/>
        <v>19.61</v>
      </c>
      <c r="GR30" s="69">
        <f t="shared" si="104"/>
        <v>22.93</v>
      </c>
      <c r="GS30" s="69">
        <f t="shared" si="199"/>
        <v>449.65729999999996</v>
      </c>
      <c r="GT30" s="69">
        <f t="shared" si="105"/>
        <v>19.61</v>
      </c>
      <c r="GU30" s="69">
        <f t="shared" si="106"/>
        <v>21.192633178531661</v>
      </c>
      <c r="GV30" s="69">
        <f t="shared" si="200"/>
        <v>415.58753663100589</v>
      </c>
      <c r="GX30" s="69">
        <f t="shared" si="201"/>
        <v>26.55</v>
      </c>
      <c r="GY30" s="69">
        <f t="shared" si="202"/>
        <v>16.8</v>
      </c>
      <c r="GZ30" s="69">
        <f t="shared" si="203"/>
        <v>446.04</v>
      </c>
      <c r="HA30" s="69">
        <f t="shared" si="204"/>
        <v>26.55</v>
      </c>
      <c r="HB30" s="69">
        <f t="shared" si="205"/>
        <v>22.93</v>
      </c>
      <c r="HC30" s="69">
        <f t="shared" si="206"/>
        <v>608.79150000000004</v>
      </c>
      <c r="HD30" s="69">
        <f t="shared" si="207"/>
        <v>26.55</v>
      </c>
      <c r="HE30" s="69">
        <f t="shared" si="208"/>
        <v>21.192633178531661</v>
      </c>
      <c r="HF30" s="69">
        <f t="shared" si="209"/>
        <v>562.66441089001557</v>
      </c>
      <c r="HH30" s="69">
        <f t="shared" si="210"/>
        <v>16.8</v>
      </c>
      <c r="HI30" s="69">
        <f t="shared" si="211"/>
        <v>22.93</v>
      </c>
      <c r="HJ30" s="69">
        <f t="shared" si="212"/>
        <v>385.22399999999999</v>
      </c>
      <c r="HK30" s="69">
        <f t="shared" si="213"/>
        <v>16.8</v>
      </c>
      <c r="HL30" s="69">
        <f t="shared" si="214"/>
        <v>21.192633178531661</v>
      </c>
      <c r="HM30" s="69">
        <f t="shared" si="215"/>
        <v>356.03623739933192</v>
      </c>
      <c r="HO30" s="69">
        <f t="shared" si="216"/>
        <v>22.93</v>
      </c>
      <c r="HP30" s="69">
        <f t="shared" si="217"/>
        <v>21.192633178531661</v>
      </c>
      <c r="HQ30" s="69">
        <f t="shared" si="218"/>
        <v>485.947078783731</v>
      </c>
      <c r="HS30" s="69">
        <f t="shared" si="107"/>
        <v>21.192633178531661</v>
      </c>
      <c r="HT30" s="69">
        <f t="shared" si="108"/>
        <v>18.48</v>
      </c>
      <c r="HU30" s="69">
        <f t="shared" si="219"/>
        <v>391.63986113926512</v>
      </c>
      <c r="HV30" s="69">
        <f t="shared" si="109"/>
        <v>21.192633178531661</v>
      </c>
      <c r="HW30" s="69">
        <f t="shared" si="110"/>
        <v>24.52</v>
      </c>
      <c r="HX30" s="69">
        <f t="shared" si="220"/>
        <v>519.64336553759631</v>
      </c>
      <c r="HY30" s="69">
        <f t="shared" si="111"/>
        <v>21.192633178531661</v>
      </c>
      <c r="HZ30" s="69">
        <f t="shared" si="112"/>
        <v>25.3</v>
      </c>
      <c r="IA30" s="69">
        <f t="shared" si="221"/>
        <v>536.17361941685101</v>
      </c>
      <c r="IB30" s="69">
        <f t="shared" si="113"/>
        <v>21.192633178531661</v>
      </c>
      <c r="IC30" s="69">
        <f t="shared" si="114"/>
        <v>17.43</v>
      </c>
      <c r="ID30" s="69">
        <f t="shared" si="222"/>
        <v>369.38759630180687</v>
      </c>
      <c r="IE30" s="69">
        <f t="shared" si="115"/>
        <v>21.192633178531661</v>
      </c>
      <c r="IF30" s="69">
        <f t="shared" si="116"/>
        <v>22.2</v>
      </c>
      <c r="IG30" s="69">
        <f t="shared" si="223"/>
        <v>470.47645656340285</v>
      </c>
      <c r="IH30" s="69">
        <f t="shared" si="117"/>
        <v>21.192633178531661</v>
      </c>
      <c r="II30" s="69">
        <f t="shared" si="118"/>
        <v>20.54</v>
      </c>
      <c r="IJ30" s="69">
        <f t="shared" si="224"/>
        <v>435.29668548704029</v>
      </c>
      <c r="IK30" s="69">
        <f t="shared" si="119"/>
        <v>21.192633178531661</v>
      </c>
      <c r="IL30" s="69">
        <f t="shared" si="120"/>
        <v>19.61</v>
      </c>
      <c r="IM30" s="69">
        <f t="shared" si="225"/>
        <v>415.58753663100589</v>
      </c>
      <c r="IN30" s="69">
        <f t="shared" si="226"/>
        <v>21.192633178531661</v>
      </c>
      <c r="IO30" s="69">
        <f t="shared" si="227"/>
        <v>26.55</v>
      </c>
      <c r="IP30" s="69">
        <f t="shared" si="228"/>
        <v>562.66441089001557</v>
      </c>
      <c r="IQ30" s="69">
        <f t="shared" si="229"/>
        <v>21.192633178531661</v>
      </c>
      <c r="IR30" s="69">
        <f t="shared" si="230"/>
        <v>16.8</v>
      </c>
      <c r="IS30" s="69">
        <f t="shared" si="231"/>
        <v>356.03623739933192</v>
      </c>
      <c r="IT30" s="69">
        <f t="shared" si="232"/>
        <v>21.192633178531661</v>
      </c>
      <c r="IU30" s="69">
        <f t="shared" si="233"/>
        <v>22.93</v>
      </c>
      <c r="IV30" s="69">
        <f t="shared" si="234"/>
        <v>485.947078783731</v>
      </c>
    </row>
    <row r="31" spans="1:256" x14ac:dyDescent="0.2">
      <c r="A31" s="57" t="s">
        <v>34</v>
      </c>
      <c r="B31" s="298">
        <v>18.989999999999998</v>
      </c>
      <c r="C31" s="298">
        <v>25.11</v>
      </c>
      <c r="D31" s="298">
        <v>23.5</v>
      </c>
      <c r="E31" s="298">
        <v>19.3</v>
      </c>
      <c r="F31" s="298">
        <v>22.39</v>
      </c>
      <c r="G31" s="298">
        <v>21.08</v>
      </c>
      <c r="H31" s="298">
        <v>19.72</v>
      </c>
      <c r="I31" s="298">
        <v>27.78</v>
      </c>
      <c r="J31" s="298">
        <v>18.739999999999998</v>
      </c>
      <c r="K31" s="298">
        <v>22.95</v>
      </c>
      <c r="L31" s="68">
        <f t="shared" si="0"/>
        <v>10</v>
      </c>
      <c r="M31" s="69">
        <f t="shared" si="1"/>
        <v>21.782679309753654</v>
      </c>
      <c r="N31" s="69" t="str">
        <f t="shared" si="121"/>
        <v>±1,18</v>
      </c>
      <c r="O31" s="69" t="str">
        <f t="shared" si="122"/>
        <v>±4,87</v>
      </c>
      <c r="P31" s="69" t="str">
        <f t="shared" si="235"/>
        <v>±0,93</v>
      </c>
      <c r="Q31" s="70">
        <f t="shared" si="2"/>
        <v>18.989999999999998</v>
      </c>
      <c r="R31" s="71">
        <f t="shared" si="124"/>
        <v>2.1374756824098284E-2</v>
      </c>
      <c r="S31" s="71">
        <f t="shared" si="125"/>
        <v>0.11268479686892263</v>
      </c>
      <c r="T31" s="70">
        <f t="shared" si="3"/>
        <v>25.11</v>
      </c>
      <c r="U31" s="71">
        <f t="shared" si="126"/>
        <v>1.1487778270670006</v>
      </c>
      <c r="V31" s="71">
        <f t="shared" si="127"/>
        <v>4.7943206685203243</v>
      </c>
      <c r="W31" s="70">
        <f t="shared" si="4"/>
        <v>23.5</v>
      </c>
      <c r="X31" s="71">
        <f t="shared" si="128"/>
        <v>-2.1882612837780648</v>
      </c>
      <c r="Y31" s="71">
        <f t="shared" si="129"/>
        <v>-8.5185262622656914</v>
      </c>
      <c r="Z31" s="70">
        <f t="shared" si="5"/>
        <v>19.3</v>
      </c>
      <c r="AA31" s="71">
        <f t="shared" si="130"/>
        <v>0.60814814716020393</v>
      </c>
      <c r="AB31" s="71">
        <f t="shared" si="131"/>
        <v>3.2535467964765141</v>
      </c>
      <c r="AC31" s="70">
        <f t="shared" si="6"/>
        <v>22.39</v>
      </c>
      <c r="AD31" s="71">
        <f t="shared" si="132"/>
        <v>-0.16312115284107875</v>
      </c>
      <c r="AE31" s="71">
        <f t="shared" si="133"/>
        <v>-0.72327529185701733</v>
      </c>
      <c r="AF31" s="70">
        <f t="shared" si="7"/>
        <v>21.08</v>
      </c>
      <c r="AG31" s="71">
        <f t="shared" si="134"/>
        <v>0.47730674281996954</v>
      </c>
      <c r="AH31" s="71">
        <f t="shared" si="135"/>
        <v>2.3167201339253429</v>
      </c>
      <c r="AI31" s="70">
        <f t="shared" si="8"/>
        <v>19.72</v>
      </c>
      <c r="AJ31" s="71">
        <f t="shared" si="136"/>
        <v>-1.7053865551638125E-2</v>
      </c>
      <c r="AK31" s="71">
        <f t="shared" si="137"/>
        <v>-8.6405325069327521E-2</v>
      </c>
      <c r="AL31" s="70">
        <f t="shared" si="138"/>
        <v>27.78</v>
      </c>
      <c r="AM31" s="71">
        <f t="shared" si="139"/>
        <v>1.9403592378346808</v>
      </c>
      <c r="AN31" s="71">
        <f t="shared" si="140"/>
        <v>7.5092345737088451</v>
      </c>
      <c r="AO31" s="70">
        <f t="shared" si="141"/>
        <v>18.739999999999998</v>
      </c>
      <c r="AP31" s="71">
        <f t="shared" si="142"/>
        <v>1.0028978574055181</v>
      </c>
      <c r="AQ31" s="71">
        <f t="shared" si="143"/>
        <v>5.6542373683304614</v>
      </c>
      <c r="AR31" s="70">
        <f t="shared" si="144"/>
        <v>22.95</v>
      </c>
      <c r="AS31" s="71">
        <f t="shared" si="145"/>
        <v>-1.1293605357281287</v>
      </c>
      <c r="AT31" s="71">
        <f t="shared" si="146"/>
        <v>-4.6901599984452318</v>
      </c>
      <c r="AU31" s="69">
        <f t="shared" si="147"/>
        <v>21.782679309753654</v>
      </c>
      <c r="AV31" s="131" t="str">
        <f t="shared" si="148"/>
        <v>±1,18</v>
      </c>
      <c r="AW31" s="69" t="str">
        <f t="shared" si="236"/>
        <v>±4,87</v>
      </c>
      <c r="AX31" s="132">
        <f t="shared" si="150"/>
        <v>1.18</v>
      </c>
      <c r="AY31" s="132">
        <f t="shared" si="151"/>
        <v>4.87</v>
      </c>
      <c r="AZ31" s="69">
        <f t="shared" si="9"/>
        <v>18.989999999999998</v>
      </c>
      <c r="BA31" s="69">
        <f t="shared" si="10"/>
        <v>25.11</v>
      </c>
      <c r="BB31" s="69">
        <f t="shared" si="152"/>
        <v>476.83889999999997</v>
      </c>
      <c r="BC31" s="69">
        <f t="shared" si="11"/>
        <v>18.989999999999998</v>
      </c>
      <c r="BD31" s="69">
        <f t="shared" si="12"/>
        <v>23.5</v>
      </c>
      <c r="BE31" s="69">
        <f t="shared" si="153"/>
        <v>446.26499999999999</v>
      </c>
      <c r="BF31" s="69">
        <f t="shared" si="13"/>
        <v>18.989999999999998</v>
      </c>
      <c r="BG31" s="69">
        <f t="shared" si="14"/>
        <v>19.3</v>
      </c>
      <c r="BH31" s="69">
        <f t="shared" si="154"/>
        <v>366.50700000000001</v>
      </c>
      <c r="BI31" s="69">
        <f t="shared" si="15"/>
        <v>18.989999999999998</v>
      </c>
      <c r="BJ31" s="69">
        <f t="shared" si="16"/>
        <v>22.39</v>
      </c>
      <c r="BK31" s="69">
        <f t="shared" si="155"/>
        <v>425.18609999999995</v>
      </c>
      <c r="BL31" s="69">
        <f t="shared" si="17"/>
        <v>18.989999999999998</v>
      </c>
      <c r="BM31" s="69">
        <f t="shared" si="18"/>
        <v>21.08</v>
      </c>
      <c r="BN31" s="69">
        <f t="shared" si="156"/>
        <v>400.30919999999992</v>
      </c>
      <c r="BO31" s="69">
        <f t="shared" si="19"/>
        <v>18.989999999999998</v>
      </c>
      <c r="BP31" s="69">
        <f t="shared" si="20"/>
        <v>19.72</v>
      </c>
      <c r="BQ31" s="69">
        <f t="shared" si="157"/>
        <v>374.48279999999994</v>
      </c>
      <c r="BR31" s="69">
        <f t="shared" si="21"/>
        <v>18.989999999999998</v>
      </c>
      <c r="BS31" s="69">
        <f t="shared" si="22"/>
        <v>27.78</v>
      </c>
      <c r="BT31" s="69">
        <f t="shared" si="158"/>
        <v>527.54219999999998</v>
      </c>
      <c r="BU31" s="69">
        <f t="shared" si="23"/>
        <v>18.989999999999998</v>
      </c>
      <c r="BV31" s="69">
        <f t="shared" si="24"/>
        <v>18.739999999999998</v>
      </c>
      <c r="BW31" s="69">
        <f t="shared" si="159"/>
        <v>355.87259999999992</v>
      </c>
      <c r="BX31" s="69">
        <f t="shared" si="25"/>
        <v>18.989999999999998</v>
      </c>
      <c r="BY31" s="69">
        <f t="shared" si="26"/>
        <v>22.95</v>
      </c>
      <c r="BZ31" s="69">
        <f t="shared" si="160"/>
        <v>435.82049999999992</v>
      </c>
      <c r="CA31" s="69">
        <f t="shared" si="27"/>
        <v>18.989999999999998</v>
      </c>
      <c r="CB31" s="69">
        <f t="shared" si="28"/>
        <v>21.782679309753654</v>
      </c>
      <c r="CC31" s="69">
        <f t="shared" si="161"/>
        <v>413.65308009222184</v>
      </c>
      <c r="CE31" s="69">
        <f t="shared" si="29"/>
        <v>25.11</v>
      </c>
      <c r="CF31" s="69">
        <f t="shared" si="30"/>
        <v>23.5</v>
      </c>
      <c r="CG31" s="69">
        <f t="shared" si="162"/>
        <v>590.08500000000004</v>
      </c>
      <c r="CH31" s="69">
        <f t="shared" si="31"/>
        <v>25.11</v>
      </c>
      <c r="CI31" s="69">
        <f t="shared" si="32"/>
        <v>19.3</v>
      </c>
      <c r="CJ31" s="69">
        <f t="shared" si="163"/>
        <v>484.62299999999999</v>
      </c>
      <c r="CK31" s="69">
        <f t="shared" si="33"/>
        <v>25.11</v>
      </c>
      <c r="CL31" s="69">
        <f t="shared" si="34"/>
        <v>22.39</v>
      </c>
      <c r="CM31" s="69">
        <f t="shared" si="164"/>
        <v>562.21289999999999</v>
      </c>
      <c r="CN31" s="69">
        <f t="shared" si="35"/>
        <v>25.11</v>
      </c>
      <c r="CO31" s="69">
        <f t="shared" si="36"/>
        <v>21.08</v>
      </c>
      <c r="CP31" s="69">
        <f t="shared" si="165"/>
        <v>529.3187999999999</v>
      </c>
      <c r="CQ31" s="69">
        <f t="shared" si="37"/>
        <v>25.11</v>
      </c>
      <c r="CR31" s="69">
        <f t="shared" si="38"/>
        <v>19.72</v>
      </c>
      <c r="CS31" s="69">
        <f t="shared" si="166"/>
        <v>495.16919999999993</v>
      </c>
      <c r="CT31" s="69">
        <f t="shared" si="39"/>
        <v>25.11</v>
      </c>
      <c r="CU31" s="69">
        <f t="shared" si="40"/>
        <v>27.78</v>
      </c>
      <c r="CV31" s="69">
        <f t="shared" si="167"/>
        <v>697.55579999999998</v>
      </c>
      <c r="CW31" s="69">
        <f t="shared" si="41"/>
        <v>25.11</v>
      </c>
      <c r="CX31" s="69">
        <f t="shared" si="42"/>
        <v>18.739999999999998</v>
      </c>
      <c r="CY31" s="69">
        <f t="shared" si="168"/>
        <v>470.56139999999994</v>
      </c>
      <c r="CZ31" s="69">
        <f t="shared" si="43"/>
        <v>25.11</v>
      </c>
      <c r="DA31" s="69">
        <f t="shared" si="44"/>
        <v>22.95</v>
      </c>
      <c r="DB31" s="69">
        <f t="shared" si="169"/>
        <v>576.27449999999999</v>
      </c>
      <c r="DC31" s="69">
        <f t="shared" si="45"/>
        <v>25.11</v>
      </c>
      <c r="DD31" s="69">
        <f t="shared" si="46"/>
        <v>21.782679309753654</v>
      </c>
      <c r="DE31" s="69">
        <f t="shared" si="170"/>
        <v>546.96307746791422</v>
      </c>
      <c r="DG31" s="69">
        <f t="shared" si="47"/>
        <v>23.5</v>
      </c>
      <c r="DH31" s="69">
        <f t="shared" si="48"/>
        <v>19.3</v>
      </c>
      <c r="DI31" s="69">
        <f t="shared" si="171"/>
        <v>453.55</v>
      </c>
      <c r="DJ31" s="69">
        <f t="shared" si="49"/>
        <v>23.5</v>
      </c>
      <c r="DK31" s="69">
        <f t="shared" si="50"/>
        <v>22.39</v>
      </c>
      <c r="DL31" s="69">
        <f t="shared" si="172"/>
        <v>526.16499999999996</v>
      </c>
      <c r="DM31" s="69">
        <f t="shared" si="51"/>
        <v>23.5</v>
      </c>
      <c r="DN31" s="69">
        <f t="shared" si="52"/>
        <v>21.08</v>
      </c>
      <c r="DO31" s="69">
        <f t="shared" si="173"/>
        <v>495.37999999999994</v>
      </c>
      <c r="DP31" s="69">
        <f t="shared" si="53"/>
        <v>23.5</v>
      </c>
      <c r="DQ31" s="69">
        <f t="shared" si="54"/>
        <v>19.72</v>
      </c>
      <c r="DR31" s="69">
        <f t="shared" si="174"/>
        <v>463.41999999999996</v>
      </c>
      <c r="DS31" s="69">
        <f t="shared" si="55"/>
        <v>23.5</v>
      </c>
      <c r="DT31" s="69">
        <f t="shared" si="56"/>
        <v>27.78</v>
      </c>
      <c r="DU31" s="69">
        <f t="shared" si="175"/>
        <v>652.83000000000004</v>
      </c>
      <c r="DV31" s="69">
        <f t="shared" si="57"/>
        <v>23.5</v>
      </c>
      <c r="DW31" s="69">
        <f t="shared" si="58"/>
        <v>18.739999999999998</v>
      </c>
      <c r="DX31" s="69">
        <f t="shared" si="176"/>
        <v>440.39</v>
      </c>
      <c r="DY31" s="69">
        <f t="shared" si="59"/>
        <v>23.5</v>
      </c>
      <c r="DZ31" s="69">
        <f t="shared" si="60"/>
        <v>22.95</v>
      </c>
      <c r="EA31" s="69">
        <f t="shared" si="177"/>
        <v>539.32499999999993</v>
      </c>
      <c r="EB31" s="69">
        <f t="shared" si="61"/>
        <v>23.5</v>
      </c>
      <c r="EC31" s="69">
        <f t="shared" si="62"/>
        <v>21.782679309753654</v>
      </c>
      <c r="ED31" s="69">
        <f t="shared" si="178"/>
        <v>511.89296377921085</v>
      </c>
      <c r="EF31" s="69">
        <f t="shared" si="63"/>
        <v>19.3</v>
      </c>
      <c r="EG31" s="69">
        <f t="shared" si="64"/>
        <v>22.39</v>
      </c>
      <c r="EH31" s="69">
        <f t="shared" si="179"/>
        <v>432.12700000000001</v>
      </c>
      <c r="EI31" s="69">
        <f t="shared" si="65"/>
        <v>19.3</v>
      </c>
      <c r="EJ31" s="69">
        <f t="shared" si="66"/>
        <v>21.08</v>
      </c>
      <c r="EK31" s="69">
        <f t="shared" si="180"/>
        <v>406.84399999999999</v>
      </c>
      <c r="EL31" s="69">
        <f t="shared" si="67"/>
        <v>19.3</v>
      </c>
      <c r="EM31" s="69">
        <f t="shared" si="68"/>
        <v>19.72</v>
      </c>
      <c r="EN31" s="69">
        <f t="shared" si="181"/>
        <v>380.596</v>
      </c>
      <c r="EO31" s="69">
        <f t="shared" si="69"/>
        <v>19.3</v>
      </c>
      <c r="EP31" s="69">
        <f t="shared" si="70"/>
        <v>27.78</v>
      </c>
      <c r="EQ31" s="69">
        <f t="shared" si="182"/>
        <v>536.154</v>
      </c>
      <c r="ER31" s="69">
        <f t="shared" si="71"/>
        <v>19.3</v>
      </c>
      <c r="ES31" s="69">
        <f t="shared" si="72"/>
        <v>18.739999999999998</v>
      </c>
      <c r="ET31" s="69">
        <f t="shared" si="183"/>
        <v>361.68199999999996</v>
      </c>
      <c r="EU31" s="69">
        <f t="shared" si="73"/>
        <v>19.3</v>
      </c>
      <c r="EV31" s="69">
        <f t="shared" si="74"/>
        <v>22.95</v>
      </c>
      <c r="EW31" s="69">
        <f t="shared" si="184"/>
        <v>442.935</v>
      </c>
      <c r="EX31" s="69">
        <f t="shared" si="75"/>
        <v>19.3</v>
      </c>
      <c r="EY31" s="69">
        <f t="shared" si="76"/>
        <v>21.782679309753654</v>
      </c>
      <c r="EZ31" s="69">
        <f t="shared" si="185"/>
        <v>420.40571067824555</v>
      </c>
      <c r="FB31" s="69">
        <f t="shared" si="77"/>
        <v>22.39</v>
      </c>
      <c r="FC31" s="69">
        <f t="shared" si="78"/>
        <v>21.08</v>
      </c>
      <c r="FD31" s="69">
        <f t="shared" si="186"/>
        <v>471.9812</v>
      </c>
      <c r="FE31" s="69">
        <f t="shared" si="79"/>
        <v>22.39</v>
      </c>
      <c r="FF31" s="69">
        <f t="shared" si="80"/>
        <v>19.72</v>
      </c>
      <c r="FG31" s="69">
        <f t="shared" si="187"/>
        <v>441.5308</v>
      </c>
      <c r="FH31" s="69">
        <f t="shared" si="81"/>
        <v>22.39</v>
      </c>
      <c r="FI31" s="69">
        <f t="shared" si="82"/>
        <v>27.78</v>
      </c>
      <c r="FJ31" s="69">
        <f t="shared" si="188"/>
        <v>621.99420000000009</v>
      </c>
      <c r="FK31" s="69">
        <f t="shared" si="83"/>
        <v>22.39</v>
      </c>
      <c r="FL31" s="69">
        <f t="shared" si="84"/>
        <v>18.739999999999998</v>
      </c>
      <c r="FM31" s="69">
        <f t="shared" si="189"/>
        <v>419.58859999999999</v>
      </c>
      <c r="FN31" s="69">
        <f t="shared" si="85"/>
        <v>22.39</v>
      </c>
      <c r="FO31" s="69">
        <f t="shared" si="86"/>
        <v>22.95</v>
      </c>
      <c r="FP31" s="69">
        <f t="shared" si="190"/>
        <v>513.85050000000001</v>
      </c>
      <c r="FQ31" s="69">
        <f t="shared" si="87"/>
        <v>22.39</v>
      </c>
      <c r="FR31" s="69">
        <f t="shared" si="88"/>
        <v>21.782679309753654</v>
      </c>
      <c r="FS31" s="69">
        <f t="shared" si="191"/>
        <v>487.71418974538432</v>
      </c>
      <c r="FU31" s="69">
        <f t="shared" si="89"/>
        <v>21.08</v>
      </c>
      <c r="FV31" s="69">
        <f t="shared" si="90"/>
        <v>19.72</v>
      </c>
      <c r="FW31" s="69">
        <f t="shared" si="192"/>
        <v>415.69759999999997</v>
      </c>
      <c r="FX31" s="69">
        <f t="shared" si="91"/>
        <v>21.08</v>
      </c>
      <c r="FY31" s="69">
        <f t="shared" si="92"/>
        <v>27.78</v>
      </c>
      <c r="FZ31" s="69">
        <f t="shared" si="193"/>
        <v>585.60239999999999</v>
      </c>
      <c r="GA31" s="69">
        <f t="shared" si="93"/>
        <v>21.08</v>
      </c>
      <c r="GB31" s="69">
        <f t="shared" si="94"/>
        <v>18.739999999999998</v>
      </c>
      <c r="GC31" s="69">
        <f t="shared" si="194"/>
        <v>395.03919999999994</v>
      </c>
      <c r="GD31" s="69">
        <f t="shared" si="95"/>
        <v>21.08</v>
      </c>
      <c r="GE31" s="69">
        <f t="shared" si="96"/>
        <v>22.95</v>
      </c>
      <c r="GF31" s="69">
        <f t="shared" si="195"/>
        <v>483.78599999999994</v>
      </c>
      <c r="GG31" s="69">
        <f t="shared" si="97"/>
        <v>21.08</v>
      </c>
      <c r="GH31" s="69">
        <f t="shared" si="98"/>
        <v>21.782679309753654</v>
      </c>
      <c r="GI31" s="69">
        <f t="shared" si="196"/>
        <v>459.17887984960697</v>
      </c>
      <c r="GK31" s="69">
        <f t="shared" si="99"/>
        <v>19.72</v>
      </c>
      <c r="GL31" s="69">
        <f t="shared" si="100"/>
        <v>27.78</v>
      </c>
      <c r="GM31" s="69">
        <f t="shared" si="197"/>
        <v>547.82159999999999</v>
      </c>
      <c r="GN31" s="69">
        <f t="shared" si="101"/>
        <v>19.72</v>
      </c>
      <c r="GO31" s="69">
        <f t="shared" si="102"/>
        <v>18.739999999999998</v>
      </c>
      <c r="GP31" s="69">
        <f t="shared" si="198"/>
        <v>369.55279999999993</v>
      </c>
      <c r="GQ31" s="69">
        <f t="shared" si="103"/>
        <v>19.72</v>
      </c>
      <c r="GR31" s="69">
        <f t="shared" si="104"/>
        <v>22.95</v>
      </c>
      <c r="GS31" s="69">
        <f t="shared" si="199"/>
        <v>452.57399999999996</v>
      </c>
      <c r="GT31" s="69">
        <f t="shared" si="105"/>
        <v>19.72</v>
      </c>
      <c r="GU31" s="69">
        <f t="shared" si="106"/>
        <v>21.782679309753654</v>
      </c>
      <c r="GV31" s="69">
        <f t="shared" si="200"/>
        <v>429.55443598834205</v>
      </c>
      <c r="GX31" s="69">
        <f t="shared" si="201"/>
        <v>27.78</v>
      </c>
      <c r="GY31" s="69">
        <f t="shared" si="202"/>
        <v>18.739999999999998</v>
      </c>
      <c r="GZ31" s="69">
        <f t="shared" si="203"/>
        <v>520.59719999999993</v>
      </c>
      <c r="HA31" s="69">
        <f t="shared" si="204"/>
        <v>27.78</v>
      </c>
      <c r="HB31" s="69">
        <f t="shared" si="205"/>
        <v>22.95</v>
      </c>
      <c r="HC31" s="69">
        <f t="shared" si="206"/>
        <v>637.55100000000004</v>
      </c>
      <c r="HD31" s="69">
        <f t="shared" si="207"/>
        <v>27.78</v>
      </c>
      <c r="HE31" s="69">
        <f t="shared" si="208"/>
        <v>21.782679309753654</v>
      </c>
      <c r="HF31" s="69">
        <f t="shared" si="209"/>
        <v>605.12283122495649</v>
      </c>
      <c r="HH31" s="69">
        <f t="shared" si="210"/>
        <v>18.739999999999998</v>
      </c>
      <c r="HI31" s="69">
        <f t="shared" si="211"/>
        <v>22.95</v>
      </c>
      <c r="HJ31" s="69">
        <f t="shared" si="212"/>
        <v>430.08299999999997</v>
      </c>
      <c r="HK31" s="69">
        <f t="shared" si="213"/>
        <v>18.739999999999998</v>
      </c>
      <c r="HL31" s="69">
        <f t="shared" si="214"/>
        <v>21.782679309753654</v>
      </c>
      <c r="HM31" s="69">
        <f t="shared" si="215"/>
        <v>408.20741026478345</v>
      </c>
      <c r="HO31" s="69">
        <f t="shared" si="216"/>
        <v>22.95</v>
      </c>
      <c r="HP31" s="69">
        <f t="shared" si="217"/>
        <v>21.782679309753654</v>
      </c>
      <c r="HQ31" s="69">
        <f t="shared" si="218"/>
        <v>499.91249015884631</v>
      </c>
      <c r="HS31" s="69">
        <f t="shared" si="107"/>
        <v>21.782679309753654</v>
      </c>
      <c r="HT31" s="69">
        <f t="shared" si="108"/>
        <v>18.989999999999998</v>
      </c>
      <c r="HU31" s="69">
        <f t="shared" si="219"/>
        <v>413.65308009222184</v>
      </c>
      <c r="HV31" s="69">
        <f t="shared" si="109"/>
        <v>21.782679309753654</v>
      </c>
      <c r="HW31" s="69">
        <f t="shared" si="110"/>
        <v>25.11</v>
      </c>
      <c r="HX31" s="69">
        <f t="shared" si="220"/>
        <v>546.96307746791422</v>
      </c>
      <c r="HY31" s="69">
        <f t="shared" si="111"/>
        <v>21.782679309753654</v>
      </c>
      <c r="HZ31" s="69">
        <f t="shared" si="112"/>
        <v>23.5</v>
      </c>
      <c r="IA31" s="69">
        <f t="shared" si="221"/>
        <v>511.89296377921085</v>
      </c>
      <c r="IB31" s="69">
        <f t="shared" si="113"/>
        <v>21.782679309753654</v>
      </c>
      <c r="IC31" s="69">
        <f t="shared" si="114"/>
        <v>19.3</v>
      </c>
      <c r="ID31" s="69">
        <f t="shared" si="222"/>
        <v>420.40571067824555</v>
      </c>
      <c r="IE31" s="69">
        <f t="shared" si="115"/>
        <v>21.782679309753654</v>
      </c>
      <c r="IF31" s="69">
        <f t="shared" si="116"/>
        <v>22.39</v>
      </c>
      <c r="IG31" s="69">
        <f t="shared" si="223"/>
        <v>487.71418974538432</v>
      </c>
      <c r="IH31" s="69">
        <f t="shared" si="117"/>
        <v>21.782679309753654</v>
      </c>
      <c r="II31" s="69">
        <f t="shared" si="118"/>
        <v>21.08</v>
      </c>
      <c r="IJ31" s="69">
        <f t="shared" si="224"/>
        <v>459.17887984960697</v>
      </c>
      <c r="IK31" s="69">
        <f t="shared" si="119"/>
        <v>21.782679309753654</v>
      </c>
      <c r="IL31" s="69">
        <f t="shared" si="120"/>
        <v>19.72</v>
      </c>
      <c r="IM31" s="69">
        <f t="shared" si="225"/>
        <v>429.55443598834205</v>
      </c>
      <c r="IN31" s="69">
        <f t="shared" si="226"/>
        <v>21.782679309753654</v>
      </c>
      <c r="IO31" s="69">
        <f t="shared" si="227"/>
        <v>27.78</v>
      </c>
      <c r="IP31" s="69">
        <f t="shared" si="228"/>
        <v>605.12283122495649</v>
      </c>
      <c r="IQ31" s="69">
        <f t="shared" si="229"/>
        <v>21.782679309753654</v>
      </c>
      <c r="IR31" s="69">
        <f t="shared" si="230"/>
        <v>18.739999999999998</v>
      </c>
      <c r="IS31" s="69">
        <f t="shared" si="231"/>
        <v>408.20741026478345</v>
      </c>
      <c r="IT31" s="69">
        <f t="shared" si="232"/>
        <v>21.782679309753654</v>
      </c>
      <c r="IU31" s="69">
        <f t="shared" si="233"/>
        <v>22.95</v>
      </c>
      <c r="IV31" s="69">
        <f t="shared" si="234"/>
        <v>499.91249015884631</v>
      </c>
    </row>
    <row r="32" spans="1:256" x14ac:dyDescent="0.2">
      <c r="A32" s="57" t="s">
        <v>35</v>
      </c>
      <c r="B32" s="298">
        <v>16.84</v>
      </c>
      <c r="C32" s="298">
        <v>22.23</v>
      </c>
      <c r="D32" s="298">
        <v>24.05</v>
      </c>
      <c r="E32" s="298">
        <v>17.29</v>
      </c>
      <c r="F32" s="298">
        <v>21.22</v>
      </c>
      <c r="G32" s="298">
        <v>19.59</v>
      </c>
      <c r="H32" s="298">
        <v>18.93</v>
      </c>
      <c r="I32" s="298">
        <v>22.52</v>
      </c>
      <c r="J32" s="298">
        <v>16.489999999999998</v>
      </c>
      <c r="K32" s="298">
        <v>22.29</v>
      </c>
      <c r="L32" s="68">
        <f t="shared" si="0"/>
        <v>10</v>
      </c>
      <c r="M32" s="69">
        <f t="shared" si="1"/>
        <v>19.980305133768042</v>
      </c>
      <c r="N32" s="69" t="str">
        <f t="shared" si="121"/>
        <v>±0,71</v>
      </c>
      <c r="O32" s="69" t="str">
        <f t="shared" si="122"/>
        <v>±2,68</v>
      </c>
      <c r="P32" s="69" t="str">
        <f t="shared" si="235"/>
        <v>±0,14</v>
      </c>
      <c r="Q32" s="70">
        <f t="shared" si="2"/>
        <v>16.84</v>
      </c>
      <c r="R32" s="71">
        <f t="shared" si="124"/>
        <v>-2.1286252431759003</v>
      </c>
      <c r="S32" s="71">
        <f t="shared" si="125"/>
        <v>-11.221821380764997</v>
      </c>
      <c r="T32" s="70">
        <f t="shared" si="3"/>
        <v>22.23</v>
      </c>
      <c r="U32" s="71">
        <f t="shared" si="126"/>
        <v>-1.7312221729329984</v>
      </c>
      <c r="V32" s="71">
        <f t="shared" si="127"/>
        <v>-7.2250996232096076</v>
      </c>
      <c r="W32" s="70">
        <f t="shared" si="4"/>
        <v>24.05</v>
      </c>
      <c r="X32" s="71">
        <f t="shared" si="128"/>
        <v>-1.6382612837780641</v>
      </c>
      <c r="Y32" s="71">
        <f t="shared" si="129"/>
        <v>-6.3774704939357445</v>
      </c>
      <c r="Z32" s="70">
        <f t="shared" si="5"/>
        <v>17.29</v>
      </c>
      <c r="AA32" s="71">
        <f t="shared" si="130"/>
        <v>-1.4018518528397976</v>
      </c>
      <c r="AB32" s="71">
        <f t="shared" si="131"/>
        <v>-7.4998018595295974</v>
      </c>
      <c r="AC32" s="70">
        <f t="shared" si="6"/>
        <v>21.22</v>
      </c>
      <c r="AD32" s="71">
        <f t="shared" si="132"/>
        <v>-1.3331211528410805</v>
      </c>
      <c r="AE32" s="71">
        <f t="shared" si="133"/>
        <v>-5.9110273199288184</v>
      </c>
      <c r="AF32" s="70">
        <f t="shared" si="7"/>
        <v>19.59</v>
      </c>
      <c r="AG32" s="71">
        <f t="shared" si="134"/>
        <v>-1.0126932571800289</v>
      </c>
      <c r="AH32" s="71">
        <f t="shared" si="135"/>
        <v>-4.9153440501139567</v>
      </c>
      <c r="AI32" s="70">
        <f t="shared" si="8"/>
        <v>18.93</v>
      </c>
      <c r="AJ32" s="71">
        <f t="shared" si="136"/>
        <v>-0.80705386555163727</v>
      </c>
      <c r="AK32" s="71">
        <f t="shared" si="137"/>
        <v>-4.089029046833792</v>
      </c>
      <c r="AL32" s="70">
        <f t="shared" si="138"/>
        <v>22.52</v>
      </c>
      <c r="AM32" s="71">
        <f t="shared" si="139"/>
        <v>-3.3196407621653208</v>
      </c>
      <c r="AN32" s="71">
        <f t="shared" si="140"/>
        <v>-12.847085579556406</v>
      </c>
      <c r="AO32" s="70">
        <f t="shared" si="141"/>
        <v>16.489999999999998</v>
      </c>
      <c r="AP32" s="71">
        <f t="shared" si="142"/>
        <v>-1.2471021425944819</v>
      </c>
      <c r="AQ32" s="71">
        <f t="shared" si="143"/>
        <v>-7.0310365953164862</v>
      </c>
      <c r="AR32" s="70">
        <f t="shared" si="144"/>
        <v>22.29</v>
      </c>
      <c r="AS32" s="71">
        <f t="shared" si="145"/>
        <v>-1.7893605357281288</v>
      </c>
      <c r="AT32" s="71">
        <f t="shared" si="146"/>
        <v>-7.4310965736533507</v>
      </c>
      <c r="AU32" s="69">
        <f t="shared" si="147"/>
        <v>19.980305133768042</v>
      </c>
      <c r="AV32" s="131" t="str">
        <f t="shared" si="148"/>
        <v>±0,71</v>
      </c>
      <c r="AW32" s="69" t="str">
        <f t="shared" si="236"/>
        <v>±2,68</v>
      </c>
      <c r="AX32" s="132">
        <f t="shared" si="150"/>
        <v>0.71</v>
      </c>
      <c r="AY32" s="132">
        <f t="shared" si="151"/>
        <v>2.68</v>
      </c>
      <c r="AZ32" s="69">
        <f t="shared" si="9"/>
        <v>16.84</v>
      </c>
      <c r="BA32" s="69">
        <f t="shared" si="10"/>
        <v>22.23</v>
      </c>
      <c r="BB32" s="69">
        <f t="shared" si="152"/>
        <v>374.35320000000002</v>
      </c>
      <c r="BC32" s="69">
        <f t="shared" si="11"/>
        <v>16.84</v>
      </c>
      <c r="BD32" s="69">
        <f t="shared" si="12"/>
        <v>24.05</v>
      </c>
      <c r="BE32" s="69">
        <f t="shared" si="153"/>
        <v>405.00200000000001</v>
      </c>
      <c r="BF32" s="69">
        <f t="shared" si="13"/>
        <v>16.84</v>
      </c>
      <c r="BG32" s="69">
        <f t="shared" si="14"/>
        <v>17.29</v>
      </c>
      <c r="BH32" s="69">
        <f t="shared" si="154"/>
        <v>291.16359999999997</v>
      </c>
      <c r="BI32" s="69">
        <f t="shared" si="15"/>
        <v>16.84</v>
      </c>
      <c r="BJ32" s="69">
        <f t="shared" si="16"/>
        <v>21.22</v>
      </c>
      <c r="BK32" s="69">
        <f t="shared" si="155"/>
        <v>357.34479999999996</v>
      </c>
      <c r="BL32" s="69">
        <f t="shared" si="17"/>
        <v>16.84</v>
      </c>
      <c r="BM32" s="69">
        <f t="shared" si="18"/>
        <v>19.59</v>
      </c>
      <c r="BN32" s="69">
        <f t="shared" si="156"/>
        <v>329.8956</v>
      </c>
      <c r="BO32" s="69">
        <f t="shared" si="19"/>
        <v>16.84</v>
      </c>
      <c r="BP32" s="69">
        <f t="shared" si="20"/>
        <v>18.93</v>
      </c>
      <c r="BQ32" s="69">
        <f t="shared" si="157"/>
        <v>318.78120000000001</v>
      </c>
      <c r="BR32" s="69">
        <f t="shared" si="21"/>
        <v>16.84</v>
      </c>
      <c r="BS32" s="69">
        <f t="shared" si="22"/>
        <v>22.52</v>
      </c>
      <c r="BT32" s="69">
        <f t="shared" si="158"/>
        <v>379.23680000000002</v>
      </c>
      <c r="BU32" s="69">
        <f t="shared" si="23"/>
        <v>16.84</v>
      </c>
      <c r="BV32" s="69">
        <f t="shared" si="24"/>
        <v>16.489999999999998</v>
      </c>
      <c r="BW32" s="69">
        <f t="shared" si="159"/>
        <v>277.69159999999999</v>
      </c>
      <c r="BX32" s="69">
        <f t="shared" si="25"/>
        <v>16.84</v>
      </c>
      <c r="BY32" s="69">
        <f t="shared" si="26"/>
        <v>22.29</v>
      </c>
      <c r="BZ32" s="69">
        <f t="shared" si="160"/>
        <v>375.36359999999996</v>
      </c>
      <c r="CA32" s="69">
        <f t="shared" si="27"/>
        <v>16.84</v>
      </c>
      <c r="CB32" s="69">
        <f t="shared" si="28"/>
        <v>19.980305133768042</v>
      </c>
      <c r="CC32" s="69">
        <f t="shared" si="161"/>
        <v>336.46833845265382</v>
      </c>
      <c r="CE32" s="69">
        <f t="shared" si="29"/>
        <v>22.23</v>
      </c>
      <c r="CF32" s="69">
        <f t="shared" si="30"/>
        <v>24.05</v>
      </c>
      <c r="CG32" s="69">
        <f t="shared" si="162"/>
        <v>534.63150000000007</v>
      </c>
      <c r="CH32" s="69">
        <f t="shared" si="31"/>
        <v>22.23</v>
      </c>
      <c r="CI32" s="69">
        <f t="shared" si="32"/>
        <v>17.29</v>
      </c>
      <c r="CJ32" s="69">
        <f t="shared" si="163"/>
        <v>384.35669999999999</v>
      </c>
      <c r="CK32" s="69">
        <f t="shared" si="33"/>
        <v>22.23</v>
      </c>
      <c r="CL32" s="69">
        <f t="shared" si="34"/>
        <v>21.22</v>
      </c>
      <c r="CM32" s="69">
        <f t="shared" si="164"/>
        <v>471.72059999999999</v>
      </c>
      <c r="CN32" s="69">
        <f t="shared" si="35"/>
        <v>22.23</v>
      </c>
      <c r="CO32" s="69">
        <f t="shared" si="36"/>
        <v>19.59</v>
      </c>
      <c r="CP32" s="69">
        <f t="shared" si="165"/>
        <v>435.48570000000001</v>
      </c>
      <c r="CQ32" s="69">
        <f t="shared" si="37"/>
        <v>22.23</v>
      </c>
      <c r="CR32" s="69">
        <f t="shared" si="38"/>
        <v>18.93</v>
      </c>
      <c r="CS32" s="69">
        <f t="shared" si="166"/>
        <v>420.81389999999999</v>
      </c>
      <c r="CT32" s="69">
        <f t="shared" si="39"/>
        <v>22.23</v>
      </c>
      <c r="CU32" s="69">
        <f t="shared" si="40"/>
        <v>22.52</v>
      </c>
      <c r="CV32" s="69">
        <f t="shared" si="167"/>
        <v>500.61959999999999</v>
      </c>
      <c r="CW32" s="69">
        <f t="shared" si="41"/>
        <v>22.23</v>
      </c>
      <c r="CX32" s="69">
        <f t="shared" si="42"/>
        <v>16.489999999999998</v>
      </c>
      <c r="CY32" s="69">
        <f t="shared" si="168"/>
        <v>366.5727</v>
      </c>
      <c r="CZ32" s="69">
        <f t="shared" si="43"/>
        <v>22.23</v>
      </c>
      <c r="DA32" s="69">
        <f t="shared" si="44"/>
        <v>22.29</v>
      </c>
      <c r="DB32" s="69">
        <f t="shared" si="169"/>
        <v>495.50669999999997</v>
      </c>
      <c r="DC32" s="69">
        <f t="shared" si="45"/>
        <v>22.23</v>
      </c>
      <c r="DD32" s="69">
        <f t="shared" si="46"/>
        <v>19.980305133768042</v>
      </c>
      <c r="DE32" s="69">
        <f t="shared" si="170"/>
        <v>444.16218312366357</v>
      </c>
      <c r="DG32" s="69">
        <f t="shared" si="47"/>
        <v>24.05</v>
      </c>
      <c r="DH32" s="69">
        <f t="shared" si="48"/>
        <v>17.29</v>
      </c>
      <c r="DI32" s="69">
        <f t="shared" si="171"/>
        <v>415.8245</v>
      </c>
      <c r="DJ32" s="69">
        <f t="shared" si="49"/>
        <v>24.05</v>
      </c>
      <c r="DK32" s="69">
        <f t="shared" si="50"/>
        <v>21.22</v>
      </c>
      <c r="DL32" s="69">
        <f t="shared" si="172"/>
        <v>510.34100000000001</v>
      </c>
      <c r="DM32" s="69">
        <f t="shared" si="51"/>
        <v>24.05</v>
      </c>
      <c r="DN32" s="69">
        <f t="shared" si="52"/>
        <v>19.59</v>
      </c>
      <c r="DO32" s="69">
        <f t="shared" si="173"/>
        <v>471.1395</v>
      </c>
      <c r="DP32" s="69">
        <f t="shared" si="53"/>
        <v>24.05</v>
      </c>
      <c r="DQ32" s="69">
        <f t="shared" si="54"/>
        <v>18.93</v>
      </c>
      <c r="DR32" s="69">
        <f t="shared" si="174"/>
        <v>455.26650000000001</v>
      </c>
      <c r="DS32" s="69">
        <f t="shared" si="55"/>
        <v>24.05</v>
      </c>
      <c r="DT32" s="69">
        <f t="shared" si="56"/>
        <v>22.52</v>
      </c>
      <c r="DU32" s="69">
        <f t="shared" si="175"/>
        <v>541.60599999999999</v>
      </c>
      <c r="DV32" s="69">
        <f t="shared" si="57"/>
        <v>24.05</v>
      </c>
      <c r="DW32" s="69">
        <f t="shared" si="58"/>
        <v>16.489999999999998</v>
      </c>
      <c r="DX32" s="69">
        <f t="shared" si="176"/>
        <v>396.58449999999999</v>
      </c>
      <c r="DY32" s="69">
        <f t="shared" si="59"/>
        <v>24.05</v>
      </c>
      <c r="DZ32" s="69">
        <f t="shared" si="60"/>
        <v>22.29</v>
      </c>
      <c r="EA32" s="69">
        <f t="shared" si="177"/>
        <v>536.07449999999994</v>
      </c>
      <c r="EB32" s="69">
        <f t="shared" si="61"/>
        <v>24.05</v>
      </c>
      <c r="EC32" s="69">
        <f t="shared" si="62"/>
        <v>19.980305133768042</v>
      </c>
      <c r="ED32" s="69">
        <f t="shared" si="178"/>
        <v>480.52633846712143</v>
      </c>
      <c r="EF32" s="69">
        <f t="shared" si="63"/>
        <v>17.29</v>
      </c>
      <c r="EG32" s="69">
        <f t="shared" si="64"/>
        <v>21.22</v>
      </c>
      <c r="EH32" s="69">
        <f t="shared" si="179"/>
        <v>366.89379999999994</v>
      </c>
      <c r="EI32" s="69">
        <f t="shared" si="65"/>
        <v>17.29</v>
      </c>
      <c r="EJ32" s="69">
        <f t="shared" si="66"/>
        <v>19.59</v>
      </c>
      <c r="EK32" s="69">
        <f t="shared" si="180"/>
        <v>338.71109999999999</v>
      </c>
      <c r="EL32" s="69">
        <f t="shared" si="67"/>
        <v>17.29</v>
      </c>
      <c r="EM32" s="69">
        <f t="shared" si="68"/>
        <v>18.93</v>
      </c>
      <c r="EN32" s="69">
        <f t="shared" si="181"/>
        <v>327.29969999999997</v>
      </c>
      <c r="EO32" s="69">
        <f t="shared" si="69"/>
        <v>17.29</v>
      </c>
      <c r="EP32" s="69">
        <f t="shared" si="70"/>
        <v>22.52</v>
      </c>
      <c r="EQ32" s="69">
        <f t="shared" si="182"/>
        <v>389.37079999999997</v>
      </c>
      <c r="ER32" s="69">
        <f t="shared" si="71"/>
        <v>17.29</v>
      </c>
      <c r="ES32" s="69">
        <f t="shared" si="72"/>
        <v>16.489999999999998</v>
      </c>
      <c r="ET32" s="69">
        <f t="shared" si="183"/>
        <v>285.11209999999994</v>
      </c>
      <c r="EU32" s="69">
        <f t="shared" si="73"/>
        <v>17.29</v>
      </c>
      <c r="EV32" s="69">
        <f t="shared" si="74"/>
        <v>22.29</v>
      </c>
      <c r="EW32" s="69">
        <f t="shared" si="184"/>
        <v>385.39409999999998</v>
      </c>
      <c r="EX32" s="69">
        <f t="shared" si="75"/>
        <v>17.29</v>
      </c>
      <c r="EY32" s="69">
        <f t="shared" si="76"/>
        <v>19.980305133768042</v>
      </c>
      <c r="EZ32" s="69">
        <f t="shared" si="185"/>
        <v>345.45947576284942</v>
      </c>
      <c r="FB32" s="69">
        <f t="shared" si="77"/>
        <v>21.22</v>
      </c>
      <c r="FC32" s="69">
        <f t="shared" si="78"/>
        <v>19.59</v>
      </c>
      <c r="FD32" s="69">
        <f t="shared" si="186"/>
        <v>415.69979999999998</v>
      </c>
      <c r="FE32" s="69">
        <f t="shared" si="79"/>
        <v>21.22</v>
      </c>
      <c r="FF32" s="69">
        <f t="shared" si="80"/>
        <v>18.93</v>
      </c>
      <c r="FG32" s="69">
        <f t="shared" si="187"/>
        <v>401.69459999999998</v>
      </c>
      <c r="FH32" s="69">
        <f t="shared" si="81"/>
        <v>21.22</v>
      </c>
      <c r="FI32" s="69">
        <f t="shared" si="82"/>
        <v>22.52</v>
      </c>
      <c r="FJ32" s="69">
        <f t="shared" si="188"/>
        <v>477.87439999999998</v>
      </c>
      <c r="FK32" s="69">
        <f t="shared" si="83"/>
        <v>21.22</v>
      </c>
      <c r="FL32" s="69">
        <f t="shared" si="84"/>
        <v>16.489999999999998</v>
      </c>
      <c r="FM32" s="69">
        <f t="shared" si="189"/>
        <v>349.91779999999994</v>
      </c>
      <c r="FN32" s="69">
        <f t="shared" si="85"/>
        <v>21.22</v>
      </c>
      <c r="FO32" s="69">
        <f t="shared" si="86"/>
        <v>22.29</v>
      </c>
      <c r="FP32" s="69">
        <f t="shared" si="190"/>
        <v>472.99379999999996</v>
      </c>
      <c r="FQ32" s="69">
        <f t="shared" si="87"/>
        <v>21.22</v>
      </c>
      <c r="FR32" s="69">
        <f t="shared" si="88"/>
        <v>19.980305133768042</v>
      </c>
      <c r="FS32" s="69">
        <f t="shared" si="191"/>
        <v>423.98207493855784</v>
      </c>
      <c r="FU32" s="69">
        <f t="shared" si="89"/>
        <v>19.59</v>
      </c>
      <c r="FV32" s="69">
        <f t="shared" si="90"/>
        <v>18.93</v>
      </c>
      <c r="FW32" s="69">
        <f t="shared" si="192"/>
        <v>370.83870000000002</v>
      </c>
      <c r="FX32" s="69">
        <f t="shared" si="91"/>
        <v>19.59</v>
      </c>
      <c r="FY32" s="69">
        <f t="shared" si="92"/>
        <v>22.52</v>
      </c>
      <c r="FZ32" s="69">
        <f t="shared" si="193"/>
        <v>441.16679999999997</v>
      </c>
      <c r="GA32" s="69">
        <f t="shared" si="93"/>
        <v>19.59</v>
      </c>
      <c r="GB32" s="69">
        <f t="shared" si="94"/>
        <v>16.489999999999998</v>
      </c>
      <c r="GC32" s="69">
        <f t="shared" si="194"/>
        <v>323.03909999999996</v>
      </c>
      <c r="GD32" s="69">
        <f t="shared" si="95"/>
        <v>19.59</v>
      </c>
      <c r="GE32" s="69">
        <f t="shared" si="96"/>
        <v>22.29</v>
      </c>
      <c r="GF32" s="69">
        <f t="shared" si="195"/>
        <v>436.66109999999998</v>
      </c>
      <c r="GG32" s="69">
        <f t="shared" si="97"/>
        <v>19.59</v>
      </c>
      <c r="GH32" s="69">
        <f t="shared" si="98"/>
        <v>19.980305133768042</v>
      </c>
      <c r="GI32" s="69">
        <f t="shared" si="196"/>
        <v>391.4141775705159</v>
      </c>
      <c r="GK32" s="69">
        <f t="shared" si="99"/>
        <v>18.93</v>
      </c>
      <c r="GL32" s="69">
        <f t="shared" si="100"/>
        <v>22.52</v>
      </c>
      <c r="GM32" s="69">
        <f t="shared" si="197"/>
        <v>426.30359999999996</v>
      </c>
      <c r="GN32" s="69">
        <f t="shared" si="101"/>
        <v>18.93</v>
      </c>
      <c r="GO32" s="69">
        <f t="shared" si="102"/>
        <v>16.489999999999998</v>
      </c>
      <c r="GP32" s="69">
        <f t="shared" si="198"/>
        <v>312.15569999999997</v>
      </c>
      <c r="GQ32" s="69">
        <f t="shared" si="103"/>
        <v>18.93</v>
      </c>
      <c r="GR32" s="69">
        <f t="shared" si="104"/>
        <v>22.29</v>
      </c>
      <c r="GS32" s="69">
        <f t="shared" si="199"/>
        <v>421.94969999999995</v>
      </c>
      <c r="GT32" s="69">
        <f t="shared" si="105"/>
        <v>18.93</v>
      </c>
      <c r="GU32" s="69">
        <f t="shared" si="106"/>
        <v>19.980305133768042</v>
      </c>
      <c r="GV32" s="69">
        <f t="shared" si="200"/>
        <v>378.22717618222902</v>
      </c>
      <c r="GX32" s="69">
        <f t="shared" si="201"/>
        <v>22.52</v>
      </c>
      <c r="GY32" s="69">
        <f t="shared" si="202"/>
        <v>16.489999999999998</v>
      </c>
      <c r="GZ32" s="69">
        <f t="shared" si="203"/>
        <v>371.35479999999995</v>
      </c>
      <c r="HA32" s="69">
        <f t="shared" si="204"/>
        <v>22.52</v>
      </c>
      <c r="HB32" s="69">
        <f t="shared" si="205"/>
        <v>22.29</v>
      </c>
      <c r="HC32" s="69">
        <f t="shared" si="206"/>
        <v>501.9708</v>
      </c>
      <c r="HD32" s="69">
        <f t="shared" si="207"/>
        <v>22.52</v>
      </c>
      <c r="HE32" s="69">
        <f t="shared" si="208"/>
        <v>19.980305133768042</v>
      </c>
      <c r="HF32" s="69">
        <f t="shared" si="209"/>
        <v>449.95647161245631</v>
      </c>
      <c r="HH32" s="69">
        <f t="shared" si="210"/>
        <v>16.489999999999998</v>
      </c>
      <c r="HI32" s="69">
        <f t="shared" si="211"/>
        <v>22.29</v>
      </c>
      <c r="HJ32" s="69">
        <f t="shared" si="212"/>
        <v>367.56209999999993</v>
      </c>
      <c r="HK32" s="69">
        <f t="shared" si="213"/>
        <v>16.489999999999998</v>
      </c>
      <c r="HL32" s="69">
        <f t="shared" si="214"/>
        <v>19.980305133768042</v>
      </c>
      <c r="HM32" s="69">
        <f t="shared" si="215"/>
        <v>329.47523165583499</v>
      </c>
      <c r="HO32" s="69">
        <f t="shared" si="216"/>
        <v>22.29</v>
      </c>
      <c r="HP32" s="69">
        <f t="shared" si="217"/>
        <v>19.980305133768042</v>
      </c>
      <c r="HQ32" s="69">
        <f t="shared" si="218"/>
        <v>445.3610014316896</v>
      </c>
      <c r="HS32" s="69">
        <f t="shared" si="107"/>
        <v>19.980305133768042</v>
      </c>
      <c r="HT32" s="69">
        <f t="shared" si="108"/>
        <v>16.84</v>
      </c>
      <c r="HU32" s="69">
        <f t="shared" si="219"/>
        <v>336.46833845265382</v>
      </c>
      <c r="HV32" s="69">
        <f t="shared" si="109"/>
        <v>19.980305133768042</v>
      </c>
      <c r="HW32" s="69">
        <f t="shared" si="110"/>
        <v>22.23</v>
      </c>
      <c r="HX32" s="69">
        <f t="shared" si="220"/>
        <v>444.16218312366357</v>
      </c>
      <c r="HY32" s="69">
        <f t="shared" si="111"/>
        <v>19.980305133768042</v>
      </c>
      <c r="HZ32" s="69">
        <f t="shared" si="112"/>
        <v>24.05</v>
      </c>
      <c r="IA32" s="69">
        <f t="shared" si="221"/>
        <v>480.52633846712143</v>
      </c>
      <c r="IB32" s="69">
        <f t="shared" si="113"/>
        <v>19.980305133768042</v>
      </c>
      <c r="IC32" s="69">
        <f t="shared" si="114"/>
        <v>17.29</v>
      </c>
      <c r="ID32" s="69">
        <f t="shared" si="222"/>
        <v>345.45947576284942</v>
      </c>
      <c r="IE32" s="69">
        <f t="shared" si="115"/>
        <v>19.980305133768042</v>
      </c>
      <c r="IF32" s="69">
        <f t="shared" si="116"/>
        <v>21.22</v>
      </c>
      <c r="IG32" s="69">
        <f t="shared" si="223"/>
        <v>423.98207493855784</v>
      </c>
      <c r="IH32" s="69">
        <f t="shared" si="117"/>
        <v>19.980305133768042</v>
      </c>
      <c r="II32" s="69">
        <f t="shared" si="118"/>
        <v>19.59</v>
      </c>
      <c r="IJ32" s="69">
        <f t="shared" si="224"/>
        <v>391.4141775705159</v>
      </c>
      <c r="IK32" s="69">
        <f t="shared" si="119"/>
        <v>19.980305133768042</v>
      </c>
      <c r="IL32" s="69">
        <f t="shared" si="120"/>
        <v>18.93</v>
      </c>
      <c r="IM32" s="69">
        <f t="shared" si="225"/>
        <v>378.22717618222902</v>
      </c>
      <c r="IN32" s="69">
        <f t="shared" si="226"/>
        <v>19.980305133768042</v>
      </c>
      <c r="IO32" s="69">
        <f t="shared" si="227"/>
        <v>22.52</v>
      </c>
      <c r="IP32" s="69">
        <f t="shared" si="228"/>
        <v>449.95647161245631</v>
      </c>
      <c r="IQ32" s="69">
        <f t="shared" si="229"/>
        <v>19.980305133768042</v>
      </c>
      <c r="IR32" s="69">
        <f t="shared" si="230"/>
        <v>16.489999999999998</v>
      </c>
      <c r="IS32" s="69">
        <f t="shared" si="231"/>
        <v>329.47523165583499</v>
      </c>
      <c r="IT32" s="69">
        <f t="shared" si="232"/>
        <v>19.980305133768042</v>
      </c>
      <c r="IU32" s="69">
        <f t="shared" si="233"/>
        <v>22.29</v>
      </c>
      <c r="IV32" s="69">
        <f t="shared" si="234"/>
        <v>445.3610014316896</v>
      </c>
    </row>
    <row r="33" spans="1:256" x14ac:dyDescent="0.2">
      <c r="A33" s="57" t="s">
        <v>36</v>
      </c>
      <c r="B33" s="298">
        <v>17.260000000000002</v>
      </c>
      <c r="C33" s="298">
        <v>24.5</v>
      </c>
      <c r="D33" s="298">
        <v>23.72</v>
      </c>
      <c r="E33" s="298">
        <v>17.809999999999999</v>
      </c>
      <c r="F33" s="298">
        <v>21.6</v>
      </c>
      <c r="G33" s="298">
        <v>20.100000000000001</v>
      </c>
      <c r="H33" s="298">
        <v>19.010000000000002</v>
      </c>
      <c r="I33" s="298">
        <v>23.08</v>
      </c>
      <c r="J33" s="298">
        <v>17.93</v>
      </c>
      <c r="K33" s="298">
        <v>22.19</v>
      </c>
      <c r="L33" s="68">
        <f t="shared" si="0"/>
        <v>10</v>
      </c>
      <c r="M33" s="69">
        <f t="shared" si="1"/>
        <v>20.566437976192294</v>
      </c>
      <c r="N33" s="69" t="str">
        <f t="shared" si="121"/>
        <v>±1,02</v>
      </c>
      <c r="O33" s="69" t="str">
        <f t="shared" si="122"/>
        <v>±4,23</v>
      </c>
      <c r="P33" s="69" t="str">
        <f t="shared" si="235"/>
        <v>±0,41</v>
      </c>
      <c r="Q33" s="70">
        <f t="shared" si="2"/>
        <v>17.260000000000002</v>
      </c>
      <c r="R33" s="71">
        <f t="shared" si="124"/>
        <v>-1.7086252431758986</v>
      </c>
      <c r="S33" s="71">
        <f t="shared" si="125"/>
        <v>-9.0076387786225514</v>
      </c>
      <c r="T33" s="70">
        <f t="shared" si="3"/>
        <v>24.5</v>
      </c>
      <c r="U33" s="71">
        <f t="shared" si="126"/>
        <v>0.53877782706700117</v>
      </c>
      <c r="V33" s="71">
        <f t="shared" si="127"/>
        <v>2.2485406761747484</v>
      </c>
      <c r="W33" s="70">
        <f t="shared" si="4"/>
        <v>23.72</v>
      </c>
      <c r="X33" s="71">
        <f t="shared" si="128"/>
        <v>-1.968261283778066</v>
      </c>
      <c r="Y33" s="71">
        <f t="shared" si="129"/>
        <v>-7.6621039549337189</v>
      </c>
      <c r="Z33" s="70">
        <f t="shared" si="5"/>
        <v>17.809999999999999</v>
      </c>
      <c r="AA33" s="71">
        <f t="shared" si="130"/>
        <v>-0.88185185283979806</v>
      </c>
      <c r="AB33" s="71">
        <f t="shared" si="131"/>
        <v>-4.7178410131996635</v>
      </c>
      <c r="AC33" s="70">
        <f t="shared" si="6"/>
        <v>21.6</v>
      </c>
      <c r="AD33" s="71">
        <f t="shared" si="132"/>
        <v>-0.9531211528410779</v>
      </c>
      <c r="AE33" s="71">
        <f t="shared" si="133"/>
        <v>-4.2261164048285611</v>
      </c>
      <c r="AF33" s="70">
        <f t="shared" si="7"/>
        <v>20.100000000000001</v>
      </c>
      <c r="AG33" s="71">
        <f t="shared" si="134"/>
        <v>-0.50269325718002733</v>
      </c>
      <c r="AH33" s="71">
        <f t="shared" si="135"/>
        <v>-2.4399395307447946</v>
      </c>
      <c r="AI33" s="70">
        <f t="shared" si="8"/>
        <v>19.010000000000002</v>
      </c>
      <c r="AJ33" s="71">
        <f t="shared" si="136"/>
        <v>-0.72705386555163543</v>
      </c>
      <c r="AK33" s="71">
        <f t="shared" si="137"/>
        <v>-3.6837000623513028</v>
      </c>
      <c r="AL33" s="70">
        <f t="shared" si="138"/>
        <v>23.08</v>
      </c>
      <c r="AM33" s="71">
        <f t="shared" si="139"/>
        <v>-2.7596407621653221</v>
      </c>
      <c r="AN33" s="71">
        <f t="shared" si="140"/>
        <v>-10.679872787573807</v>
      </c>
      <c r="AO33" s="70">
        <f t="shared" si="141"/>
        <v>17.93</v>
      </c>
      <c r="AP33" s="71">
        <f t="shared" si="142"/>
        <v>0.19289785740551935</v>
      </c>
      <c r="AQ33" s="71">
        <f t="shared" si="143"/>
        <v>1.0875387414175597</v>
      </c>
      <c r="AR33" s="70">
        <f t="shared" si="144"/>
        <v>22.19</v>
      </c>
      <c r="AS33" s="71">
        <f t="shared" si="145"/>
        <v>-1.8893605357281267</v>
      </c>
      <c r="AT33" s="71">
        <f t="shared" si="146"/>
        <v>-7.8463899941394128</v>
      </c>
      <c r="AU33" s="69">
        <f t="shared" si="147"/>
        <v>20.566437976192294</v>
      </c>
      <c r="AV33" s="131" t="str">
        <f t="shared" si="148"/>
        <v>±1,02</v>
      </c>
      <c r="AW33" s="69" t="str">
        <f t="shared" si="236"/>
        <v>±4,23</v>
      </c>
      <c r="AX33" s="132">
        <f t="shared" si="150"/>
        <v>1.02</v>
      </c>
      <c r="AY33" s="132">
        <f t="shared" si="151"/>
        <v>4.2300000000000004</v>
      </c>
      <c r="AZ33" s="69">
        <f t="shared" si="9"/>
        <v>17.260000000000002</v>
      </c>
      <c r="BA33" s="69">
        <f t="shared" si="10"/>
        <v>24.5</v>
      </c>
      <c r="BB33" s="69">
        <f t="shared" si="152"/>
        <v>422.87000000000006</v>
      </c>
      <c r="BC33" s="69">
        <f t="shared" si="11"/>
        <v>17.260000000000002</v>
      </c>
      <c r="BD33" s="69">
        <f t="shared" si="12"/>
        <v>23.72</v>
      </c>
      <c r="BE33" s="69">
        <f t="shared" si="153"/>
        <v>409.40720000000005</v>
      </c>
      <c r="BF33" s="69">
        <f t="shared" si="13"/>
        <v>17.260000000000002</v>
      </c>
      <c r="BG33" s="69">
        <f t="shared" si="14"/>
        <v>17.809999999999999</v>
      </c>
      <c r="BH33" s="69">
        <f t="shared" si="154"/>
        <v>307.4006</v>
      </c>
      <c r="BI33" s="69">
        <f t="shared" si="15"/>
        <v>17.260000000000002</v>
      </c>
      <c r="BJ33" s="69">
        <f t="shared" si="16"/>
        <v>21.6</v>
      </c>
      <c r="BK33" s="69">
        <f t="shared" si="155"/>
        <v>372.81600000000003</v>
      </c>
      <c r="BL33" s="69">
        <f t="shared" si="17"/>
        <v>17.260000000000002</v>
      </c>
      <c r="BM33" s="69">
        <f t="shared" si="18"/>
        <v>20.100000000000001</v>
      </c>
      <c r="BN33" s="69">
        <f t="shared" si="156"/>
        <v>346.92600000000004</v>
      </c>
      <c r="BO33" s="69">
        <f t="shared" si="19"/>
        <v>17.260000000000002</v>
      </c>
      <c r="BP33" s="69">
        <f t="shared" si="20"/>
        <v>19.010000000000002</v>
      </c>
      <c r="BQ33" s="69">
        <f t="shared" si="157"/>
        <v>328.11260000000004</v>
      </c>
      <c r="BR33" s="69">
        <f t="shared" si="21"/>
        <v>17.260000000000002</v>
      </c>
      <c r="BS33" s="69">
        <f t="shared" si="22"/>
        <v>23.08</v>
      </c>
      <c r="BT33" s="69">
        <f t="shared" si="158"/>
        <v>398.36079999999998</v>
      </c>
      <c r="BU33" s="69">
        <f t="shared" si="23"/>
        <v>17.260000000000002</v>
      </c>
      <c r="BV33" s="69">
        <f t="shared" si="24"/>
        <v>17.93</v>
      </c>
      <c r="BW33" s="69">
        <f t="shared" si="159"/>
        <v>309.47180000000003</v>
      </c>
      <c r="BX33" s="69">
        <f t="shared" si="25"/>
        <v>17.260000000000002</v>
      </c>
      <c r="BY33" s="69">
        <f t="shared" si="26"/>
        <v>22.19</v>
      </c>
      <c r="BZ33" s="69">
        <f t="shared" si="160"/>
        <v>382.99940000000004</v>
      </c>
      <c r="CA33" s="69">
        <f t="shared" si="27"/>
        <v>17.260000000000002</v>
      </c>
      <c r="CB33" s="69">
        <f t="shared" si="28"/>
        <v>20.566437976192294</v>
      </c>
      <c r="CC33" s="69">
        <f t="shared" si="161"/>
        <v>354.976719469079</v>
      </c>
      <c r="CE33" s="69">
        <f t="shared" si="29"/>
        <v>24.5</v>
      </c>
      <c r="CF33" s="69">
        <f t="shared" si="30"/>
        <v>23.72</v>
      </c>
      <c r="CG33" s="69">
        <f t="shared" si="162"/>
        <v>581.14</v>
      </c>
      <c r="CH33" s="69">
        <f t="shared" si="31"/>
        <v>24.5</v>
      </c>
      <c r="CI33" s="69">
        <f t="shared" si="32"/>
        <v>17.809999999999999</v>
      </c>
      <c r="CJ33" s="69">
        <f t="shared" si="163"/>
        <v>436.34499999999997</v>
      </c>
      <c r="CK33" s="69">
        <f t="shared" si="33"/>
        <v>24.5</v>
      </c>
      <c r="CL33" s="69">
        <f t="shared" si="34"/>
        <v>21.6</v>
      </c>
      <c r="CM33" s="69">
        <f t="shared" si="164"/>
        <v>529.20000000000005</v>
      </c>
      <c r="CN33" s="69">
        <f t="shared" si="35"/>
        <v>24.5</v>
      </c>
      <c r="CO33" s="69">
        <f t="shared" si="36"/>
        <v>20.100000000000001</v>
      </c>
      <c r="CP33" s="69">
        <f t="shared" si="165"/>
        <v>492.45000000000005</v>
      </c>
      <c r="CQ33" s="69">
        <f t="shared" si="37"/>
        <v>24.5</v>
      </c>
      <c r="CR33" s="69">
        <f t="shared" si="38"/>
        <v>19.010000000000002</v>
      </c>
      <c r="CS33" s="69">
        <f t="shared" si="166"/>
        <v>465.74500000000006</v>
      </c>
      <c r="CT33" s="69">
        <f t="shared" si="39"/>
        <v>24.5</v>
      </c>
      <c r="CU33" s="69">
        <f t="shared" si="40"/>
        <v>23.08</v>
      </c>
      <c r="CV33" s="69">
        <f t="shared" si="167"/>
        <v>565.45999999999992</v>
      </c>
      <c r="CW33" s="69">
        <f t="shared" si="41"/>
        <v>24.5</v>
      </c>
      <c r="CX33" s="69">
        <f t="shared" si="42"/>
        <v>17.93</v>
      </c>
      <c r="CY33" s="69">
        <f t="shared" si="168"/>
        <v>439.28499999999997</v>
      </c>
      <c r="CZ33" s="69">
        <f t="shared" si="43"/>
        <v>24.5</v>
      </c>
      <c r="DA33" s="69">
        <f t="shared" si="44"/>
        <v>22.19</v>
      </c>
      <c r="DB33" s="69">
        <f t="shared" si="169"/>
        <v>543.65500000000009</v>
      </c>
      <c r="DC33" s="69">
        <f t="shared" si="45"/>
        <v>24.5</v>
      </c>
      <c r="DD33" s="69">
        <f t="shared" si="46"/>
        <v>20.566437976192294</v>
      </c>
      <c r="DE33" s="69">
        <f t="shared" si="170"/>
        <v>503.87773041671119</v>
      </c>
      <c r="DG33" s="69">
        <f t="shared" si="47"/>
        <v>23.72</v>
      </c>
      <c r="DH33" s="69">
        <f t="shared" si="48"/>
        <v>17.809999999999999</v>
      </c>
      <c r="DI33" s="69">
        <f t="shared" si="171"/>
        <v>422.45319999999992</v>
      </c>
      <c r="DJ33" s="69">
        <f t="shared" si="49"/>
        <v>23.72</v>
      </c>
      <c r="DK33" s="69">
        <f t="shared" si="50"/>
        <v>21.6</v>
      </c>
      <c r="DL33" s="69">
        <f t="shared" si="172"/>
        <v>512.35199999999998</v>
      </c>
      <c r="DM33" s="69">
        <f t="shared" si="51"/>
        <v>23.72</v>
      </c>
      <c r="DN33" s="69">
        <f t="shared" si="52"/>
        <v>20.100000000000001</v>
      </c>
      <c r="DO33" s="69">
        <f t="shared" si="173"/>
        <v>476.77199999999999</v>
      </c>
      <c r="DP33" s="69">
        <f t="shared" si="53"/>
        <v>23.72</v>
      </c>
      <c r="DQ33" s="69">
        <f t="shared" si="54"/>
        <v>19.010000000000002</v>
      </c>
      <c r="DR33" s="69">
        <f t="shared" si="174"/>
        <v>450.91720000000004</v>
      </c>
      <c r="DS33" s="69">
        <f t="shared" si="55"/>
        <v>23.72</v>
      </c>
      <c r="DT33" s="69">
        <f t="shared" si="56"/>
        <v>23.08</v>
      </c>
      <c r="DU33" s="69">
        <f t="shared" si="175"/>
        <v>547.45759999999996</v>
      </c>
      <c r="DV33" s="69">
        <f t="shared" si="57"/>
        <v>23.72</v>
      </c>
      <c r="DW33" s="69">
        <f t="shared" si="58"/>
        <v>17.93</v>
      </c>
      <c r="DX33" s="69">
        <f t="shared" si="176"/>
        <v>425.2996</v>
      </c>
      <c r="DY33" s="69">
        <f t="shared" si="59"/>
        <v>23.72</v>
      </c>
      <c r="DZ33" s="69">
        <f t="shared" si="60"/>
        <v>22.19</v>
      </c>
      <c r="EA33" s="69">
        <f t="shared" si="177"/>
        <v>526.34680000000003</v>
      </c>
      <c r="EB33" s="69">
        <f t="shared" si="61"/>
        <v>23.72</v>
      </c>
      <c r="EC33" s="69">
        <f t="shared" si="62"/>
        <v>20.566437976192294</v>
      </c>
      <c r="ED33" s="69">
        <f t="shared" si="178"/>
        <v>487.83590879528117</v>
      </c>
      <c r="EF33" s="69">
        <f t="shared" si="63"/>
        <v>17.809999999999999</v>
      </c>
      <c r="EG33" s="69">
        <f t="shared" si="64"/>
        <v>21.6</v>
      </c>
      <c r="EH33" s="69">
        <f t="shared" si="179"/>
        <v>384.69599999999997</v>
      </c>
      <c r="EI33" s="69">
        <f t="shared" si="65"/>
        <v>17.809999999999999</v>
      </c>
      <c r="EJ33" s="69">
        <f t="shared" si="66"/>
        <v>20.100000000000001</v>
      </c>
      <c r="EK33" s="69">
        <f t="shared" si="180"/>
        <v>357.98099999999999</v>
      </c>
      <c r="EL33" s="69">
        <f t="shared" si="67"/>
        <v>17.809999999999999</v>
      </c>
      <c r="EM33" s="69">
        <f t="shared" si="68"/>
        <v>19.010000000000002</v>
      </c>
      <c r="EN33" s="69">
        <f t="shared" si="181"/>
        <v>338.56810000000002</v>
      </c>
      <c r="EO33" s="69">
        <f t="shared" si="69"/>
        <v>17.809999999999999</v>
      </c>
      <c r="EP33" s="69">
        <f t="shared" si="70"/>
        <v>23.08</v>
      </c>
      <c r="EQ33" s="69">
        <f t="shared" si="182"/>
        <v>411.05479999999994</v>
      </c>
      <c r="ER33" s="69">
        <f t="shared" si="71"/>
        <v>17.809999999999999</v>
      </c>
      <c r="ES33" s="69">
        <f t="shared" si="72"/>
        <v>17.93</v>
      </c>
      <c r="ET33" s="69">
        <f t="shared" si="183"/>
        <v>319.33329999999995</v>
      </c>
      <c r="EU33" s="69">
        <f t="shared" si="73"/>
        <v>17.809999999999999</v>
      </c>
      <c r="EV33" s="69">
        <f t="shared" si="74"/>
        <v>22.19</v>
      </c>
      <c r="EW33" s="69">
        <f t="shared" si="184"/>
        <v>395.20389999999998</v>
      </c>
      <c r="EX33" s="69">
        <f t="shared" si="75"/>
        <v>17.809999999999999</v>
      </c>
      <c r="EY33" s="69">
        <f t="shared" si="76"/>
        <v>20.566437976192294</v>
      </c>
      <c r="EZ33" s="69">
        <f t="shared" si="185"/>
        <v>366.28826035598473</v>
      </c>
      <c r="FB33" s="69">
        <f t="shared" si="77"/>
        <v>21.6</v>
      </c>
      <c r="FC33" s="69">
        <f t="shared" si="78"/>
        <v>20.100000000000001</v>
      </c>
      <c r="FD33" s="69">
        <f t="shared" si="186"/>
        <v>434.16000000000008</v>
      </c>
      <c r="FE33" s="69">
        <f t="shared" si="79"/>
        <v>21.6</v>
      </c>
      <c r="FF33" s="69">
        <f t="shared" si="80"/>
        <v>19.010000000000002</v>
      </c>
      <c r="FG33" s="69">
        <f t="shared" si="187"/>
        <v>410.61600000000004</v>
      </c>
      <c r="FH33" s="69">
        <f t="shared" si="81"/>
        <v>21.6</v>
      </c>
      <c r="FI33" s="69">
        <f t="shared" si="82"/>
        <v>23.08</v>
      </c>
      <c r="FJ33" s="69">
        <f t="shared" si="188"/>
        <v>498.52800000000002</v>
      </c>
      <c r="FK33" s="69">
        <f t="shared" si="83"/>
        <v>21.6</v>
      </c>
      <c r="FL33" s="69">
        <f t="shared" si="84"/>
        <v>17.93</v>
      </c>
      <c r="FM33" s="69">
        <f t="shared" si="189"/>
        <v>387.28800000000001</v>
      </c>
      <c r="FN33" s="69">
        <f t="shared" si="85"/>
        <v>21.6</v>
      </c>
      <c r="FO33" s="69">
        <f t="shared" si="86"/>
        <v>22.19</v>
      </c>
      <c r="FP33" s="69">
        <f t="shared" si="190"/>
        <v>479.30400000000009</v>
      </c>
      <c r="FQ33" s="69">
        <f t="shared" si="87"/>
        <v>21.6</v>
      </c>
      <c r="FR33" s="69">
        <f t="shared" si="88"/>
        <v>20.566437976192294</v>
      </c>
      <c r="FS33" s="69">
        <f t="shared" si="191"/>
        <v>444.23506028575355</v>
      </c>
      <c r="FU33" s="69">
        <f t="shared" si="89"/>
        <v>20.100000000000001</v>
      </c>
      <c r="FV33" s="69">
        <f t="shared" si="90"/>
        <v>19.010000000000002</v>
      </c>
      <c r="FW33" s="69">
        <f t="shared" si="192"/>
        <v>382.10100000000006</v>
      </c>
      <c r="FX33" s="69">
        <f t="shared" si="91"/>
        <v>20.100000000000001</v>
      </c>
      <c r="FY33" s="69">
        <f t="shared" si="92"/>
        <v>23.08</v>
      </c>
      <c r="FZ33" s="69">
        <f t="shared" si="193"/>
        <v>463.90800000000002</v>
      </c>
      <c r="GA33" s="69">
        <f t="shared" si="93"/>
        <v>20.100000000000001</v>
      </c>
      <c r="GB33" s="69">
        <f t="shared" si="94"/>
        <v>17.93</v>
      </c>
      <c r="GC33" s="69">
        <f t="shared" si="194"/>
        <v>360.39300000000003</v>
      </c>
      <c r="GD33" s="69">
        <f t="shared" si="95"/>
        <v>20.100000000000001</v>
      </c>
      <c r="GE33" s="69">
        <f t="shared" si="96"/>
        <v>22.19</v>
      </c>
      <c r="GF33" s="69">
        <f t="shared" si="195"/>
        <v>446.01900000000006</v>
      </c>
      <c r="GG33" s="69">
        <f t="shared" si="97"/>
        <v>20.100000000000001</v>
      </c>
      <c r="GH33" s="69">
        <f t="shared" si="98"/>
        <v>20.566437976192294</v>
      </c>
      <c r="GI33" s="69">
        <f t="shared" si="196"/>
        <v>413.38540332146511</v>
      </c>
      <c r="GK33" s="69">
        <f t="shared" si="99"/>
        <v>19.010000000000002</v>
      </c>
      <c r="GL33" s="69">
        <f t="shared" si="100"/>
        <v>23.08</v>
      </c>
      <c r="GM33" s="69">
        <f t="shared" si="197"/>
        <v>438.75080000000003</v>
      </c>
      <c r="GN33" s="69">
        <f t="shared" si="101"/>
        <v>19.010000000000002</v>
      </c>
      <c r="GO33" s="69">
        <f t="shared" si="102"/>
        <v>17.93</v>
      </c>
      <c r="GP33" s="69">
        <f t="shared" si="198"/>
        <v>340.84930000000003</v>
      </c>
      <c r="GQ33" s="69">
        <f t="shared" si="103"/>
        <v>19.010000000000002</v>
      </c>
      <c r="GR33" s="69">
        <f t="shared" si="104"/>
        <v>22.19</v>
      </c>
      <c r="GS33" s="69">
        <f t="shared" si="199"/>
        <v>421.83190000000008</v>
      </c>
      <c r="GT33" s="69">
        <f t="shared" si="105"/>
        <v>19.010000000000002</v>
      </c>
      <c r="GU33" s="69">
        <f t="shared" si="106"/>
        <v>20.566437976192294</v>
      </c>
      <c r="GV33" s="69">
        <f t="shared" si="200"/>
        <v>390.96798592741555</v>
      </c>
      <c r="GX33" s="69">
        <f t="shared" si="201"/>
        <v>23.08</v>
      </c>
      <c r="GY33" s="69">
        <f t="shared" si="202"/>
        <v>17.93</v>
      </c>
      <c r="GZ33" s="69">
        <f t="shared" si="203"/>
        <v>413.82439999999997</v>
      </c>
      <c r="HA33" s="69">
        <f t="shared" si="204"/>
        <v>23.08</v>
      </c>
      <c r="HB33" s="69">
        <f t="shared" si="205"/>
        <v>22.19</v>
      </c>
      <c r="HC33" s="69">
        <f t="shared" si="206"/>
        <v>512.14520000000005</v>
      </c>
      <c r="HD33" s="69">
        <f t="shared" si="207"/>
        <v>23.08</v>
      </c>
      <c r="HE33" s="69">
        <f t="shared" si="208"/>
        <v>20.566437976192294</v>
      </c>
      <c r="HF33" s="69">
        <f t="shared" si="209"/>
        <v>474.67338849051811</v>
      </c>
      <c r="HH33" s="69">
        <f t="shared" si="210"/>
        <v>17.93</v>
      </c>
      <c r="HI33" s="69">
        <f t="shared" si="211"/>
        <v>22.19</v>
      </c>
      <c r="HJ33" s="69">
        <f t="shared" si="212"/>
        <v>397.86670000000004</v>
      </c>
      <c r="HK33" s="69">
        <f t="shared" si="213"/>
        <v>17.93</v>
      </c>
      <c r="HL33" s="69">
        <f t="shared" si="214"/>
        <v>20.566437976192294</v>
      </c>
      <c r="HM33" s="69">
        <f t="shared" si="215"/>
        <v>368.7562329131278</v>
      </c>
      <c r="HO33" s="69">
        <f t="shared" si="216"/>
        <v>22.19</v>
      </c>
      <c r="HP33" s="69">
        <f t="shared" si="217"/>
        <v>20.566437976192294</v>
      </c>
      <c r="HQ33" s="69">
        <f t="shared" si="218"/>
        <v>456.36925869170705</v>
      </c>
      <c r="HS33" s="69">
        <f t="shared" si="107"/>
        <v>20.566437976192294</v>
      </c>
      <c r="HT33" s="69">
        <f t="shared" si="108"/>
        <v>17.260000000000002</v>
      </c>
      <c r="HU33" s="69">
        <f t="shared" si="219"/>
        <v>354.976719469079</v>
      </c>
      <c r="HV33" s="69">
        <f t="shared" si="109"/>
        <v>20.566437976192294</v>
      </c>
      <c r="HW33" s="69">
        <f t="shared" si="110"/>
        <v>24.5</v>
      </c>
      <c r="HX33" s="69">
        <f t="shared" si="220"/>
        <v>503.87773041671119</v>
      </c>
      <c r="HY33" s="69">
        <f t="shared" si="111"/>
        <v>20.566437976192294</v>
      </c>
      <c r="HZ33" s="69">
        <f t="shared" si="112"/>
        <v>23.72</v>
      </c>
      <c r="IA33" s="69">
        <f t="shared" si="221"/>
        <v>487.83590879528117</v>
      </c>
      <c r="IB33" s="69">
        <f t="shared" si="113"/>
        <v>20.566437976192294</v>
      </c>
      <c r="IC33" s="69">
        <f t="shared" si="114"/>
        <v>17.809999999999999</v>
      </c>
      <c r="ID33" s="69">
        <f t="shared" si="222"/>
        <v>366.28826035598473</v>
      </c>
      <c r="IE33" s="69">
        <f t="shared" si="115"/>
        <v>20.566437976192294</v>
      </c>
      <c r="IF33" s="69">
        <f t="shared" si="116"/>
        <v>21.6</v>
      </c>
      <c r="IG33" s="69">
        <f t="shared" si="223"/>
        <v>444.23506028575355</v>
      </c>
      <c r="IH33" s="69">
        <f t="shared" si="117"/>
        <v>20.566437976192294</v>
      </c>
      <c r="II33" s="69">
        <f t="shared" si="118"/>
        <v>20.100000000000001</v>
      </c>
      <c r="IJ33" s="69">
        <f t="shared" si="224"/>
        <v>413.38540332146511</v>
      </c>
      <c r="IK33" s="69">
        <f t="shared" si="119"/>
        <v>20.566437976192294</v>
      </c>
      <c r="IL33" s="69">
        <f t="shared" si="120"/>
        <v>19.010000000000002</v>
      </c>
      <c r="IM33" s="69">
        <f t="shared" si="225"/>
        <v>390.96798592741555</v>
      </c>
      <c r="IN33" s="69">
        <f t="shared" si="226"/>
        <v>20.566437976192294</v>
      </c>
      <c r="IO33" s="69">
        <f t="shared" si="227"/>
        <v>23.08</v>
      </c>
      <c r="IP33" s="69">
        <f t="shared" si="228"/>
        <v>474.67338849051811</v>
      </c>
      <c r="IQ33" s="69">
        <f t="shared" si="229"/>
        <v>20.566437976192294</v>
      </c>
      <c r="IR33" s="69">
        <f t="shared" si="230"/>
        <v>17.93</v>
      </c>
      <c r="IS33" s="69">
        <f t="shared" si="231"/>
        <v>368.7562329131278</v>
      </c>
      <c r="IT33" s="69">
        <f t="shared" si="232"/>
        <v>20.566437976192294</v>
      </c>
      <c r="IU33" s="69">
        <f t="shared" si="233"/>
        <v>22.19</v>
      </c>
      <c r="IV33" s="69">
        <f t="shared" si="234"/>
        <v>456.36925869170705</v>
      </c>
    </row>
    <row r="34" spans="1:256" x14ac:dyDescent="0.2">
      <c r="A34" s="57" t="s">
        <v>37</v>
      </c>
      <c r="B34" s="184"/>
      <c r="C34" s="179"/>
      <c r="D34" s="179"/>
      <c r="E34" s="179"/>
      <c r="F34" s="179"/>
      <c r="G34" s="180"/>
      <c r="H34" s="180"/>
      <c r="I34" s="181"/>
      <c r="J34" s="182"/>
      <c r="K34" s="185"/>
      <c r="L34" s="68">
        <f t="shared" si="0"/>
        <v>0</v>
      </c>
      <c r="M34" s="69" t="str">
        <f t="shared" si="1"/>
        <v/>
      </c>
      <c r="N34" s="69" t="str">
        <f t="shared" si="121"/>
        <v/>
      </c>
      <c r="O34" s="69" t="str">
        <f t="shared" si="122"/>
        <v/>
      </c>
      <c r="P34" s="69" t="str">
        <f t="shared" si="235"/>
        <v/>
      </c>
      <c r="Q34" s="70" t="str">
        <f t="shared" si="2"/>
        <v/>
      </c>
      <c r="R34" s="71" t="str">
        <f t="shared" si="124"/>
        <v/>
      </c>
      <c r="S34" s="71" t="str">
        <f t="shared" si="125"/>
        <v/>
      </c>
      <c r="T34" s="70" t="str">
        <f t="shared" si="3"/>
        <v/>
      </c>
      <c r="U34" s="71" t="str">
        <f t="shared" si="126"/>
        <v/>
      </c>
      <c r="V34" s="71" t="str">
        <f t="shared" si="127"/>
        <v/>
      </c>
      <c r="W34" s="70" t="str">
        <f t="shared" si="4"/>
        <v/>
      </c>
      <c r="X34" s="71" t="str">
        <f t="shared" si="128"/>
        <v/>
      </c>
      <c r="Y34" s="71" t="str">
        <f t="shared" si="129"/>
        <v/>
      </c>
      <c r="Z34" s="70" t="str">
        <f t="shared" si="5"/>
        <v/>
      </c>
      <c r="AA34" s="71" t="str">
        <f t="shared" si="130"/>
        <v/>
      </c>
      <c r="AB34" s="71" t="str">
        <f t="shared" si="131"/>
        <v/>
      </c>
      <c r="AC34" s="70" t="str">
        <f t="shared" si="6"/>
        <v/>
      </c>
      <c r="AD34" s="71" t="str">
        <f t="shared" si="132"/>
        <v/>
      </c>
      <c r="AE34" s="71" t="str">
        <f t="shared" si="133"/>
        <v/>
      </c>
      <c r="AF34" s="70" t="str">
        <f t="shared" si="7"/>
        <v/>
      </c>
      <c r="AG34" s="71" t="str">
        <f t="shared" si="134"/>
        <v/>
      </c>
      <c r="AH34" s="71" t="str">
        <f t="shared" si="135"/>
        <v/>
      </c>
      <c r="AI34" s="70" t="str">
        <f t="shared" si="8"/>
        <v/>
      </c>
      <c r="AJ34" s="71" t="str">
        <f t="shared" si="136"/>
        <v/>
      </c>
      <c r="AK34" s="71" t="str">
        <f t="shared" si="137"/>
        <v/>
      </c>
      <c r="AL34" s="70" t="str">
        <f t="shared" si="138"/>
        <v/>
      </c>
      <c r="AM34" s="71" t="str">
        <f t="shared" si="139"/>
        <v/>
      </c>
      <c r="AN34" s="71" t="str">
        <f t="shared" si="140"/>
        <v/>
      </c>
      <c r="AO34" s="70" t="str">
        <f t="shared" si="141"/>
        <v/>
      </c>
      <c r="AP34" s="71" t="str">
        <f t="shared" si="142"/>
        <v/>
      </c>
      <c r="AQ34" s="71" t="str">
        <f t="shared" si="143"/>
        <v/>
      </c>
      <c r="AR34" s="70" t="str">
        <f t="shared" si="144"/>
        <v/>
      </c>
      <c r="AS34" s="71" t="str">
        <f t="shared" si="145"/>
        <v/>
      </c>
      <c r="AT34" s="71" t="str">
        <f t="shared" si="146"/>
        <v/>
      </c>
      <c r="AU34" s="69" t="str">
        <f t="shared" si="147"/>
        <v/>
      </c>
      <c r="AV34" s="131" t="str">
        <f t="shared" si="148"/>
        <v/>
      </c>
      <c r="AW34" s="69" t="str">
        <f t="shared" si="236"/>
        <v/>
      </c>
      <c r="AX34" s="132" t="str">
        <f t="shared" si="150"/>
        <v/>
      </c>
      <c r="AY34" s="132" t="str">
        <f t="shared" si="151"/>
        <v/>
      </c>
      <c r="AZ34" s="69" t="str">
        <f t="shared" si="9"/>
        <v/>
      </c>
      <c r="BA34" s="69" t="str">
        <f t="shared" si="10"/>
        <v/>
      </c>
      <c r="BB34" s="69" t="str">
        <f t="shared" si="152"/>
        <v/>
      </c>
      <c r="BC34" s="69" t="str">
        <f t="shared" si="11"/>
        <v/>
      </c>
      <c r="BD34" s="69" t="str">
        <f t="shared" si="12"/>
        <v/>
      </c>
      <c r="BE34" s="69" t="str">
        <f t="shared" si="153"/>
        <v/>
      </c>
      <c r="BF34" s="69" t="str">
        <f t="shared" si="13"/>
        <v/>
      </c>
      <c r="BG34" s="69" t="str">
        <f t="shared" si="14"/>
        <v/>
      </c>
      <c r="BH34" s="69" t="str">
        <f t="shared" si="154"/>
        <v/>
      </c>
      <c r="BI34" s="69" t="str">
        <f t="shared" si="15"/>
        <v/>
      </c>
      <c r="BJ34" s="69" t="str">
        <f t="shared" si="16"/>
        <v/>
      </c>
      <c r="BK34" s="69" t="str">
        <f t="shared" si="155"/>
        <v/>
      </c>
      <c r="BL34" s="69" t="str">
        <f t="shared" si="17"/>
        <v/>
      </c>
      <c r="BM34" s="69" t="str">
        <f t="shared" si="18"/>
        <v/>
      </c>
      <c r="BN34" s="69" t="str">
        <f t="shared" si="156"/>
        <v/>
      </c>
      <c r="BO34" s="69" t="str">
        <f t="shared" si="19"/>
        <v/>
      </c>
      <c r="BP34" s="69" t="str">
        <f t="shared" si="20"/>
        <v/>
      </c>
      <c r="BQ34" s="69" t="str">
        <f t="shared" si="157"/>
        <v/>
      </c>
      <c r="BR34" s="69" t="str">
        <f t="shared" si="21"/>
        <v/>
      </c>
      <c r="BS34" s="69" t="str">
        <f t="shared" si="22"/>
        <v/>
      </c>
      <c r="BT34" s="69" t="str">
        <f t="shared" si="158"/>
        <v/>
      </c>
      <c r="BU34" s="69" t="str">
        <f t="shared" si="23"/>
        <v/>
      </c>
      <c r="BV34" s="69" t="str">
        <f t="shared" si="24"/>
        <v/>
      </c>
      <c r="BW34" s="69" t="str">
        <f t="shared" si="159"/>
        <v/>
      </c>
      <c r="BX34" s="69" t="str">
        <f t="shared" si="25"/>
        <v/>
      </c>
      <c r="BY34" s="69" t="str">
        <f t="shared" si="26"/>
        <v/>
      </c>
      <c r="BZ34" s="69" t="str">
        <f t="shared" si="160"/>
        <v/>
      </c>
      <c r="CA34" s="69" t="str">
        <f t="shared" si="27"/>
        <v/>
      </c>
      <c r="CB34" s="69" t="str">
        <f t="shared" si="28"/>
        <v/>
      </c>
      <c r="CC34" s="69" t="str">
        <f t="shared" si="161"/>
        <v/>
      </c>
      <c r="CE34" s="69" t="str">
        <f t="shared" si="29"/>
        <v/>
      </c>
      <c r="CF34" s="69" t="str">
        <f t="shared" si="30"/>
        <v/>
      </c>
      <c r="CG34" s="69" t="str">
        <f t="shared" si="162"/>
        <v/>
      </c>
      <c r="CH34" s="69" t="str">
        <f t="shared" si="31"/>
        <v/>
      </c>
      <c r="CI34" s="69" t="str">
        <f t="shared" si="32"/>
        <v/>
      </c>
      <c r="CJ34" s="69" t="str">
        <f t="shared" si="163"/>
        <v/>
      </c>
      <c r="CK34" s="69" t="str">
        <f t="shared" si="33"/>
        <v/>
      </c>
      <c r="CL34" s="69" t="str">
        <f t="shared" si="34"/>
        <v/>
      </c>
      <c r="CM34" s="69" t="str">
        <f t="shared" si="164"/>
        <v/>
      </c>
      <c r="CN34" s="69" t="str">
        <f t="shared" si="35"/>
        <v/>
      </c>
      <c r="CO34" s="69" t="str">
        <f t="shared" si="36"/>
        <v/>
      </c>
      <c r="CP34" s="69" t="str">
        <f t="shared" si="165"/>
        <v/>
      </c>
      <c r="CQ34" s="69" t="str">
        <f t="shared" si="37"/>
        <v/>
      </c>
      <c r="CR34" s="69" t="str">
        <f t="shared" si="38"/>
        <v/>
      </c>
      <c r="CS34" s="69" t="str">
        <f t="shared" si="166"/>
        <v/>
      </c>
      <c r="CT34" s="69" t="str">
        <f t="shared" si="39"/>
        <v/>
      </c>
      <c r="CU34" s="69" t="str">
        <f t="shared" si="40"/>
        <v/>
      </c>
      <c r="CV34" s="69" t="str">
        <f t="shared" si="167"/>
        <v/>
      </c>
      <c r="CW34" s="69" t="str">
        <f t="shared" si="41"/>
        <v/>
      </c>
      <c r="CX34" s="69" t="str">
        <f t="shared" si="42"/>
        <v/>
      </c>
      <c r="CY34" s="69" t="str">
        <f t="shared" si="168"/>
        <v/>
      </c>
      <c r="CZ34" s="69" t="str">
        <f t="shared" si="43"/>
        <v/>
      </c>
      <c r="DA34" s="69" t="str">
        <f t="shared" si="44"/>
        <v/>
      </c>
      <c r="DB34" s="69" t="str">
        <f t="shared" si="169"/>
        <v/>
      </c>
      <c r="DC34" s="69" t="str">
        <f t="shared" si="45"/>
        <v/>
      </c>
      <c r="DD34" s="69" t="str">
        <f t="shared" si="46"/>
        <v/>
      </c>
      <c r="DE34" s="69" t="str">
        <f t="shared" si="170"/>
        <v/>
      </c>
      <c r="DG34" s="69" t="str">
        <f t="shared" si="47"/>
        <v/>
      </c>
      <c r="DH34" s="69" t="str">
        <f t="shared" si="48"/>
        <v/>
      </c>
      <c r="DI34" s="69" t="str">
        <f t="shared" si="171"/>
        <v/>
      </c>
      <c r="DJ34" s="69" t="str">
        <f t="shared" si="49"/>
        <v/>
      </c>
      <c r="DK34" s="69" t="str">
        <f t="shared" si="50"/>
        <v/>
      </c>
      <c r="DL34" s="69" t="str">
        <f t="shared" si="172"/>
        <v/>
      </c>
      <c r="DM34" s="69" t="str">
        <f t="shared" si="51"/>
        <v/>
      </c>
      <c r="DN34" s="69" t="str">
        <f t="shared" si="52"/>
        <v/>
      </c>
      <c r="DO34" s="69" t="str">
        <f t="shared" si="173"/>
        <v/>
      </c>
      <c r="DP34" s="69" t="str">
        <f t="shared" si="53"/>
        <v/>
      </c>
      <c r="DQ34" s="69" t="str">
        <f t="shared" si="54"/>
        <v/>
      </c>
      <c r="DR34" s="69" t="str">
        <f t="shared" si="174"/>
        <v/>
      </c>
      <c r="DS34" s="69" t="str">
        <f t="shared" si="55"/>
        <v/>
      </c>
      <c r="DT34" s="69" t="str">
        <f t="shared" si="56"/>
        <v/>
      </c>
      <c r="DU34" s="69" t="str">
        <f t="shared" si="175"/>
        <v/>
      </c>
      <c r="DV34" s="69" t="str">
        <f t="shared" si="57"/>
        <v/>
      </c>
      <c r="DW34" s="69" t="str">
        <f t="shared" si="58"/>
        <v/>
      </c>
      <c r="DX34" s="69" t="str">
        <f t="shared" si="176"/>
        <v/>
      </c>
      <c r="DY34" s="69" t="str">
        <f t="shared" si="59"/>
        <v/>
      </c>
      <c r="DZ34" s="69" t="str">
        <f t="shared" si="60"/>
        <v/>
      </c>
      <c r="EA34" s="69" t="str">
        <f t="shared" si="177"/>
        <v/>
      </c>
      <c r="EB34" s="69" t="str">
        <f t="shared" si="61"/>
        <v/>
      </c>
      <c r="EC34" s="69" t="str">
        <f t="shared" si="62"/>
        <v/>
      </c>
      <c r="ED34" s="69" t="str">
        <f t="shared" si="178"/>
        <v/>
      </c>
      <c r="EF34" s="69" t="str">
        <f t="shared" si="63"/>
        <v/>
      </c>
      <c r="EG34" s="69" t="str">
        <f t="shared" si="64"/>
        <v/>
      </c>
      <c r="EH34" s="69" t="str">
        <f t="shared" si="179"/>
        <v/>
      </c>
      <c r="EI34" s="69" t="str">
        <f t="shared" si="65"/>
        <v/>
      </c>
      <c r="EJ34" s="69" t="str">
        <f t="shared" si="66"/>
        <v/>
      </c>
      <c r="EK34" s="69" t="str">
        <f t="shared" si="180"/>
        <v/>
      </c>
      <c r="EL34" s="69" t="str">
        <f t="shared" si="67"/>
        <v/>
      </c>
      <c r="EM34" s="69" t="str">
        <f t="shared" si="68"/>
        <v/>
      </c>
      <c r="EN34" s="69" t="str">
        <f t="shared" si="181"/>
        <v/>
      </c>
      <c r="EO34" s="69" t="str">
        <f t="shared" si="69"/>
        <v/>
      </c>
      <c r="EP34" s="69" t="str">
        <f t="shared" si="70"/>
        <v/>
      </c>
      <c r="EQ34" s="69" t="str">
        <f t="shared" si="182"/>
        <v/>
      </c>
      <c r="ER34" s="69" t="str">
        <f t="shared" si="71"/>
        <v/>
      </c>
      <c r="ES34" s="69" t="str">
        <f t="shared" si="72"/>
        <v/>
      </c>
      <c r="ET34" s="69" t="str">
        <f t="shared" si="183"/>
        <v/>
      </c>
      <c r="EU34" s="69" t="str">
        <f t="shared" si="73"/>
        <v/>
      </c>
      <c r="EV34" s="69" t="str">
        <f t="shared" si="74"/>
        <v/>
      </c>
      <c r="EW34" s="69" t="str">
        <f t="shared" si="184"/>
        <v/>
      </c>
      <c r="EX34" s="69" t="str">
        <f t="shared" si="75"/>
        <v/>
      </c>
      <c r="EY34" s="69" t="str">
        <f t="shared" si="76"/>
        <v/>
      </c>
      <c r="EZ34" s="69" t="str">
        <f t="shared" si="185"/>
        <v/>
      </c>
      <c r="FB34" s="69" t="str">
        <f t="shared" si="77"/>
        <v/>
      </c>
      <c r="FC34" s="69" t="str">
        <f t="shared" si="78"/>
        <v/>
      </c>
      <c r="FD34" s="69" t="str">
        <f t="shared" si="186"/>
        <v/>
      </c>
      <c r="FE34" s="69" t="str">
        <f t="shared" si="79"/>
        <v/>
      </c>
      <c r="FF34" s="69" t="str">
        <f t="shared" si="80"/>
        <v/>
      </c>
      <c r="FG34" s="69" t="str">
        <f t="shared" si="187"/>
        <v/>
      </c>
      <c r="FH34" s="69" t="str">
        <f t="shared" si="81"/>
        <v/>
      </c>
      <c r="FI34" s="69" t="str">
        <f t="shared" si="82"/>
        <v/>
      </c>
      <c r="FJ34" s="69" t="str">
        <f t="shared" si="188"/>
        <v/>
      </c>
      <c r="FK34" s="69" t="str">
        <f t="shared" si="83"/>
        <v/>
      </c>
      <c r="FL34" s="69" t="str">
        <f t="shared" si="84"/>
        <v/>
      </c>
      <c r="FM34" s="69" t="str">
        <f t="shared" si="189"/>
        <v/>
      </c>
      <c r="FN34" s="69" t="str">
        <f t="shared" si="85"/>
        <v/>
      </c>
      <c r="FO34" s="69" t="str">
        <f t="shared" si="86"/>
        <v/>
      </c>
      <c r="FP34" s="69" t="str">
        <f t="shared" si="190"/>
        <v/>
      </c>
      <c r="FQ34" s="69" t="str">
        <f t="shared" si="87"/>
        <v/>
      </c>
      <c r="FR34" s="69" t="str">
        <f t="shared" si="88"/>
        <v/>
      </c>
      <c r="FS34" s="69" t="str">
        <f t="shared" si="191"/>
        <v/>
      </c>
      <c r="FU34" s="69" t="str">
        <f t="shared" si="89"/>
        <v/>
      </c>
      <c r="FV34" s="69" t="str">
        <f t="shared" si="90"/>
        <v/>
      </c>
      <c r="FW34" s="69" t="str">
        <f t="shared" si="192"/>
        <v/>
      </c>
      <c r="FX34" s="69" t="str">
        <f t="shared" si="91"/>
        <v/>
      </c>
      <c r="FY34" s="69" t="str">
        <f t="shared" si="92"/>
        <v/>
      </c>
      <c r="FZ34" s="69" t="str">
        <f t="shared" si="193"/>
        <v/>
      </c>
      <c r="GA34" s="69" t="str">
        <f t="shared" si="93"/>
        <v/>
      </c>
      <c r="GB34" s="69" t="str">
        <f t="shared" si="94"/>
        <v/>
      </c>
      <c r="GC34" s="69" t="str">
        <f t="shared" si="194"/>
        <v/>
      </c>
      <c r="GD34" s="69" t="str">
        <f t="shared" si="95"/>
        <v/>
      </c>
      <c r="GE34" s="69" t="str">
        <f t="shared" si="96"/>
        <v/>
      </c>
      <c r="GF34" s="69" t="str">
        <f t="shared" si="195"/>
        <v/>
      </c>
      <c r="GG34" s="69" t="str">
        <f t="shared" si="97"/>
        <v/>
      </c>
      <c r="GH34" s="69" t="str">
        <f t="shared" si="98"/>
        <v/>
      </c>
      <c r="GI34" s="69" t="str">
        <f t="shared" si="196"/>
        <v/>
      </c>
      <c r="GK34" s="69" t="str">
        <f t="shared" si="99"/>
        <v/>
      </c>
      <c r="GL34" s="69" t="str">
        <f t="shared" si="100"/>
        <v/>
      </c>
      <c r="GM34" s="69" t="str">
        <f t="shared" si="197"/>
        <v/>
      </c>
      <c r="GN34" s="69" t="str">
        <f t="shared" si="101"/>
        <v/>
      </c>
      <c r="GO34" s="69" t="str">
        <f t="shared" si="102"/>
        <v/>
      </c>
      <c r="GP34" s="69" t="str">
        <f t="shared" si="198"/>
        <v/>
      </c>
      <c r="GQ34" s="69" t="str">
        <f t="shared" si="103"/>
        <v/>
      </c>
      <c r="GR34" s="69" t="str">
        <f t="shared" si="104"/>
        <v/>
      </c>
      <c r="GS34" s="69" t="str">
        <f t="shared" si="199"/>
        <v/>
      </c>
      <c r="GT34" s="69" t="str">
        <f t="shared" si="105"/>
        <v/>
      </c>
      <c r="GU34" s="69" t="str">
        <f t="shared" si="106"/>
        <v/>
      </c>
      <c r="GV34" s="69" t="str">
        <f t="shared" si="200"/>
        <v/>
      </c>
      <c r="GX34" s="69" t="str">
        <f t="shared" si="201"/>
        <v/>
      </c>
      <c r="GY34" s="69" t="str">
        <f t="shared" si="202"/>
        <v/>
      </c>
      <c r="GZ34" s="69" t="str">
        <f t="shared" si="203"/>
        <v/>
      </c>
      <c r="HA34" s="69" t="str">
        <f t="shared" si="204"/>
        <v/>
      </c>
      <c r="HB34" s="69" t="str">
        <f t="shared" si="205"/>
        <v/>
      </c>
      <c r="HC34" s="69" t="str">
        <f t="shared" si="206"/>
        <v/>
      </c>
      <c r="HD34" s="69" t="str">
        <f t="shared" si="207"/>
        <v/>
      </c>
      <c r="HE34" s="69" t="str">
        <f t="shared" si="208"/>
        <v/>
      </c>
      <c r="HF34" s="69" t="str">
        <f t="shared" si="209"/>
        <v/>
      </c>
      <c r="HH34" s="69" t="str">
        <f t="shared" si="210"/>
        <v/>
      </c>
      <c r="HI34" s="69" t="str">
        <f t="shared" si="211"/>
        <v/>
      </c>
      <c r="HJ34" s="69" t="str">
        <f t="shared" si="212"/>
        <v/>
      </c>
      <c r="HK34" s="69" t="str">
        <f t="shared" si="213"/>
        <v/>
      </c>
      <c r="HL34" s="69" t="str">
        <f t="shared" si="214"/>
        <v/>
      </c>
      <c r="HM34" s="69" t="str">
        <f t="shared" si="215"/>
        <v/>
      </c>
      <c r="HO34" s="69" t="str">
        <f t="shared" si="216"/>
        <v/>
      </c>
      <c r="HP34" s="69" t="str">
        <f t="shared" si="217"/>
        <v/>
      </c>
      <c r="HQ34" s="69" t="str">
        <f t="shared" si="218"/>
        <v/>
      </c>
      <c r="HS34" s="69" t="str">
        <f t="shared" si="107"/>
        <v/>
      </c>
      <c r="HT34" s="69" t="str">
        <f t="shared" si="108"/>
        <v/>
      </c>
      <c r="HU34" s="69" t="str">
        <f t="shared" si="219"/>
        <v/>
      </c>
      <c r="HV34" s="69" t="str">
        <f t="shared" si="109"/>
        <v/>
      </c>
      <c r="HW34" s="69" t="str">
        <f t="shared" si="110"/>
        <v/>
      </c>
      <c r="HX34" s="69" t="str">
        <f t="shared" si="220"/>
        <v/>
      </c>
      <c r="HY34" s="69" t="str">
        <f t="shared" si="111"/>
        <v/>
      </c>
      <c r="HZ34" s="69" t="str">
        <f t="shared" si="112"/>
        <v/>
      </c>
      <c r="IA34" s="69" t="str">
        <f t="shared" si="221"/>
        <v/>
      </c>
      <c r="IB34" s="69" t="str">
        <f t="shared" si="113"/>
        <v/>
      </c>
      <c r="IC34" s="69" t="str">
        <f t="shared" si="114"/>
        <v/>
      </c>
      <c r="ID34" s="69" t="str">
        <f t="shared" si="222"/>
        <v/>
      </c>
      <c r="IE34" s="69" t="str">
        <f t="shared" si="115"/>
        <v/>
      </c>
      <c r="IF34" s="69" t="str">
        <f t="shared" si="116"/>
        <v/>
      </c>
      <c r="IG34" s="69" t="str">
        <f t="shared" si="223"/>
        <v/>
      </c>
      <c r="IH34" s="69" t="str">
        <f t="shared" si="117"/>
        <v/>
      </c>
      <c r="II34" s="69" t="str">
        <f t="shared" si="118"/>
        <v/>
      </c>
      <c r="IJ34" s="69" t="str">
        <f t="shared" si="224"/>
        <v/>
      </c>
      <c r="IK34" s="69" t="str">
        <f t="shared" si="119"/>
        <v/>
      </c>
      <c r="IL34" s="69" t="str">
        <f t="shared" si="120"/>
        <v/>
      </c>
      <c r="IM34" s="69" t="str">
        <f t="shared" si="225"/>
        <v/>
      </c>
      <c r="IN34" s="69" t="str">
        <f t="shared" si="226"/>
        <v/>
      </c>
      <c r="IO34" s="69" t="str">
        <f t="shared" si="227"/>
        <v/>
      </c>
      <c r="IP34" s="69" t="str">
        <f t="shared" si="228"/>
        <v/>
      </c>
      <c r="IQ34" s="69" t="str">
        <f t="shared" si="229"/>
        <v/>
      </c>
      <c r="IR34" s="69" t="str">
        <f t="shared" si="230"/>
        <v/>
      </c>
      <c r="IS34" s="69" t="str">
        <f t="shared" si="231"/>
        <v/>
      </c>
      <c r="IT34" s="69" t="str">
        <f t="shared" si="232"/>
        <v/>
      </c>
      <c r="IU34" s="69" t="str">
        <f t="shared" si="233"/>
        <v/>
      </c>
      <c r="IV34" s="69" t="str">
        <f t="shared" si="234"/>
        <v/>
      </c>
    </row>
    <row r="35" spans="1:256" x14ac:dyDescent="0.2">
      <c r="A35" s="57" t="s">
        <v>38</v>
      </c>
      <c r="B35" s="184"/>
      <c r="C35" s="179"/>
      <c r="D35" s="179"/>
      <c r="E35" s="179"/>
      <c r="F35" s="179"/>
      <c r="G35" s="180"/>
      <c r="H35" s="180"/>
      <c r="I35" s="181"/>
      <c r="J35" s="182"/>
      <c r="K35" s="185"/>
      <c r="L35" s="68">
        <f t="shared" si="0"/>
        <v>0</v>
      </c>
      <c r="M35" s="69" t="str">
        <f t="shared" si="1"/>
        <v/>
      </c>
      <c r="N35" s="69" t="str">
        <f t="shared" si="121"/>
        <v/>
      </c>
      <c r="O35" s="69" t="str">
        <f t="shared" si="122"/>
        <v/>
      </c>
      <c r="P35" s="69" t="str">
        <f t="shared" si="235"/>
        <v/>
      </c>
      <c r="Q35" s="70" t="str">
        <f t="shared" si="2"/>
        <v/>
      </c>
      <c r="R35" s="71" t="str">
        <f t="shared" si="124"/>
        <v/>
      </c>
      <c r="S35" s="71" t="str">
        <f t="shared" si="125"/>
        <v/>
      </c>
      <c r="T35" s="70" t="str">
        <f t="shared" si="3"/>
        <v/>
      </c>
      <c r="U35" s="71" t="str">
        <f t="shared" si="126"/>
        <v/>
      </c>
      <c r="V35" s="71" t="str">
        <f t="shared" si="127"/>
        <v/>
      </c>
      <c r="W35" s="70" t="str">
        <f t="shared" si="4"/>
        <v/>
      </c>
      <c r="X35" s="71" t="str">
        <f t="shared" si="128"/>
        <v/>
      </c>
      <c r="Y35" s="71" t="str">
        <f t="shared" si="129"/>
        <v/>
      </c>
      <c r="Z35" s="70" t="str">
        <f t="shared" si="5"/>
        <v/>
      </c>
      <c r="AA35" s="71" t="str">
        <f t="shared" si="130"/>
        <v/>
      </c>
      <c r="AB35" s="71" t="str">
        <f t="shared" si="131"/>
        <v/>
      </c>
      <c r="AC35" s="70" t="str">
        <f t="shared" si="6"/>
        <v/>
      </c>
      <c r="AD35" s="71" t="str">
        <f t="shared" si="132"/>
        <v/>
      </c>
      <c r="AE35" s="71" t="str">
        <f t="shared" si="133"/>
        <v/>
      </c>
      <c r="AF35" s="70" t="str">
        <f t="shared" si="7"/>
        <v/>
      </c>
      <c r="AG35" s="71" t="str">
        <f t="shared" si="134"/>
        <v/>
      </c>
      <c r="AH35" s="71" t="str">
        <f t="shared" si="135"/>
        <v/>
      </c>
      <c r="AI35" s="70" t="str">
        <f t="shared" si="8"/>
        <v/>
      </c>
      <c r="AJ35" s="71" t="str">
        <f t="shared" si="136"/>
        <v/>
      </c>
      <c r="AK35" s="71" t="str">
        <f t="shared" si="137"/>
        <v/>
      </c>
      <c r="AL35" s="70" t="str">
        <f t="shared" si="138"/>
        <v/>
      </c>
      <c r="AM35" s="71" t="str">
        <f t="shared" si="139"/>
        <v/>
      </c>
      <c r="AN35" s="71" t="str">
        <f t="shared" si="140"/>
        <v/>
      </c>
      <c r="AO35" s="70" t="str">
        <f t="shared" si="141"/>
        <v/>
      </c>
      <c r="AP35" s="71" t="str">
        <f t="shared" si="142"/>
        <v/>
      </c>
      <c r="AQ35" s="71" t="str">
        <f t="shared" si="143"/>
        <v/>
      </c>
      <c r="AR35" s="70" t="str">
        <f t="shared" si="144"/>
        <v/>
      </c>
      <c r="AS35" s="71" t="str">
        <f t="shared" si="145"/>
        <v/>
      </c>
      <c r="AT35" s="71" t="str">
        <f t="shared" si="146"/>
        <v/>
      </c>
      <c r="AU35" s="69" t="str">
        <f t="shared" si="147"/>
        <v/>
      </c>
      <c r="AV35" s="131" t="str">
        <f t="shared" si="148"/>
        <v/>
      </c>
      <c r="AW35" s="69" t="str">
        <f t="shared" si="236"/>
        <v/>
      </c>
      <c r="AX35" s="132" t="str">
        <f t="shared" si="150"/>
        <v/>
      </c>
      <c r="AY35" s="132" t="str">
        <f t="shared" si="151"/>
        <v/>
      </c>
      <c r="AZ35" s="69" t="str">
        <f t="shared" si="9"/>
        <v/>
      </c>
      <c r="BA35" s="69" t="str">
        <f t="shared" si="10"/>
        <v/>
      </c>
      <c r="BB35" s="69" t="str">
        <f t="shared" si="152"/>
        <v/>
      </c>
      <c r="BC35" s="69" t="str">
        <f t="shared" si="11"/>
        <v/>
      </c>
      <c r="BD35" s="69" t="str">
        <f t="shared" si="12"/>
        <v/>
      </c>
      <c r="BE35" s="69" t="str">
        <f t="shared" si="153"/>
        <v/>
      </c>
      <c r="BF35" s="69" t="str">
        <f t="shared" si="13"/>
        <v/>
      </c>
      <c r="BG35" s="69" t="str">
        <f t="shared" si="14"/>
        <v/>
      </c>
      <c r="BH35" s="69" t="str">
        <f t="shared" si="154"/>
        <v/>
      </c>
      <c r="BI35" s="69" t="str">
        <f t="shared" si="15"/>
        <v/>
      </c>
      <c r="BJ35" s="69" t="str">
        <f t="shared" si="16"/>
        <v/>
      </c>
      <c r="BK35" s="69" t="str">
        <f t="shared" si="155"/>
        <v/>
      </c>
      <c r="BL35" s="69" t="str">
        <f t="shared" si="17"/>
        <v/>
      </c>
      <c r="BM35" s="69" t="str">
        <f t="shared" si="18"/>
        <v/>
      </c>
      <c r="BN35" s="69" t="str">
        <f t="shared" si="156"/>
        <v/>
      </c>
      <c r="BO35" s="69" t="str">
        <f t="shared" si="19"/>
        <v/>
      </c>
      <c r="BP35" s="69" t="str">
        <f t="shared" si="20"/>
        <v/>
      </c>
      <c r="BQ35" s="69" t="str">
        <f t="shared" si="157"/>
        <v/>
      </c>
      <c r="BR35" s="69" t="str">
        <f t="shared" si="21"/>
        <v/>
      </c>
      <c r="BS35" s="69" t="str">
        <f t="shared" si="22"/>
        <v/>
      </c>
      <c r="BT35" s="69" t="str">
        <f t="shared" si="158"/>
        <v/>
      </c>
      <c r="BU35" s="69" t="str">
        <f t="shared" si="23"/>
        <v/>
      </c>
      <c r="BV35" s="69" t="str">
        <f t="shared" si="24"/>
        <v/>
      </c>
      <c r="BW35" s="69" t="str">
        <f t="shared" si="159"/>
        <v/>
      </c>
      <c r="BX35" s="69" t="str">
        <f t="shared" si="25"/>
        <v/>
      </c>
      <c r="BY35" s="69" t="str">
        <f t="shared" si="26"/>
        <v/>
      </c>
      <c r="BZ35" s="69" t="str">
        <f t="shared" si="160"/>
        <v/>
      </c>
      <c r="CA35" s="69" t="str">
        <f t="shared" si="27"/>
        <v/>
      </c>
      <c r="CB35" s="69" t="str">
        <f t="shared" si="28"/>
        <v/>
      </c>
      <c r="CC35" s="69" t="str">
        <f t="shared" si="161"/>
        <v/>
      </c>
      <c r="CE35" s="69" t="str">
        <f t="shared" si="29"/>
        <v/>
      </c>
      <c r="CF35" s="69" t="str">
        <f t="shared" si="30"/>
        <v/>
      </c>
      <c r="CG35" s="69" t="str">
        <f t="shared" si="162"/>
        <v/>
      </c>
      <c r="CH35" s="69" t="str">
        <f t="shared" si="31"/>
        <v/>
      </c>
      <c r="CI35" s="69" t="str">
        <f t="shared" si="32"/>
        <v/>
      </c>
      <c r="CJ35" s="69" t="str">
        <f t="shared" si="163"/>
        <v/>
      </c>
      <c r="CK35" s="69" t="str">
        <f t="shared" si="33"/>
        <v/>
      </c>
      <c r="CL35" s="69" t="str">
        <f t="shared" si="34"/>
        <v/>
      </c>
      <c r="CM35" s="69" t="str">
        <f t="shared" si="164"/>
        <v/>
      </c>
      <c r="CN35" s="69" t="str">
        <f t="shared" si="35"/>
        <v/>
      </c>
      <c r="CO35" s="69" t="str">
        <f t="shared" si="36"/>
        <v/>
      </c>
      <c r="CP35" s="69" t="str">
        <f t="shared" si="165"/>
        <v/>
      </c>
      <c r="CQ35" s="69" t="str">
        <f t="shared" si="37"/>
        <v/>
      </c>
      <c r="CR35" s="69" t="str">
        <f t="shared" si="38"/>
        <v/>
      </c>
      <c r="CS35" s="69" t="str">
        <f t="shared" si="166"/>
        <v/>
      </c>
      <c r="CT35" s="69" t="str">
        <f t="shared" si="39"/>
        <v/>
      </c>
      <c r="CU35" s="69" t="str">
        <f t="shared" si="40"/>
        <v/>
      </c>
      <c r="CV35" s="69" t="str">
        <f t="shared" si="167"/>
        <v/>
      </c>
      <c r="CW35" s="69" t="str">
        <f t="shared" si="41"/>
        <v/>
      </c>
      <c r="CX35" s="69" t="str">
        <f t="shared" si="42"/>
        <v/>
      </c>
      <c r="CY35" s="69" t="str">
        <f t="shared" si="168"/>
        <v/>
      </c>
      <c r="CZ35" s="69" t="str">
        <f t="shared" si="43"/>
        <v/>
      </c>
      <c r="DA35" s="69" t="str">
        <f t="shared" si="44"/>
        <v/>
      </c>
      <c r="DB35" s="69" t="str">
        <f t="shared" si="169"/>
        <v/>
      </c>
      <c r="DC35" s="69" t="str">
        <f t="shared" si="45"/>
        <v/>
      </c>
      <c r="DD35" s="69" t="str">
        <f t="shared" si="46"/>
        <v/>
      </c>
      <c r="DE35" s="69" t="str">
        <f t="shared" si="170"/>
        <v/>
      </c>
      <c r="DG35" s="69" t="str">
        <f t="shared" si="47"/>
        <v/>
      </c>
      <c r="DH35" s="69" t="str">
        <f t="shared" si="48"/>
        <v/>
      </c>
      <c r="DI35" s="69" t="str">
        <f t="shared" si="171"/>
        <v/>
      </c>
      <c r="DJ35" s="69" t="str">
        <f t="shared" si="49"/>
        <v/>
      </c>
      <c r="DK35" s="69" t="str">
        <f t="shared" si="50"/>
        <v/>
      </c>
      <c r="DL35" s="69" t="str">
        <f t="shared" si="172"/>
        <v/>
      </c>
      <c r="DM35" s="69" t="str">
        <f t="shared" si="51"/>
        <v/>
      </c>
      <c r="DN35" s="69" t="str">
        <f t="shared" si="52"/>
        <v/>
      </c>
      <c r="DO35" s="69" t="str">
        <f t="shared" si="173"/>
        <v/>
      </c>
      <c r="DP35" s="69" t="str">
        <f t="shared" si="53"/>
        <v/>
      </c>
      <c r="DQ35" s="69" t="str">
        <f t="shared" si="54"/>
        <v/>
      </c>
      <c r="DR35" s="69" t="str">
        <f t="shared" si="174"/>
        <v/>
      </c>
      <c r="DS35" s="69" t="str">
        <f t="shared" si="55"/>
        <v/>
      </c>
      <c r="DT35" s="69" t="str">
        <f t="shared" si="56"/>
        <v/>
      </c>
      <c r="DU35" s="69" t="str">
        <f t="shared" si="175"/>
        <v/>
      </c>
      <c r="DV35" s="69" t="str">
        <f t="shared" si="57"/>
        <v/>
      </c>
      <c r="DW35" s="69" t="str">
        <f t="shared" si="58"/>
        <v/>
      </c>
      <c r="DX35" s="69" t="str">
        <f t="shared" si="176"/>
        <v/>
      </c>
      <c r="DY35" s="69" t="str">
        <f t="shared" si="59"/>
        <v/>
      </c>
      <c r="DZ35" s="69" t="str">
        <f t="shared" si="60"/>
        <v/>
      </c>
      <c r="EA35" s="69" t="str">
        <f t="shared" si="177"/>
        <v/>
      </c>
      <c r="EB35" s="69" t="str">
        <f t="shared" si="61"/>
        <v/>
      </c>
      <c r="EC35" s="69" t="str">
        <f t="shared" si="62"/>
        <v/>
      </c>
      <c r="ED35" s="69" t="str">
        <f t="shared" si="178"/>
        <v/>
      </c>
      <c r="EF35" s="69" t="str">
        <f t="shared" si="63"/>
        <v/>
      </c>
      <c r="EG35" s="69" t="str">
        <f t="shared" si="64"/>
        <v/>
      </c>
      <c r="EH35" s="69" t="str">
        <f t="shared" si="179"/>
        <v/>
      </c>
      <c r="EI35" s="69" t="str">
        <f t="shared" si="65"/>
        <v/>
      </c>
      <c r="EJ35" s="69" t="str">
        <f t="shared" si="66"/>
        <v/>
      </c>
      <c r="EK35" s="69" t="str">
        <f t="shared" si="180"/>
        <v/>
      </c>
      <c r="EL35" s="69" t="str">
        <f t="shared" si="67"/>
        <v/>
      </c>
      <c r="EM35" s="69" t="str">
        <f t="shared" si="68"/>
        <v/>
      </c>
      <c r="EN35" s="69" t="str">
        <f t="shared" si="181"/>
        <v/>
      </c>
      <c r="EO35" s="69" t="str">
        <f t="shared" si="69"/>
        <v/>
      </c>
      <c r="EP35" s="69" t="str">
        <f t="shared" si="70"/>
        <v/>
      </c>
      <c r="EQ35" s="69" t="str">
        <f t="shared" si="182"/>
        <v/>
      </c>
      <c r="ER35" s="69" t="str">
        <f t="shared" si="71"/>
        <v/>
      </c>
      <c r="ES35" s="69" t="str">
        <f t="shared" si="72"/>
        <v/>
      </c>
      <c r="ET35" s="69" t="str">
        <f t="shared" si="183"/>
        <v/>
      </c>
      <c r="EU35" s="69" t="str">
        <f t="shared" si="73"/>
        <v/>
      </c>
      <c r="EV35" s="69" t="str">
        <f t="shared" si="74"/>
        <v/>
      </c>
      <c r="EW35" s="69" t="str">
        <f t="shared" si="184"/>
        <v/>
      </c>
      <c r="EX35" s="69" t="str">
        <f t="shared" si="75"/>
        <v/>
      </c>
      <c r="EY35" s="69" t="str">
        <f t="shared" si="76"/>
        <v/>
      </c>
      <c r="EZ35" s="69" t="str">
        <f t="shared" si="185"/>
        <v/>
      </c>
      <c r="FB35" s="69" t="str">
        <f t="shared" si="77"/>
        <v/>
      </c>
      <c r="FC35" s="69" t="str">
        <f t="shared" si="78"/>
        <v/>
      </c>
      <c r="FD35" s="69" t="str">
        <f t="shared" si="186"/>
        <v/>
      </c>
      <c r="FE35" s="69" t="str">
        <f t="shared" si="79"/>
        <v/>
      </c>
      <c r="FF35" s="69" t="str">
        <f t="shared" si="80"/>
        <v/>
      </c>
      <c r="FG35" s="69" t="str">
        <f t="shared" si="187"/>
        <v/>
      </c>
      <c r="FH35" s="69" t="str">
        <f t="shared" si="81"/>
        <v/>
      </c>
      <c r="FI35" s="69" t="str">
        <f t="shared" si="82"/>
        <v/>
      </c>
      <c r="FJ35" s="69" t="str">
        <f t="shared" si="188"/>
        <v/>
      </c>
      <c r="FK35" s="69" t="str">
        <f t="shared" si="83"/>
        <v/>
      </c>
      <c r="FL35" s="69" t="str">
        <f t="shared" si="84"/>
        <v/>
      </c>
      <c r="FM35" s="69" t="str">
        <f t="shared" si="189"/>
        <v/>
      </c>
      <c r="FN35" s="69" t="str">
        <f t="shared" si="85"/>
        <v/>
      </c>
      <c r="FO35" s="69" t="str">
        <f t="shared" si="86"/>
        <v/>
      </c>
      <c r="FP35" s="69" t="str">
        <f t="shared" si="190"/>
        <v/>
      </c>
      <c r="FQ35" s="69" t="str">
        <f t="shared" si="87"/>
        <v/>
      </c>
      <c r="FR35" s="69" t="str">
        <f t="shared" si="88"/>
        <v/>
      </c>
      <c r="FS35" s="69" t="str">
        <f t="shared" si="191"/>
        <v/>
      </c>
      <c r="FU35" s="69" t="str">
        <f t="shared" si="89"/>
        <v/>
      </c>
      <c r="FV35" s="69" t="str">
        <f t="shared" si="90"/>
        <v/>
      </c>
      <c r="FW35" s="69" t="str">
        <f t="shared" si="192"/>
        <v/>
      </c>
      <c r="FX35" s="69" t="str">
        <f t="shared" si="91"/>
        <v/>
      </c>
      <c r="FY35" s="69" t="str">
        <f t="shared" si="92"/>
        <v/>
      </c>
      <c r="FZ35" s="69" t="str">
        <f t="shared" si="193"/>
        <v/>
      </c>
      <c r="GA35" s="69" t="str">
        <f t="shared" si="93"/>
        <v/>
      </c>
      <c r="GB35" s="69" t="str">
        <f t="shared" si="94"/>
        <v/>
      </c>
      <c r="GC35" s="69" t="str">
        <f t="shared" si="194"/>
        <v/>
      </c>
      <c r="GD35" s="69" t="str">
        <f t="shared" si="95"/>
        <v/>
      </c>
      <c r="GE35" s="69" t="str">
        <f t="shared" si="96"/>
        <v/>
      </c>
      <c r="GF35" s="69" t="str">
        <f t="shared" si="195"/>
        <v/>
      </c>
      <c r="GG35" s="69" t="str">
        <f t="shared" si="97"/>
        <v/>
      </c>
      <c r="GH35" s="69" t="str">
        <f t="shared" si="98"/>
        <v/>
      </c>
      <c r="GI35" s="69" t="str">
        <f t="shared" si="196"/>
        <v/>
      </c>
      <c r="GK35" s="69" t="str">
        <f t="shared" si="99"/>
        <v/>
      </c>
      <c r="GL35" s="69" t="str">
        <f t="shared" si="100"/>
        <v/>
      </c>
      <c r="GM35" s="69" t="str">
        <f t="shared" si="197"/>
        <v/>
      </c>
      <c r="GN35" s="69" t="str">
        <f t="shared" si="101"/>
        <v/>
      </c>
      <c r="GO35" s="69" t="str">
        <f t="shared" si="102"/>
        <v/>
      </c>
      <c r="GP35" s="69" t="str">
        <f t="shared" si="198"/>
        <v/>
      </c>
      <c r="GQ35" s="69" t="str">
        <f t="shared" si="103"/>
        <v/>
      </c>
      <c r="GR35" s="69" t="str">
        <f t="shared" si="104"/>
        <v/>
      </c>
      <c r="GS35" s="69" t="str">
        <f t="shared" si="199"/>
        <v/>
      </c>
      <c r="GT35" s="69" t="str">
        <f t="shared" si="105"/>
        <v/>
      </c>
      <c r="GU35" s="69" t="str">
        <f t="shared" si="106"/>
        <v/>
      </c>
      <c r="GV35" s="69" t="str">
        <f t="shared" si="200"/>
        <v/>
      </c>
      <c r="GX35" s="69" t="str">
        <f t="shared" si="201"/>
        <v/>
      </c>
      <c r="GY35" s="69" t="str">
        <f t="shared" si="202"/>
        <v/>
      </c>
      <c r="GZ35" s="69" t="str">
        <f t="shared" si="203"/>
        <v/>
      </c>
      <c r="HA35" s="69" t="str">
        <f t="shared" si="204"/>
        <v/>
      </c>
      <c r="HB35" s="69" t="str">
        <f t="shared" si="205"/>
        <v/>
      </c>
      <c r="HC35" s="69" t="str">
        <f t="shared" si="206"/>
        <v/>
      </c>
      <c r="HD35" s="69" t="str">
        <f t="shared" si="207"/>
        <v/>
      </c>
      <c r="HE35" s="69" t="str">
        <f t="shared" si="208"/>
        <v/>
      </c>
      <c r="HF35" s="69" t="str">
        <f t="shared" si="209"/>
        <v/>
      </c>
      <c r="HH35" s="69" t="str">
        <f t="shared" si="210"/>
        <v/>
      </c>
      <c r="HI35" s="69" t="str">
        <f t="shared" si="211"/>
        <v/>
      </c>
      <c r="HJ35" s="69" t="str">
        <f t="shared" si="212"/>
        <v/>
      </c>
      <c r="HK35" s="69" t="str">
        <f t="shared" si="213"/>
        <v/>
      </c>
      <c r="HL35" s="69" t="str">
        <f t="shared" si="214"/>
        <v/>
      </c>
      <c r="HM35" s="69" t="str">
        <f t="shared" si="215"/>
        <v/>
      </c>
      <c r="HO35" s="69" t="str">
        <f t="shared" si="216"/>
        <v/>
      </c>
      <c r="HP35" s="69" t="str">
        <f t="shared" si="217"/>
        <v/>
      </c>
      <c r="HQ35" s="69" t="str">
        <f t="shared" si="218"/>
        <v/>
      </c>
      <c r="HS35" s="69" t="str">
        <f t="shared" si="107"/>
        <v/>
      </c>
      <c r="HT35" s="69" t="str">
        <f t="shared" si="108"/>
        <v/>
      </c>
      <c r="HU35" s="69" t="str">
        <f t="shared" si="219"/>
        <v/>
      </c>
      <c r="HV35" s="69" t="str">
        <f t="shared" si="109"/>
        <v/>
      </c>
      <c r="HW35" s="69" t="str">
        <f t="shared" si="110"/>
        <v/>
      </c>
      <c r="HX35" s="69" t="str">
        <f t="shared" si="220"/>
        <v/>
      </c>
      <c r="HY35" s="69" t="str">
        <f t="shared" si="111"/>
        <v/>
      </c>
      <c r="HZ35" s="69" t="str">
        <f t="shared" si="112"/>
        <v/>
      </c>
      <c r="IA35" s="69" t="str">
        <f t="shared" si="221"/>
        <v/>
      </c>
      <c r="IB35" s="69" t="str">
        <f t="shared" si="113"/>
        <v/>
      </c>
      <c r="IC35" s="69" t="str">
        <f t="shared" si="114"/>
        <v/>
      </c>
      <c r="ID35" s="69" t="str">
        <f t="shared" si="222"/>
        <v/>
      </c>
      <c r="IE35" s="69" t="str">
        <f t="shared" si="115"/>
        <v/>
      </c>
      <c r="IF35" s="69" t="str">
        <f t="shared" si="116"/>
        <v/>
      </c>
      <c r="IG35" s="69" t="str">
        <f t="shared" si="223"/>
        <v/>
      </c>
      <c r="IH35" s="69" t="str">
        <f t="shared" si="117"/>
        <v/>
      </c>
      <c r="II35" s="69" t="str">
        <f t="shared" si="118"/>
        <v/>
      </c>
      <c r="IJ35" s="69" t="str">
        <f t="shared" si="224"/>
        <v/>
      </c>
      <c r="IK35" s="69" t="str">
        <f t="shared" si="119"/>
        <v/>
      </c>
      <c r="IL35" s="69" t="str">
        <f t="shared" si="120"/>
        <v/>
      </c>
      <c r="IM35" s="69" t="str">
        <f t="shared" si="225"/>
        <v/>
      </c>
      <c r="IN35" s="69" t="str">
        <f t="shared" si="226"/>
        <v/>
      </c>
      <c r="IO35" s="69" t="str">
        <f t="shared" si="227"/>
        <v/>
      </c>
      <c r="IP35" s="69" t="str">
        <f t="shared" si="228"/>
        <v/>
      </c>
      <c r="IQ35" s="69" t="str">
        <f t="shared" si="229"/>
        <v/>
      </c>
      <c r="IR35" s="69" t="str">
        <f t="shared" si="230"/>
        <v/>
      </c>
      <c r="IS35" s="69" t="str">
        <f t="shared" si="231"/>
        <v/>
      </c>
      <c r="IT35" s="69" t="str">
        <f t="shared" si="232"/>
        <v/>
      </c>
      <c r="IU35" s="69" t="str">
        <f t="shared" si="233"/>
        <v/>
      </c>
      <c r="IV35" s="69" t="str">
        <f t="shared" si="234"/>
        <v/>
      </c>
    </row>
    <row r="36" spans="1:256" ht="13.15" customHeight="1" x14ac:dyDescent="0.2">
      <c r="A36" s="57" t="s">
        <v>39</v>
      </c>
      <c r="B36" s="178"/>
      <c r="C36" s="180"/>
      <c r="D36" s="179"/>
      <c r="E36" s="179"/>
      <c r="F36" s="179"/>
      <c r="G36" s="180"/>
      <c r="H36" s="180"/>
      <c r="I36" s="181"/>
      <c r="J36" s="182"/>
      <c r="K36" s="185"/>
      <c r="L36" s="68">
        <f t="shared" si="0"/>
        <v>0</v>
      </c>
      <c r="M36" s="69" t="str">
        <f t="shared" si="1"/>
        <v/>
      </c>
      <c r="N36" s="69" t="str">
        <f t="shared" si="121"/>
        <v/>
      </c>
      <c r="O36" s="69" t="str">
        <f t="shared" si="122"/>
        <v/>
      </c>
      <c r="P36" s="69" t="str">
        <f t="shared" si="235"/>
        <v/>
      </c>
      <c r="Q36" s="70" t="str">
        <f t="shared" si="2"/>
        <v/>
      </c>
      <c r="R36" s="71" t="str">
        <f t="shared" si="124"/>
        <v/>
      </c>
      <c r="S36" s="71" t="str">
        <f t="shared" si="125"/>
        <v/>
      </c>
      <c r="T36" s="70" t="str">
        <f t="shared" si="3"/>
        <v/>
      </c>
      <c r="U36" s="71" t="str">
        <f t="shared" si="126"/>
        <v/>
      </c>
      <c r="V36" s="71" t="str">
        <f t="shared" si="127"/>
        <v/>
      </c>
      <c r="W36" s="70" t="str">
        <f t="shared" si="4"/>
        <v/>
      </c>
      <c r="X36" s="71" t="str">
        <f t="shared" si="128"/>
        <v/>
      </c>
      <c r="Y36" s="71" t="str">
        <f t="shared" si="129"/>
        <v/>
      </c>
      <c r="Z36" s="70" t="str">
        <f t="shared" si="5"/>
        <v/>
      </c>
      <c r="AA36" s="71" t="str">
        <f t="shared" si="130"/>
        <v/>
      </c>
      <c r="AB36" s="71" t="str">
        <f t="shared" si="131"/>
        <v/>
      </c>
      <c r="AC36" s="70" t="str">
        <f t="shared" si="6"/>
        <v/>
      </c>
      <c r="AD36" s="71" t="str">
        <f t="shared" si="132"/>
        <v/>
      </c>
      <c r="AE36" s="71" t="str">
        <f t="shared" si="133"/>
        <v/>
      </c>
      <c r="AF36" s="70" t="str">
        <f t="shared" si="7"/>
        <v/>
      </c>
      <c r="AG36" s="71" t="str">
        <f t="shared" si="134"/>
        <v/>
      </c>
      <c r="AH36" s="71" t="str">
        <f t="shared" si="135"/>
        <v/>
      </c>
      <c r="AI36" s="70" t="str">
        <f t="shared" si="8"/>
        <v/>
      </c>
      <c r="AJ36" s="71" t="str">
        <f t="shared" si="136"/>
        <v/>
      </c>
      <c r="AK36" s="71" t="str">
        <f t="shared" si="137"/>
        <v/>
      </c>
      <c r="AL36" s="70" t="str">
        <f t="shared" si="138"/>
        <v/>
      </c>
      <c r="AM36" s="71" t="str">
        <f t="shared" si="139"/>
        <v/>
      </c>
      <c r="AN36" s="71" t="str">
        <f t="shared" si="140"/>
        <v/>
      </c>
      <c r="AO36" s="70" t="str">
        <f t="shared" si="141"/>
        <v/>
      </c>
      <c r="AP36" s="71" t="str">
        <f t="shared" si="142"/>
        <v/>
      </c>
      <c r="AQ36" s="71" t="str">
        <f t="shared" si="143"/>
        <v/>
      </c>
      <c r="AR36" s="70" t="str">
        <f t="shared" si="144"/>
        <v/>
      </c>
      <c r="AS36" s="71" t="str">
        <f t="shared" si="145"/>
        <v/>
      </c>
      <c r="AT36" s="71" t="str">
        <f t="shared" si="146"/>
        <v/>
      </c>
      <c r="AU36" s="69" t="str">
        <f t="shared" si="147"/>
        <v/>
      </c>
      <c r="AV36" s="131" t="str">
        <f t="shared" si="148"/>
        <v/>
      </c>
      <c r="AW36" s="69" t="str">
        <f t="shared" si="236"/>
        <v/>
      </c>
      <c r="AX36" s="132" t="str">
        <f t="shared" si="150"/>
        <v/>
      </c>
      <c r="AY36" s="132" t="str">
        <f t="shared" si="151"/>
        <v/>
      </c>
      <c r="AZ36" s="69" t="str">
        <f t="shared" si="9"/>
        <v/>
      </c>
      <c r="BA36" s="69" t="str">
        <f t="shared" si="10"/>
        <v/>
      </c>
      <c r="BB36" s="69" t="str">
        <f t="shared" si="152"/>
        <v/>
      </c>
      <c r="BC36" s="69" t="str">
        <f t="shared" si="11"/>
        <v/>
      </c>
      <c r="BD36" s="69" t="str">
        <f t="shared" si="12"/>
        <v/>
      </c>
      <c r="BE36" s="69" t="str">
        <f t="shared" si="153"/>
        <v/>
      </c>
      <c r="BF36" s="69" t="str">
        <f t="shared" si="13"/>
        <v/>
      </c>
      <c r="BG36" s="69" t="str">
        <f t="shared" si="14"/>
        <v/>
      </c>
      <c r="BH36" s="69" t="str">
        <f t="shared" si="154"/>
        <v/>
      </c>
      <c r="BI36" s="69" t="str">
        <f t="shared" si="15"/>
        <v/>
      </c>
      <c r="BJ36" s="69" t="str">
        <f t="shared" si="16"/>
        <v/>
      </c>
      <c r="BK36" s="69" t="str">
        <f t="shared" si="155"/>
        <v/>
      </c>
      <c r="BL36" s="69" t="str">
        <f t="shared" si="17"/>
        <v/>
      </c>
      <c r="BM36" s="69" t="str">
        <f t="shared" si="18"/>
        <v/>
      </c>
      <c r="BN36" s="69" t="str">
        <f t="shared" si="156"/>
        <v/>
      </c>
      <c r="BO36" s="69" t="str">
        <f t="shared" si="19"/>
        <v/>
      </c>
      <c r="BP36" s="69" t="str">
        <f t="shared" si="20"/>
        <v/>
      </c>
      <c r="BQ36" s="69" t="str">
        <f t="shared" si="157"/>
        <v/>
      </c>
      <c r="BR36" s="69" t="str">
        <f t="shared" si="21"/>
        <v/>
      </c>
      <c r="BS36" s="69" t="str">
        <f t="shared" si="22"/>
        <v/>
      </c>
      <c r="BT36" s="69" t="str">
        <f t="shared" si="158"/>
        <v/>
      </c>
      <c r="BU36" s="69" t="str">
        <f t="shared" si="23"/>
        <v/>
      </c>
      <c r="BV36" s="69" t="str">
        <f t="shared" si="24"/>
        <v/>
      </c>
      <c r="BW36" s="69" t="str">
        <f t="shared" si="159"/>
        <v/>
      </c>
      <c r="BX36" s="69" t="str">
        <f t="shared" si="25"/>
        <v/>
      </c>
      <c r="BY36" s="69" t="str">
        <f t="shared" si="26"/>
        <v/>
      </c>
      <c r="BZ36" s="69" t="str">
        <f t="shared" si="160"/>
        <v/>
      </c>
      <c r="CA36" s="69" t="str">
        <f t="shared" si="27"/>
        <v/>
      </c>
      <c r="CB36" s="69" t="str">
        <f t="shared" si="28"/>
        <v/>
      </c>
      <c r="CC36" s="69" t="str">
        <f t="shared" si="161"/>
        <v/>
      </c>
      <c r="CE36" s="69" t="str">
        <f t="shared" si="29"/>
        <v/>
      </c>
      <c r="CF36" s="69" t="str">
        <f t="shared" si="30"/>
        <v/>
      </c>
      <c r="CG36" s="69" t="str">
        <f t="shared" si="162"/>
        <v/>
      </c>
      <c r="CH36" s="69" t="str">
        <f t="shared" si="31"/>
        <v/>
      </c>
      <c r="CI36" s="69" t="str">
        <f t="shared" si="32"/>
        <v/>
      </c>
      <c r="CJ36" s="69" t="str">
        <f t="shared" si="163"/>
        <v/>
      </c>
      <c r="CK36" s="69" t="str">
        <f t="shared" si="33"/>
        <v/>
      </c>
      <c r="CL36" s="69" t="str">
        <f t="shared" si="34"/>
        <v/>
      </c>
      <c r="CM36" s="69" t="str">
        <f t="shared" si="164"/>
        <v/>
      </c>
      <c r="CN36" s="69" t="str">
        <f t="shared" si="35"/>
        <v/>
      </c>
      <c r="CO36" s="69" t="str">
        <f t="shared" si="36"/>
        <v/>
      </c>
      <c r="CP36" s="69" t="str">
        <f t="shared" si="165"/>
        <v/>
      </c>
      <c r="CQ36" s="69" t="str">
        <f t="shared" si="37"/>
        <v/>
      </c>
      <c r="CR36" s="69" t="str">
        <f t="shared" si="38"/>
        <v/>
      </c>
      <c r="CS36" s="69" t="str">
        <f t="shared" si="166"/>
        <v/>
      </c>
      <c r="CT36" s="69" t="str">
        <f t="shared" si="39"/>
        <v/>
      </c>
      <c r="CU36" s="69" t="str">
        <f t="shared" si="40"/>
        <v/>
      </c>
      <c r="CV36" s="69" t="str">
        <f t="shared" si="167"/>
        <v/>
      </c>
      <c r="CW36" s="69" t="str">
        <f t="shared" si="41"/>
        <v/>
      </c>
      <c r="CX36" s="69" t="str">
        <f t="shared" si="42"/>
        <v/>
      </c>
      <c r="CY36" s="69" t="str">
        <f t="shared" si="168"/>
        <v/>
      </c>
      <c r="CZ36" s="69" t="str">
        <f t="shared" si="43"/>
        <v/>
      </c>
      <c r="DA36" s="69" t="str">
        <f t="shared" si="44"/>
        <v/>
      </c>
      <c r="DB36" s="69" t="str">
        <f t="shared" si="169"/>
        <v/>
      </c>
      <c r="DC36" s="69" t="str">
        <f t="shared" si="45"/>
        <v/>
      </c>
      <c r="DD36" s="69" t="str">
        <f t="shared" si="46"/>
        <v/>
      </c>
      <c r="DE36" s="69" t="str">
        <f t="shared" si="170"/>
        <v/>
      </c>
      <c r="DG36" s="69" t="str">
        <f t="shared" si="47"/>
        <v/>
      </c>
      <c r="DH36" s="69" t="str">
        <f t="shared" si="48"/>
        <v/>
      </c>
      <c r="DI36" s="69" t="str">
        <f t="shared" si="171"/>
        <v/>
      </c>
      <c r="DJ36" s="69" t="str">
        <f t="shared" si="49"/>
        <v/>
      </c>
      <c r="DK36" s="69" t="str">
        <f t="shared" si="50"/>
        <v/>
      </c>
      <c r="DL36" s="69" t="str">
        <f t="shared" si="172"/>
        <v/>
      </c>
      <c r="DM36" s="69" t="str">
        <f t="shared" si="51"/>
        <v/>
      </c>
      <c r="DN36" s="69" t="str">
        <f t="shared" si="52"/>
        <v/>
      </c>
      <c r="DO36" s="69" t="str">
        <f t="shared" si="173"/>
        <v/>
      </c>
      <c r="DP36" s="69" t="str">
        <f t="shared" si="53"/>
        <v/>
      </c>
      <c r="DQ36" s="69" t="str">
        <f t="shared" si="54"/>
        <v/>
      </c>
      <c r="DR36" s="69" t="str">
        <f t="shared" si="174"/>
        <v/>
      </c>
      <c r="DS36" s="69" t="str">
        <f t="shared" si="55"/>
        <v/>
      </c>
      <c r="DT36" s="69" t="str">
        <f t="shared" si="56"/>
        <v/>
      </c>
      <c r="DU36" s="69" t="str">
        <f t="shared" si="175"/>
        <v/>
      </c>
      <c r="DV36" s="69" t="str">
        <f t="shared" si="57"/>
        <v/>
      </c>
      <c r="DW36" s="69" t="str">
        <f t="shared" si="58"/>
        <v/>
      </c>
      <c r="DX36" s="69" t="str">
        <f t="shared" si="176"/>
        <v/>
      </c>
      <c r="DY36" s="69" t="str">
        <f t="shared" si="59"/>
        <v/>
      </c>
      <c r="DZ36" s="69" t="str">
        <f t="shared" si="60"/>
        <v/>
      </c>
      <c r="EA36" s="69" t="str">
        <f t="shared" si="177"/>
        <v/>
      </c>
      <c r="EB36" s="69" t="str">
        <f t="shared" si="61"/>
        <v/>
      </c>
      <c r="EC36" s="69" t="str">
        <f t="shared" si="62"/>
        <v/>
      </c>
      <c r="ED36" s="69" t="str">
        <f t="shared" si="178"/>
        <v/>
      </c>
      <c r="EF36" s="69" t="str">
        <f t="shared" si="63"/>
        <v/>
      </c>
      <c r="EG36" s="69" t="str">
        <f t="shared" si="64"/>
        <v/>
      </c>
      <c r="EH36" s="69" t="str">
        <f t="shared" si="179"/>
        <v/>
      </c>
      <c r="EI36" s="69" t="str">
        <f t="shared" si="65"/>
        <v/>
      </c>
      <c r="EJ36" s="69" t="str">
        <f t="shared" si="66"/>
        <v/>
      </c>
      <c r="EK36" s="69" t="str">
        <f t="shared" si="180"/>
        <v/>
      </c>
      <c r="EL36" s="69" t="str">
        <f t="shared" si="67"/>
        <v/>
      </c>
      <c r="EM36" s="69" t="str">
        <f t="shared" si="68"/>
        <v/>
      </c>
      <c r="EN36" s="69" t="str">
        <f t="shared" si="181"/>
        <v/>
      </c>
      <c r="EO36" s="69" t="str">
        <f t="shared" si="69"/>
        <v/>
      </c>
      <c r="EP36" s="69" t="str">
        <f t="shared" si="70"/>
        <v/>
      </c>
      <c r="EQ36" s="69" t="str">
        <f t="shared" si="182"/>
        <v/>
      </c>
      <c r="ER36" s="69" t="str">
        <f t="shared" si="71"/>
        <v/>
      </c>
      <c r="ES36" s="69" t="str">
        <f t="shared" si="72"/>
        <v/>
      </c>
      <c r="ET36" s="69" t="str">
        <f t="shared" si="183"/>
        <v/>
      </c>
      <c r="EU36" s="69" t="str">
        <f t="shared" si="73"/>
        <v/>
      </c>
      <c r="EV36" s="69" t="str">
        <f t="shared" si="74"/>
        <v/>
      </c>
      <c r="EW36" s="69" t="str">
        <f t="shared" si="184"/>
        <v/>
      </c>
      <c r="EX36" s="69" t="str">
        <f t="shared" si="75"/>
        <v/>
      </c>
      <c r="EY36" s="69" t="str">
        <f t="shared" si="76"/>
        <v/>
      </c>
      <c r="EZ36" s="69" t="str">
        <f t="shared" si="185"/>
        <v/>
      </c>
      <c r="FB36" s="69" t="str">
        <f t="shared" si="77"/>
        <v/>
      </c>
      <c r="FC36" s="69" t="str">
        <f t="shared" si="78"/>
        <v/>
      </c>
      <c r="FD36" s="69" t="str">
        <f t="shared" si="186"/>
        <v/>
      </c>
      <c r="FE36" s="69" t="str">
        <f t="shared" si="79"/>
        <v/>
      </c>
      <c r="FF36" s="69" t="str">
        <f t="shared" si="80"/>
        <v/>
      </c>
      <c r="FG36" s="69" t="str">
        <f t="shared" si="187"/>
        <v/>
      </c>
      <c r="FH36" s="69" t="str">
        <f t="shared" si="81"/>
        <v/>
      </c>
      <c r="FI36" s="69" t="str">
        <f t="shared" si="82"/>
        <v/>
      </c>
      <c r="FJ36" s="69" t="str">
        <f t="shared" si="188"/>
        <v/>
      </c>
      <c r="FK36" s="69" t="str">
        <f t="shared" si="83"/>
        <v/>
      </c>
      <c r="FL36" s="69" t="str">
        <f t="shared" si="84"/>
        <v/>
      </c>
      <c r="FM36" s="69" t="str">
        <f t="shared" si="189"/>
        <v/>
      </c>
      <c r="FN36" s="69" t="str">
        <f t="shared" si="85"/>
        <v/>
      </c>
      <c r="FO36" s="69" t="str">
        <f t="shared" si="86"/>
        <v/>
      </c>
      <c r="FP36" s="69" t="str">
        <f t="shared" si="190"/>
        <v/>
      </c>
      <c r="FQ36" s="69" t="str">
        <f t="shared" si="87"/>
        <v/>
      </c>
      <c r="FR36" s="69" t="str">
        <f t="shared" si="88"/>
        <v/>
      </c>
      <c r="FS36" s="69" t="str">
        <f t="shared" si="191"/>
        <v/>
      </c>
      <c r="FU36" s="69" t="str">
        <f t="shared" si="89"/>
        <v/>
      </c>
      <c r="FV36" s="69" t="str">
        <f t="shared" si="90"/>
        <v/>
      </c>
      <c r="FW36" s="69" t="str">
        <f t="shared" si="192"/>
        <v/>
      </c>
      <c r="FX36" s="69" t="str">
        <f t="shared" si="91"/>
        <v/>
      </c>
      <c r="FY36" s="69" t="str">
        <f t="shared" si="92"/>
        <v/>
      </c>
      <c r="FZ36" s="69" t="str">
        <f t="shared" si="193"/>
        <v/>
      </c>
      <c r="GA36" s="69" t="str">
        <f t="shared" si="93"/>
        <v/>
      </c>
      <c r="GB36" s="69" t="str">
        <f t="shared" si="94"/>
        <v/>
      </c>
      <c r="GC36" s="69" t="str">
        <f t="shared" si="194"/>
        <v/>
      </c>
      <c r="GD36" s="69" t="str">
        <f t="shared" si="95"/>
        <v/>
      </c>
      <c r="GE36" s="69" t="str">
        <f t="shared" si="96"/>
        <v/>
      </c>
      <c r="GF36" s="69" t="str">
        <f t="shared" si="195"/>
        <v/>
      </c>
      <c r="GG36" s="69" t="str">
        <f t="shared" si="97"/>
        <v/>
      </c>
      <c r="GH36" s="69" t="str">
        <f t="shared" si="98"/>
        <v/>
      </c>
      <c r="GI36" s="69" t="str">
        <f t="shared" si="196"/>
        <v/>
      </c>
      <c r="GK36" s="69" t="str">
        <f t="shared" si="99"/>
        <v/>
      </c>
      <c r="GL36" s="69" t="str">
        <f t="shared" si="100"/>
        <v/>
      </c>
      <c r="GM36" s="69" t="str">
        <f t="shared" si="197"/>
        <v/>
      </c>
      <c r="GN36" s="69" t="str">
        <f t="shared" si="101"/>
        <v/>
      </c>
      <c r="GO36" s="69" t="str">
        <f t="shared" si="102"/>
        <v/>
      </c>
      <c r="GP36" s="69" t="str">
        <f t="shared" si="198"/>
        <v/>
      </c>
      <c r="GQ36" s="69" t="str">
        <f t="shared" si="103"/>
        <v/>
      </c>
      <c r="GR36" s="69" t="str">
        <f t="shared" si="104"/>
        <v/>
      </c>
      <c r="GS36" s="69" t="str">
        <f t="shared" si="199"/>
        <v/>
      </c>
      <c r="GT36" s="69" t="str">
        <f t="shared" si="105"/>
        <v/>
      </c>
      <c r="GU36" s="69" t="str">
        <f t="shared" si="106"/>
        <v/>
      </c>
      <c r="GV36" s="69" t="str">
        <f t="shared" si="200"/>
        <v/>
      </c>
      <c r="GX36" s="69" t="str">
        <f t="shared" si="201"/>
        <v/>
      </c>
      <c r="GY36" s="69" t="str">
        <f t="shared" si="202"/>
        <v/>
      </c>
      <c r="GZ36" s="69" t="str">
        <f t="shared" si="203"/>
        <v/>
      </c>
      <c r="HA36" s="69" t="str">
        <f t="shared" si="204"/>
        <v/>
      </c>
      <c r="HB36" s="69" t="str">
        <f t="shared" si="205"/>
        <v/>
      </c>
      <c r="HC36" s="69" t="str">
        <f t="shared" si="206"/>
        <v/>
      </c>
      <c r="HD36" s="69" t="str">
        <f t="shared" si="207"/>
        <v/>
      </c>
      <c r="HE36" s="69" t="str">
        <f t="shared" si="208"/>
        <v/>
      </c>
      <c r="HF36" s="69" t="str">
        <f t="shared" si="209"/>
        <v/>
      </c>
      <c r="HH36" s="69" t="str">
        <f t="shared" si="210"/>
        <v/>
      </c>
      <c r="HI36" s="69" t="str">
        <f t="shared" si="211"/>
        <v/>
      </c>
      <c r="HJ36" s="69" t="str">
        <f t="shared" si="212"/>
        <v/>
      </c>
      <c r="HK36" s="69" t="str">
        <f t="shared" si="213"/>
        <v/>
      </c>
      <c r="HL36" s="69" t="str">
        <f t="shared" si="214"/>
        <v/>
      </c>
      <c r="HM36" s="69" t="str">
        <f t="shared" si="215"/>
        <v/>
      </c>
      <c r="HO36" s="69" t="str">
        <f t="shared" si="216"/>
        <v/>
      </c>
      <c r="HP36" s="69" t="str">
        <f t="shared" si="217"/>
        <v/>
      </c>
      <c r="HQ36" s="69" t="str">
        <f t="shared" si="218"/>
        <v/>
      </c>
      <c r="HS36" s="69" t="str">
        <f t="shared" si="107"/>
        <v/>
      </c>
      <c r="HT36" s="69" t="str">
        <f t="shared" si="108"/>
        <v/>
      </c>
      <c r="HU36" s="69" t="str">
        <f t="shared" si="219"/>
        <v/>
      </c>
      <c r="HV36" s="69" t="str">
        <f t="shared" si="109"/>
        <v/>
      </c>
      <c r="HW36" s="69" t="str">
        <f t="shared" si="110"/>
        <v/>
      </c>
      <c r="HX36" s="69" t="str">
        <f t="shared" si="220"/>
        <v/>
      </c>
      <c r="HY36" s="69" t="str">
        <f t="shared" si="111"/>
        <v/>
      </c>
      <c r="HZ36" s="69" t="str">
        <f t="shared" si="112"/>
        <v/>
      </c>
      <c r="IA36" s="69" t="str">
        <f t="shared" si="221"/>
        <v/>
      </c>
      <c r="IB36" s="69" t="str">
        <f t="shared" si="113"/>
        <v/>
      </c>
      <c r="IC36" s="69" t="str">
        <f t="shared" si="114"/>
        <v/>
      </c>
      <c r="ID36" s="69" t="str">
        <f t="shared" si="222"/>
        <v/>
      </c>
      <c r="IE36" s="69" t="str">
        <f t="shared" si="115"/>
        <v/>
      </c>
      <c r="IF36" s="69" t="str">
        <f t="shared" si="116"/>
        <v/>
      </c>
      <c r="IG36" s="69" t="str">
        <f t="shared" si="223"/>
        <v/>
      </c>
      <c r="IH36" s="69" t="str">
        <f t="shared" si="117"/>
        <v/>
      </c>
      <c r="II36" s="69" t="str">
        <f t="shared" si="118"/>
        <v/>
      </c>
      <c r="IJ36" s="69" t="str">
        <f t="shared" si="224"/>
        <v/>
      </c>
      <c r="IK36" s="69" t="str">
        <f t="shared" si="119"/>
        <v/>
      </c>
      <c r="IL36" s="69" t="str">
        <f t="shared" si="120"/>
        <v/>
      </c>
      <c r="IM36" s="69" t="str">
        <f t="shared" si="225"/>
        <v/>
      </c>
      <c r="IN36" s="69" t="str">
        <f t="shared" si="226"/>
        <v/>
      </c>
      <c r="IO36" s="69" t="str">
        <f t="shared" si="227"/>
        <v/>
      </c>
      <c r="IP36" s="69" t="str">
        <f t="shared" si="228"/>
        <v/>
      </c>
      <c r="IQ36" s="69" t="str">
        <f t="shared" si="229"/>
        <v/>
      </c>
      <c r="IR36" s="69" t="str">
        <f t="shared" si="230"/>
        <v/>
      </c>
      <c r="IS36" s="69" t="str">
        <f t="shared" si="231"/>
        <v/>
      </c>
      <c r="IT36" s="69" t="str">
        <f t="shared" si="232"/>
        <v/>
      </c>
      <c r="IU36" s="69" t="str">
        <f t="shared" si="233"/>
        <v/>
      </c>
      <c r="IV36" s="69" t="str">
        <f t="shared" si="234"/>
        <v/>
      </c>
    </row>
    <row r="37" spans="1:256" x14ac:dyDescent="0.2">
      <c r="A37" s="57" t="s">
        <v>40</v>
      </c>
      <c r="B37" s="178"/>
      <c r="C37" s="180"/>
      <c r="D37" s="179"/>
      <c r="E37" s="179"/>
      <c r="F37" s="179"/>
      <c r="G37" s="180"/>
      <c r="H37" s="180"/>
      <c r="I37" s="181"/>
      <c r="J37" s="182"/>
      <c r="K37" s="186"/>
      <c r="L37" s="68">
        <f t="shared" si="0"/>
        <v>0</v>
      </c>
      <c r="M37" s="69" t="str">
        <f t="shared" si="1"/>
        <v/>
      </c>
      <c r="N37" s="69" t="str">
        <f t="shared" si="121"/>
        <v/>
      </c>
      <c r="O37" s="69" t="str">
        <f t="shared" si="122"/>
        <v/>
      </c>
      <c r="P37" s="69" t="str">
        <f t="shared" si="235"/>
        <v/>
      </c>
      <c r="Q37" s="70" t="str">
        <f t="shared" si="2"/>
        <v/>
      </c>
      <c r="R37" s="71" t="str">
        <f t="shared" si="124"/>
        <v/>
      </c>
      <c r="S37" s="71" t="str">
        <f t="shared" si="125"/>
        <v/>
      </c>
      <c r="T37" s="70" t="str">
        <f t="shared" si="3"/>
        <v/>
      </c>
      <c r="U37" s="71" t="str">
        <f t="shared" si="126"/>
        <v/>
      </c>
      <c r="V37" s="71" t="str">
        <f t="shared" si="127"/>
        <v/>
      </c>
      <c r="W37" s="70" t="str">
        <f t="shared" si="4"/>
        <v/>
      </c>
      <c r="X37" s="71" t="str">
        <f t="shared" si="128"/>
        <v/>
      </c>
      <c r="Y37" s="71" t="str">
        <f t="shared" si="129"/>
        <v/>
      </c>
      <c r="Z37" s="70" t="str">
        <f t="shared" si="5"/>
        <v/>
      </c>
      <c r="AA37" s="71" t="str">
        <f t="shared" si="130"/>
        <v/>
      </c>
      <c r="AB37" s="71" t="str">
        <f t="shared" si="131"/>
        <v/>
      </c>
      <c r="AC37" s="70" t="str">
        <f t="shared" si="6"/>
        <v/>
      </c>
      <c r="AD37" s="71" t="str">
        <f t="shared" si="132"/>
        <v/>
      </c>
      <c r="AE37" s="71" t="str">
        <f t="shared" si="133"/>
        <v/>
      </c>
      <c r="AF37" s="70" t="str">
        <f t="shared" si="7"/>
        <v/>
      </c>
      <c r="AG37" s="71" t="str">
        <f t="shared" si="134"/>
        <v/>
      </c>
      <c r="AH37" s="71" t="str">
        <f t="shared" si="135"/>
        <v/>
      </c>
      <c r="AI37" s="70" t="str">
        <f t="shared" si="8"/>
        <v/>
      </c>
      <c r="AJ37" s="71" t="str">
        <f t="shared" si="136"/>
        <v/>
      </c>
      <c r="AK37" s="71" t="str">
        <f t="shared" si="137"/>
        <v/>
      </c>
      <c r="AL37" s="70" t="str">
        <f t="shared" si="138"/>
        <v/>
      </c>
      <c r="AM37" s="71" t="str">
        <f t="shared" si="139"/>
        <v/>
      </c>
      <c r="AN37" s="71" t="str">
        <f t="shared" si="140"/>
        <v/>
      </c>
      <c r="AO37" s="70" t="str">
        <f t="shared" si="141"/>
        <v/>
      </c>
      <c r="AP37" s="71" t="str">
        <f t="shared" si="142"/>
        <v/>
      </c>
      <c r="AQ37" s="71" t="str">
        <f t="shared" si="143"/>
        <v/>
      </c>
      <c r="AR37" s="70" t="str">
        <f t="shared" si="144"/>
        <v/>
      </c>
      <c r="AS37" s="71" t="str">
        <f t="shared" si="145"/>
        <v/>
      </c>
      <c r="AT37" s="71" t="str">
        <f t="shared" si="146"/>
        <v/>
      </c>
      <c r="AU37" s="69" t="str">
        <f t="shared" si="147"/>
        <v/>
      </c>
      <c r="AV37" s="131" t="str">
        <f t="shared" si="148"/>
        <v/>
      </c>
      <c r="AW37" s="69" t="str">
        <f t="shared" si="236"/>
        <v/>
      </c>
      <c r="AX37" s="132" t="str">
        <f t="shared" si="150"/>
        <v/>
      </c>
      <c r="AY37" s="132" t="str">
        <f t="shared" si="151"/>
        <v/>
      </c>
      <c r="AZ37" s="69" t="str">
        <f t="shared" si="9"/>
        <v/>
      </c>
      <c r="BA37" s="69" t="str">
        <f t="shared" si="10"/>
        <v/>
      </c>
      <c r="BB37" s="69" t="str">
        <f t="shared" si="152"/>
        <v/>
      </c>
      <c r="BC37" s="69" t="str">
        <f t="shared" si="11"/>
        <v/>
      </c>
      <c r="BD37" s="69" t="str">
        <f t="shared" si="12"/>
        <v/>
      </c>
      <c r="BE37" s="69" t="str">
        <f t="shared" si="153"/>
        <v/>
      </c>
      <c r="BF37" s="69" t="str">
        <f t="shared" si="13"/>
        <v/>
      </c>
      <c r="BG37" s="69" t="str">
        <f t="shared" si="14"/>
        <v/>
      </c>
      <c r="BH37" s="69" t="str">
        <f t="shared" si="154"/>
        <v/>
      </c>
      <c r="BI37" s="69" t="str">
        <f t="shared" si="15"/>
        <v/>
      </c>
      <c r="BJ37" s="69" t="str">
        <f t="shared" si="16"/>
        <v/>
      </c>
      <c r="BK37" s="69" t="str">
        <f t="shared" si="155"/>
        <v/>
      </c>
      <c r="BL37" s="69" t="str">
        <f t="shared" si="17"/>
        <v/>
      </c>
      <c r="BM37" s="69" t="str">
        <f t="shared" si="18"/>
        <v/>
      </c>
      <c r="BN37" s="69" t="str">
        <f t="shared" si="156"/>
        <v/>
      </c>
      <c r="BO37" s="69" t="str">
        <f t="shared" si="19"/>
        <v/>
      </c>
      <c r="BP37" s="69" t="str">
        <f t="shared" si="20"/>
        <v/>
      </c>
      <c r="BQ37" s="69" t="str">
        <f t="shared" si="157"/>
        <v/>
      </c>
      <c r="BR37" s="69" t="str">
        <f t="shared" si="21"/>
        <v/>
      </c>
      <c r="BS37" s="69" t="str">
        <f t="shared" si="22"/>
        <v/>
      </c>
      <c r="BT37" s="69" t="str">
        <f t="shared" si="158"/>
        <v/>
      </c>
      <c r="BU37" s="69" t="str">
        <f t="shared" si="23"/>
        <v/>
      </c>
      <c r="BV37" s="69" t="str">
        <f t="shared" si="24"/>
        <v/>
      </c>
      <c r="BW37" s="69" t="str">
        <f t="shared" si="159"/>
        <v/>
      </c>
      <c r="BX37" s="69" t="str">
        <f t="shared" si="25"/>
        <v/>
      </c>
      <c r="BY37" s="69" t="str">
        <f t="shared" si="26"/>
        <v/>
      </c>
      <c r="BZ37" s="69" t="str">
        <f t="shared" si="160"/>
        <v/>
      </c>
      <c r="CA37" s="69" t="str">
        <f t="shared" si="27"/>
        <v/>
      </c>
      <c r="CB37" s="69" t="str">
        <f t="shared" si="28"/>
        <v/>
      </c>
      <c r="CC37" s="69" t="str">
        <f t="shared" si="161"/>
        <v/>
      </c>
      <c r="CE37" s="69" t="str">
        <f t="shared" si="29"/>
        <v/>
      </c>
      <c r="CF37" s="69" t="str">
        <f t="shared" si="30"/>
        <v/>
      </c>
      <c r="CG37" s="69" t="str">
        <f t="shared" si="162"/>
        <v/>
      </c>
      <c r="CH37" s="69" t="str">
        <f t="shared" si="31"/>
        <v/>
      </c>
      <c r="CI37" s="69" t="str">
        <f t="shared" si="32"/>
        <v/>
      </c>
      <c r="CJ37" s="69" t="str">
        <f t="shared" si="163"/>
        <v/>
      </c>
      <c r="CK37" s="69" t="str">
        <f t="shared" si="33"/>
        <v/>
      </c>
      <c r="CL37" s="69" t="str">
        <f t="shared" si="34"/>
        <v/>
      </c>
      <c r="CM37" s="69" t="str">
        <f t="shared" si="164"/>
        <v/>
      </c>
      <c r="CN37" s="69" t="str">
        <f t="shared" si="35"/>
        <v/>
      </c>
      <c r="CO37" s="69" t="str">
        <f t="shared" si="36"/>
        <v/>
      </c>
      <c r="CP37" s="69" t="str">
        <f t="shared" si="165"/>
        <v/>
      </c>
      <c r="CQ37" s="69" t="str">
        <f t="shared" si="37"/>
        <v/>
      </c>
      <c r="CR37" s="69" t="str">
        <f t="shared" si="38"/>
        <v/>
      </c>
      <c r="CS37" s="69" t="str">
        <f t="shared" si="166"/>
        <v/>
      </c>
      <c r="CT37" s="69" t="str">
        <f t="shared" si="39"/>
        <v/>
      </c>
      <c r="CU37" s="69" t="str">
        <f t="shared" si="40"/>
        <v/>
      </c>
      <c r="CV37" s="69" t="str">
        <f t="shared" si="167"/>
        <v/>
      </c>
      <c r="CW37" s="69" t="str">
        <f t="shared" si="41"/>
        <v/>
      </c>
      <c r="CX37" s="69" t="str">
        <f t="shared" si="42"/>
        <v/>
      </c>
      <c r="CY37" s="69" t="str">
        <f t="shared" si="168"/>
        <v/>
      </c>
      <c r="CZ37" s="69" t="str">
        <f t="shared" si="43"/>
        <v/>
      </c>
      <c r="DA37" s="69" t="str">
        <f t="shared" si="44"/>
        <v/>
      </c>
      <c r="DB37" s="69" t="str">
        <f t="shared" si="169"/>
        <v/>
      </c>
      <c r="DC37" s="69" t="str">
        <f t="shared" si="45"/>
        <v/>
      </c>
      <c r="DD37" s="69" t="str">
        <f t="shared" si="46"/>
        <v/>
      </c>
      <c r="DE37" s="69" t="str">
        <f t="shared" si="170"/>
        <v/>
      </c>
      <c r="DG37" s="69" t="str">
        <f t="shared" si="47"/>
        <v/>
      </c>
      <c r="DH37" s="69" t="str">
        <f t="shared" si="48"/>
        <v/>
      </c>
      <c r="DI37" s="69" t="str">
        <f t="shared" si="171"/>
        <v/>
      </c>
      <c r="DJ37" s="69" t="str">
        <f t="shared" si="49"/>
        <v/>
      </c>
      <c r="DK37" s="69" t="str">
        <f t="shared" si="50"/>
        <v/>
      </c>
      <c r="DL37" s="69" t="str">
        <f t="shared" si="172"/>
        <v/>
      </c>
      <c r="DM37" s="69" t="str">
        <f t="shared" si="51"/>
        <v/>
      </c>
      <c r="DN37" s="69" t="str">
        <f t="shared" si="52"/>
        <v/>
      </c>
      <c r="DO37" s="69" t="str">
        <f t="shared" si="173"/>
        <v/>
      </c>
      <c r="DP37" s="69" t="str">
        <f t="shared" si="53"/>
        <v/>
      </c>
      <c r="DQ37" s="69" t="str">
        <f t="shared" si="54"/>
        <v/>
      </c>
      <c r="DR37" s="69" t="str">
        <f t="shared" si="174"/>
        <v/>
      </c>
      <c r="DS37" s="69" t="str">
        <f t="shared" si="55"/>
        <v/>
      </c>
      <c r="DT37" s="69" t="str">
        <f t="shared" si="56"/>
        <v/>
      </c>
      <c r="DU37" s="69" t="str">
        <f t="shared" si="175"/>
        <v/>
      </c>
      <c r="DV37" s="69" t="str">
        <f t="shared" si="57"/>
        <v/>
      </c>
      <c r="DW37" s="69" t="str">
        <f t="shared" si="58"/>
        <v/>
      </c>
      <c r="DX37" s="69" t="str">
        <f t="shared" si="176"/>
        <v/>
      </c>
      <c r="DY37" s="69" t="str">
        <f t="shared" si="59"/>
        <v/>
      </c>
      <c r="DZ37" s="69" t="str">
        <f t="shared" si="60"/>
        <v/>
      </c>
      <c r="EA37" s="69" t="str">
        <f t="shared" si="177"/>
        <v/>
      </c>
      <c r="EB37" s="69" t="str">
        <f t="shared" si="61"/>
        <v/>
      </c>
      <c r="EC37" s="69" t="str">
        <f t="shared" si="62"/>
        <v/>
      </c>
      <c r="ED37" s="69" t="str">
        <f t="shared" si="178"/>
        <v/>
      </c>
      <c r="EF37" s="69" t="str">
        <f t="shared" si="63"/>
        <v/>
      </c>
      <c r="EG37" s="69" t="str">
        <f t="shared" si="64"/>
        <v/>
      </c>
      <c r="EH37" s="69" t="str">
        <f t="shared" si="179"/>
        <v/>
      </c>
      <c r="EI37" s="69" t="str">
        <f t="shared" si="65"/>
        <v/>
      </c>
      <c r="EJ37" s="69" t="str">
        <f t="shared" si="66"/>
        <v/>
      </c>
      <c r="EK37" s="69" t="str">
        <f t="shared" si="180"/>
        <v/>
      </c>
      <c r="EL37" s="69" t="str">
        <f t="shared" si="67"/>
        <v/>
      </c>
      <c r="EM37" s="69" t="str">
        <f t="shared" si="68"/>
        <v/>
      </c>
      <c r="EN37" s="69" t="str">
        <f t="shared" si="181"/>
        <v/>
      </c>
      <c r="EO37" s="69" t="str">
        <f t="shared" si="69"/>
        <v/>
      </c>
      <c r="EP37" s="69" t="str">
        <f t="shared" si="70"/>
        <v/>
      </c>
      <c r="EQ37" s="69" t="str">
        <f t="shared" si="182"/>
        <v/>
      </c>
      <c r="ER37" s="69" t="str">
        <f t="shared" si="71"/>
        <v/>
      </c>
      <c r="ES37" s="69" t="str">
        <f t="shared" si="72"/>
        <v/>
      </c>
      <c r="ET37" s="69" t="str">
        <f t="shared" si="183"/>
        <v/>
      </c>
      <c r="EU37" s="69" t="str">
        <f t="shared" si="73"/>
        <v/>
      </c>
      <c r="EV37" s="69" t="str">
        <f t="shared" si="74"/>
        <v/>
      </c>
      <c r="EW37" s="69" t="str">
        <f t="shared" si="184"/>
        <v/>
      </c>
      <c r="EX37" s="69" t="str">
        <f t="shared" si="75"/>
        <v/>
      </c>
      <c r="EY37" s="69" t="str">
        <f t="shared" si="76"/>
        <v/>
      </c>
      <c r="EZ37" s="69" t="str">
        <f t="shared" si="185"/>
        <v/>
      </c>
      <c r="FB37" s="69" t="str">
        <f t="shared" si="77"/>
        <v/>
      </c>
      <c r="FC37" s="69" t="str">
        <f t="shared" si="78"/>
        <v/>
      </c>
      <c r="FD37" s="69" t="str">
        <f t="shared" si="186"/>
        <v/>
      </c>
      <c r="FE37" s="69" t="str">
        <f t="shared" si="79"/>
        <v/>
      </c>
      <c r="FF37" s="69" t="str">
        <f t="shared" si="80"/>
        <v/>
      </c>
      <c r="FG37" s="69" t="str">
        <f t="shared" si="187"/>
        <v/>
      </c>
      <c r="FH37" s="69" t="str">
        <f t="shared" si="81"/>
        <v/>
      </c>
      <c r="FI37" s="69" t="str">
        <f t="shared" si="82"/>
        <v/>
      </c>
      <c r="FJ37" s="69" t="str">
        <f t="shared" si="188"/>
        <v/>
      </c>
      <c r="FK37" s="69" t="str">
        <f t="shared" si="83"/>
        <v/>
      </c>
      <c r="FL37" s="69" t="str">
        <f t="shared" si="84"/>
        <v/>
      </c>
      <c r="FM37" s="69" t="str">
        <f t="shared" si="189"/>
        <v/>
      </c>
      <c r="FN37" s="69" t="str">
        <f t="shared" si="85"/>
        <v/>
      </c>
      <c r="FO37" s="69" t="str">
        <f t="shared" si="86"/>
        <v/>
      </c>
      <c r="FP37" s="69" t="str">
        <f t="shared" si="190"/>
        <v/>
      </c>
      <c r="FQ37" s="69" t="str">
        <f t="shared" si="87"/>
        <v/>
      </c>
      <c r="FR37" s="69" t="str">
        <f t="shared" si="88"/>
        <v/>
      </c>
      <c r="FS37" s="69" t="str">
        <f t="shared" si="191"/>
        <v/>
      </c>
      <c r="FU37" s="69" t="str">
        <f t="shared" si="89"/>
        <v/>
      </c>
      <c r="FV37" s="69" t="str">
        <f t="shared" si="90"/>
        <v/>
      </c>
      <c r="FW37" s="69" t="str">
        <f t="shared" si="192"/>
        <v/>
      </c>
      <c r="FX37" s="69" t="str">
        <f t="shared" si="91"/>
        <v/>
      </c>
      <c r="FY37" s="69" t="str">
        <f t="shared" si="92"/>
        <v/>
      </c>
      <c r="FZ37" s="69" t="str">
        <f t="shared" si="193"/>
        <v/>
      </c>
      <c r="GA37" s="69" t="str">
        <f t="shared" si="93"/>
        <v/>
      </c>
      <c r="GB37" s="69" t="str">
        <f t="shared" si="94"/>
        <v/>
      </c>
      <c r="GC37" s="69" t="str">
        <f t="shared" si="194"/>
        <v/>
      </c>
      <c r="GD37" s="69" t="str">
        <f t="shared" si="95"/>
        <v/>
      </c>
      <c r="GE37" s="69" t="str">
        <f t="shared" si="96"/>
        <v/>
      </c>
      <c r="GF37" s="69" t="str">
        <f t="shared" si="195"/>
        <v/>
      </c>
      <c r="GG37" s="69" t="str">
        <f t="shared" si="97"/>
        <v/>
      </c>
      <c r="GH37" s="69" t="str">
        <f t="shared" si="98"/>
        <v/>
      </c>
      <c r="GI37" s="69" t="str">
        <f t="shared" si="196"/>
        <v/>
      </c>
      <c r="GK37" s="69" t="str">
        <f t="shared" si="99"/>
        <v/>
      </c>
      <c r="GL37" s="69" t="str">
        <f t="shared" si="100"/>
        <v/>
      </c>
      <c r="GM37" s="69" t="str">
        <f t="shared" si="197"/>
        <v/>
      </c>
      <c r="GN37" s="69" t="str">
        <f t="shared" si="101"/>
        <v/>
      </c>
      <c r="GO37" s="69" t="str">
        <f t="shared" si="102"/>
        <v/>
      </c>
      <c r="GP37" s="69" t="str">
        <f t="shared" si="198"/>
        <v/>
      </c>
      <c r="GQ37" s="69" t="str">
        <f t="shared" si="103"/>
        <v/>
      </c>
      <c r="GR37" s="69" t="str">
        <f t="shared" si="104"/>
        <v/>
      </c>
      <c r="GS37" s="69" t="str">
        <f t="shared" si="199"/>
        <v/>
      </c>
      <c r="GT37" s="69" t="str">
        <f t="shared" si="105"/>
        <v/>
      </c>
      <c r="GU37" s="69" t="str">
        <f t="shared" si="106"/>
        <v/>
      </c>
      <c r="GV37" s="69" t="str">
        <f t="shared" si="200"/>
        <v/>
      </c>
      <c r="GX37" s="69" t="str">
        <f t="shared" si="201"/>
        <v/>
      </c>
      <c r="GY37" s="69" t="str">
        <f t="shared" si="202"/>
        <v/>
      </c>
      <c r="GZ37" s="69" t="str">
        <f t="shared" si="203"/>
        <v/>
      </c>
      <c r="HA37" s="69" t="str">
        <f t="shared" si="204"/>
        <v/>
      </c>
      <c r="HB37" s="69" t="str">
        <f t="shared" si="205"/>
        <v/>
      </c>
      <c r="HC37" s="69" t="str">
        <f t="shared" si="206"/>
        <v/>
      </c>
      <c r="HD37" s="69" t="str">
        <f t="shared" si="207"/>
        <v/>
      </c>
      <c r="HE37" s="69" t="str">
        <f t="shared" si="208"/>
        <v/>
      </c>
      <c r="HF37" s="69" t="str">
        <f t="shared" si="209"/>
        <v/>
      </c>
      <c r="HH37" s="69" t="str">
        <f t="shared" si="210"/>
        <v/>
      </c>
      <c r="HI37" s="69" t="str">
        <f t="shared" si="211"/>
        <v/>
      </c>
      <c r="HJ37" s="69" t="str">
        <f t="shared" si="212"/>
        <v/>
      </c>
      <c r="HK37" s="69" t="str">
        <f t="shared" si="213"/>
        <v/>
      </c>
      <c r="HL37" s="69" t="str">
        <f t="shared" si="214"/>
        <v/>
      </c>
      <c r="HM37" s="69" t="str">
        <f t="shared" si="215"/>
        <v/>
      </c>
      <c r="HO37" s="69" t="str">
        <f t="shared" si="216"/>
        <v/>
      </c>
      <c r="HP37" s="69" t="str">
        <f t="shared" si="217"/>
        <v/>
      </c>
      <c r="HQ37" s="69" t="str">
        <f t="shared" si="218"/>
        <v/>
      </c>
      <c r="HS37" s="69" t="str">
        <f t="shared" si="107"/>
        <v/>
      </c>
      <c r="HT37" s="69" t="str">
        <f t="shared" si="108"/>
        <v/>
      </c>
      <c r="HU37" s="69" t="str">
        <f t="shared" si="219"/>
        <v/>
      </c>
      <c r="HV37" s="69" t="str">
        <f t="shared" si="109"/>
        <v/>
      </c>
      <c r="HW37" s="69" t="str">
        <f t="shared" si="110"/>
        <v/>
      </c>
      <c r="HX37" s="69" t="str">
        <f t="shared" si="220"/>
        <v/>
      </c>
      <c r="HY37" s="69" t="str">
        <f t="shared" si="111"/>
        <v/>
      </c>
      <c r="HZ37" s="69" t="str">
        <f t="shared" si="112"/>
        <v/>
      </c>
      <c r="IA37" s="69" t="str">
        <f t="shared" si="221"/>
        <v/>
      </c>
      <c r="IB37" s="69" t="str">
        <f t="shared" si="113"/>
        <v/>
      </c>
      <c r="IC37" s="69" t="str">
        <f t="shared" si="114"/>
        <v/>
      </c>
      <c r="ID37" s="69" t="str">
        <f t="shared" si="222"/>
        <v/>
      </c>
      <c r="IE37" s="69" t="str">
        <f t="shared" si="115"/>
        <v/>
      </c>
      <c r="IF37" s="69" t="str">
        <f t="shared" si="116"/>
        <v/>
      </c>
      <c r="IG37" s="69" t="str">
        <f t="shared" si="223"/>
        <v/>
      </c>
      <c r="IH37" s="69" t="str">
        <f t="shared" si="117"/>
        <v/>
      </c>
      <c r="II37" s="69" t="str">
        <f t="shared" si="118"/>
        <v/>
      </c>
      <c r="IJ37" s="69" t="str">
        <f t="shared" si="224"/>
        <v/>
      </c>
      <c r="IK37" s="69" t="str">
        <f t="shared" si="119"/>
        <v/>
      </c>
      <c r="IL37" s="69" t="str">
        <f t="shared" si="120"/>
        <v/>
      </c>
      <c r="IM37" s="69" t="str">
        <f t="shared" si="225"/>
        <v/>
      </c>
      <c r="IN37" s="69" t="str">
        <f t="shared" si="226"/>
        <v/>
      </c>
      <c r="IO37" s="69" t="str">
        <f t="shared" si="227"/>
        <v/>
      </c>
      <c r="IP37" s="69" t="str">
        <f t="shared" si="228"/>
        <v/>
      </c>
      <c r="IQ37" s="69" t="str">
        <f t="shared" si="229"/>
        <v/>
      </c>
      <c r="IR37" s="69" t="str">
        <f t="shared" si="230"/>
        <v/>
      </c>
      <c r="IS37" s="69" t="str">
        <f t="shared" si="231"/>
        <v/>
      </c>
      <c r="IT37" s="69" t="str">
        <f t="shared" si="232"/>
        <v/>
      </c>
      <c r="IU37" s="69" t="str">
        <f t="shared" si="233"/>
        <v/>
      </c>
      <c r="IV37" s="69" t="str">
        <f t="shared" si="234"/>
        <v/>
      </c>
    </row>
    <row r="38" spans="1:256" x14ac:dyDescent="0.2">
      <c r="A38" s="57" t="s">
        <v>41</v>
      </c>
      <c r="B38" s="178"/>
      <c r="C38" s="180"/>
      <c r="D38" s="179"/>
      <c r="E38" s="179"/>
      <c r="F38" s="179"/>
      <c r="G38" s="180"/>
      <c r="H38" s="180"/>
      <c r="I38" s="181"/>
      <c r="J38" s="182"/>
      <c r="K38" s="186"/>
      <c r="L38" s="68">
        <f t="shared" ref="L38:L69" si="237">COUNT(B38:K38)</f>
        <v>0</v>
      </c>
      <c r="M38" s="69" t="str">
        <f t="shared" ref="M38:M69" si="238">IF(L38&gt;0,GEOMEAN(B38:K38),"")</f>
        <v/>
      </c>
      <c r="N38" s="69" t="str">
        <f t="shared" si="121"/>
        <v/>
      </c>
      <c r="O38" s="69" t="str">
        <f t="shared" si="122"/>
        <v/>
      </c>
      <c r="P38" s="69" t="str">
        <f t="shared" si="235"/>
        <v/>
      </c>
      <c r="Q38" s="70" t="str">
        <f t="shared" ref="Q38:Q69" si="239">IF((L38&gt;0)*AND(B$109&gt;0),B38,"")</f>
        <v/>
      </c>
      <c r="R38" s="71" t="str">
        <f t="shared" si="124"/>
        <v/>
      </c>
      <c r="S38" s="71" t="str">
        <f t="shared" si="125"/>
        <v/>
      </c>
      <c r="T38" s="70" t="str">
        <f t="shared" ref="T38:T69" si="240">IF((L38&gt;0)*AND(C$109&gt;0),C38,"")</f>
        <v/>
      </c>
      <c r="U38" s="71" t="str">
        <f t="shared" si="126"/>
        <v/>
      </c>
      <c r="V38" s="71" t="str">
        <f t="shared" si="127"/>
        <v/>
      </c>
      <c r="W38" s="70" t="str">
        <f t="shared" ref="W38:W69" si="241">IF((L38&gt;0)*AND(D$109&gt;0),D38,"")</f>
        <v/>
      </c>
      <c r="X38" s="71" t="str">
        <f t="shared" si="128"/>
        <v/>
      </c>
      <c r="Y38" s="71" t="str">
        <f t="shared" si="129"/>
        <v/>
      </c>
      <c r="Z38" s="70" t="str">
        <f t="shared" ref="Z38:Z69" si="242">IF((L38&gt;0)*AND(E$109&gt;0),E38,"")</f>
        <v/>
      </c>
      <c r="AA38" s="71" t="str">
        <f t="shared" si="130"/>
        <v/>
      </c>
      <c r="AB38" s="71" t="str">
        <f t="shared" si="131"/>
        <v/>
      </c>
      <c r="AC38" s="70" t="str">
        <f t="shared" ref="AC38:AC69" si="243">IF((L38&gt;0)*AND(F$109&gt;0),F38,"")</f>
        <v/>
      </c>
      <c r="AD38" s="71" t="str">
        <f t="shared" si="132"/>
        <v/>
      </c>
      <c r="AE38" s="71" t="str">
        <f t="shared" si="133"/>
        <v/>
      </c>
      <c r="AF38" s="70" t="str">
        <f t="shared" ref="AF38:AF69" si="244">IF((L38&gt;0)*AND(G$109&gt;0),G38,"")</f>
        <v/>
      </c>
      <c r="AG38" s="71" t="str">
        <f t="shared" si="134"/>
        <v/>
      </c>
      <c r="AH38" s="71" t="str">
        <f t="shared" si="135"/>
        <v/>
      </c>
      <c r="AI38" s="70" t="str">
        <f t="shared" ref="AI38:AI69" si="245">IF((L38&gt;0)*AND(H$109&gt;0),H38,"")</f>
        <v/>
      </c>
      <c r="AJ38" s="71" t="str">
        <f t="shared" si="136"/>
        <v/>
      </c>
      <c r="AK38" s="71" t="str">
        <f t="shared" si="137"/>
        <v/>
      </c>
      <c r="AL38" s="70" t="str">
        <f t="shared" si="138"/>
        <v/>
      </c>
      <c r="AM38" s="71" t="str">
        <f t="shared" si="139"/>
        <v/>
      </c>
      <c r="AN38" s="71" t="str">
        <f t="shared" si="140"/>
        <v/>
      </c>
      <c r="AO38" s="70" t="str">
        <f t="shared" si="141"/>
        <v/>
      </c>
      <c r="AP38" s="71" t="str">
        <f t="shared" si="142"/>
        <v/>
      </c>
      <c r="AQ38" s="71" t="str">
        <f t="shared" si="143"/>
        <v/>
      </c>
      <c r="AR38" s="70" t="str">
        <f t="shared" si="144"/>
        <v/>
      </c>
      <c r="AS38" s="71" t="str">
        <f t="shared" si="145"/>
        <v/>
      </c>
      <c r="AT38" s="71" t="str">
        <f t="shared" si="146"/>
        <v/>
      </c>
      <c r="AU38" s="69" t="str">
        <f t="shared" si="147"/>
        <v/>
      </c>
      <c r="AV38" s="131" t="str">
        <f t="shared" si="148"/>
        <v/>
      </c>
      <c r="AW38" s="69" t="str">
        <f t="shared" si="236"/>
        <v/>
      </c>
      <c r="AX38" s="132" t="str">
        <f t="shared" si="150"/>
        <v/>
      </c>
      <c r="AY38" s="132" t="str">
        <f t="shared" si="151"/>
        <v/>
      </c>
      <c r="AZ38" s="69" t="str">
        <f t="shared" ref="AZ38:AZ69" si="246">IF(AND(NOT($B38=""),NOT(C38="")),$B38,"")</f>
        <v/>
      </c>
      <c r="BA38" s="69" t="str">
        <f t="shared" ref="BA38:BA69" si="247">IF(AND(NOT($C38=""),NOT(B38="")),$C38,"")</f>
        <v/>
      </c>
      <c r="BB38" s="69" t="str">
        <f t="shared" si="152"/>
        <v/>
      </c>
      <c r="BC38" s="69" t="str">
        <f t="shared" ref="BC38:BC69" si="248">IF(AND(NOT($B38=""),NOT(D38="")),$B38,"")</f>
        <v/>
      </c>
      <c r="BD38" s="69" t="str">
        <f t="shared" ref="BD38:BD69" si="249">IF(AND(NOT($D38=""),NOT(B38="")),$D38,"")</f>
        <v/>
      </c>
      <c r="BE38" s="69" t="str">
        <f t="shared" si="153"/>
        <v/>
      </c>
      <c r="BF38" s="69" t="str">
        <f t="shared" ref="BF38:BF69" si="250">IF(AND(NOT($B38=""),NOT(E38="")),$B38,"")</f>
        <v/>
      </c>
      <c r="BG38" s="69" t="str">
        <f t="shared" ref="BG38:BG69" si="251">IF(AND(NOT($E38=""),NOT(B38="")),$E38,"")</f>
        <v/>
      </c>
      <c r="BH38" s="69" t="str">
        <f t="shared" si="154"/>
        <v/>
      </c>
      <c r="BI38" s="69" t="str">
        <f t="shared" ref="BI38:BI69" si="252">IF(AND(NOT($B38=""),NOT(F38="")),$B38,"")</f>
        <v/>
      </c>
      <c r="BJ38" s="69" t="str">
        <f t="shared" ref="BJ38:BJ69" si="253">IF(AND(NOT($F38=""),NOT(B38="")),$F38,"")</f>
        <v/>
      </c>
      <c r="BK38" s="69" t="str">
        <f t="shared" si="155"/>
        <v/>
      </c>
      <c r="BL38" s="69" t="str">
        <f t="shared" ref="BL38:BL69" si="254">IF(AND(NOT($B38=""),NOT(G38="")),$B38,"")</f>
        <v/>
      </c>
      <c r="BM38" s="69" t="str">
        <f t="shared" ref="BM38:BM69" si="255">IF(AND(NOT($G38=""),NOT(B38="")),$G38,"")</f>
        <v/>
      </c>
      <c r="BN38" s="69" t="str">
        <f t="shared" si="156"/>
        <v/>
      </c>
      <c r="BO38" s="69" t="str">
        <f t="shared" ref="BO38:BO69" si="256">IF(AND(NOT($B38=""),NOT(H38="")),$B38,"")</f>
        <v/>
      </c>
      <c r="BP38" s="69" t="str">
        <f t="shared" ref="BP38:BP69" si="257">IF(AND(NOT($H38=""),NOT(B38="")),$H38,"")</f>
        <v/>
      </c>
      <c r="BQ38" s="69" t="str">
        <f t="shared" si="157"/>
        <v/>
      </c>
      <c r="BR38" s="69" t="str">
        <f t="shared" ref="BR38:BR69" si="258">IF(AND(NOT($B38=""),NOT(I38="")),$B38,"")</f>
        <v/>
      </c>
      <c r="BS38" s="69" t="str">
        <f t="shared" ref="BS38:BS69" si="259">IF(AND(NOT($I38=""),NOT(B38="")),$I38,"")</f>
        <v/>
      </c>
      <c r="BT38" s="69" t="str">
        <f t="shared" si="158"/>
        <v/>
      </c>
      <c r="BU38" s="69" t="str">
        <f t="shared" ref="BU38:BU69" si="260">IF(AND(NOT($B38=""),NOT(J38="")),$B38,"")</f>
        <v/>
      </c>
      <c r="BV38" s="69" t="str">
        <f t="shared" ref="BV38:BV69" si="261">IF(AND(NOT($J38=""),NOT(B38="")),$J38,"")</f>
        <v/>
      </c>
      <c r="BW38" s="69" t="str">
        <f t="shared" si="159"/>
        <v/>
      </c>
      <c r="BX38" s="69" t="str">
        <f t="shared" ref="BX38:BX69" si="262">IF(AND(NOT($B38=""),NOT(K38="")),$B38,"")</f>
        <v/>
      </c>
      <c r="BY38" s="69" t="str">
        <f t="shared" ref="BY38:BY69" si="263">IF(AND(NOT($K38=""),NOT(B38="")),$K38,"")</f>
        <v/>
      </c>
      <c r="BZ38" s="69" t="str">
        <f t="shared" si="160"/>
        <v/>
      </c>
      <c r="CA38" s="69" t="str">
        <f t="shared" ref="CA38:CA69" si="264">IF(AND(NOT($B38=""),NOT(M38="")),$B38,"")</f>
        <v/>
      </c>
      <c r="CB38" s="69" t="str">
        <f t="shared" ref="CB38:CB69" si="265">IF(AND(NOT($M38=""),NOT(B38="")),$M38,"")</f>
        <v/>
      </c>
      <c r="CC38" s="69" t="str">
        <f t="shared" si="161"/>
        <v/>
      </c>
      <c r="CE38" s="69" t="str">
        <f t="shared" ref="CE38:CE69" si="266">IF(AND(NOT($C38=""),NOT(D38="")),$C38,"")</f>
        <v/>
      </c>
      <c r="CF38" s="69" t="str">
        <f t="shared" ref="CF38:CF69" si="267">IF(AND(NOT($D38=""),NOT(C38="")),$D38,"")</f>
        <v/>
      </c>
      <c r="CG38" s="69" t="str">
        <f t="shared" si="162"/>
        <v/>
      </c>
      <c r="CH38" s="69" t="str">
        <f t="shared" ref="CH38:CH69" si="268">IF(AND(NOT($C38=""),NOT(E38="")),$C38,"")</f>
        <v/>
      </c>
      <c r="CI38" s="69" t="str">
        <f t="shared" ref="CI38:CI69" si="269">IF(AND(NOT($E38=""),NOT(C38="")),$E38,"")</f>
        <v/>
      </c>
      <c r="CJ38" s="69" t="str">
        <f t="shared" si="163"/>
        <v/>
      </c>
      <c r="CK38" s="69" t="str">
        <f t="shared" ref="CK38:CK69" si="270">IF(AND(NOT($C38=""),NOT(F38="")),$C38,"")</f>
        <v/>
      </c>
      <c r="CL38" s="69" t="str">
        <f t="shared" ref="CL38:CL69" si="271">IF(AND(NOT($F38=""),NOT(C38="")),$F38,"")</f>
        <v/>
      </c>
      <c r="CM38" s="69" t="str">
        <f t="shared" si="164"/>
        <v/>
      </c>
      <c r="CN38" s="69" t="str">
        <f t="shared" ref="CN38:CN69" si="272">IF(AND(NOT($C38=""),NOT(G38="")),$C38,"")</f>
        <v/>
      </c>
      <c r="CO38" s="69" t="str">
        <f t="shared" ref="CO38:CO69" si="273">IF(AND(NOT($G38=""),NOT(C38="")),$G38,"")</f>
        <v/>
      </c>
      <c r="CP38" s="69" t="str">
        <f t="shared" si="165"/>
        <v/>
      </c>
      <c r="CQ38" s="69" t="str">
        <f t="shared" ref="CQ38:CQ69" si="274">IF(AND(NOT($C38=""),NOT(H38="")),$C38,"")</f>
        <v/>
      </c>
      <c r="CR38" s="69" t="str">
        <f t="shared" ref="CR38:CR69" si="275">IF(AND(NOT($H38=""),NOT(C38="")),$H38,"")</f>
        <v/>
      </c>
      <c r="CS38" s="69" t="str">
        <f t="shared" si="166"/>
        <v/>
      </c>
      <c r="CT38" s="69" t="str">
        <f t="shared" ref="CT38:CT69" si="276">IF(AND(NOT($C38=""),NOT(I38="")),$C38,"")</f>
        <v/>
      </c>
      <c r="CU38" s="69" t="str">
        <f t="shared" ref="CU38:CU69" si="277">IF(AND(NOT($I38=""),NOT(C38="")),$I38,"")</f>
        <v/>
      </c>
      <c r="CV38" s="69" t="str">
        <f t="shared" si="167"/>
        <v/>
      </c>
      <c r="CW38" s="69" t="str">
        <f t="shared" ref="CW38:CW69" si="278">IF(AND(NOT($C38=""),NOT(J38="")),$C38,"")</f>
        <v/>
      </c>
      <c r="CX38" s="69" t="str">
        <f t="shared" ref="CX38:CX69" si="279">IF(AND(NOT($J38=""),NOT(C38="")),$J38,"")</f>
        <v/>
      </c>
      <c r="CY38" s="69" t="str">
        <f t="shared" si="168"/>
        <v/>
      </c>
      <c r="CZ38" s="69" t="str">
        <f t="shared" ref="CZ38:CZ69" si="280">IF(AND(NOT($C38=""),NOT(K38="")),$C38,"")</f>
        <v/>
      </c>
      <c r="DA38" s="69" t="str">
        <f t="shared" ref="DA38:DA69" si="281">IF(AND(NOT($K38=""),NOT(C38="")),$K38,"")</f>
        <v/>
      </c>
      <c r="DB38" s="69" t="str">
        <f t="shared" si="169"/>
        <v/>
      </c>
      <c r="DC38" s="69" t="str">
        <f t="shared" ref="DC38:DC69" si="282">IF(AND(NOT($C38=""),NOT($M38="")),$C38,"")</f>
        <v/>
      </c>
      <c r="DD38" s="69" t="str">
        <f t="shared" ref="DD38:DD69" si="283">IF(AND(NOT($M38=""),NOT(C38="")),$M38,"")</f>
        <v/>
      </c>
      <c r="DE38" s="69" t="str">
        <f t="shared" si="170"/>
        <v/>
      </c>
      <c r="DG38" s="69" t="str">
        <f t="shared" ref="DG38:DG69" si="284">IF(AND(NOT($D38=""),NOT(E38="")),$D38,"")</f>
        <v/>
      </c>
      <c r="DH38" s="69" t="str">
        <f t="shared" ref="DH38:DH69" si="285">IF(AND(NOT($E38=""),NOT(D38="")),$E38,"")</f>
        <v/>
      </c>
      <c r="DI38" s="69" t="str">
        <f t="shared" si="171"/>
        <v/>
      </c>
      <c r="DJ38" s="69" t="str">
        <f t="shared" ref="DJ38:DJ69" si="286">IF(AND(NOT($D38=""),NOT(F38="")),$D38,"")</f>
        <v/>
      </c>
      <c r="DK38" s="69" t="str">
        <f t="shared" ref="DK38:DK69" si="287">IF(AND(NOT($F38=""),NOT(E38="")),$F38,"")</f>
        <v/>
      </c>
      <c r="DL38" s="69" t="str">
        <f t="shared" si="172"/>
        <v/>
      </c>
      <c r="DM38" s="69" t="str">
        <f t="shared" ref="DM38:DM69" si="288">IF(AND(NOT($D38=""),NOT(G38="")),$D38,"")</f>
        <v/>
      </c>
      <c r="DN38" s="69" t="str">
        <f t="shared" ref="DN38:DN69" si="289">IF(AND(NOT($G38=""),NOT(D38="")),$G38,"")</f>
        <v/>
      </c>
      <c r="DO38" s="69" t="str">
        <f t="shared" si="173"/>
        <v/>
      </c>
      <c r="DP38" s="69" t="str">
        <f t="shared" ref="DP38:DP69" si="290">IF(AND(NOT($D38=""),NOT(H38="")),$D38,"")</f>
        <v/>
      </c>
      <c r="DQ38" s="69" t="str">
        <f t="shared" ref="DQ38:DQ69" si="291">IF(AND(NOT($H38=""),NOT(D38="")),$H38,"")</f>
        <v/>
      </c>
      <c r="DR38" s="69" t="str">
        <f t="shared" si="174"/>
        <v/>
      </c>
      <c r="DS38" s="69" t="str">
        <f t="shared" ref="DS38:DS69" si="292">IF(AND(NOT($D38=""),NOT(I38="")),$D38,"")</f>
        <v/>
      </c>
      <c r="DT38" s="69" t="str">
        <f t="shared" ref="DT38:DT69" si="293">IF(AND(NOT($I38=""),NOT(D38="")),$I38,"")</f>
        <v/>
      </c>
      <c r="DU38" s="69" t="str">
        <f t="shared" si="175"/>
        <v/>
      </c>
      <c r="DV38" s="69" t="str">
        <f t="shared" ref="DV38:DV69" si="294">IF(AND(NOT($D38=""),NOT(J38="")),$D38,"")</f>
        <v/>
      </c>
      <c r="DW38" s="69" t="str">
        <f t="shared" ref="DW38:DW69" si="295">IF(AND(NOT($J38=""),NOT(D38="")),$J38,"")</f>
        <v/>
      </c>
      <c r="DX38" s="69" t="str">
        <f t="shared" si="176"/>
        <v/>
      </c>
      <c r="DY38" s="69" t="str">
        <f t="shared" ref="DY38:DY69" si="296">IF(AND(NOT($D38=""),NOT(K38="")),$D38,"")</f>
        <v/>
      </c>
      <c r="DZ38" s="69" t="str">
        <f t="shared" ref="DZ38:DZ69" si="297">IF(AND(NOT($K38=""),NOT(D38="")),$K38,"")</f>
        <v/>
      </c>
      <c r="EA38" s="69" t="str">
        <f t="shared" si="177"/>
        <v/>
      </c>
      <c r="EB38" s="69" t="str">
        <f t="shared" ref="EB38:EB69" si="298">IF(AND(NOT($D38=""),NOT(M38="")),$D38,"")</f>
        <v/>
      </c>
      <c r="EC38" s="69" t="str">
        <f t="shared" ref="EC38:EC69" si="299">IF(AND(NOT($M38=""),NOT(D38="")),$M38,"")</f>
        <v/>
      </c>
      <c r="ED38" s="69" t="str">
        <f t="shared" si="178"/>
        <v/>
      </c>
      <c r="EF38" s="69" t="str">
        <f t="shared" ref="EF38:EF69" si="300">IF(AND(NOT($E38=""),NOT(F38="")),$E38,"")</f>
        <v/>
      </c>
      <c r="EG38" s="69" t="str">
        <f t="shared" ref="EG38:EG69" si="301">IF(AND(NOT($F38=""),NOT(E38="")),$F38,"")</f>
        <v/>
      </c>
      <c r="EH38" s="69" t="str">
        <f t="shared" si="179"/>
        <v/>
      </c>
      <c r="EI38" s="69" t="str">
        <f t="shared" ref="EI38:EI69" si="302">IF(AND(NOT($E38=""),NOT(G38="")),$E38,"")</f>
        <v/>
      </c>
      <c r="EJ38" s="69" t="str">
        <f t="shared" ref="EJ38:EJ69" si="303">IF(AND(NOT($G38=""),NOT(E38="")),$G38,"")</f>
        <v/>
      </c>
      <c r="EK38" s="69" t="str">
        <f t="shared" si="180"/>
        <v/>
      </c>
      <c r="EL38" s="69" t="str">
        <f t="shared" ref="EL38:EL69" si="304">IF(AND(NOT($E38=""),NOT(H38="")),$E38,"")</f>
        <v/>
      </c>
      <c r="EM38" s="69" t="str">
        <f t="shared" ref="EM38:EM69" si="305">IF(AND(NOT($H38=""),NOT(E38="")),$H38,"")</f>
        <v/>
      </c>
      <c r="EN38" s="69" t="str">
        <f t="shared" si="181"/>
        <v/>
      </c>
      <c r="EO38" s="69" t="str">
        <f t="shared" ref="EO38:EO69" si="306">IF(AND(NOT($E38=""),NOT(I38="")),$E38,"")</f>
        <v/>
      </c>
      <c r="EP38" s="69" t="str">
        <f t="shared" ref="EP38:EP69" si="307">IF(AND(NOT($I38=""),NOT(E38="")),$I38,"")</f>
        <v/>
      </c>
      <c r="EQ38" s="69" t="str">
        <f t="shared" si="182"/>
        <v/>
      </c>
      <c r="ER38" s="69" t="str">
        <f t="shared" ref="ER38:ER69" si="308">IF(AND(NOT($E38=""),NOT(J38="")),$E38,"")</f>
        <v/>
      </c>
      <c r="ES38" s="69" t="str">
        <f t="shared" ref="ES38:ES69" si="309">IF(AND(NOT($J38=""),NOT(E38="")),$J38,"")</f>
        <v/>
      </c>
      <c r="ET38" s="69" t="str">
        <f t="shared" si="183"/>
        <v/>
      </c>
      <c r="EU38" s="69" t="str">
        <f t="shared" ref="EU38:EU69" si="310">IF(AND(NOT($E38=""),NOT(K38="")),$E38,"")</f>
        <v/>
      </c>
      <c r="EV38" s="69" t="str">
        <f t="shared" ref="EV38:EV69" si="311">IF(AND(NOT($K38=""),NOT(E38="")),$K38,"")</f>
        <v/>
      </c>
      <c r="EW38" s="69" t="str">
        <f t="shared" si="184"/>
        <v/>
      </c>
      <c r="EX38" s="69" t="str">
        <f t="shared" ref="EX38:EX69" si="312">IF(AND(NOT($E38=""),NOT(M38="")),$E38,"")</f>
        <v/>
      </c>
      <c r="EY38" s="69" t="str">
        <f t="shared" ref="EY38:EY69" si="313">IF(AND(NOT($M38=""),NOT(E38="")),$M38,"")</f>
        <v/>
      </c>
      <c r="EZ38" s="69" t="str">
        <f t="shared" si="185"/>
        <v/>
      </c>
      <c r="FB38" s="69" t="str">
        <f t="shared" ref="FB38:FB69" si="314">IF(AND(NOT($F38=""),NOT(G38="")),$F38,"")</f>
        <v/>
      </c>
      <c r="FC38" s="69" t="str">
        <f t="shared" ref="FC38:FC69" si="315">IF(AND(NOT($G38=""),NOT(F38="")),$G38,"")</f>
        <v/>
      </c>
      <c r="FD38" s="69" t="str">
        <f t="shared" si="186"/>
        <v/>
      </c>
      <c r="FE38" s="69" t="str">
        <f t="shared" ref="FE38:FE69" si="316">IF(AND(NOT($F38=""),NOT(H38="")),$F38,"")</f>
        <v/>
      </c>
      <c r="FF38" s="69" t="str">
        <f t="shared" ref="FF38:FF69" si="317">IF(AND(NOT($H38=""),NOT(F38="")),$H38,"")</f>
        <v/>
      </c>
      <c r="FG38" s="69" t="str">
        <f t="shared" si="187"/>
        <v/>
      </c>
      <c r="FH38" s="69" t="str">
        <f t="shared" ref="FH38:FH69" si="318">IF(AND(NOT($F38=""),NOT(I38="")),$F38,"")</f>
        <v/>
      </c>
      <c r="FI38" s="69" t="str">
        <f t="shared" ref="FI38:FI69" si="319">IF(AND(NOT($I38=""),NOT(F38="")),$I38,"")</f>
        <v/>
      </c>
      <c r="FJ38" s="69" t="str">
        <f t="shared" si="188"/>
        <v/>
      </c>
      <c r="FK38" s="69" t="str">
        <f t="shared" ref="FK38:FK69" si="320">IF(AND(NOT($F38=""),NOT(J38="")),$F38,"")</f>
        <v/>
      </c>
      <c r="FL38" s="69" t="str">
        <f t="shared" ref="FL38:FL69" si="321">IF(AND(NOT($J38=""),NOT(F38="")),$J38,"")</f>
        <v/>
      </c>
      <c r="FM38" s="69" t="str">
        <f t="shared" si="189"/>
        <v/>
      </c>
      <c r="FN38" s="69" t="str">
        <f t="shared" ref="FN38:FN69" si="322">IF(AND(NOT($F38=""),NOT(K38="")),$F38,"")</f>
        <v/>
      </c>
      <c r="FO38" s="69" t="str">
        <f t="shared" ref="FO38:FO69" si="323">IF(AND(NOT($K38=""),NOT(F38="")),$K38,"")</f>
        <v/>
      </c>
      <c r="FP38" s="69" t="str">
        <f t="shared" si="190"/>
        <v/>
      </c>
      <c r="FQ38" s="69" t="str">
        <f t="shared" ref="FQ38:FQ69" si="324">IF(AND(NOT($F38=""),NOT(M38="")),$F38,"")</f>
        <v/>
      </c>
      <c r="FR38" s="69" t="str">
        <f t="shared" ref="FR38:FR69" si="325">IF(AND(NOT($M38=""),NOT(F38="")),$M38,"")</f>
        <v/>
      </c>
      <c r="FS38" s="69" t="str">
        <f t="shared" si="191"/>
        <v/>
      </c>
      <c r="FU38" s="69" t="str">
        <f t="shared" ref="FU38:FU69" si="326">IF(AND(NOT($G38=""),NOT(H38="")),$G38,"")</f>
        <v/>
      </c>
      <c r="FV38" s="69" t="str">
        <f t="shared" ref="FV38:FV69" si="327">IF(AND(NOT($H38=""),NOT(G38="")),$H38,"")</f>
        <v/>
      </c>
      <c r="FW38" s="69" t="str">
        <f t="shared" si="192"/>
        <v/>
      </c>
      <c r="FX38" s="69" t="str">
        <f t="shared" ref="FX38:FX69" si="328">IF(AND(NOT($G38=""),NOT(I38="")),$G38,"")</f>
        <v/>
      </c>
      <c r="FY38" s="69" t="str">
        <f t="shared" ref="FY38:FY69" si="329">IF(AND(NOT($I38=""),NOT(G38="")),$I38,"")</f>
        <v/>
      </c>
      <c r="FZ38" s="69" t="str">
        <f t="shared" si="193"/>
        <v/>
      </c>
      <c r="GA38" s="69" t="str">
        <f t="shared" ref="GA38:GA69" si="330">IF(AND(NOT($G38=""),NOT(J38="")),$G38,"")</f>
        <v/>
      </c>
      <c r="GB38" s="69" t="str">
        <f t="shared" ref="GB38:GB69" si="331">IF(AND(NOT($J38=""),NOT(G38="")),$J38,"")</f>
        <v/>
      </c>
      <c r="GC38" s="69" t="str">
        <f t="shared" si="194"/>
        <v/>
      </c>
      <c r="GD38" s="69" t="str">
        <f t="shared" ref="GD38:GD69" si="332">IF(AND(NOT($G38=""),NOT(K38="")),$G38,"")</f>
        <v/>
      </c>
      <c r="GE38" s="69" t="str">
        <f t="shared" ref="GE38:GE69" si="333">IF(AND(NOT($K38=""),NOT(G38="")),$K38,"")</f>
        <v/>
      </c>
      <c r="GF38" s="69" t="str">
        <f t="shared" si="195"/>
        <v/>
      </c>
      <c r="GG38" s="69" t="str">
        <f t="shared" ref="GG38:GG69" si="334">IF(AND(NOT($G38=""),NOT(M38="")),$G38,"")</f>
        <v/>
      </c>
      <c r="GH38" s="69" t="str">
        <f t="shared" ref="GH38:GH69" si="335">IF(AND(NOT($M38=""),NOT(G38="")),$M38,"")</f>
        <v/>
      </c>
      <c r="GI38" s="69" t="str">
        <f t="shared" si="196"/>
        <v/>
      </c>
      <c r="GK38" s="69" t="str">
        <f t="shared" ref="GK38:GK69" si="336">IF(AND(NOT($H38=""),NOT(I38="")),$H38,"")</f>
        <v/>
      </c>
      <c r="GL38" s="69" t="str">
        <f t="shared" ref="GL38:GL69" si="337">IF(AND(NOT($I38=""),NOT(H38="")),$I38,"")</f>
        <v/>
      </c>
      <c r="GM38" s="69" t="str">
        <f t="shared" si="197"/>
        <v/>
      </c>
      <c r="GN38" s="69" t="str">
        <f t="shared" ref="GN38:GN69" si="338">IF(AND(NOT($H38=""),NOT(J38="")),$H38,"")</f>
        <v/>
      </c>
      <c r="GO38" s="69" t="str">
        <f t="shared" ref="GO38:GO69" si="339">IF(AND(NOT($J38=""),NOT(H38="")),$J38,"")</f>
        <v/>
      </c>
      <c r="GP38" s="69" t="str">
        <f t="shared" si="198"/>
        <v/>
      </c>
      <c r="GQ38" s="69" t="str">
        <f t="shared" ref="GQ38:GQ69" si="340">IF(AND(NOT($H38=""),NOT(K38="")),$H38,"")</f>
        <v/>
      </c>
      <c r="GR38" s="69" t="str">
        <f t="shared" ref="GR38:GR69" si="341">IF(AND(NOT($K38=""),NOT(H38="")),$K38,"")</f>
        <v/>
      </c>
      <c r="GS38" s="69" t="str">
        <f t="shared" si="199"/>
        <v/>
      </c>
      <c r="GT38" s="69" t="str">
        <f t="shared" ref="GT38:GT69" si="342">IF(AND(NOT($H38=""),NOT(M38="")),$H38,"")</f>
        <v/>
      </c>
      <c r="GU38" s="69" t="str">
        <f t="shared" ref="GU38:GU69" si="343">IF(AND(NOT($M38=""),NOT(H38="")),$M38,"")</f>
        <v/>
      </c>
      <c r="GV38" s="69" t="str">
        <f t="shared" si="200"/>
        <v/>
      </c>
      <c r="GX38" s="69" t="str">
        <f t="shared" si="201"/>
        <v/>
      </c>
      <c r="GY38" s="69" t="str">
        <f t="shared" si="202"/>
        <v/>
      </c>
      <c r="GZ38" s="69" t="str">
        <f t="shared" si="203"/>
        <v/>
      </c>
      <c r="HA38" s="69" t="str">
        <f t="shared" si="204"/>
        <v/>
      </c>
      <c r="HB38" s="69" t="str">
        <f t="shared" si="205"/>
        <v/>
      </c>
      <c r="HC38" s="69" t="str">
        <f t="shared" si="206"/>
        <v/>
      </c>
      <c r="HD38" s="69" t="str">
        <f t="shared" si="207"/>
        <v/>
      </c>
      <c r="HE38" s="69" t="str">
        <f t="shared" si="208"/>
        <v/>
      </c>
      <c r="HF38" s="69" t="str">
        <f t="shared" si="209"/>
        <v/>
      </c>
      <c r="HH38" s="69" t="str">
        <f t="shared" si="210"/>
        <v/>
      </c>
      <c r="HI38" s="69" t="str">
        <f t="shared" si="211"/>
        <v/>
      </c>
      <c r="HJ38" s="69" t="str">
        <f t="shared" si="212"/>
        <v/>
      </c>
      <c r="HK38" s="69" t="str">
        <f t="shared" si="213"/>
        <v/>
      </c>
      <c r="HL38" s="69" t="str">
        <f t="shared" si="214"/>
        <v/>
      </c>
      <c r="HM38" s="69" t="str">
        <f t="shared" si="215"/>
        <v/>
      </c>
      <c r="HO38" s="69" t="str">
        <f t="shared" si="216"/>
        <v/>
      </c>
      <c r="HP38" s="69" t="str">
        <f t="shared" si="217"/>
        <v/>
      </c>
      <c r="HQ38" s="69" t="str">
        <f t="shared" si="218"/>
        <v/>
      </c>
      <c r="HS38" s="69" t="str">
        <f t="shared" ref="HS38:HS69" si="344">IF(AND(NOT($M38=""),NOT(B38="")),$M38,"")</f>
        <v/>
      </c>
      <c r="HT38" s="69" t="str">
        <f t="shared" ref="HT38:HT69" si="345">IF(AND(NOT($B38=""),NOT($M38="")),$B38,"")</f>
        <v/>
      </c>
      <c r="HU38" s="69" t="str">
        <f t="shared" si="219"/>
        <v/>
      </c>
      <c r="HV38" s="69" t="str">
        <f t="shared" ref="HV38:HV69" si="346">IF(AND(NOT($M38=""),NOT($C38="")),$M38,"")</f>
        <v/>
      </c>
      <c r="HW38" s="69" t="str">
        <f t="shared" ref="HW38:HW69" si="347">IF(AND(NOT($C38=""),NOT(M38="")),$C38,"")</f>
        <v/>
      </c>
      <c r="HX38" s="69" t="str">
        <f t="shared" si="220"/>
        <v/>
      </c>
      <c r="HY38" s="69" t="str">
        <f t="shared" ref="HY38:HY69" si="348">IF(AND(NOT($M38=""),NOT(D38="")),$M38,"")</f>
        <v/>
      </c>
      <c r="HZ38" s="69" t="str">
        <f t="shared" ref="HZ38:HZ69" si="349">IF(AND(NOT($D38=""),NOT($M38="")),$D38,"")</f>
        <v/>
      </c>
      <c r="IA38" s="69" t="str">
        <f t="shared" si="221"/>
        <v/>
      </c>
      <c r="IB38" s="69" t="str">
        <f t="shared" ref="IB38:IB69" si="350">IF(AND(NOT($M38=""),NOT(E38="")),$M38,"")</f>
        <v/>
      </c>
      <c r="IC38" s="69" t="str">
        <f t="shared" ref="IC38:IC69" si="351">IF(AND(NOT($E38=""),NOT($M38="")),$E38,"")</f>
        <v/>
      </c>
      <c r="ID38" s="69" t="str">
        <f t="shared" si="222"/>
        <v/>
      </c>
      <c r="IE38" s="69" t="str">
        <f t="shared" ref="IE38:IE69" si="352">IF(AND(NOT($M38=""),NOT(F38="")),$M38,"")</f>
        <v/>
      </c>
      <c r="IF38" s="69" t="str">
        <f t="shared" ref="IF38:IF69" si="353">IF(AND(NOT($F38=""),NOT($M38="")),$F38,"")</f>
        <v/>
      </c>
      <c r="IG38" s="69" t="str">
        <f t="shared" si="223"/>
        <v/>
      </c>
      <c r="IH38" s="69" t="str">
        <f t="shared" ref="IH38:IH69" si="354">IF(AND(NOT($M38=""),NOT(G38="")),$M38,"")</f>
        <v/>
      </c>
      <c r="II38" s="69" t="str">
        <f t="shared" ref="II38:II69" si="355">IF(AND(NOT($G38=""),NOT($M38="")),$G38,"")</f>
        <v/>
      </c>
      <c r="IJ38" s="69" t="str">
        <f t="shared" si="224"/>
        <v/>
      </c>
      <c r="IK38" s="69" t="str">
        <f t="shared" ref="IK38:IK69" si="356">IF(AND(NOT($M38=""),NOT(H38="")),$M38,"")</f>
        <v/>
      </c>
      <c r="IL38" s="69" t="str">
        <f t="shared" ref="IL38:IL69" si="357">IF(AND(NOT($H38=""),NOT($M38="")),$H38,"")</f>
        <v/>
      </c>
      <c r="IM38" s="69" t="str">
        <f t="shared" si="225"/>
        <v/>
      </c>
      <c r="IN38" s="69" t="str">
        <f t="shared" si="226"/>
        <v/>
      </c>
      <c r="IO38" s="69" t="str">
        <f t="shared" si="227"/>
        <v/>
      </c>
      <c r="IP38" s="69" t="str">
        <f t="shared" si="228"/>
        <v/>
      </c>
      <c r="IQ38" s="69" t="str">
        <f t="shared" si="229"/>
        <v/>
      </c>
      <c r="IR38" s="69" t="str">
        <f t="shared" si="230"/>
        <v/>
      </c>
      <c r="IS38" s="69" t="str">
        <f t="shared" si="231"/>
        <v/>
      </c>
      <c r="IT38" s="69" t="str">
        <f t="shared" si="232"/>
        <v/>
      </c>
      <c r="IU38" s="69" t="str">
        <f t="shared" si="233"/>
        <v/>
      </c>
      <c r="IV38" s="69" t="str">
        <f t="shared" si="234"/>
        <v/>
      </c>
    </row>
    <row r="39" spans="1:256" x14ac:dyDescent="0.2">
      <c r="A39" s="57" t="s">
        <v>42</v>
      </c>
      <c r="B39" s="178"/>
      <c r="C39" s="179"/>
      <c r="D39" s="179"/>
      <c r="E39" s="179"/>
      <c r="F39" s="179"/>
      <c r="G39" s="180"/>
      <c r="H39" s="180"/>
      <c r="I39" s="181"/>
      <c r="J39" s="182"/>
      <c r="K39" s="186"/>
      <c r="L39" s="68">
        <f t="shared" si="237"/>
        <v>0</v>
      </c>
      <c r="M39" s="69" t="str">
        <f t="shared" si="238"/>
        <v/>
      </c>
      <c r="N39" s="69" t="str">
        <f t="shared" ref="N39:N70" si="358">AV39</f>
        <v/>
      </c>
      <c r="O39" s="69" t="str">
        <f t="shared" si="122"/>
        <v/>
      </c>
      <c r="P39" s="69" t="str">
        <f t="shared" si="235"/>
        <v/>
      </c>
      <c r="Q39" s="70" t="str">
        <f t="shared" si="239"/>
        <v/>
      </c>
      <c r="R39" s="71" t="str">
        <f t="shared" si="124"/>
        <v/>
      </c>
      <c r="S39" s="71" t="str">
        <f t="shared" si="125"/>
        <v/>
      </c>
      <c r="T39" s="70" t="str">
        <f t="shared" si="240"/>
        <v/>
      </c>
      <c r="U39" s="71" t="str">
        <f t="shared" si="126"/>
        <v/>
      </c>
      <c r="V39" s="71" t="str">
        <f t="shared" si="127"/>
        <v/>
      </c>
      <c r="W39" s="70" t="str">
        <f t="shared" si="241"/>
        <v/>
      </c>
      <c r="X39" s="71" t="str">
        <f t="shared" si="128"/>
        <v/>
      </c>
      <c r="Y39" s="71" t="str">
        <f t="shared" si="129"/>
        <v/>
      </c>
      <c r="Z39" s="70" t="str">
        <f t="shared" si="242"/>
        <v/>
      </c>
      <c r="AA39" s="71" t="str">
        <f t="shared" si="130"/>
        <v/>
      </c>
      <c r="AB39" s="71" t="str">
        <f t="shared" si="131"/>
        <v/>
      </c>
      <c r="AC39" s="70" t="str">
        <f t="shared" si="243"/>
        <v/>
      </c>
      <c r="AD39" s="71" t="str">
        <f t="shared" si="132"/>
        <v/>
      </c>
      <c r="AE39" s="71" t="str">
        <f t="shared" si="133"/>
        <v/>
      </c>
      <c r="AF39" s="70" t="str">
        <f t="shared" si="244"/>
        <v/>
      </c>
      <c r="AG39" s="71" t="str">
        <f t="shared" si="134"/>
        <v/>
      </c>
      <c r="AH39" s="71" t="str">
        <f t="shared" si="135"/>
        <v/>
      </c>
      <c r="AI39" s="70" t="str">
        <f t="shared" si="245"/>
        <v/>
      </c>
      <c r="AJ39" s="71" t="str">
        <f t="shared" si="136"/>
        <v/>
      </c>
      <c r="AK39" s="71" t="str">
        <f t="shared" si="137"/>
        <v/>
      </c>
      <c r="AL39" s="70" t="str">
        <f t="shared" si="138"/>
        <v/>
      </c>
      <c r="AM39" s="71" t="str">
        <f t="shared" si="139"/>
        <v/>
      </c>
      <c r="AN39" s="71" t="str">
        <f t="shared" si="140"/>
        <v/>
      </c>
      <c r="AO39" s="70" t="str">
        <f t="shared" si="141"/>
        <v/>
      </c>
      <c r="AP39" s="71" t="str">
        <f t="shared" si="142"/>
        <v/>
      </c>
      <c r="AQ39" s="71" t="str">
        <f t="shared" si="143"/>
        <v/>
      </c>
      <c r="AR39" s="70" t="str">
        <f t="shared" si="144"/>
        <v/>
      </c>
      <c r="AS39" s="71" t="str">
        <f t="shared" si="145"/>
        <v/>
      </c>
      <c r="AT39" s="71" t="str">
        <f t="shared" si="146"/>
        <v/>
      </c>
      <c r="AU39" s="69" t="str">
        <f t="shared" si="147"/>
        <v/>
      </c>
      <c r="AV39" s="131" t="str">
        <f t="shared" si="148"/>
        <v/>
      </c>
      <c r="AW39" s="69" t="str">
        <f t="shared" si="236"/>
        <v/>
      </c>
      <c r="AX39" s="132" t="str">
        <f t="shared" si="150"/>
        <v/>
      </c>
      <c r="AY39" s="132" t="str">
        <f t="shared" si="151"/>
        <v/>
      </c>
      <c r="AZ39" s="69" t="str">
        <f t="shared" si="246"/>
        <v/>
      </c>
      <c r="BA39" s="69" t="str">
        <f t="shared" si="247"/>
        <v/>
      </c>
      <c r="BB39" s="69" t="str">
        <f t="shared" si="152"/>
        <v/>
      </c>
      <c r="BC39" s="69" t="str">
        <f t="shared" si="248"/>
        <v/>
      </c>
      <c r="BD39" s="69" t="str">
        <f t="shared" si="249"/>
        <v/>
      </c>
      <c r="BE39" s="69" t="str">
        <f t="shared" si="153"/>
        <v/>
      </c>
      <c r="BF39" s="69" t="str">
        <f t="shared" si="250"/>
        <v/>
      </c>
      <c r="BG39" s="69" t="str">
        <f t="shared" si="251"/>
        <v/>
      </c>
      <c r="BH39" s="69" t="str">
        <f t="shared" si="154"/>
        <v/>
      </c>
      <c r="BI39" s="69" t="str">
        <f t="shared" si="252"/>
        <v/>
      </c>
      <c r="BJ39" s="69" t="str">
        <f t="shared" si="253"/>
        <v/>
      </c>
      <c r="BK39" s="69" t="str">
        <f t="shared" si="155"/>
        <v/>
      </c>
      <c r="BL39" s="69" t="str">
        <f t="shared" si="254"/>
        <v/>
      </c>
      <c r="BM39" s="69" t="str">
        <f t="shared" si="255"/>
        <v/>
      </c>
      <c r="BN39" s="69" t="str">
        <f t="shared" si="156"/>
        <v/>
      </c>
      <c r="BO39" s="69" t="str">
        <f t="shared" si="256"/>
        <v/>
      </c>
      <c r="BP39" s="69" t="str">
        <f t="shared" si="257"/>
        <v/>
      </c>
      <c r="BQ39" s="69" t="str">
        <f t="shared" si="157"/>
        <v/>
      </c>
      <c r="BR39" s="69" t="str">
        <f t="shared" si="258"/>
        <v/>
      </c>
      <c r="BS39" s="69" t="str">
        <f t="shared" si="259"/>
        <v/>
      </c>
      <c r="BT39" s="69" t="str">
        <f t="shared" si="158"/>
        <v/>
      </c>
      <c r="BU39" s="69" t="str">
        <f t="shared" si="260"/>
        <v/>
      </c>
      <c r="BV39" s="69" t="str">
        <f t="shared" si="261"/>
        <v/>
      </c>
      <c r="BW39" s="69" t="str">
        <f t="shared" si="159"/>
        <v/>
      </c>
      <c r="BX39" s="69" t="str">
        <f t="shared" si="262"/>
        <v/>
      </c>
      <c r="BY39" s="69" t="str">
        <f t="shared" si="263"/>
        <v/>
      </c>
      <c r="BZ39" s="69" t="str">
        <f t="shared" si="160"/>
        <v/>
      </c>
      <c r="CA39" s="69" t="str">
        <f t="shared" si="264"/>
        <v/>
      </c>
      <c r="CB39" s="69" t="str">
        <f t="shared" si="265"/>
        <v/>
      </c>
      <c r="CC39" s="69" t="str">
        <f t="shared" si="161"/>
        <v/>
      </c>
      <c r="CE39" s="69" t="str">
        <f t="shared" si="266"/>
        <v/>
      </c>
      <c r="CF39" s="69" t="str">
        <f t="shared" si="267"/>
        <v/>
      </c>
      <c r="CG39" s="69" t="str">
        <f t="shared" si="162"/>
        <v/>
      </c>
      <c r="CH39" s="69" t="str">
        <f t="shared" si="268"/>
        <v/>
      </c>
      <c r="CI39" s="69" t="str">
        <f t="shared" si="269"/>
        <v/>
      </c>
      <c r="CJ39" s="69" t="str">
        <f t="shared" si="163"/>
        <v/>
      </c>
      <c r="CK39" s="69" t="str">
        <f t="shared" si="270"/>
        <v/>
      </c>
      <c r="CL39" s="69" t="str">
        <f t="shared" si="271"/>
        <v/>
      </c>
      <c r="CM39" s="69" t="str">
        <f t="shared" si="164"/>
        <v/>
      </c>
      <c r="CN39" s="69" t="str">
        <f t="shared" si="272"/>
        <v/>
      </c>
      <c r="CO39" s="69" t="str">
        <f t="shared" si="273"/>
        <v/>
      </c>
      <c r="CP39" s="69" t="str">
        <f t="shared" si="165"/>
        <v/>
      </c>
      <c r="CQ39" s="69" t="str">
        <f t="shared" si="274"/>
        <v/>
      </c>
      <c r="CR39" s="69" t="str">
        <f t="shared" si="275"/>
        <v/>
      </c>
      <c r="CS39" s="69" t="str">
        <f t="shared" si="166"/>
        <v/>
      </c>
      <c r="CT39" s="69" t="str">
        <f t="shared" si="276"/>
        <v/>
      </c>
      <c r="CU39" s="69" t="str">
        <f t="shared" si="277"/>
        <v/>
      </c>
      <c r="CV39" s="69" t="str">
        <f t="shared" si="167"/>
        <v/>
      </c>
      <c r="CW39" s="69" t="str">
        <f t="shared" si="278"/>
        <v/>
      </c>
      <c r="CX39" s="69" t="str">
        <f t="shared" si="279"/>
        <v/>
      </c>
      <c r="CY39" s="69" t="str">
        <f t="shared" si="168"/>
        <v/>
      </c>
      <c r="CZ39" s="69" t="str">
        <f t="shared" si="280"/>
        <v/>
      </c>
      <c r="DA39" s="69" t="str">
        <f t="shared" si="281"/>
        <v/>
      </c>
      <c r="DB39" s="69" t="str">
        <f t="shared" si="169"/>
        <v/>
      </c>
      <c r="DC39" s="69" t="str">
        <f t="shared" si="282"/>
        <v/>
      </c>
      <c r="DD39" s="69" t="str">
        <f t="shared" si="283"/>
        <v/>
      </c>
      <c r="DE39" s="69" t="str">
        <f t="shared" si="170"/>
        <v/>
      </c>
      <c r="DG39" s="69" t="str">
        <f t="shared" si="284"/>
        <v/>
      </c>
      <c r="DH39" s="69" t="str">
        <f t="shared" si="285"/>
        <v/>
      </c>
      <c r="DI39" s="69" t="str">
        <f t="shared" si="171"/>
        <v/>
      </c>
      <c r="DJ39" s="69" t="str">
        <f t="shared" si="286"/>
        <v/>
      </c>
      <c r="DK39" s="69" t="str">
        <f t="shared" si="287"/>
        <v/>
      </c>
      <c r="DL39" s="69" t="str">
        <f t="shared" si="172"/>
        <v/>
      </c>
      <c r="DM39" s="69" t="str">
        <f t="shared" si="288"/>
        <v/>
      </c>
      <c r="DN39" s="69" t="str">
        <f t="shared" si="289"/>
        <v/>
      </c>
      <c r="DO39" s="69" t="str">
        <f t="shared" si="173"/>
        <v/>
      </c>
      <c r="DP39" s="69" t="str">
        <f t="shared" si="290"/>
        <v/>
      </c>
      <c r="DQ39" s="69" t="str">
        <f t="shared" si="291"/>
        <v/>
      </c>
      <c r="DR39" s="69" t="str">
        <f t="shared" si="174"/>
        <v/>
      </c>
      <c r="DS39" s="69" t="str">
        <f t="shared" si="292"/>
        <v/>
      </c>
      <c r="DT39" s="69" t="str">
        <f t="shared" si="293"/>
        <v/>
      </c>
      <c r="DU39" s="69" t="str">
        <f t="shared" si="175"/>
        <v/>
      </c>
      <c r="DV39" s="69" t="str">
        <f t="shared" si="294"/>
        <v/>
      </c>
      <c r="DW39" s="69" t="str">
        <f t="shared" si="295"/>
        <v/>
      </c>
      <c r="DX39" s="69" t="str">
        <f t="shared" si="176"/>
        <v/>
      </c>
      <c r="DY39" s="69" t="str">
        <f t="shared" si="296"/>
        <v/>
      </c>
      <c r="DZ39" s="69" t="str">
        <f t="shared" si="297"/>
        <v/>
      </c>
      <c r="EA39" s="69" t="str">
        <f t="shared" si="177"/>
        <v/>
      </c>
      <c r="EB39" s="69" t="str">
        <f t="shared" si="298"/>
        <v/>
      </c>
      <c r="EC39" s="69" t="str">
        <f t="shared" si="299"/>
        <v/>
      </c>
      <c r="ED39" s="69" t="str">
        <f t="shared" si="178"/>
        <v/>
      </c>
      <c r="EF39" s="69" t="str">
        <f t="shared" si="300"/>
        <v/>
      </c>
      <c r="EG39" s="69" t="str">
        <f t="shared" si="301"/>
        <v/>
      </c>
      <c r="EH39" s="69" t="str">
        <f t="shared" si="179"/>
        <v/>
      </c>
      <c r="EI39" s="69" t="str">
        <f t="shared" si="302"/>
        <v/>
      </c>
      <c r="EJ39" s="69" t="str">
        <f t="shared" si="303"/>
        <v/>
      </c>
      <c r="EK39" s="69" t="str">
        <f t="shared" si="180"/>
        <v/>
      </c>
      <c r="EL39" s="69" t="str">
        <f t="shared" si="304"/>
        <v/>
      </c>
      <c r="EM39" s="69" t="str">
        <f t="shared" si="305"/>
        <v/>
      </c>
      <c r="EN39" s="69" t="str">
        <f t="shared" si="181"/>
        <v/>
      </c>
      <c r="EO39" s="69" t="str">
        <f t="shared" si="306"/>
        <v/>
      </c>
      <c r="EP39" s="69" t="str">
        <f t="shared" si="307"/>
        <v/>
      </c>
      <c r="EQ39" s="69" t="str">
        <f t="shared" si="182"/>
        <v/>
      </c>
      <c r="ER39" s="69" t="str">
        <f t="shared" si="308"/>
        <v/>
      </c>
      <c r="ES39" s="69" t="str">
        <f t="shared" si="309"/>
        <v/>
      </c>
      <c r="ET39" s="69" t="str">
        <f t="shared" si="183"/>
        <v/>
      </c>
      <c r="EU39" s="69" t="str">
        <f t="shared" si="310"/>
        <v/>
      </c>
      <c r="EV39" s="69" t="str">
        <f t="shared" si="311"/>
        <v/>
      </c>
      <c r="EW39" s="69" t="str">
        <f t="shared" si="184"/>
        <v/>
      </c>
      <c r="EX39" s="69" t="str">
        <f t="shared" si="312"/>
        <v/>
      </c>
      <c r="EY39" s="69" t="str">
        <f t="shared" si="313"/>
        <v/>
      </c>
      <c r="EZ39" s="69" t="str">
        <f t="shared" si="185"/>
        <v/>
      </c>
      <c r="FB39" s="69" t="str">
        <f t="shared" si="314"/>
        <v/>
      </c>
      <c r="FC39" s="69" t="str">
        <f t="shared" si="315"/>
        <v/>
      </c>
      <c r="FD39" s="69" t="str">
        <f t="shared" si="186"/>
        <v/>
      </c>
      <c r="FE39" s="69" t="str">
        <f t="shared" si="316"/>
        <v/>
      </c>
      <c r="FF39" s="69" t="str">
        <f t="shared" si="317"/>
        <v/>
      </c>
      <c r="FG39" s="69" t="str">
        <f t="shared" si="187"/>
        <v/>
      </c>
      <c r="FH39" s="69" t="str">
        <f t="shared" si="318"/>
        <v/>
      </c>
      <c r="FI39" s="69" t="str">
        <f t="shared" si="319"/>
        <v/>
      </c>
      <c r="FJ39" s="69" t="str">
        <f t="shared" si="188"/>
        <v/>
      </c>
      <c r="FK39" s="69" t="str">
        <f t="shared" si="320"/>
        <v/>
      </c>
      <c r="FL39" s="69" t="str">
        <f t="shared" si="321"/>
        <v/>
      </c>
      <c r="FM39" s="69" t="str">
        <f t="shared" si="189"/>
        <v/>
      </c>
      <c r="FN39" s="69" t="str">
        <f t="shared" si="322"/>
        <v/>
      </c>
      <c r="FO39" s="69" t="str">
        <f t="shared" si="323"/>
        <v/>
      </c>
      <c r="FP39" s="69" t="str">
        <f t="shared" si="190"/>
        <v/>
      </c>
      <c r="FQ39" s="69" t="str">
        <f t="shared" si="324"/>
        <v/>
      </c>
      <c r="FR39" s="69" t="str">
        <f t="shared" si="325"/>
        <v/>
      </c>
      <c r="FS39" s="69" t="str">
        <f t="shared" si="191"/>
        <v/>
      </c>
      <c r="FU39" s="69" t="str">
        <f t="shared" si="326"/>
        <v/>
      </c>
      <c r="FV39" s="69" t="str">
        <f t="shared" si="327"/>
        <v/>
      </c>
      <c r="FW39" s="69" t="str">
        <f t="shared" si="192"/>
        <v/>
      </c>
      <c r="FX39" s="69" t="str">
        <f t="shared" si="328"/>
        <v/>
      </c>
      <c r="FY39" s="69" t="str">
        <f t="shared" si="329"/>
        <v/>
      </c>
      <c r="FZ39" s="69" t="str">
        <f t="shared" si="193"/>
        <v/>
      </c>
      <c r="GA39" s="69" t="str">
        <f t="shared" si="330"/>
        <v/>
      </c>
      <c r="GB39" s="69" t="str">
        <f t="shared" si="331"/>
        <v/>
      </c>
      <c r="GC39" s="69" t="str">
        <f t="shared" si="194"/>
        <v/>
      </c>
      <c r="GD39" s="69" t="str">
        <f t="shared" si="332"/>
        <v/>
      </c>
      <c r="GE39" s="69" t="str">
        <f t="shared" si="333"/>
        <v/>
      </c>
      <c r="GF39" s="69" t="str">
        <f t="shared" si="195"/>
        <v/>
      </c>
      <c r="GG39" s="69" t="str">
        <f t="shared" si="334"/>
        <v/>
      </c>
      <c r="GH39" s="69" t="str">
        <f t="shared" si="335"/>
        <v/>
      </c>
      <c r="GI39" s="69" t="str">
        <f t="shared" si="196"/>
        <v/>
      </c>
      <c r="GK39" s="69" t="str">
        <f t="shared" si="336"/>
        <v/>
      </c>
      <c r="GL39" s="69" t="str">
        <f t="shared" si="337"/>
        <v/>
      </c>
      <c r="GM39" s="69" t="str">
        <f t="shared" si="197"/>
        <v/>
      </c>
      <c r="GN39" s="69" t="str">
        <f t="shared" si="338"/>
        <v/>
      </c>
      <c r="GO39" s="69" t="str">
        <f t="shared" si="339"/>
        <v/>
      </c>
      <c r="GP39" s="69" t="str">
        <f t="shared" si="198"/>
        <v/>
      </c>
      <c r="GQ39" s="69" t="str">
        <f t="shared" si="340"/>
        <v/>
      </c>
      <c r="GR39" s="69" t="str">
        <f t="shared" si="341"/>
        <v/>
      </c>
      <c r="GS39" s="69" t="str">
        <f t="shared" si="199"/>
        <v/>
      </c>
      <c r="GT39" s="69" t="str">
        <f t="shared" si="342"/>
        <v/>
      </c>
      <c r="GU39" s="69" t="str">
        <f t="shared" si="343"/>
        <v/>
      </c>
      <c r="GV39" s="69" t="str">
        <f t="shared" si="200"/>
        <v/>
      </c>
      <c r="GX39" s="69" t="str">
        <f t="shared" si="201"/>
        <v/>
      </c>
      <c r="GY39" s="69" t="str">
        <f t="shared" si="202"/>
        <v/>
      </c>
      <c r="GZ39" s="69" t="str">
        <f t="shared" si="203"/>
        <v/>
      </c>
      <c r="HA39" s="69" t="str">
        <f t="shared" si="204"/>
        <v/>
      </c>
      <c r="HB39" s="69" t="str">
        <f t="shared" si="205"/>
        <v/>
      </c>
      <c r="HC39" s="69" t="str">
        <f t="shared" si="206"/>
        <v/>
      </c>
      <c r="HD39" s="69" t="str">
        <f t="shared" si="207"/>
        <v/>
      </c>
      <c r="HE39" s="69" t="str">
        <f t="shared" si="208"/>
        <v/>
      </c>
      <c r="HF39" s="69" t="str">
        <f t="shared" si="209"/>
        <v/>
      </c>
      <c r="HH39" s="69" t="str">
        <f t="shared" si="210"/>
        <v/>
      </c>
      <c r="HI39" s="69" t="str">
        <f t="shared" si="211"/>
        <v/>
      </c>
      <c r="HJ39" s="69" t="str">
        <f t="shared" si="212"/>
        <v/>
      </c>
      <c r="HK39" s="69" t="str">
        <f t="shared" si="213"/>
        <v/>
      </c>
      <c r="HL39" s="69" t="str">
        <f t="shared" si="214"/>
        <v/>
      </c>
      <c r="HM39" s="69" t="str">
        <f t="shared" si="215"/>
        <v/>
      </c>
      <c r="HO39" s="69" t="str">
        <f t="shared" si="216"/>
        <v/>
      </c>
      <c r="HP39" s="69" t="str">
        <f t="shared" si="217"/>
        <v/>
      </c>
      <c r="HQ39" s="69" t="str">
        <f t="shared" si="218"/>
        <v/>
      </c>
      <c r="HS39" s="69" t="str">
        <f t="shared" si="344"/>
        <v/>
      </c>
      <c r="HT39" s="69" t="str">
        <f t="shared" si="345"/>
        <v/>
      </c>
      <c r="HU39" s="69" t="str">
        <f t="shared" si="219"/>
        <v/>
      </c>
      <c r="HV39" s="69" t="str">
        <f t="shared" si="346"/>
        <v/>
      </c>
      <c r="HW39" s="69" t="str">
        <f t="shared" si="347"/>
        <v/>
      </c>
      <c r="HX39" s="69" t="str">
        <f t="shared" si="220"/>
        <v/>
      </c>
      <c r="HY39" s="69" t="str">
        <f t="shared" si="348"/>
        <v/>
      </c>
      <c r="HZ39" s="69" t="str">
        <f t="shared" si="349"/>
        <v/>
      </c>
      <c r="IA39" s="69" t="str">
        <f t="shared" si="221"/>
        <v/>
      </c>
      <c r="IB39" s="69" t="str">
        <f t="shared" si="350"/>
        <v/>
      </c>
      <c r="IC39" s="69" t="str">
        <f t="shared" si="351"/>
        <v/>
      </c>
      <c r="ID39" s="69" t="str">
        <f t="shared" si="222"/>
        <v/>
      </c>
      <c r="IE39" s="69" t="str">
        <f t="shared" si="352"/>
        <v/>
      </c>
      <c r="IF39" s="69" t="str">
        <f t="shared" si="353"/>
        <v/>
      </c>
      <c r="IG39" s="69" t="str">
        <f t="shared" si="223"/>
        <v/>
      </c>
      <c r="IH39" s="69" t="str">
        <f t="shared" si="354"/>
        <v/>
      </c>
      <c r="II39" s="69" t="str">
        <f t="shared" si="355"/>
        <v/>
      </c>
      <c r="IJ39" s="69" t="str">
        <f t="shared" si="224"/>
        <v/>
      </c>
      <c r="IK39" s="69" t="str">
        <f t="shared" si="356"/>
        <v/>
      </c>
      <c r="IL39" s="69" t="str">
        <f t="shared" si="357"/>
        <v/>
      </c>
      <c r="IM39" s="69" t="str">
        <f t="shared" si="225"/>
        <v/>
      </c>
      <c r="IN39" s="69" t="str">
        <f t="shared" si="226"/>
        <v/>
      </c>
      <c r="IO39" s="69" t="str">
        <f t="shared" si="227"/>
        <v/>
      </c>
      <c r="IP39" s="69" t="str">
        <f t="shared" si="228"/>
        <v/>
      </c>
      <c r="IQ39" s="69" t="str">
        <f t="shared" si="229"/>
        <v/>
      </c>
      <c r="IR39" s="69" t="str">
        <f t="shared" si="230"/>
        <v/>
      </c>
      <c r="IS39" s="69" t="str">
        <f t="shared" si="231"/>
        <v/>
      </c>
      <c r="IT39" s="69" t="str">
        <f t="shared" si="232"/>
        <v/>
      </c>
      <c r="IU39" s="69" t="str">
        <f t="shared" si="233"/>
        <v/>
      </c>
      <c r="IV39" s="69" t="str">
        <f t="shared" si="234"/>
        <v/>
      </c>
    </row>
    <row r="40" spans="1:256" x14ac:dyDescent="0.2">
      <c r="A40" s="57" t="s">
        <v>43</v>
      </c>
      <c r="B40" s="178"/>
      <c r="C40" s="179"/>
      <c r="D40" s="179"/>
      <c r="E40" s="179"/>
      <c r="F40" s="179"/>
      <c r="G40" s="180"/>
      <c r="H40" s="180"/>
      <c r="I40" s="181"/>
      <c r="J40" s="182"/>
      <c r="K40" s="186"/>
      <c r="L40" s="68">
        <f t="shared" si="237"/>
        <v>0</v>
      </c>
      <c r="M40" s="69" t="str">
        <f t="shared" si="238"/>
        <v/>
      </c>
      <c r="N40" s="69" t="str">
        <f t="shared" si="358"/>
        <v/>
      </c>
      <c r="O40" s="69" t="str">
        <f t="shared" si="122"/>
        <v/>
      </c>
      <c r="P40" s="69" t="str">
        <f t="shared" si="235"/>
        <v/>
      </c>
      <c r="Q40" s="70" t="str">
        <f t="shared" si="239"/>
        <v/>
      </c>
      <c r="R40" s="71" t="str">
        <f t="shared" si="124"/>
        <v/>
      </c>
      <c r="S40" s="71" t="str">
        <f t="shared" si="125"/>
        <v/>
      </c>
      <c r="T40" s="70" t="str">
        <f t="shared" si="240"/>
        <v/>
      </c>
      <c r="U40" s="71" t="str">
        <f t="shared" si="126"/>
        <v/>
      </c>
      <c r="V40" s="71" t="str">
        <f t="shared" si="127"/>
        <v/>
      </c>
      <c r="W40" s="70" t="str">
        <f t="shared" si="241"/>
        <v/>
      </c>
      <c r="X40" s="71" t="str">
        <f t="shared" si="128"/>
        <v/>
      </c>
      <c r="Y40" s="71" t="str">
        <f t="shared" si="129"/>
        <v/>
      </c>
      <c r="Z40" s="70" t="str">
        <f t="shared" si="242"/>
        <v/>
      </c>
      <c r="AA40" s="71" t="str">
        <f t="shared" si="130"/>
        <v/>
      </c>
      <c r="AB40" s="71" t="str">
        <f t="shared" si="131"/>
        <v/>
      </c>
      <c r="AC40" s="70" t="str">
        <f t="shared" si="243"/>
        <v/>
      </c>
      <c r="AD40" s="71" t="str">
        <f t="shared" si="132"/>
        <v/>
      </c>
      <c r="AE40" s="71" t="str">
        <f t="shared" si="133"/>
        <v/>
      </c>
      <c r="AF40" s="70" t="str">
        <f t="shared" si="244"/>
        <v/>
      </c>
      <c r="AG40" s="71" t="str">
        <f t="shared" si="134"/>
        <v/>
      </c>
      <c r="AH40" s="71" t="str">
        <f t="shared" si="135"/>
        <v/>
      </c>
      <c r="AI40" s="70" t="str">
        <f t="shared" si="245"/>
        <v/>
      </c>
      <c r="AJ40" s="71" t="str">
        <f t="shared" si="136"/>
        <v/>
      </c>
      <c r="AK40" s="71" t="str">
        <f t="shared" si="137"/>
        <v/>
      </c>
      <c r="AL40" s="70" t="str">
        <f t="shared" si="138"/>
        <v/>
      </c>
      <c r="AM40" s="71" t="str">
        <f t="shared" si="139"/>
        <v/>
      </c>
      <c r="AN40" s="71" t="str">
        <f t="shared" si="140"/>
        <v/>
      </c>
      <c r="AO40" s="70" t="str">
        <f t="shared" si="141"/>
        <v/>
      </c>
      <c r="AP40" s="71" t="str">
        <f t="shared" si="142"/>
        <v/>
      </c>
      <c r="AQ40" s="71" t="str">
        <f t="shared" si="143"/>
        <v/>
      </c>
      <c r="AR40" s="70" t="str">
        <f t="shared" si="144"/>
        <v/>
      </c>
      <c r="AS40" s="71" t="str">
        <f t="shared" si="145"/>
        <v/>
      </c>
      <c r="AT40" s="71" t="str">
        <f t="shared" si="146"/>
        <v/>
      </c>
      <c r="AU40" s="69" t="str">
        <f t="shared" si="147"/>
        <v/>
      </c>
      <c r="AV40" s="131" t="str">
        <f t="shared" si="148"/>
        <v/>
      </c>
      <c r="AW40" s="69" t="str">
        <f t="shared" si="236"/>
        <v/>
      </c>
      <c r="AX40" s="132" t="str">
        <f t="shared" si="150"/>
        <v/>
      </c>
      <c r="AY40" s="132" t="str">
        <f t="shared" si="151"/>
        <v/>
      </c>
      <c r="AZ40" s="69" t="str">
        <f t="shared" si="246"/>
        <v/>
      </c>
      <c r="BA40" s="69" t="str">
        <f t="shared" si="247"/>
        <v/>
      </c>
      <c r="BB40" s="69" t="str">
        <f t="shared" si="152"/>
        <v/>
      </c>
      <c r="BC40" s="69" t="str">
        <f t="shared" si="248"/>
        <v/>
      </c>
      <c r="BD40" s="69" t="str">
        <f t="shared" si="249"/>
        <v/>
      </c>
      <c r="BE40" s="69" t="str">
        <f t="shared" si="153"/>
        <v/>
      </c>
      <c r="BF40" s="69" t="str">
        <f t="shared" si="250"/>
        <v/>
      </c>
      <c r="BG40" s="69" t="str">
        <f t="shared" si="251"/>
        <v/>
      </c>
      <c r="BH40" s="69" t="str">
        <f t="shared" si="154"/>
        <v/>
      </c>
      <c r="BI40" s="69" t="str">
        <f t="shared" si="252"/>
        <v/>
      </c>
      <c r="BJ40" s="69" t="str">
        <f t="shared" si="253"/>
        <v/>
      </c>
      <c r="BK40" s="69" t="str">
        <f t="shared" si="155"/>
        <v/>
      </c>
      <c r="BL40" s="69" t="str">
        <f t="shared" si="254"/>
        <v/>
      </c>
      <c r="BM40" s="69" t="str">
        <f t="shared" si="255"/>
        <v/>
      </c>
      <c r="BN40" s="69" t="str">
        <f t="shared" si="156"/>
        <v/>
      </c>
      <c r="BO40" s="69" t="str">
        <f t="shared" si="256"/>
        <v/>
      </c>
      <c r="BP40" s="69" t="str">
        <f t="shared" si="257"/>
        <v/>
      </c>
      <c r="BQ40" s="69" t="str">
        <f t="shared" si="157"/>
        <v/>
      </c>
      <c r="BR40" s="69" t="str">
        <f t="shared" si="258"/>
        <v/>
      </c>
      <c r="BS40" s="69" t="str">
        <f t="shared" si="259"/>
        <v/>
      </c>
      <c r="BT40" s="69" t="str">
        <f t="shared" si="158"/>
        <v/>
      </c>
      <c r="BU40" s="69" t="str">
        <f t="shared" si="260"/>
        <v/>
      </c>
      <c r="BV40" s="69" t="str">
        <f t="shared" si="261"/>
        <v/>
      </c>
      <c r="BW40" s="69" t="str">
        <f t="shared" si="159"/>
        <v/>
      </c>
      <c r="BX40" s="69" t="str">
        <f t="shared" si="262"/>
        <v/>
      </c>
      <c r="BY40" s="69" t="str">
        <f t="shared" si="263"/>
        <v/>
      </c>
      <c r="BZ40" s="69" t="str">
        <f t="shared" si="160"/>
        <v/>
      </c>
      <c r="CA40" s="69" t="str">
        <f t="shared" si="264"/>
        <v/>
      </c>
      <c r="CB40" s="69" t="str">
        <f t="shared" si="265"/>
        <v/>
      </c>
      <c r="CC40" s="69" t="str">
        <f t="shared" si="161"/>
        <v/>
      </c>
      <c r="CE40" s="69" t="str">
        <f t="shared" si="266"/>
        <v/>
      </c>
      <c r="CF40" s="69" t="str">
        <f t="shared" si="267"/>
        <v/>
      </c>
      <c r="CG40" s="69" t="str">
        <f t="shared" si="162"/>
        <v/>
      </c>
      <c r="CH40" s="69" t="str">
        <f t="shared" si="268"/>
        <v/>
      </c>
      <c r="CI40" s="69" t="str">
        <f t="shared" si="269"/>
        <v/>
      </c>
      <c r="CJ40" s="69" t="str">
        <f t="shared" si="163"/>
        <v/>
      </c>
      <c r="CK40" s="69" t="str">
        <f t="shared" si="270"/>
        <v/>
      </c>
      <c r="CL40" s="69" t="str">
        <f t="shared" si="271"/>
        <v/>
      </c>
      <c r="CM40" s="69" t="str">
        <f t="shared" si="164"/>
        <v/>
      </c>
      <c r="CN40" s="69" t="str">
        <f t="shared" si="272"/>
        <v/>
      </c>
      <c r="CO40" s="69" t="str">
        <f t="shared" si="273"/>
        <v/>
      </c>
      <c r="CP40" s="69" t="str">
        <f t="shared" si="165"/>
        <v/>
      </c>
      <c r="CQ40" s="69" t="str">
        <f t="shared" si="274"/>
        <v/>
      </c>
      <c r="CR40" s="69" t="str">
        <f t="shared" si="275"/>
        <v/>
      </c>
      <c r="CS40" s="69" t="str">
        <f t="shared" si="166"/>
        <v/>
      </c>
      <c r="CT40" s="69" t="str">
        <f t="shared" si="276"/>
        <v/>
      </c>
      <c r="CU40" s="69" t="str">
        <f t="shared" si="277"/>
        <v/>
      </c>
      <c r="CV40" s="69" t="str">
        <f t="shared" si="167"/>
        <v/>
      </c>
      <c r="CW40" s="69" t="str">
        <f t="shared" si="278"/>
        <v/>
      </c>
      <c r="CX40" s="69" t="str">
        <f t="shared" si="279"/>
        <v/>
      </c>
      <c r="CY40" s="69" t="str">
        <f t="shared" si="168"/>
        <v/>
      </c>
      <c r="CZ40" s="69" t="str">
        <f t="shared" si="280"/>
        <v/>
      </c>
      <c r="DA40" s="69" t="str">
        <f t="shared" si="281"/>
        <v/>
      </c>
      <c r="DB40" s="69" t="str">
        <f t="shared" si="169"/>
        <v/>
      </c>
      <c r="DC40" s="69" t="str">
        <f t="shared" si="282"/>
        <v/>
      </c>
      <c r="DD40" s="69" t="str">
        <f t="shared" si="283"/>
        <v/>
      </c>
      <c r="DE40" s="69" t="str">
        <f t="shared" si="170"/>
        <v/>
      </c>
      <c r="DG40" s="69" t="str">
        <f t="shared" si="284"/>
        <v/>
      </c>
      <c r="DH40" s="69" t="str">
        <f t="shared" si="285"/>
        <v/>
      </c>
      <c r="DI40" s="69" t="str">
        <f t="shared" si="171"/>
        <v/>
      </c>
      <c r="DJ40" s="69" t="str">
        <f t="shared" si="286"/>
        <v/>
      </c>
      <c r="DK40" s="69" t="str">
        <f t="shared" si="287"/>
        <v/>
      </c>
      <c r="DL40" s="69" t="str">
        <f t="shared" si="172"/>
        <v/>
      </c>
      <c r="DM40" s="69" t="str">
        <f t="shared" si="288"/>
        <v/>
      </c>
      <c r="DN40" s="69" t="str">
        <f t="shared" si="289"/>
        <v/>
      </c>
      <c r="DO40" s="69" t="str">
        <f t="shared" si="173"/>
        <v/>
      </c>
      <c r="DP40" s="69" t="str">
        <f t="shared" si="290"/>
        <v/>
      </c>
      <c r="DQ40" s="69" t="str">
        <f t="shared" si="291"/>
        <v/>
      </c>
      <c r="DR40" s="69" t="str">
        <f t="shared" si="174"/>
        <v/>
      </c>
      <c r="DS40" s="69" t="str">
        <f t="shared" si="292"/>
        <v/>
      </c>
      <c r="DT40" s="69" t="str">
        <f t="shared" si="293"/>
        <v/>
      </c>
      <c r="DU40" s="69" t="str">
        <f t="shared" si="175"/>
        <v/>
      </c>
      <c r="DV40" s="69" t="str">
        <f t="shared" si="294"/>
        <v/>
      </c>
      <c r="DW40" s="69" t="str">
        <f t="shared" si="295"/>
        <v/>
      </c>
      <c r="DX40" s="69" t="str">
        <f t="shared" si="176"/>
        <v/>
      </c>
      <c r="DY40" s="69" t="str">
        <f t="shared" si="296"/>
        <v/>
      </c>
      <c r="DZ40" s="69" t="str">
        <f t="shared" si="297"/>
        <v/>
      </c>
      <c r="EA40" s="69" t="str">
        <f t="shared" si="177"/>
        <v/>
      </c>
      <c r="EB40" s="69" t="str">
        <f t="shared" si="298"/>
        <v/>
      </c>
      <c r="EC40" s="69" t="str">
        <f t="shared" si="299"/>
        <v/>
      </c>
      <c r="ED40" s="69" t="str">
        <f t="shared" si="178"/>
        <v/>
      </c>
      <c r="EF40" s="69" t="str">
        <f t="shared" si="300"/>
        <v/>
      </c>
      <c r="EG40" s="69" t="str">
        <f t="shared" si="301"/>
        <v/>
      </c>
      <c r="EH40" s="69" t="str">
        <f t="shared" si="179"/>
        <v/>
      </c>
      <c r="EI40" s="69" t="str">
        <f t="shared" si="302"/>
        <v/>
      </c>
      <c r="EJ40" s="69" t="str">
        <f t="shared" si="303"/>
        <v/>
      </c>
      <c r="EK40" s="69" t="str">
        <f t="shared" si="180"/>
        <v/>
      </c>
      <c r="EL40" s="69" t="str">
        <f t="shared" si="304"/>
        <v/>
      </c>
      <c r="EM40" s="69" t="str">
        <f t="shared" si="305"/>
        <v/>
      </c>
      <c r="EN40" s="69" t="str">
        <f t="shared" si="181"/>
        <v/>
      </c>
      <c r="EO40" s="69" t="str">
        <f t="shared" si="306"/>
        <v/>
      </c>
      <c r="EP40" s="69" t="str">
        <f t="shared" si="307"/>
        <v/>
      </c>
      <c r="EQ40" s="69" t="str">
        <f t="shared" si="182"/>
        <v/>
      </c>
      <c r="ER40" s="69" t="str">
        <f t="shared" si="308"/>
        <v/>
      </c>
      <c r="ES40" s="69" t="str">
        <f t="shared" si="309"/>
        <v/>
      </c>
      <c r="ET40" s="69" t="str">
        <f t="shared" si="183"/>
        <v/>
      </c>
      <c r="EU40" s="69" t="str">
        <f t="shared" si="310"/>
        <v/>
      </c>
      <c r="EV40" s="69" t="str">
        <f t="shared" si="311"/>
        <v/>
      </c>
      <c r="EW40" s="69" t="str">
        <f t="shared" si="184"/>
        <v/>
      </c>
      <c r="EX40" s="69" t="str">
        <f t="shared" si="312"/>
        <v/>
      </c>
      <c r="EY40" s="69" t="str">
        <f t="shared" si="313"/>
        <v/>
      </c>
      <c r="EZ40" s="69" t="str">
        <f t="shared" si="185"/>
        <v/>
      </c>
      <c r="FB40" s="69" t="str">
        <f t="shared" si="314"/>
        <v/>
      </c>
      <c r="FC40" s="69" t="str">
        <f t="shared" si="315"/>
        <v/>
      </c>
      <c r="FD40" s="69" t="str">
        <f t="shared" si="186"/>
        <v/>
      </c>
      <c r="FE40" s="69" t="str">
        <f t="shared" si="316"/>
        <v/>
      </c>
      <c r="FF40" s="69" t="str">
        <f t="shared" si="317"/>
        <v/>
      </c>
      <c r="FG40" s="69" t="str">
        <f t="shared" si="187"/>
        <v/>
      </c>
      <c r="FH40" s="69" t="str">
        <f t="shared" si="318"/>
        <v/>
      </c>
      <c r="FI40" s="69" t="str">
        <f t="shared" si="319"/>
        <v/>
      </c>
      <c r="FJ40" s="69" t="str">
        <f t="shared" si="188"/>
        <v/>
      </c>
      <c r="FK40" s="69" t="str">
        <f t="shared" si="320"/>
        <v/>
      </c>
      <c r="FL40" s="69" t="str">
        <f t="shared" si="321"/>
        <v/>
      </c>
      <c r="FM40" s="69" t="str">
        <f t="shared" si="189"/>
        <v/>
      </c>
      <c r="FN40" s="69" t="str">
        <f t="shared" si="322"/>
        <v/>
      </c>
      <c r="FO40" s="69" t="str">
        <f t="shared" si="323"/>
        <v/>
      </c>
      <c r="FP40" s="69" t="str">
        <f t="shared" si="190"/>
        <v/>
      </c>
      <c r="FQ40" s="69" t="str">
        <f t="shared" si="324"/>
        <v/>
      </c>
      <c r="FR40" s="69" t="str">
        <f t="shared" si="325"/>
        <v/>
      </c>
      <c r="FS40" s="69" t="str">
        <f t="shared" si="191"/>
        <v/>
      </c>
      <c r="FU40" s="69" t="str">
        <f t="shared" si="326"/>
        <v/>
      </c>
      <c r="FV40" s="69" t="str">
        <f t="shared" si="327"/>
        <v/>
      </c>
      <c r="FW40" s="69" t="str">
        <f t="shared" si="192"/>
        <v/>
      </c>
      <c r="FX40" s="69" t="str">
        <f t="shared" si="328"/>
        <v/>
      </c>
      <c r="FY40" s="69" t="str">
        <f t="shared" si="329"/>
        <v/>
      </c>
      <c r="FZ40" s="69" t="str">
        <f t="shared" si="193"/>
        <v/>
      </c>
      <c r="GA40" s="69" t="str">
        <f t="shared" si="330"/>
        <v/>
      </c>
      <c r="GB40" s="69" t="str">
        <f t="shared" si="331"/>
        <v/>
      </c>
      <c r="GC40" s="69" t="str">
        <f t="shared" si="194"/>
        <v/>
      </c>
      <c r="GD40" s="69" t="str">
        <f t="shared" si="332"/>
        <v/>
      </c>
      <c r="GE40" s="69" t="str">
        <f t="shared" si="333"/>
        <v/>
      </c>
      <c r="GF40" s="69" t="str">
        <f t="shared" si="195"/>
        <v/>
      </c>
      <c r="GG40" s="69" t="str">
        <f t="shared" si="334"/>
        <v/>
      </c>
      <c r="GH40" s="69" t="str">
        <f t="shared" si="335"/>
        <v/>
      </c>
      <c r="GI40" s="69" t="str">
        <f t="shared" si="196"/>
        <v/>
      </c>
      <c r="GK40" s="69" t="str">
        <f t="shared" si="336"/>
        <v/>
      </c>
      <c r="GL40" s="69" t="str">
        <f t="shared" si="337"/>
        <v/>
      </c>
      <c r="GM40" s="69" t="str">
        <f t="shared" si="197"/>
        <v/>
      </c>
      <c r="GN40" s="69" t="str">
        <f t="shared" si="338"/>
        <v/>
      </c>
      <c r="GO40" s="69" t="str">
        <f t="shared" si="339"/>
        <v/>
      </c>
      <c r="GP40" s="69" t="str">
        <f t="shared" si="198"/>
        <v/>
      </c>
      <c r="GQ40" s="69" t="str">
        <f t="shared" si="340"/>
        <v/>
      </c>
      <c r="GR40" s="69" t="str">
        <f t="shared" si="341"/>
        <v/>
      </c>
      <c r="GS40" s="69" t="str">
        <f t="shared" si="199"/>
        <v/>
      </c>
      <c r="GT40" s="69" t="str">
        <f t="shared" si="342"/>
        <v/>
      </c>
      <c r="GU40" s="69" t="str">
        <f t="shared" si="343"/>
        <v/>
      </c>
      <c r="GV40" s="69" t="str">
        <f t="shared" si="200"/>
        <v/>
      </c>
      <c r="GX40" s="69" t="str">
        <f t="shared" si="201"/>
        <v/>
      </c>
      <c r="GY40" s="69" t="str">
        <f t="shared" si="202"/>
        <v/>
      </c>
      <c r="GZ40" s="69" t="str">
        <f t="shared" si="203"/>
        <v/>
      </c>
      <c r="HA40" s="69" t="str">
        <f t="shared" si="204"/>
        <v/>
      </c>
      <c r="HB40" s="69" t="str">
        <f t="shared" si="205"/>
        <v/>
      </c>
      <c r="HC40" s="69" t="str">
        <f t="shared" si="206"/>
        <v/>
      </c>
      <c r="HD40" s="69" t="str">
        <f t="shared" si="207"/>
        <v/>
      </c>
      <c r="HE40" s="69" t="str">
        <f t="shared" si="208"/>
        <v/>
      </c>
      <c r="HF40" s="69" t="str">
        <f t="shared" si="209"/>
        <v/>
      </c>
      <c r="HH40" s="69" t="str">
        <f t="shared" si="210"/>
        <v/>
      </c>
      <c r="HI40" s="69" t="str">
        <f t="shared" si="211"/>
        <v/>
      </c>
      <c r="HJ40" s="69" t="str">
        <f t="shared" si="212"/>
        <v/>
      </c>
      <c r="HK40" s="69" t="str">
        <f t="shared" si="213"/>
        <v/>
      </c>
      <c r="HL40" s="69" t="str">
        <f t="shared" si="214"/>
        <v/>
      </c>
      <c r="HM40" s="69" t="str">
        <f t="shared" si="215"/>
        <v/>
      </c>
      <c r="HO40" s="69" t="str">
        <f t="shared" si="216"/>
        <v/>
      </c>
      <c r="HP40" s="69" t="str">
        <f t="shared" si="217"/>
        <v/>
      </c>
      <c r="HQ40" s="69" t="str">
        <f t="shared" si="218"/>
        <v/>
      </c>
      <c r="HS40" s="69" t="str">
        <f t="shared" si="344"/>
        <v/>
      </c>
      <c r="HT40" s="69" t="str">
        <f t="shared" si="345"/>
        <v/>
      </c>
      <c r="HU40" s="69" t="str">
        <f t="shared" si="219"/>
        <v/>
      </c>
      <c r="HV40" s="69" t="str">
        <f t="shared" si="346"/>
        <v/>
      </c>
      <c r="HW40" s="69" t="str">
        <f t="shared" si="347"/>
        <v/>
      </c>
      <c r="HX40" s="69" t="str">
        <f t="shared" si="220"/>
        <v/>
      </c>
      <c r="HY40" s="69" t="str">
        <f t="shared" si="348"/>
        <v/>
      </c>
      <c r="HZ40" s="69" t="str">
        <f t="shared" si="349"/>
        <v/>
      </c>
      <c r="IA40" s="69" t="str">
        <f t="shared" si="221"/>
        <v/>
      </c>
      <c r="IB40" s="69" t="str">
        <f t="shared" si="350"/>
        <v/>
      </c>
      <c r="IC40" s="69" t="str">
        <f t="shared" si="351"/>
        <v/>
      </c>
      <c r="ID40" s="69" t="str">
        <f t="shared" si="222"/>
        <v/>
      </c>
      <c r="IE40" s="69" t="str">
        <f t="shared" si="352"/>
        <v/>
      </c>
      <c r="IF40" s="69" t="str">
        <f t="shared" si="353"/>
        <v/>
      </c>
      <c r="IG40" s="69" t="str">
        <f t="shared" si="223"/>
        <v/>
      </c>
      <c r="IH40" s="69" t="str">
        <f t="shared" si="354"/>
        <v/>
      </c>
      <c r="II40" s="69" t="str">
        <f t="shared" si="355"/>
        <v/>
      </c>
      <c r="IJ40" s="69" t="str">
        <f t="shared" si="224"/>
        <v/>
      </c>
      <c r="IK40" s="69" t="str">
        <f t="shared" si="356"/>
        <v/>
      </c>
      <c r="IL40" s="69" t="str">
        <f t="shared" si="357"/>
        <v/>
      </c>
      <c r="IM40" s="69" t="str">
        <f t="shared" si="225"/>
        <v/>
      </c>
      <c r="IN40" s="69" t="str">
        <f t="shared" si="226"/>
        <v/>
      </c>
      <c r="IO40" s="69" t="str">
        <f t="shared" si="227"/>
        <v/>
      </c>
      <c r="IP40" s="69" t="str">
        <f t="shared" si="228"/>
        <v/>
      </c>
      <c r="IQ40" s="69" t="str">
        <f t="shared" si="229"/>
        <v/>
      </c>
      <c r="IR40" s="69" t="str">
        <f t="shared" si="230"/>
        <v/>
      </c>
      <c r="IS40" s="69" t="str">
        <f t="shared" si="231"/>
        <v/>
      </c>
      <c r="IT40" s="69" t="str">
        <f t="shared" si="232"/>
        <v/>
      </c>
      <c r="IU40" s="69" t="str">
        <f t="shared" si="233"/>
        <v/>
      </c>
      <c r="IV40" s="69" t="str">
        <f t="shared" si="234"/>
        <v/>
      </c>
    </row>
    <row r="41" spans="1:256" x14ac:dyDescent="0.2">
      <c r="A41" s="57" t="s">
        <v>44</v>
      </c>
      <c r="B41" s="178"/>
      <c r="C41" s="179"/>
      <c r="D41" s="179"/>
      <c r="E41" s="179"/>
      <c r="F41" s="179"/>
      <c r="G41" s="180"/>
      <c r="H41" s="180"/>
      <c r="I41" s="181"/>
      <c r="J41" s="182"/>
      <c r="K41" s="186"/>
      <c r="L41" s="68">
        <f t="shared" si="237"/>
        <v>0</v>
      </c>
      <c r="M41" s="69" t="str">
        <f t="shared" si="238"/>
        <v/>
      </c>
      <c r="N41" s="69" t="str">
        <f t="shared" si="358"/>
        <v/>
      </c>
      <c r="O41" s="69" t="str">
        <f t="shared" si="122"/>
        <v/>
      </c>
      <c r="P41" s="69" t="str">
        <f t="shared" si="235"/>
        <v/>
      </c>
      <c r="Q41" s="70" t="str">
        <f t="shared" si="239"/>
        <v/>
      </c>
      <c r="R41" s="71" t="str">
        <f t="shared" si="124"/>
        <v/>
      </c>
      <c r="S41" s="71" t="str">
        <f t="shared" si="125"/>
        <v/>
      </c>
      <c r="T41" s="70" t="str">
        <f t="shared" si="240"/>
        <v/>
      </c>
      <c r="U41" s="71" t="str">
        <f t="shared" si="126"/>
        <v/>
      </c>
      <c r="V41" s="71" t="str">
        <f t="shared" si="127"/>
        <v/>
      </c>
      <c r="W41" s="70" t="str">
        <f t="shared" si="241"/>
        <v/>
      </c>
      <c r="X41" s="71" t="str">
        <f t="shared" si="128"/>
        <v/>
      </c>
      <c r="Y41" s="71" t="str">
        <f t="shared" si="129"/>
        <v/>
      </c>
      <c r="Z41" s="70" t="str">
        <f t="shared" si="242"/>
        <v/>
      </c>
      <c r="AA41" s="71" t="str">
        <f t="shared" si="130"/>
        <v/>
      </c>
      <c r="AB41" s="71" t="str">
        <f t="shared" si="131"/>
        <v/>
      </c>
      <c r="AC41" s="70" t="str">
        <f t="shared" si="243"/>
        <v/>
      </c>
      <c r="AD41" s="71" t="str">
        <f t="shared" si="132"/>
        <v/>
      </c>
      <c r="AE41" s="71" t="str">
        <f t="shared" si="133"/>
        <v/>
      </c>
      <c r="AF41" s="70" t="str">
        <f t="shared" si="244"/>
        <v/>
      </c>
      <c r="AG41" s="71" t="str">
        <f t="shared" si="134"/>
        <v/>
      </c>
      <c r="AH41" s="71" t="str">
        <f t="shared" si="135"/>
        <v/>
      </c>
      <c r="AI41" s="70" t="str">
        <f t="shared" si="245"/>
        <v/>
      </c>
      <c r="AJ41" s="71" t="str">
        <f t="shared" si="136"/>
        <v/>
      </c>
      <c r="AK41" s="71" t="str">
        <f t="shared" si="137"/>
        <v/>
      </c>
      <c r="AL41" s="70" t="str">
        <f t="shared" si="138"/>
        <v/>
      </c>
      <c r="AM41" s="71" t="str">
        <f t="shared" si="139"/>
        <v/>
      </c>
      <c r="AN41" s="71" t="str">
        <f t="shared" si="140"/>
        <v/>
      </c>
      <c r="AO41" s="70" t="str">
        <f t="shared" si="141"/>
        <v/>
      </c>
      <c r="AP41" s="71" t="str">
        <f t="shared" si="142"/>
        <v/>
      </c>
      <c r="AQ41" s="71" t="str">
        <f t="shared" si="143"/>
        <v/>
      </c>
      <c r="AR41" s="70" t="str">
        <f t="shared" si="144"/>
        <v/>
      </c>
      <c r="AS41" s="71" t="str">
        <f t="shared" si="145"/>
        <v/>
      </c>
      <c r="AT41" s="71" t="str">
        <f t="shared" si="146"/>
        <v/>
      </c>
      <c r="AU41" s="69" t="str">
        <f t="shared" si="147"/>
        <v/>
      </c>
      <c r="AV41" s="131" t="str">
        <f t="shared" si="148"/>
        <v/>
      </c>
      <c r="AW41" s="69" t="str">
        <f t="shared" si="236"/>
        <v/>
      </c>
      <c r="AX41" s="132" t="str">
        <f t="shared" si="150"/>
        <v/>
      </c>
      <c r="AY41" s="132" t="str">
        <f t="shared" si="151"/>
        <v/>
      </c>
      <c r="AZ41" s="69" t="str">
        <f t="shared" si="246"/>
        <v/>
      </c>
      <c r="BA41" s="69" t="str">
        <f t="shared" si="247"/>
        <v/>
      </c>
      <c r="BB41" s="69" t="str">
        <f t="shared" si="152"/>
        <v/>
      </c>
      <c r="BC41" s="69" t="str">
        <f t="shared" si="248"/>
        <v/>
      </c>
      <c r="BD41" s="69" t="str">
        <f t="shared" si="249"/>
        <v/>
      </c>
      <c r="BE41" s="69" t="str">
        <f t="shared" si="153"/>
        <v/>
      </c>
      <c r="BF41" s="69" t="str">
        <f t="shared" si="250"/>
        <v/>
      </c>
      <c r="BG41" s="69" t="str">
        <f t="shared" si="251"/>
        <v/>
      </c>
      <c r="BH41" s="69" t="str">
        <f t="shared" si="154"/>
        <v/>
      </c>
      <c r="BI41" s="69" t="str">
        <f t="shared" si="252"/>
        <v/>
      </c>
      <c r="BJ41" s="69" t="str">
        <f t="shared" si="253"/>
        <v/>
      </c>
      <c r="BK41" s="69" t="str">
        <f t="shared" si="155"/>
        <v/>
      </c>
      <c r="BL41" s="69" t="str">
        <f t="shared" si="254"/>
        <v/>
      </c>
      <c r="BM41" s="69" t="str">
        <f t="shared" si="255"/>
        <v/>
      </c>
      <c r="BN41" s="69" t="str">
        <f t="shared" si="156"/>
        <v/>
      </c>
      <c r="BO41" s="69" t="str">
        <f t="shared" si="256"/>
        <v/>
      </c>
      <c r="BP41" s="69" t="str">
        <f t="shared" si="257"/>
        <v/>
      </c>
      <c r="BQ41" s="69" t="str">
        <f t="shared" si="157"/>
        <v/>
      </c>
      <c r="BR41" s="69" t="str">
        <f t="shared" si="258"/>
        <v/>
      </c>
      <c r="BS41" s="69" t="str">
        <f t="shared" si="259"/>
        <v/>
      </c>
      <c r="BT41" s="69" t="str">
        <f t="shared" si="158"/>
        <v/>
      </c>
      <c r="BU41" s="69" t="str">
        <f t="shared" si="260"/>
        <v/>
      </c>
      <c r="BV41" s="69" t="str">
        <f t="shared" si="261"/>
        <v/>
      </c>
      <c r="BW41" s="69" t="str">
        <f t="shared" si="159"/>
        <v/>
      </c>
      <c r="BX41" s="69" t="str">
        <f t="shared" si="262"/>
        <v/>
      </c>
      <c r="BY41" s="69" t="str">
        <f t="shared" si="263"/>
        <v/>
      </c>
      <c r="BZ41" s="69" t="str">
        <f t="shared" si="160"/>
        <v/>
      </c>
      <c r="CA41" s="69" t="str">
        <f t="shared" si="264"/>
        <v/>
      </c>
      <c r="CB41" s="69" t="str">
        <f t="shared" si="265"/>
        <v/>
      </c>
      <c r="CC41" s="69" t="str">
        <f t="shared" si="161"/>
        <v/>
      </c>
      <c r="CE41" s="69" t="str">
        <f t="shared" si="266"/>
        <v/>
      </c>
      <c r="CF41" s="69" t="str">
        <f t="shared" si="267"/>
        <v/>
      </c>
      <c r="CG41" s="69" t="str">
        <f t="shared" si="162"/>
        <v/>
      </c>
      <c r="CH41" s="69" t="str">
        <f t="shared" si="268"/>
        <v/>
      </c>
      <c r="CI41" s="69" t="str">
        <f t="shared" si="269"/>
        <v/>
      </c>
      <c r="CJ41" s="69" t="str">
        <f t="shared" si="163"/>
        <v/>
      </c>
      <c r="CK41" s="69" t="str">
        <f t="shared" si="270"/>
        <v/>
      </c>
      <c r="CL41" s="69" t="str">
        <f t="shared" si="271"/>
        <v/>
      </c>
      <c r="CM41" s="69" t="str">
        <f t="shared" si="164"/>
        <v/>
      </c>
      <c r="CN41" s="69" t="str">
        <f t="shared" si="272"/>
        <v/>
      </c>
      <c r="CO41" s="69" t="str">
        <f t="shared" si="273"/>
        <v/>
      </c>
      <c r="CP41" s="69" t="str">
        <f t="shared" si="165"/>
        <v/>
      </c>
      <c r="CQ41" s="69" t="str">
        <f t="shared" si="274"/>
        <v/>
      </c>
      <c r="CR41" s="69" t="str">
        <f t="shared" si="275"/>
        <v/>
      </c>
      <c r="CS41" s="69" t="str">
        <f t="shared" si="166"/>
        <v/>
      </c>
      <c r="CT41" s="69" t="str">
        <f t="shared" si="276"/>
        <v/>
      </c>
      <c r="CU41" s="69" t="str">
        <f t="shared" si="277"/>
        <v/>
      </c>
      <c r="CV41" s="69" t="str">
        <f t="shared" si="167"/>
        <v/>
      </c>
      <c r="CW41" s="69" t="str">
        <f t="shared" si="278"/>
        <v/>
      </c>
      <c r="CX41" s="69" t="str">
        <f t="shared" si="279"/>
        <v/>
      </c>
      <c r="CY41" s="69" t="str">
        <f t="shared" si="168"/>
        <v/>
      </c>
      <c r="CZ41" s="69" t="str">
        <f t="shared" si="280"/>
        <v/>
      </c>
      <c r="DA41" s="69" t="str">
        <f t="shared" si="281"/>
        <v/>
      </c>
      <c r="DB41" s="69" t="str">
        <f t="shared" si="169"/>
        <v/>
      </c>
      <c r="DC41" s="69" t="str">
        <f t="shared" si="282"/>
        <v/>
      </c>
      <c r="DD41" s="69" t="str">
        <f t="shared" si="283"/>
        <v/>
      </c>
      <c r="DE41" s="69" t="str">
        <f t="shared" si="170"/>
        <v/>
      </c>
      <c r="DG41" s="69" t="str">
        <f t="shared" si="284"/>
        <v/>
      </c>
      <c r="DH41" s="69" t="str">
        <f t="shared" si="285"/>
        <v/>
      </c>
      <c r="DI41" s="69" t="str">
        <f t="shared" si="171"/>
        <v/>
      </c>
      <c r="DJ41" s="69" t="str">
        <f t="shared" si="286"/>
        <v/>
      </c>
      <c r="DK41" s="69" t="str">
        <f t="shared" si="287"/>
        <v/>
      </c>
      <c r="DL41" s="69" t="str">
        <f t="shared" si="172"/>
        <v/>
      </c>
      <c r="DM41" s="69" t="str">
        <f t="shared" si="288"/>
        <v/>
      </c>
      <c r="DN41" s="69" t="str">
        <f t="shared" si="289"/>
        <v/>
      </c>
      <c r="DO41" s="69" t="str">
        <f t="shared" si="173"/>
        <v/>
      </c>
      <c r="DP41" s="69" t="str">
        <f t="shared" si="290"/>
        <v/>
      </c>
      <c r="DQ41" s="69" t="str">
        <f t="shared" si="291"/>
        <v/>
      </c>
      <c r="DR41" s="69" t="str">
        <f t="shared" si="174"/>
        <v/>
      </c>
      <c r="DS41" s="69" t="str">
        <f t="shared" si="292"/>
        <v/>
      </c>
      <c r="DT41" s="69" t="str">
        <f t="shared" si="293"/>
        <v/>
      </c>
      <c r="DU41" s="69" t="str">
        <f t="shared" si="175"/>
        <v/>
      </c>
      <c r="DV41" s="69" t="str">
        <f t="shared" si="294"/>
        <v/>
      </c>
      <c r="DW41" s="69" t="str">
        <f t="shared" si="295"/>
        <v/>
      </c>
      <c r="DX41" s="69" t="str">
        <f t="shared" si="176"/>
        <v/>
      </c>
      <c r="DY41" s="69" t="str">
        <f t="shared" si="296"/>
        <v/>
      </c>
      <c r="DZ41" s="69" t="str">
        <f t="shared" si="297"/>
        <v/>
      </c>
      <c r="EA41" s="69" t="str">
        <f t="shared" si="177"/>
        <v/>
      </c>
      <c r="EB41" s="69" t="str">
        <f t="shared" si="298"/>
        <v/>
      </c>
      <c r="EC41" s="69" t="str">
        <f t="shared" si="299"/>
        <v/>
      </c>
      <c r="ED41" s="69" t="str">
        <f t="shared" si="178"/>
        <v/>
      </c>
      <c r="EF41" s="69" t="str">
        <f t="shared" si="300"/>
        <v/>
      </c>
      <c r="EG41" s="69" t="str">
        <f t="shared" si="301"/>
        <v/>
      </c>
      <c r="EH41" s="69" t="str">
        <f t="shared" si="179"/>
        <v/>
      </c>
      <c r="EI41" s="69" t="str">
        <f t="shared" si="302"/>
        <v/>
      </c>
      <c r="EJ41" s="69" t="str">
        <f t="shared" si="303"/>
        <v/>
      </c>
      <c r="EK41" s="69" t="str">
        <f t="shared" si="180"/>
        <v/>
      </c>
      <c r="EL41" s="69" t="str">
        <f t="shared" si="304"/>
        <v/>
      </c>
      <c r="EM41" s="69" t="str">
        <f t="shared" si="305"/>
        <v/>
      </c>
      <c r="EN41" s="69" t="str">
        <f t="shared" si="181"/>
        <v/>
      </c>
      <c r="EO41" s="69" t="str">
        <f t="shared" si="306"/>
        <v/>
      </c>
      <c r="EP41" s="69" t="str">
        <f t="shared" si="307"/>
        <v/>
      </c>
      <c r="EQ41" s="69" t="str">
        <f t="shared" si="182"/>
        <v/>
      </c>
      <c r="ER41" s="69" t="str">
        <f t="shared" si="308"/>
        <v/>
      </c>
      <c r="ES41" s="69" t="str">
        <f t="shared" si="309"/>
        <v/>
      </c>
      <c r="ET41" s="69" t="str">
        <f t="shared" si="183"/>
        <v/>
      </c>
      <c r="EU41" s="69" t="str">
        <f t="shared" si="310"/>
        <v/>
      </c>
      <c r="EV41" s="69" t="str">
        <f t="shared" si="311"/>
        <v/>
      </c>
      <c r="EW41" s="69" t="str">
        <f t="shared" si="184"/>
        <v/>
      </c>
      <c r="EX41" s="69" t="str">
        <f t="shared" si="312"/>
        <v/>
      </c>
      <c r="EY41" s="69" t="str">
        <f t="shared" si="313"/>
        <v/>
      </c>
      <c r="EZ41" s="69" t="str">
        <f t="shared" si="185"/>
        <v/>
      </c>
      <c r="FB41" s="69" t="str">
        <f t="shared" si="314"/>
        <v/>
      </c>
      <c r="FC41" s="69" t="str">
        <f t="shared" si="315"/>
        <v/>
      </c>
      <c r="FD41" s="69" t="str">
        <f t="shared" si="186"/>
        <v/>
      </c>
      <c r="FE41" s="69" t="str">
        <f t="shared" si="316"/>
        <v/>
      </c>
      <c r="FF41" s="69" t="str">
        <f t="shared" si="317"/>
        <v/>
      </c>
      <c r="FG41" s="69" t="str">
        <f t="shared" si="187"/>
        <v/>
      </c>
      <c r="FH41" s="69" t="str">
        <f t="shared" si="318"/>
        <v/>
      </c>
      <c r="FI41" s="69" t="str">
        <f t="shared" si="319"/>
        <v/>
      </c>
      <c r="FJ41" s="69" t="str">
        <f t="shared" si="188"/>
        <v/>
      </c>
      <c r="FK41" s="69" t="str">
        <f t="shared" si="320"/>
        <v/>
      </c>
      <c r="FL41" s="69" t="str">
        <f t="shared" si="321"/>
        <v/>
      </c>
      <c r="FM41" s="69" t="str">
        <f t="shared" si="189"/>
        <v/>
      </c>
      <c r="FN41" s="69" t="str">
        <f t="shared" si="322"/>
        <v/>
      </c>
      <c r="FO41" s="69" t="str">
        <f t="shared" si="323"/>
        <v/>
      </c>
      <c r="FP41" s="69" t="str">
        <f t="shared" si="190"/>
        <v/>
      </c>
      <c r="FQ41" s="69" t="str">
        <f t="shared" si="324"/>
        <v/>
      </c>
      <c r="FR41" s="69" t="str">
        <f t="shared" si="325"/>
        <v/>
      </c>
      <c r="FS41" s="69" t="str">
        <f t="shared" si="191"/>
        <v/>
      </c>
      <c r="FU41" s="69" t="str">
        <f t="shared" si="326"/>
        <v/>
      </c>
      <c r="FV41" s="69" t="str">
        <f t="shared" si="327"/>
        <v/>
      </c>
      <c r="FW41" s="69" t="str">
        <f t="shared" si="192"/>
        <v/>
      </c>
      <c r="FX41" s="69" t="str">
        <f t="shared" si="328"/>
        <v/>
      </c>
      <c r="FY41" s="69" t="str">
        <f t="shared" si="329"/>
        <v/>
      </c>
      <c r="FZ41" s="69" t="str">
        <f t="shared" si="193"/>
        <v/>
      </c>
      <c r="GA41" s="69" t="str">
        <f t="shared" si="330"/>
        <v/>
      </c>
      <c r="GB41" s="69" t="str">
        <f t="shared" si="331"/>
        <v/>
      </c>
      <c r="GC41" s="69" t="str">
        <f t="shared" si="194"/>
        <v/>
      </c>
      <c r="GD41" s="69" t="str">
        <f t="shared" si="332"/>
        <v/>
      </c>
      <c r="GE41" s="69" t="str">
        <f t="shared" si="333"/>
        <v/>
      </c>
      <c r="GF41" s="69" t="str">
        <f t="shared" si="195"/>
        <v/>
      </c>
      <c r="GG41" s="69" t="str">
        <f t="shared" si="334"/>
        <v/>
      </c>
      <c r="GH41" s="69" t="str">
        <f t="shared" si="335"/>
        <v/>
      </c>
      <c r="GI41" s="69" t="str">
        <f t="shared" si="196"/>
        <v/>
      </c>
      <c r="GK41" s="69" t="str">
        <f t="shared" si="336"/>
        <v/>
      </c>
      <c r="GL41" s="69" t="str">
        <f t="shared" si="337"/>
        <v/>
      </c>
      <c r="GM41" s="69" t="str">
        <f t="shared" si="197"/>
        <v/>
      </c>
      <c r="GN41" s="69" t="str">
        <f t="shared" si="338"/>
        <v/>
      </c>
      <c r="GO41" s="69" t="str">
        <f t="shared" si="339"/>
        <v/>
      </c>
      <c r="GP41" s="69" t="str">
        <f t="shared" si="198"/>
        <v/>
      </c>
      <c r="GQ41" s="69" t="str">
        <f t="shared" si="340"/>
        <v/>
      </c>
      <c r="GR41" s="69" t="str">
        <f t="shared" si="341"/>
        <v/>
      </c>
      <c r="GS41" s="69" t="str">
        <f t="shared" si="199"/>
        <v/>
      </c>
      <c r="GT41" s="69" t="str">
        <f t="shared" si="342"/>
        <v/>
      </c>
      <c r="GU41" s="69" t="str">
        <f t="shared" si="343"/>
        <v/>
      </c>
      <c r="GV41" s="69" t="str">
        <f t="shared" si="200"/>
        <v/>
      </c>
      <c r="GX41" s="69" t="str">
        <f t="shared" si="201"/>
        <v/>
      </c>
      <c r="GY41" s="69" t="str">
        <f t="shared" si="202"/>
        <v/>
      </c>
      <c r="GZ41" s="69" t="str">
        <f t="shared" si="203"/>
        <v/>
      </c>
      <c r="HA41" s="69" t="str">
        <f t="shared" si="204"/>
        <v/>
      </c>
      <c r="HB41" s="69" t="str">
        <f t="shared" si="205"/>
        <v/>
      </c>
      <c r="HC41" s="69" t="str">
        <f t="shared" si="206"/>
        <v/>
      </c>
      <c r="HD41" s="69" t="str">
        <f t="shared" si="207"/>
        <v/>
      </c>
      <c r="HE41" s="69" t="str">
        <f t="shared" si="208"/>
        <v/>
      </c>
      <c r="HF41" s="69" t="str">
        <f t="shared" si="209"/>
        <v/>
      </c>
      <c r="HH41" s="69" t="str">
        <f t="shared" si="210"/>
        <v/>
      </c>
      <c r="HI41" s="69" t="str">
        <f t="shared" si="211"/>
        <v/>
      </c>
      <c r="HJ41" s="69" t="str">
        <f t="shared" si="212"/>
        <v/>
      </c>
      <c r="HK41" s="69" t="str">
        <f t="shared" si="213"/>
        <v/>
      </c>
      <c r="HL41" s="69" t="str">
        <f t="shared" si="214"/>
        <v/>
      </c>
      <c r="HM41" s="69" t="str">
        <f t="shared" si="215"/>
        <v/>
      </c>
      <c r="HO41" s="69" t="str">
        <f t="shared" si="216"/>
        <v/>
      </c>
      <c r="HP41" s="69" t="str">
        <f t="shared" si="217"/>
        <v/>
      </c>
      <c r="HQ41" s="69" t="str">
        <f t="shared" si="218"/>
        <v/>
      </c>
      <c r="HS41" s="69" t="str">
        <f t="shared" si="344"/>
        <v/>
      </c>
      <c r="HT41" s="69" t="str">
        <f t="shared" si="345"/>
        <v/>
      </c>
      <c r="HU41" s="69" t="str">
        <f t="shared" si="219"/>
        <v/>
      </c>
      <c r="HV41" s="69" t="str">
        <f t="shared" si="346"/>
        <v/>
      </c>
      <c r="HW41" s="69" t="str">
        <f t="shared" si="347"/>
        <v/>
      </c>
      <c r="HX41" s="69" t="str">
        <f t="shared" si="220"/>
        <v/>
      </c>
      <c r="HY41" s="69" t="str">
        <f t="shared" si="348"/>
        <v/>
      </c>
      <c r="HZ41" s="69" t="str">
        <f t="shared" si="349"/>
        <v/>
      </c>
      <c r="IA41" s="69" t="str">
        <f t="shared" si="221"/>
        <v/>
      </c>
      <c r="IB41" s="69" t="str">
        <f t="shared" si="350"/>
        <v/>
      </c>
      <c r="IC41" s="69" t="str">
        <f t="shared" si="351"/>
        <v/>
      </c>
      <c r="ID41" s="69" t="str">
        <f t="shared" si="222"/>
        <v/>
      </c>
      <c r="IE41" s="69" t="str">
        <f t="shared" si="352"/>
        <v/>
      </c>
      <c r="IF41" s="69" t="str">
        <f t="shared" si="353"/>
        <v/>
      </c>
      <c r="IG41" s="69" t="str">
        <f t="shared" si="223"/>
        <v/>
      </c>
      <c r="IH41" s="69" t="str">
        <f t="shared" si="354"/>
        <v/>
      </c>
      <c r="II41" s="69" t="str">
        <f t="shared" si="355"/>
        <v/>
      </c>
      <c r="IJ41" s="69" t="str">
        <f t="shared" si="224"/>
        <v/>
      </c>
      <c r="IK41" s="69" t="str">
        <f t="shared" si="356"/>
        <v/>
      </c>
      <c r="IL41" s="69" t="str">
        <f t="shared" si="357"/>
        <v/>
      </c>
      <c r="IM41" s="69" t="str">
        <f t="shared" si="225"/>
        <v/>
      </c>
      <c r="IN41" s="69" t="str">
        <f t="shared" si="226"/>
        <v/>
      </c>
      <c r="IO41" s="69" t="str">
        <f t="shared" si="227"/>
        <v/>
      </c>
      <c r="IP41" s="69" t="str">
        <f t="shared" si="228"/>
        <v/>
      </c>
      <c r="IQ41" s="69" t="str">
        <f t="shared" si="229"/>
        <v/>
      </c>
      <c r="IR41" s="69" t="str">
        <f t="shared" si="230"/>
        <v/>
      </c>
      <c r="IS41" s="69" t="str">
        <f t="shared" si="231"/>
        <v/>
      </c>
      <c r="IT41" s="69" t="str">
        <f t="shared" si="232"/>
        <v/>
      </c>
      <c r="IU41" s="69" t="str">
        <f t="shared" si="233"/>
        <v/>
      </c>
      <c r="IV41" s="69" t="str">
        <f t="shared" si="234"/>
        <v/>
      </c>
    </row>
    <row r="42" spans="1:256" ht="13.15" customHeight="1" x14ac:dyDescent="0.2">
      <c r="A42" s="57" t="s">
        <v>45</v>
      </c>
      <c r="B42" s="178"/>
      <c r="C42" s="179"/>
      <c r="D42" s="179"/>
      <c r="E42" s="179"/>
      <c r="F42" s="179"/>
      <c r="G42" s="180"/>
      <c r="H42" s="180"/>
      <c r="I42" s="181"/>
      <c r="J42" s="187"/>
      <c r="K42" s="186"/>
      <c r="L42" s="68">
        <f t="shared" si="237"/>
        <v>0</v>
      </c>
      <c r="M42" s="69" t="str">
        <f t="shared" si="238"/>
        <v/>
      </c>
      <c r="N42" s="69" t="str">
        <f t="shared" si="358"/>
        <v/>
      </c>
      <c r="O42" s="69" t="str">
        <f t="shared" si="122"/>
        <v/>
      </c>
      <c r="P42" s="69" t="str">
        <f t="shared" si="235"/>
        <v/>
      </c>
      <c r="Q42" s="70" t="str">
        <f t="shared" si="239"/>
        <v/>
      </c>
      <c r="R42" s="71" t="str">
        <f t="shared" si="124"/>
        <v/>
      </c>
      <c r="S42" s="71" t="str">
        <f t="shared" si="125"/>
        <v/>
      </c>
      <c r="T42" s="70" t="str">
        <f t="shared" si="240"/>
        <v/>
      </c>
      <c r="U42" s="71" t="str">
        <f t="shared" si="126"/>
        <v/>
      </c>
      <c r="V42" s="71" t="str">
        <f t="shared" si="127"/>
        <v/>
      </c>
      <c r="W42" s="70" t="str">
        <f t="shared" si="241"/>
        <v/>
      </c>
      <c r="X42" s="71" t="str">
        <f t="shared" si="128"/>
        <v/>
      </c>
      <c r="Y42" s="71" t="str">
        <f t="shared" si="129"/>
        <v/>
      </c>
      <c r="Z42" s="70" t="str">
        <f t="shared" si="242"/>
        <v/>
      </c>
      <c r="AA42" s="71" t="str">
        <f t="shared" si="130"/>
        <v/>
      </c>
      <c r="AB42" s="71" t="str">
        <f t="shared" si="131"/>
        <v/>
      </c>
      <c r="AC42" s="70" t="str">
        <f t="shared" si="243"/>
        <v/>
      </c>
      <c r="AD42" s="71" t="str">
        <f t="shared" si="132"/>
        <v/>
      </c>
      <c r="AE42" s="71" t="str">
        <f t="shared" si="133"/>
        <v/>
      </c>
      <c r="AF42" s="70" t="str">
        <f t="shared" si="244"/>
        <v/>
      </c>
      <c r="AG42" s="71" t="str">
        <f t="shared" si="134"/>
        <v/>
      </c>
      <c r="AH42" s="71" t="str">
        <f t="shared" si="135"/>
        <v/>
      </c>
      <c r="AI42" s="70" t="str">
        <f t="shared" si="245"/>
        <v/>
      </c>
      <c r="AJ42" s="71" t="str">
        <f t="shared" si="136"/>
        <v/>
      </c>
      <c r="AK42" s="71" t="str">
        <f t="shared" si="137"/>
        <v/>
      </c>
      <c r="AL42" s="70" t="str">
        <f t="shared" si="138"/>
        <v/>
      </c>
      <c r="AM42" s="71" t="str">
        <f t="shared" si="139"/>
        <v/>
      </c>
      <c r="AN42" s="71" t="str">
        <f t="shared" si="140"/>
        <v/>
      </c>
      <c r="AO42" s="70" t="str">
        <f t="shared" si="141"/>
        <v/>
      </c>
      <c r="AP42" s="71" t="str">
        <f t="shared" si="142"/>
        <v/>
      </c>
      <c r="AQ42" s="71" t="str">
        <f t="shared" si="143"/>
        <v/>
      </c>
      <c r="AR42" s="70" t="str">
        <f t="shared" si="144"/>
        <v/>
      </c>
      <c r="AS42" s="71" t="str">
        <f t="shared" si="145"/>
        <v/>
      </c>
      <c r="AT42" s="71" t="str">
        <f t="shared" si="146"/>
        <v/>
      </c>
      <c r="AU42" s="69" t="str">
        <f t="shared" si="147"/>
        <v/>
      </c>
      <c r="AV42" s="131" t="str">
        <f t="shared" si="148"/>
        <v/>
      </c>
      <c r="AW42" s="69" t="str">
        <f t="shared" si="236"/>
        <v/>
      </c>
      <c r="AX42" s="132" t="str">
        <f t="shared" si="150"/>
        <v/>
      </c>
      <c r="AY42" s="132" t="str">
        <f t="shared" si="151"/>
        <v/>
      </c>
      <c r="AZ42" s="69" t="str">
        <f t="shared" si="246"/>
        <v/>
      </c>
      <c r="BA42" s="69" t="str">
        <f t="shared" si="247"/>
        <v/>
      </c>
      <c r="BB42" s="69" t="str">
        <f t="shared" si="152"/>
        <v/>
      </c>
      <c r="BC42" s="69" t="str">
        <f t="shared" si="248"/>
        <v/>
      </c>
      <c r="BD42" s="69" t="str">
        <f t="shared" si="249"/>
        <v/>
      </c>
      <c r="BE42" s="69" t="str">
        <f t="shared" si="153"/>
        <v/>
      </c>
      <c r="BF42" s="69" t="str">
        <f t="shared" si="250"/>
        <v/>
      </c>
      <c r="BG42" s="69" t="str">
        <f t="shared" si="251"/>
        <v/>
      </c>
      <c r="BH42" s="69" t="str">
        <f t="shared" si="154"/>
        <v/>
      </c>
      <c r="BI42" s="69" t="str">
        <f t="shared" si="252"/>
        <v/>
      </c>
      <c r="BJ42" s="69" t="str">
        <f t="shared" si="253"/>
        <v/>
      </c>
      <c r="BK42" s="69" t="str">
        <f t="shared" si="155"/>
        <v/>
      </c>
      <c r="BL42" s="69" t="str">
        <f t="shared" si="254"/>
        <v/>
      </c>
      <c r="BM42" s="69" t="str">
        <f t="shared" si="255"/>
        <v/>
      </c>
      <c r="BN42" s="69" t="str">
        <f t="shared" si="156"/>
        <v/>
      </c>
      <c r="BO42" s="69" t="str">
        <f t="shared" si="256"/>
        <v/>
      </c>
      <c r="BP42" s="69" t="str">
        <f t="shared" si="257"/>
        <v/>
      </c>
      <c r="BQ42" s="69" t="str">
        <f t="shared" si="157"/>
        <v/>
      </c>
      <c r="BR42" s="69" t="str">
        <f t="shared" si="258"/>
        <v/>
      </c>
      <c r="BS42" s="69" t="str">
        <f t="shared" si="259"/>
        <v/>
      </c>
      <c r="BT42" s="69" t="str">
        <f t="shared" si="158"/>
        <v/>
      </c>
      <c r="BU42" s="69" t="str">
        <f t="shared" si="260"/>
        <v/>
      </c>
      <c r="BV42" s="69" t="str">
        <f t="shared" si="261"/>
        <v/>
      </c>
      <c r="BW42" s="69" t="str">
        <f t="shared" si="159"/>
        <v/>
      </c>
      <c r="BX42" s="69" t="str">
        <f t="shared" si="262"/>
        <v/>
      </c>
      <c r="BY42" s="69" t="str">
        <f t="shared" si="263"/>
        <v/>
      </c>
      <c r="BZ42" s="69" t="str">
        <f t="shared" si="160"/>
        <v/>
      </c>
      <c r="CA42" s="69" t="str">
        <f t="shared" si="264"/>
        <v/>
      </c>
      <c r="CB42" s="69" t="str">
        <f t="shared" si="265"/>
        <v/>
      </c>
      <c r="CC42" s="69" t="str">
        <f t="shared" si="161"/>
        <v/>
      </c>
      <c r="CE42" s="69" t="str">
        <f t="shared" si="266"/>
        <v/>
      </c>
      <c r="CF42" s="69" t="str">
        <f t="shared" si="267"/>
        <v/>
      </c>
      <c r="CG42" s="69" t="str">
        <f t="shared" si="162"/>
        <v/>
      </c>
      <c r="CH42" s="69" t="str">
        <f t="shared" si="268"/>
        <v/>
      </c>
      <c r="CI42" s="69" t="str">
        <f t="shared" si="269"/>
        <v/>
      </c>
      <c r="CJ42" s="69" t="str">
        <f t="shared" si="163"/>
        <v/>
      </c>
      <c r="CK42" s="69" t="str">
        <f t="shared" si="270"/>
        <v/>
      </c>
      <c r="CL42" s="69" t="str">
        <f t="shared" si="271"/>
        <v/>
      </c>
      <c r="CM42" s="69" t="str">
        <f t="shared" si="164"/>
        <v/>
      </c>
      <c r="CN42" s="69" t="str">
        <f t="shared" si="272"/>
        <v/>
      </c>
      <c r="CO42" s="69" t="str">
        <f t="shared" si="273"/>
        <v/>
      </c>
      <c r="CP42" s="69" t="str">
        <f t="shared" si="165"/>
        <v/>
      </c>
      <c r="CQ42" s="69" t="str">
        <f t="shared" si="274"/>
        <v/>
      </c>
      <c r="CR42" s="69" t="str">
        <f t="shared" si="275"/>
        <v/>
      </c>
      <c r="CS42" s="69" t="str">
        <f t="shared" si="166"/>
        <v/>
      </c>
      <c r="CT42" s="69" t="str">
        <f t="shared" si="276"/>
        <v/>
      </c>
      <c r="CU42" s="69" t="str">
        <f t="shared" si="277"/>
        <v/>
      </c>
      <c r="CV42" s="69" t="str">
        <f t="shared" si="167"/>
        <v/>
      </c>
      <c r="CW42" s="69" t="str">
        <f t="shared" si="278"/>
        <v/>
      </c>
      <c r="CX42" s="69" t="str">
        <f t="shared" si="279"/>
        <v/>
      </c>
      <c r="CY42" s="69" t="str">
        <f t="shared" si="168"/>
        <v/>
      </c>
      <c r="CZ42" s="69" t="str">
        <f t="shared" si="280"/>
        <v/>
      </c>
      <c r="DA42" s="69" t="str">
        <f t="shared" si="281"/>
        <v/>
      </c>
      <c r="DB42" s="69" t="str">
        <f t="shared" si="169"/>
        <v/>
      </c>
      <c r="DC42" s="69" t="str">
        <f t="shared" si="282"/>
        <v/>
      </c>
      <c r="DD42" s="69" t="str">
        <f t="shared" si="283"/>
        <v/>
      </c>
      <c r="DE42" s="69" t="str">
        <f t="shared" si="170"/>
        <v/>
      </c>
      <c r="DG42" s="69" t="str">
        <f t="shared" si="284"/>
        <v/>
      </c>
      <c r="DH42" s="69" t="str">
        <f t="shared" si="285"/>
        <v/>
      </c>
      <c r="DI42" s="69" t="str">
        <f t="shared" si="171"/>
        <v/>
      </c>
      <c r="DJ42" s="69" t="str">
        <f t="shared" si="286"/>
        <v/>
      </c>
      <c r="DK42" s="69" t="str">
        <f t="shared" si="287"/>
        <v/>
      </c>
      <c r="DL42" s="69" t="str">
        <f t="shared" si="172"/>
        <v/>
      </c>
      <c r="DM42" s="69" t="str">
        <f t="shared" si="288"/>
        <v/>
      </c>
      <c r="DN42" s="69" t="str">
        <f t="shared" si="289"/>
        <v/>
      </c>
      <c r="DO42" s="69" t="str">
        <f t="shared" si="173"/>
        <v/>
      </c>
      <c r="DP42" s="69" t="str">
        <f t="shared" si="290"/>
        <v/>
      </c>
      <c r="DQ42" s="69" t="str">
        <f t="shared" si="291"/>
        <v/>
      </c>
      <c r="DR42" s="69" t="str">
        <f t="shared" si="174"/>
        <v/>
      </c>
      <c r="DS42" s="69" t="str">
        <f t="shared" si="292"/>
        <v/>
      </c>
      <c r="DT42" s="69" t="str">
        <f t="shared" si="293"/>
        <v/>
      </c>
      <c r="DU42" s="69" t="str">
        <f t="shared" si="175"/>
        <v/>
      </c>
      <c r="DV42" s="69" t="str">
        <f t="shared" si="294"/>
        <v/>
      </c>
      <c r="DW42" s="69" t="str">
        <f t="shared" si="295"/>
        <v/>
      </c>
      <c r="DX42" s="69" t="str">
        <f t="shared" si="176"/>
        <v/>
      </c>
      <c r="DY42" s="69" t="str">
        <f t="shared" si="296"/>
        <v/>
      </c>
      <c r="DZ42" s="69" t="str">
        <f t="shared" si="297"/>
        <v/>
      </c>
      <c r="EA42" s="69" t="str">
        <f t="shared" si="177"/>
        <v/>
      </c>
      <c r="EB42" s="69" t="str">
        <f t="shared" si="298"/>
        <v/>
      </c>
      <c r="EC42" s="69" t="str">
        <f t="shared" si="299"/>
        <v/>
      </c>
      <c r="ED42" s="69" t="str">
        <f t="shared" si="178"/>
        <v/>
      </c>
      <c r="EF42" s="69" t="str">
        <f t="shared" si="300"/>
        <v/>
      </c>
      <c r="EG42" s="69" t="str">
        <f t="shared" si="301"/>
        <v/>
      </c>
      <c r="EH42" s="69" t="str">
        <f t="shared" si="179"/>
        <v/>
      </c>
      <c r="EI42" s="69" t="str">
        <f t="shared" si="302"/>
        <v/>
      </c>
      <c r="EJ42" s="69" t="str">
        <f t="shared" si="303"/>
        <v/>
      </c>
      <c r="EK42" s="69" t="str">
        <f t="shared" si="180"/>
        <v/>
      </c>
      <c r="EL42" s="69" t="str">
        <f t="shared" si="304"/>
        <v/>
      </c>
      <c r="EM42" s="69" t="str">
        <f t="shared" si="305"/>
        <v/>
      </c>
      <c r="EN42" s="69" t="str">
        <f t="shared" si="181"/>
        <v/>
      </c>
      <c r="EO42" s="69" t="str">
        <f t="shared" si="306"/>
        <v/>
      </c>
      <c r="EP42" s="69" t="str">
        <f t="shared" si="307"/>
        <v/>
      </c>
      <c r="EQ42" s="69" t="str">
        <f t="shared" si="182"/>
        <v/>
      </c>
      <c r="ER42" s="69" t="str">
        <f t="shared" si="308"/>
        <v/>
      </c>
      <c r="ES42" s="69" t="str">
        <f t="shared" si="309"/>
        <v/>
      </c>
      <c r="ET42" s="69" t="str">
        <f t="shared" si="183"/>
        <v/>
      </c>
      <c r="EU42" s="69" t="str">
        <f t="shared" si="310"/>
        <v/>
      </c>
      <c r="EV42" s="69" t="str">
        <f t="shared" si="311"/>
        <v/>
      </c>
      <c r="EW42" s="69" t="str">
        <f t="shared" si="184"/>
        <v/>
      </c>
      <c r="EX42" s="69" t="str">
        <f t="shared" si="312"/>
        <v/>
      </c>
      <c r="EY42" s="69" t="str">
        <f t="shared" si="313"/>
        <v/>
      </c>
      <c r="EZ42" s="69" t="str">
        <f t="shared" si="185"/>
        <v/>
      </c>
      <c r="FB42" s="69" t="str">
        <f t="shared" si="314"/>
        <v/>
      </c>
      <c r="FC42" s="69" t="str">
        <f t="shared" si="315"/>
        <v/>
      </c>
      <c r="FD42" s="69" t="str">
        <f t="shared" si="186"/>
        <v/>
      </c>
      <c r="FE42" s="69" t="str">
        <f t="shared" si="316"/>
        <v/>
      </c>
      <c r="FF42" s="69" t="str">
        <f t="shared" si="317"/>
        <v/>
      </c>
      <c r="FG42" s="69" t="str">
        <f t="shared" si="187"/>
        <v/>
      </c>
      <c r="FH42" s="69" t="str">
        <f t="shared" si="318"/>
        <v/>
      </c>
      <c r="FI42" s="69" t="str">
        <f t="shared" si="319"/>
        <v/>
      </c>
      <c r="FJ42" s="69" t="str">
        <f t="shared" si="188"/>
        <v/>
      </c>
      <c r="FK42" s="69" t="str">
        <f t="shared" si="320"/>
        <v/>
      </c>
      <c r="FL42" s="69" t="str">
        <f t="shared" si="321"/>
        <v/>
      </c>
      <c r="FM42" s="69" t="str">
        <f t="shared" si="189"/>
        <v/>
      </c>
      <c r="FN42" s="69" t="str">
        <f t="shared" si="322"/>
        <v/>
      </c>
      <c r="FO42" s="69" t="str">
        <f t="shared" si="323"/>
        <v/>
      </c>
      <c r="FP42" s="69" t="str">
        <f t="shared" si="190"/>
        <v/>
      </c>
      <c r="FQ42" s="69" t="str">
        <f t="shared" si="324"/>
        <v/>
      </c>
      <c r="FR42" s="69" t="str">
        <f t="shared" si="325"/>
        <v/>
      </c>
      <c r="FS42" s="69" t="str">
        <f t="shared" si="191"/>
        <v/>
      </c>
      <c r="FU42" s="69" t="str">
        <f t="shared" si="326"/>
        <v/>
      </c>
      <c r="FV42" s="69" t="str">
        <f t="shared" si="327"/>
        <v/>
      </c>
      <c r="FW42" s="69" t="str">
        <f t="shared" si="192"/>
        <v/>
      </c>
      <c r="FX42" s="69" t="str">
        <f t="shared" si="328"/>
        <v/>
      </c>
      <c r="FY42" s="69" t="str">
        <f t="shared" si="329"/>
        <v/>
      </c>
      <c r="FZ42" s="69" t="str">
        <f t="shared" si="193"/>
        <v/>
      </c>
      <c r="GA42" s="69" t="str">
        <f t="shared" si="330"/>
        <v/>
      </c>
      <c r="GB42" s="69" t="str">
        <f t="shared" si="331"/>
        <v/>
      </c>
      <c r="GC42" s="69" t="str">
        <f t="shared" si="194"/>
        <v/>
      </c>
      <c r="GD42" s="69" t="str">
        <f t="shared" si="332"/>
        <v/>
      </c>
      <c r="GE42" s="69" t="str">
        <f t="shared" si="333"/>
        <v/>
      </c>
      <c r="GF42" s="69" t="str">
        <f t="shared" si="195"/>
        <v/>
      </c>
      <c r="GG42" s="69" t="str">
        <f t="shared" si="334"/>
        <v/>
      </c>
      <c r="GH42" s="69" t="str">
        <f t="shared" si="335"/>
        <v/>
      </c>
      <c r="GI42" s="69" t="str">
        <f t="shared" si="196"/>
        <v/>
      </c>
      <c r="GK42" s="69" t="str">
        <f t="shared" si="336"/>
        <v/>
      </c>
      <c r="GL42" s="69" t="str">
        <f t="shared" si="337"/>
        <v/>
      </c>
      <c r="GM42" s="69" t="str">
        <f t="shared" si="197"/>
        <v/>
      </c>
      <c r="GN42" s="69" t="str">
        <f t="shared" si="338"/>
        <v/>
      </c>
      <c r="GO42" s="69" t="str">
        <f t="shared" si="339"/>
        <v/>
      </c>
      <c r="GP42" s="69" t="str">
        <f t="shared" si="198"/>
        <v/>
      </c>
      <c r="GQ42" s="69" t="str">
        <f t="shared" si="340"/>
        <v/>
      </c>
      <c r="GR42" s="69" t="str">
        <f t="shared" si="341"/>
        <v/>
      </c>
      <c r="GS42" s="69" t="str">
        <f t="shared" si="199"/>
        <v/>
      </c>
      <c r="GT42" s="69" t="str">
        <f t="shared" si="342"/>
        <v/>
      </c>
      <c r="GU42" s="69" t="str">
        <f t="shared" si="343"/>
        <v/>
      </c>
      <c r="GV42" s="69" t="str">
        <f t="shared" si="200"/>
        <v/>
      </c>
      <c r="GX42" s="69" t="str">
        <f t="shared" si="201"/>
        <v/>
      </c>
      <c r="GY42" s="69" t="str">
        <f t="shared" si="202"/>
        <v/>
      </c>
      <c r="GZ42" s="69" t="str">
        <f t="shared" si="203"/>
        <v/>
      </c>
      <c r="HA42" s="69" t="str">
        <f t="shared" si="204"/>
        <v/>
      </c>
      <c r="HB42" s="69" t="str">
        <f t="shared" si="205"/>
        <v/>
      </c>
      <c r="HC42" s="69" t="str">
        <f t="shared" si="206"/>
        <v/>
      </c>
      <c r="HD42" s="69" t="str">
        <f t="shared" si="207"/>
        <v/>
      </c>
      <c r="HE42" s="69" t="str">
        <f t="shared" si="208"/>
        <v/>
      </c>
      <c r="HF42" s="69" t="str">
        <f t="shared" si="209"/>
        <v/>
      </c>
      <c r="HH42" s="69" t="str">
        <f t="shared" si="210"/>
        <v/>
      </c>
      <c r="HI42" s="69" t="str">
        <f t="shared" si="211"/>
        <v/>
      </c>
      <c r="HJ42" s="69" t="str">
        <f t="shared" si="212"/>
        <v/>
      </c>
      <c r="HK42" s="69" t="str">
        <f t="shared" si="213"/>
        <v/>
      </c>
      <c r="HL42" s="69" t="str">
        <f t="shared" si="214"/>
        <v/>
      </c>
      <c r="HM42" s="69" t="str">
        <f t="shared" si="215"/>
        <v/>
      </c>
      <c r="HO42" s="69" t="str">
        <f t="shared" si="216"/>
        <v/>
      </c>
      <c r="HP42" s="69" t="str">
        <f t="shared" si="217"/>
        <v/>
      </c>
      <c r="HQ42" s="69" t="str">
        <f t="shared" si="218"/>
        <v/>
      </c>
      <c r="HS42" s="69" t="str">
        <f t="shared" si="344"/>
        <v/>
      </c>
      <c r="HT42" s="69" t="str">
        <f t="shared" si="345"/>
        <v/>
      </c>
      <c r="HU42" s="69" t="str">
        <f t="shared" si="219"/>
        <v/>
      </c>
      <c r="HV42" s="69" t="str">
        <f t="shared" si="346"/>
        <v/>
      </c>
      <c r="HW42" s="69" t="str">
        <f t="shared" si="347"/>
        <v/>
      </c>
      <c r="HX42" s="69" t="str">
        <f t="shared" si="220"/>
        <v/>
      </c>
      <c r="HY42" s="69" t="str">
        <f t="shared" si="348"/>
        <v/>
      </c>
      <c r="HZ42" s="69" t="str">
        <f t="shared" si="349"/>
        <v/>
      </c>
      <c r="IA42" s="69" t="str">
        <f t="shared" si="221"/>
        <v/>
      </c>
      <c r="IB42" s="69" t="str">
        <f t="shared" si="350"/>
        <v/>
      </c>
      <c r="IC42" s="69" t="str">
        <f t="shared" si="351"/>
        <v/>
      </c>
      <c r="ID42" s="69" t="str">
        <f t="shared" si="222"/>
        <v/>
      </c>
      <c r="IE42" s="69" t="str">
        <f t="shared" si="352"/>
        <v/>
      </c>
      <c r="IF42" s="69" t="str">
        <f t="shared" si="353"/>
        <v/>
      </c>
      <c r="IG42" s="69" t="str">
        <f t="shared" si="223"/>
        <v/>
      </c>
      <c r="IH42" s="69" t="str">
        <f t="shared" si="354"/>
        <v/>
      </c>
      <c r="II42" s="69" t="str">
        <f t="shared" si="355"/>
        <v/>
      </c>
      <c r="IJ42" s="69" t="str">
        <f t="shared" si="224"/>
        <v/>
      </c>
      <c r="IK42" s="69" t="str">
        <f t="shared" si="356"/>
        <v/>
      </c>
      <c r="IL42" s="69" t="str">
        <f t="shared" si="357"/>
        <v/>
      </c>
      <c r="IM42" s="69" t="str">
        <f t="shared" si="225"/>
        <v/>
      </c>
      <c r="IN42" s="69" t="str">
        <f t="shared" si="226"/>
        <v/>
      </c>
      <c r="IO42" s="69" t="str">
        <f t="shared" si="227"/>
        <v/>
      </c>
      <c r="IP42" s="69" t="str">
        <f t="shared" si="228"/>
        <v/>
      </c>
      <c r="IQ42" s="69" t="str">
        <f t="shared" si="229"/>
        <v/>
      </c>
      <c r="IR42" s="69" t="str">
        <f t="shared" si="230"/>
        <v/>
      </c>
      <c r="IS42" s="69" t="str">
        <f t="shared" si="231"/>
        <v/>
      </c>
      <c r="IT42" s="69" t="str">
        <f t="shared" si="232"/>
        <v/>
      </c>
      <c r="IU42" s="69" t="str">
        <f t="shared" si="233"/>
        <v/>
      </c>
      <c r="IV42" s="69" t="str">
        <f t="shared" si="234"/>
        <v/>
      </c>
    </row>
    <row r="43" spans="1:256" x14ac:dyDescent="0.2">
      <c r="A43" s="57" t="s">
        <v>46</v>
      </c>
      <c r="B43" s="178"/>
      <c r="C43" s="179"/>
      <c r="D43" s="179"/>
      <c r="E43" s="179"/>
      <c r="F43" s="179"/>
      <c r="G43" s="180"/>
      <c r="H43" s="180"/>
      <c r="I43" s="181"/>
      <c r="J43" s="187"/>
      <c r="K43" s="186"/>
      <c r="L43" s="68">
        <f t="shared" si="237"/>
        <v>0</v>
      </c>
      <c r="M43" s="69" t="str">
        <f t="shared" si="238"/>
        <v/>
      </c>
      <c r="N43" s="69" t="str">
        <f t="shared" si="358"/>
        <v/>
      </c>
      <c r="O43" s="69" t="str">
        <f t="shared" si="122"/>
        <v/>
      </c>
      <c r="P43" s="69" t="str">
        <f t="shared" si="235"/>
        <v/>
      </c>
      <c r="Q43" s="70" t="str">
        <f t="shared" si="239"/>
        <v/>
      </c>
      <c r="R43" s="71" t="str">
        <f t="shared" si="124"/>
        <v/>
      </c>
      <c r="S43" s="71" t="str">
        <f t="shared" si="125"/>
        <v/>
      </c>
      <c r="T43" s="70" t="str">
        <f t="shared" si="240"/>
        <v/>
      </c>
      <c r="U43" s="71" t="str">
        <f t="shared" si="126"/>
        <v/>
      </c>
      <c r="V43" s="71" t="str">
        <f t="shared" si="127"/>
        <v/>
      </c>
      <c r="W43" s="70" t="str">
        <f t="shared" si="241"/>
        <v/>
      </c>
      <c r="X43" s="71" t="str">
        <f t="shared" si="128"/>
        <v/>
      </c>
      <c r="Y43" s="71" t="str">
        <f t="shared" si="129"/>
        <v/>
      </c>
      <c r="Z43" s="70" t="str">
        <f t="shared" si="242"/>
        <v/>
      </c>
      <c r="AA43" s="71" t="str">
        <f t="shared" si="130"/>
        <v/>
      </c>
      <c r="AB43" s="71" t="str">
        <f t="shared" si="131"/>
        <v/>
      </c>
      <c r="AC43" s="70" t="str">
        <f t="shared" si="243"/>
        <v/>
      </c>
      <c r="AD43" s="71" t="str">
        <f t="shared" si="132"/>
        <v/>
      </c>
      <c r="AE43" s="71" t="str">
        <f t="shared" si="133"/>
        <v/>
      </c>
      <c r="AF43" s="70" t="str">
        <f t="shared" si="244"/>
        <v/>
      </c>
      <c r="AG43" s="71" t="str">
        <f t="shared" si="134"/>
        <v/>
      </c>
      <c r="AH43" s="71" t="str">
        <f t="shared" si="135"/>
        <v/>
      </c>
      <c r="AI43" s="70" t="str">
        <f t="shared" si="245"/>
        <v/>
      </c>
      <c r="AJ43" s="71" t="str">
        <f t="shared" si="136"/>
        <v/>
      </c>
      <c r="AK43" s="71" t="str">
        <f t="shared" si="137"/>
        <v/>
      </c>
      <c r="AL43" s="70" t="str">
        <f t="shared" si="138"/>
        <v/>
      </c>
      <c r="AM43" s="71" t="str">
        <f t="shared" si="139"/>
        <v/>
      </c>
      <c r="AN43" s="71" t="str">
        <f t="shared" si="140"/>
        <v/>
      </c>
      <c r="AO43" s="70" t="str">
        <f t="shared" si="141"/>
        <v/>
      </c>
      <c r="AP43" s="71" t="str">
        <f t="shared" si="142"/>
        <v/>
      </c>
      <c r="AQ43" s="71" t="str">
        <f t="shared" si="143"/>
        <v/>
      </c>
      <c r="AR43" s="70" t="str">
        <f t="shared" si="144"/>
        <v/>
      </c>
      <c r="AS43" s="71" t="str">
        <f t="shared" si="145"/>
        <v/>
      </c>
      <c r="AT43" s="71" t="str">
        <f t="shared" si="146"/>
        <v/>
      </c>
      <c r="AU43" s="69" t="str">
        <f t="shared" si="147"/>
        <v/>
      </c>
      <c r="AV43" s="131" t="str">
        <f t="shared" si="148"/>
        <v/>
      </c>
      <c r="AW43" s="69" t="str">
        <f t="shared" si="236"/>
        <v/>
      </c>
      <c r="AX43" s="132" t="str">
        <f t="shared" si="150"/>
        <v/>
      </c>
      <c r="AY43" s="132" t="str">
        <f t="shared" si="151"/>
        <v/>
      </c>
      <c r="AZ43" s="69" t="str">
        <f t="shared" si="246"/>
        <v/>
      </c>
      <c r="BA43" s="69" t="str">
        <f t="shared" si="247"/>
        <v/>
      </c>
      <c r="BB43" s="69" t="str">
        <f t="shared" si="152"/>
        <v/>
      </c>
      <c r="BC43" s="69" t="str">
        <f t="shared" si="248"/>
        <v/>
      </c>
      <c r="BD43" s="69" t="str">
        <f t="shared" si="249"/>
        <v/>
      </c>
      <c r="BE43" s="69" t="str">
        <f t="shared" si="153"/>
        <v/>
      </c>
      <c r="BF43" s="69" t="str">
        <f t="shared" si="250"/>
        <v/>
      </c>
      <c r="BG43" s="69" t="str">
        <f t="shared" si="251"/>
        <v/>
      </c>
      <c r="BH43" s="69" t="str">
        <f t="shared" si="154"/>
        <v/>
      </c>
      <c r="BI43" s="69" t="str">
        <f t="shared" si="252"/>
        <v/>
      </c>
      <c r="BJ43" s="69" t="str">
        <f t="shared" si="253"/>
        <v/>
      </c>
      <c r="BK43" s="69" t="str">
        <f t="shared" si="155"/>
        <v/>
      </c>
      <c r="BL43" s="69" t="str">
        <f t="shared" si="254"/>
        <v/>
      </c>
      <c r="BM43" s="69" t="str">
        <f t="shared" si="255"/>
        <v/>
      </c>
      <c r="BN43" s="69" t="str">
        <f t="shared" si="156"/>
        <v/>
      </c>
      <c r="BO43" s="69" t="str">
        <f t="shared" si="256"/>
        <v/>
      </c>
      <c r="BP43" s="69" t="str">
        <f t="shared" si="257"/>
        <v/>
      </c>
      <c r="BQ43" s="69" t="str">
        <f t="shared" si="157"/>
        <v/>
      </c>
      <c r="BR43" s="69" t="str">
        <f t="shared" si="258"/>
        <v/>
      </c>
      <c r="BS43" s="69" t="str">
        <f t="shared" si="259"/>
        <v/>
      </c>
      <c r="BT43" s="69" t="str">
        <f t="shared" si="158"/>
        <v/>
      </c>
      <c r="BU43" s="69" t="str">
        <f t="shared" si="260"/>
        <v/>
      </c>
      <c r="BV43" s="69" t="str">
        <f t="shared" si="261"/>
        <v/>
      </c>
      <c r="BW43" s="69" t="str">
        <f t="shared" si="159"/>
        <v/>
      </c>
      <c r="BX43" s="69" t="str">
        <f t="shared" si="262"/>
        <v/>
      </c>
      <c r="BY43" s="69" t="str">
        <f t="shared" si="263"/>
        <v/>
      </c>
      <c r="BZ43" s="69" t="str">
        <f t="shared" si="160"/>
        <v/>
      </c>
      <c r="CA43" s="69" t="str">
        <f t="shared" si="264"/>
        <v/>
      </c>
      <c r="CB43" s="69" t="str">
        <f t="shared" si="265"/>
        <v/>
      </c>
      <c r="CC43" s="69" t="str">
        <f t="shared" si="161"/>
        <v/>
      </c>
      <c r="CE43" s="69" t="str">
        <f t="shared" si="266"/>
        <v/>
      </c>
      <c r="CF43" s="69" t="str">
        <f t="shared" si="267"/>
        <v/>
      </c>
      <c r="CG43" s="69" t="str">
        <f t="shared" si="162"/>
        <v/>
      </c>
      <c r="CH43" s="69" t="str">
        <f t="shared" si="268"/>
        <v/>
      </c>
      <c r="CI43" s="69" t="str">
        <f t="shared" si="269"/>
        <v/>
      </c>
      <c r="CJ43" s="69" t="str">
        <f t="shared" si="163"/>
        <v/>
      </c>
      <c r="CK43" s="69" t="str">
        <f t="shared" si="270"/>
        <v/>
      </c>
      <c r="CL43" s="69" t="str">
        <f t="shared" si="271"/>
        <v/>
      </c>
      <c r="CM43" s="69" t="str">
        <f t="shared" si="164"/>
        <v/>
      </c>
      <c r="CN43" s="69" t="str">
        <f t="shared" si="272"/>
        <v/>
      </c>
      <c r="CO43" s="69" t="str">
        <f t="shared" si="273"/>
        <v/>
      </c>
      <c r="CP43" s="69" t="str">
        <f t="shared" si="165"/>
        <v/>
      </c>
      <c r="CQ43" s="69" t="str">
        <f t="shared" si="274"/>
        <v/>
      </c>
      <c r="CR43" s="69" t="str">
        <f t="shared" si="275"/>
        <v/>
      </c>
      <c r="CS43" s="69" t="str">
        <f t="shared" si="166"/>
        <v/>
      </c>
      <c r="CT43" s="69" t="str">
        <f t="shared" si="276"/>
        <v/>
      </c>
      <c r="CU43" s="69" t="str">
        <f t="shared" si="277"/>
        <v/>
      </c>
      <c r="CV43" s="69" t="str">
        <f t="shared" si="167"/>
        <v/>
      </c>
      <c r="CW43" s="69" t="str">
        <f t="shared" si="278"/>
        <v/>
      </c>
      <c r="CX43" s="69" t="str">
        <f t="shared" si="279"/>
        <v/>
      </c>
      <c r="CY43" s="69" t="str">
        <f t="shared" si="168"/>
        <v/>
      </c>
      <c r="CZ43" s="69" t="str">
        <f t="shared" si="280"/>
        <v/>
      </c>
      <c r="DA43" s="69" t="str">
        <f t="shared" si="281"/>
        <v/>
      </c>
      <c r="DB43" s="69" t="str">
        <f t="shared" si="169"/>
        <v/>
      </c>
      <c r="DC43" s="69" t="str">
        <f t="shared" si="282"/>
        <v/>
      </c>
      <c r="DD43" s="69" t="str">
        <f t="shared" si="283"/>
        <v/>
      </c>
      <c r="DE43" s="69" t="str">
        <f t="shared" si="170"/>
        <v/>
      </c>
      <c r="DG43" s="69" t="str">
        <f t="shared" si="284"/>
        <v/>
      </c>
      <c r="DH43" s="69" t="str">
        <f t="shared" si="285"/>
        <v/>
      </c>
      <c r="DI43" s="69" t="str">
        <f t="shared" si="171"/>
        <v/>
      </c>
      <c r="DJ43" s="69" t="str">
        <f t="shared" si="286"/>
        <v/>
      </c>
      <c r="DK43" s="69" t="str">
        <f t="shared" si="287"/>
        <v/>
      </c>
      <c r="DL43" s="69" t="str">
        <f t="shared" si="172"/>
        <v/>
      </c>
      <c r="DM43" s="69" t="str">
        <f t="shared" si="288"/>
        <v/>
      </c>
      <c r="DN43" s="69" t="str">
        <f t="shared" si="289"/>
        <v/>
      </c>
      <c r="DO43" s="69" t="str">
        <f t="shared" si="173"/>
        <v/>
      </c>
      <c r="DP43" s="69" t="str">
        <f t="shared" si="290"/>
        <v/>
      </c>
      <c r="DQ43" s="69" t="str">
        <f t="shared" si="291"/>
        <v/>
      </c>
      <c r="DR43" s="69" t="str">
        <f t="shared" si="174"/>
        <v/>
      </c>
      <c r="DS43" s="69" t="str">
        <f t="shared" si="292"/>
        <v/>
      </c>
      <c r="DT43" s="69" t="str">
        <f t="shared" si="293"/>
        <v/>
      </c>
      <c r="DU43" s="69" t="str">
        <f t="shared" si="175"/>
        <v/>
      </c>
      <c r="DV43" s="69" t="str">
        <f t="shared" si="294"/>
        <v/>
      </c>
      <c r="DW43" s="69" t="str">
        <f t="shared" si="295"/>
        <v/>
      </c>
      <c r="DX43" s="69" t="str">
        <f t="shared" si="176"/>
        <v/>
      </c>
      <c r="DY43" s="69" t="str">
        <f t="shared" si="296"/>
        <v/>
      </c>
      <c r="DZ43" s="69" t="str">
        <f t="shared" si="297"/>
        <v/>
      </c>
      <c r="EA43" s="69" t="str">
        <f t="shared" si="177"/>
        <v/>
      </c>
      <c r="EB43" s="69" t="str">
        <f t="shared" si="298"/>
        <v/>
      </c>
      <c r="EC43" s="69" t="str">
        <f t="shared" si="299"/>
        <v/>
      </c>
      <c r="ED43" s="69" t="str">
        <f t="shared" si="178"/>
        <v/>
      </c>
      <c r="EF43" s="69" t="str">
        <f t="shared" si="300"/>
        <v/>
      </c>
      <c r="EG43" s="69" t="str">
        <f t="shared" si="301"/>
        <v/>
      </c>
      <c r="EH43" s="69" t="str">
        <f t="shared" si="179"/>
        <v/>
      </c>
      <c r="EI43" s="69" t="str">
        <f t="shared" si="302"/>
        <v/>
      </c>
      <c r="EJ43" s="69" t="str">
        <f t="shared" si="303"/>
        <v/>
      </c>
      <c r="EK43" s="69" t="str">
        <f t="shared" si="180"/>
        <v/>
      </c>
      <c r="EL43" s="69" t="str">
        <f t="shared" si="304"/>
        <v/>
      </c>
      <c r="EM43" s="69" t="str">
        <f t="shared" si="305"/>
        <v/>
      </c>
      <c r="EN43" s="69" t="str">
        <f t="shared" si="181"/>
        <v/>
      </c>
      <c r="EO43" s="69" t="str">
        <f t="shared" si="306"/>
        <v/>
      </c>
      <c r="EP43" s="69" t="str">
        <f t="shared" si="307"/>
        <v/>
      </c>
      <c r="EQ43" s="69" t="str">
        <f t="shared" si="182"/>
        <v/>
      </c>
      <c r="ER43" s="69" t="str">
        <f t="shared" si="308"/>
        <v/>
      </c>
      <c r="ES43" s="69" t="str">
        <f t="shared" si="309"/>
        <v/>
      </c>
      <c r="ET43" s="69" t="str">
        <f t="shared" si="183"/>
        <v/>
      </c>
      <c r="EU43" s="69" t="str">
        <f t="shared" si="310"/>
        <v/>
      </c>
      <c r="EV43" s="69" t="str">
        <f t="shared" si="311"/>
        <v/>
      </c>
      <c r="EW43" s="69" t="str">
        <f t="shared" si="184"/>
        <v/>
      </c>
      <c r="EX43" s="69" t="str">
        <f t="shared" si="312"/>
        <v/>
      </c>
      <c r="EY43" s="69" t="str">
        <f t="shared" si="313"/>
        <v/>
      </c>
      <c r="EZ43" s="69" t="str">
        <f t="shared" si="185"/>
        <v/>
      </c>
      <c r="FB43" s="69" t="str">
        <f t="shared" si="314"/>
        <v/>
      </c>
      <c r="FC43" s="69" t="str">
        <f t="shared" si="315"/>
        <v/>
      </c>
      <c r="FD43" s="69" t="str">
        <f t="shared" si="186"/>
        <v/>
      </c>
      <c r="FE43" s="69" t="str">
        <f t="shared" si="316"/>
        <v/>
      </c>
      <c r="FF43" s="69" t="str">
        <f t="shared" si="317"/>
        <v/>
      </c>
      <c r="FG43" s="69" t="str">
        <f t="shared" si="187"/>
        <v/>
      </c>
      <c r="FH43" s="69" t="str">
        <f t="shared" si="318"/>
        <v/>
      </c>
      <c r="FI43" s="69" t="str">
        <f t="shared" si="319"/>
        <v/>
      </c>
      <c r="FJ43" s="69" t="str">
        <f t="shared" si="188"/>
        <v/>
      </c>
      <c r="FK43" s="69" t="str">
        <f t="shared" si="320"/>
        <v/>
      </c>
      <c r="FL43" s="69" t="str">
        <f t="shared" si="321"/>
        <v/>
      </c>
      <c r="FM43" s="69" t="str">
        <f t="shared" si="189"/>
        <v/>
      </c>
      <c r="FN43" s="69" t="str">
        <f t="shared" si="322"/>
        <v/>
      </c>
      <c r="FO43" s="69" t="str">
        <f t="shared" si="323"/>
        <v/>
      </c>
      <c r="FP43" s="69" t="str">
        <f t="shared" si="190"/>
        <v/>
      </c>
      <c r="FQ43" s="69" t="str">
        <f t="shared" si="324"/>
        <v/>
      </c>
      <c r="FR43" s="69" t="str">
        <f t="shared" si="325"/>
        <v/>
      </c>
      <c r="FS43" s="69" t="str">
        <f t="shared" si="191"/>
        <v/>
      </c>
      <c r="FU43" s="69" t="str">
        <f t="shared" si="326"/>
        <v/>
      </c>
      <c r="FV43" s="69" t="str">
        <f t="shared" si="327"/>
        <v/>
      </c>
      <c r="FW43" s="69" t="str">
        <f t="shared" si="192"/>
        <v/>
      </c>
      <c r="FX43" s="69" t="str">
        <f t="shared" si="328"/>
        <v/>
      </c>
      <c r="FY43" s="69" t="str">
        <f t="shared" si="329"/>
        <v/>
      </c>
      <c r="FZ43" s="69" t="str">
        <f t="shared" si="193"/>
        <v/>
      </c>
      <c r="GA43" s="69" t="str">
        <f t="shared" si="330"/>
        <v/>
      </c>
      <c r="GB43" s="69" t="str">
        <f t="shared" si="331"/>
        <v/>
      </c>
      <c r="GC43" s="69" t="str">
        <f t="shared" si="194"/>
        <v/>
      </c>
      <c r="GD43" s="69" t="str">
        <f t="shared" si="332"/>
        <v/>
      </c>
      <c r="GE43" s="69" t="str">
        <f t="shared" si="333"/>
        <v/>
      </c>
      <c r="GF43" s="69" t="str">
        <f t="shared" si="195"/>
        <v/>
      </c>
      <c r="GG43" s="69" t="str">
        <f t="shared" si="334"/>
        <v/>
      </c>
      <c r="GH43" s="69" t="str">
        <f t="shared" si="335"/>
        <v/>
      </c>
      <c r="GI43" s="69" t="str">
        <f t="shared" si="196"/>
        <v/>
      </c>
      <c r="GK43" s="69" t="str">
        <f t="shared" si="336"/>
        <v/>
      </c>
      <c r="GL43" s="69" t="str">
        <f t="shared" si="337"/>
        <v/>
      </c>
      <c r="GM43" s="69" t="str">
        <f t="shared" si="197"/>
        <v/>
      </c>
      <c r="GN43" s="69" t="str">
        <f t="shared" si="338"/>
        <v/>
      </c>
      <c r="GO43" s="69" t="str">
        <f t="shared" si="339"/>
        <v/>
      </c>
      <c r="GP43" s="69" t="str">
        <f t="shared" si="198"/>
        <v/>
      </c>
      <c r="GQ43" s="69" t="str">
        <f t="shared" si="340"/>
        <v/>
      </c>
      <c r="GR43" s="69" t="str">
        <f t="shared" si="341"/>
        <v/>
      </c>
      <c r="GS43" s="69" t="str">
        <f t="shared" si="199"/>
        <v/>
      </c>
      <c r="GT43" s="69" t="str">
        <f t="shared" si="342"/>
        <v/>
      </c>
      <c r="GU43" s="69" t="str">
        <f t="shared" si="343"/>
        <v/>
      </c>
      <c r="GV43" s="69" t="str">
        <f t="shared" si="200"/>
        <v/>
      </c>
      <c r="GX43" s="69" t="str">
        <f t="shared" si="201"/>
        <v/>
      </c>
      <c r="GY43" s="69" t="str">
        <f t="shared" si="202"/>
        <v/>
      </c>
      <c r="GZ43" s="69" t="str">
        <f t="shared" si="203"/>
        <v/>
      </c>
      <c r="HA43" s="69" t="str">
        <f t="shared" si="204"/>
        <v/>
      </c>
      <c r="HB43" s="69" t="str">
        <f t="shared" si="205"/>
        <v/>
      </c>
      <c r="HC43" s="69" t="str">
        <f t="shared" si="206"/>
        <v/>
      </c>
      <c r="HD43" s="69" t="str">
        <f t="shared" si="207"/>
        <v/>
      </c>
      <c r="HE43" s="69" t="str">
        <f t="shared" si="208"/>
        <v/>
      </c>
      <c r="HF43" s="69" t="str">
        <f t="shared" si="209"/>
        <v/>
      </c>
      <c r="HH43" s="69" t="str">
        <f t="shared" si="210"/>
        <v/>
      </c>
      <c r="HI43" s="69" t="str">
        <f t="shared" si="211"/>
        <v/>
      </c>
      <c r="HJ43" s="69" t="str">
        <f t="shared" si="212"/>
        <v/>
      </c>
      <c r="HK43" s="69" t="str">
        <f t="shared" si="213"/>
        <v/>
      </c>
      <c r="HL43" s="69" t="str">
        <f t="shared" si="214"/>
        <v/>
      </c>
      <c r="HM43" s="69" t="str">
        <f t="shared" si="215"/>
        <v/>
      </c>
      <c r="HO43" s="69" t="str">
        <f t="shared" si="216"/>
        <v/>
      </c>
      <c r="HP43" s="69" t="str">
        <f t="shared" si="217"/>
        <v/>
      </c>
      <c r="HQ43" s="69" t="str">
        <f t="shared" si="218"/>
        <v/>
      </c>
      <c r="HS43" s="69" t="str">
        <f t="shared" si="344"/>
        <v/>
      </c>
      <c r="HT43" s="69" t="str">
        <f t="shared" si="345"/>
        <v/>
      </c>
      <c r="HU43" s="69" t="str">
        <f t="shared" si="219"/>
        <v/>
      </c>
      <c r="HV43" s="69" t="str">
        <f t="shared" si="346"/>
        <v/>
      </c>
      <c r="HW43" s="69" t="str">
        <f t="shared" si="347"/>
        <v/>
      </c>
      <c r="HX43" s="69" t="str">
        <f t="shared" si="220"/>
        <v/>
      </c>
      <c r="HY43" s="69" t="str">
        <f t="shared" si="348"/>
        <v/>
      </c>
      <c r="HZ43" s="69" t="str">
        <f t="shared" si="349"/>
        <v/>
      </c>
      <c r="IA43" s="69" t="str">
        <f t="shared" si="221"/>
        <v/>
      </c>
      <c r="IB43" s="69" t="str">
        <f t="shared" si="350"/>
        <v/>
      </c>
      <c r="IC43" s="69" t="str">
        <f t="shared" si="351"/>
        <v/>
      </c>
      <c r="ID43" s="69" t="str">
        <f t="shared" si="222"/>
        <v/>
      </c>
      <c r="IE43" s="69" t="str">
        <f t="shared" si="352"/>
        <v/>
      </c>
      <c r="IF43" s="69" t="str">
        <f t="shared" si="353"/>
        <v/>
      </c>
      <c r="IG43" s="69" t="str">
        <f t="shared" si="223"/>
        <v/>
      </c>
      <c r="IH43" s="69" t="str">
        <f t="shared" si="354"/>
        <v/>
      </c>
      <c r="II43" s="69" t="str">
        <f t="shared" si="355"/>
        <v/>
      </c>
      <c r="IJ43" s="69" t="str">
        <f t="shared" si="224"/>
        <v/>
      </c>
      <c r="IK43" s="69" t="str">
        <f t="shared" si="356"/>
        <v/>
      </c>
      <c r="IL43" s="69" t="str">
        <f t="shared" si="357"/>
        <v/>
      </c>
      <c r="IM43" s="69" t="str">
        <f t="shared" si="225"/>
        <v/>
      </c>
      <c r="IN43" s="69" t="str">
        <f t="shared" si="226"/>
        <v/>
      </c>
      <c r="IO43" s="69" t="str">
        <f t="shared" si="227"/>
        <v/>
      </c>
      <c r="IP43" s="69" t="str">
        <f t="shared" si="228"/>
        <v/>
      </c>
      <c r="IQ43" s="69" t="str">
        <f t="shared" si="229"/>
        <v/>
      </c>
      <c r="IR43" s="69" t="str">
        <f t="shared" si="230"/>
        <v/>
      </c>
      <c r="IS43" s="69" t="str">
        <f t="shared" si="231"/>
        <v/>
      </c>
      <c r="IT43" s="69" t="str">
        <f t="shared" si="232"/>
        <v/>
      </c>
      <c r="IU43" s="69" t="str">
        <f t="shared" si="233"/>
        <v/>
      </c>
      <c r="IV43" s="69" t="str">
        <f t="shared" si="234"/>
        <v/>
      </c>
    </row>
    <row r="44" spans="1:256" x14ac:dyDescent="0.2">
      <c r="A44" s="57" t="s">
        <v>47</v>
      </c>
      <c r="B44" s="178"/>
      <c r="C44" s="179"/>
      <c r="D44" s="179"/>
      <c r="E44" s="179"/>
      <c r="F44" s="179"/>
      <c r="G44" s="180"/>
      <c r="H44" s="180"/>
      <c r="I44" s="181"/>
      <c r="J44" s="187"/>
      <c r="K44" s="186"/>
      <c r="L44" s="68">
        <f t="shared" si="237"/>
        <v>0</v>
      </c>
      <c r="M44" s="69" t="str">
        <f t="shared" si="238"/>
        <v/>
      </c>
      <c r="N44" s="69" t="str">
        <f t="shared" si="358"/>
        <v/>
      </c>
      <c r="O44" s="69" t="str">
        <f t="shared" si="122"/>
        <v/>
      </c>
      <c r="P44" s="69" t="str">
        <f t="shared" si="235"/>
        <v/>
      </c>
      <c r="Q44" s="70" t="str">
        <f t="shared" si="239"/>
        <v/>
      </c>
      <c r="R44" s="71" t="str">
        <f t="shared" si="124"/>
        <v/>
      </c>
      <c r="S44" s="71" t="str">
        <f t="shared" si="125"/>
        <v/>
      </c>
      <c r="T44" s="70" t="str">
        <f t="shared" si="240"/>
        <v/>
      </c>
      <c r="U44" s="71" t="str">
        <f t="shared" si="126"/>
        <v/>
      </c>
      <c r="V44" s="71" t="str">
        <f t="shared" si="127"/>
        <v/>
      </c>
      <c r="W44" s="70" t="str">
        <f t="shared" si="241"/>
        <v/>
      </c>
      <c r="X44" s="71" t="str">
        <f t="shared" si="128"/>
        <v/>
      </c>
      <c r="Y44" s="71" t="str">
        <f t="shared" si="129"/>
        <v/>
      </c>
      <c r="Z44" s="70" t="str">
        <f t="shared" si="242"/>
        <v/>
      </c>
      <c r="AA44" s="71" t="str">
        <f t="shared" si="130"/>
        <v/>
      </c>
      <c r="AB44" s="71" t="str">
        <f t="shared" si="131"/>
        <v/>
      </c>
      <c r="AC44" s="70" t="str">
        <f t="shared" si="243"/>
        <v/>
      </c>
      <c r="AD44" s="71" t="str">
        <f t="shared" si="132"/>
        <v/>
      </c>
      <c r="AE44" s="71" t="str">
        <f t="shared" si="133"/>
        <v/>
      </c>
      <c r="AF44" s="70" t="str">
        <f t="shared" si="244"/>
        <v/>
      </c>
      <c r="AG44" s="71" t="str">
        <f t="shared" si="134"/>
        <v/>
      </c>
      <c r="AH44" s="71" t="str">
        <f t="shared" si="135"/>
        <v/>
      </c>
      <c r="AI44" s="70" t="str">
        <f t="shared" si="245"/>
        <v/>
      </c>
      <c r="AJ44" s="71" t="str">
        <f t="shared" si="136"/>
        <v/>
      </c>
      <c r="AK44" s="71" t="str">
        <f t="shared" si="137"/>
        <v/>
      </c>
      <c r="AL44" s="70" t="str">
        <f t="shared" si="138"/>
        <v/>
      </c>
      <c r="AM44" s="71" t="str">
        <f t="shared" si="139"/>
        <v/>
      </c>
      <c r="AN44" s="71" t="str">
        <f t="shared" si="140"/>
        <v/>
      </c>
      <c r="AO44" s="70" t="str">
        <f t="shared" si="141"/>
        <v/>
      </c>
      <c r="AP44" s="71" t="str">
        <f t="shared" si="142"/>
        <v/>
      </c>
      <c r="AQ44" s="71" t="str">
        <f t="shared" si="143"/>
        <v/>
      </c>
      <c r="AR44" s="70" t="str">
        <f t="shared" si="144"/>
        <v/>
      </c>
      <c r="AS44" s="71" t="str">
        <f t="shared" si="145"/>
        <v/>
      </c>
      <c r="AT44" s="71" t="str">
        <f t="shared" si="146"/>
        <v/>
      </c>
      <c r="AU44" s="69" t="str">
        <f t="shared" si="147"/>
        <v/>
      </c>
      <c r="AV44" s="131" t="str">
        <f t="shared" si="148"/>
        <v/>
      </c>
      <c r="AW44" s="69" t="str">
        <f t="shared" si="236"/>
        <v/>
      </c>
      <c r="AX44" s="132" t="str">
        <f t="shared" si="150"/>
        <v/>
      </c>
      <c r="AY44" s="132" t="str">
        <f t="shared" si="151"/>
        <v/>
      </c>
      <c r="AZ44" s="69" t="str">
        <f t="shared" si="246"/>
        <v/>
      </c>
      <c r="BA44" s="69" t="str">
        <f t="shared" si="247"/>
        <v/>
      </c>
      <c r="BB44" s="69" t="str">
        <f t="shared" si="152"/>
        <v/>
      </c>
      <c r="BC44" s="69" t="str">
        <f t="shared" si="248"/>
        <v/>
      </c>
      <c r="BD44" s="69" t="str">
        <f t="shared" si="249"/>
        <v/>
      </c>
      <c r="BE44" s="69" t="str">
        <f t="shared" si="153"/>
        <v/>
      </c>
      <c r="BF44" s="69" t="str">
        <f t="shared" si="250"/>
        <v/>
      </c>
      <c r="BG44" s="69" t="str">
        <f t="shared" si="251"/>
        <v/>
      </c>
      <c r="BH44" s="69" t="str">
        <f t="shared" si="154"/>
        <v/>
      </c>
      <c r="BI44" s="69" t="str">
        <f t="shared" si="252"/>
        <v/>
      </c>
      <c r="BJ44" s="69" t="str">
        <f t="shared" si="253"/>
        <v/>
      </c>
      <c r="BK44" s="69" t="str">
        <f t="shared" si="155"/>
        <v/>
      </c>
      <c r="BL44" s="69" t="str">
        <f t="shared" si="254"/>
        <v/>
      </c>
      <c r="BM44" s="69" t="str">
        <f t="shared" si="255"/>
        <v/>
      </c>
      <c r="BN44" s="69" t="str">
        <f t="shared" si="156"/>
        <v/>
      </c>
      <c r="BO44" s="69" t="str">
        <f t="shared" si="256"/>
        <v/>
      </c>
      <c r="BP44" s="69" t="str">
        <f t="shared" si="257"/>
        <v/>
      </c>
      <c r="BQ44" s="69" t="str">
        <f t="shared" si="157"/>
        <v/>
      </c>
      <c r="BR44" s="69" t="str">
        <f t="shared" si="258"/>
        <v/>
      </c>
      <c r="BS44" s="69" t="str">
        <f t="shared" si="259"/>
        <v/>
      </c>
      <c r="BT44" s="69" t="str">
        <f t="shared" si="158"/>
        <v/>
      </c>
      <c r="BU44" s="69" t="str">
        <f t="shared" si="260"/>
        <v/>
      </c>
      <c r="BV44" s="69" t="str">
        <f t="shared" si="261"/>
        <v/>
      </c>
      <c r="BW44" s="69" t="str">
        <f t="shared" si="159"/>
        <v/>
      </c>
      <c r="BX44" s="69" t="str">
        <f t="shared" si="262"/>
        <v/>
      </c>
      <c r="BY44" s="69" t="str">
        <f t="shared" si="263"/>
        <v/>
      </c>
      <c r="BZ44" s="69" t="str">
        <f t="shared" si="160"/>
        <v/>
      </c>
      <c r="CA44" s="69" t="str">
        <f t="shared" si="264"/>
        <v/>
      </c>
      <c r="CB44" s="69" t="str">
        <f t="shared" si="265"/>
        <v/>
      </c>
      <c r="CC44" s="69" t="str">
        <f t="shared" si="161"/>
        <v/>
      </c>
      <c r="CE44" s="69" t="str">
        <f t="shared" si="266"/>
        <v/>
      </c>
      <c r="CF44" s="69" t="str">
        <f t="shared" si="267"/>
        <v/>
      </c>
      <c r="CG44" s="69" t="str">
        <f t="shared" si="162"/>
        <v/>
      </c>
      <c r="CH44" s="69" t="str">
        <f t="shared" si="268"/>
        <v/>
      </c>
      <c r="CI44" s="69" t="str">
        <f t="shared" si="269"/>
        <v/>
      </c>
      <c r="CJ44" s="69" t="str">
        <f t="shared" si="163"/>
        <v/>
      </c>
      <c r="CK44" s="69" t="str">
        <f t="shared" si="270"/>
        <v/>
      </c>
      <c r="CL44" s="69" t="str">
        <f t="shared" si="271"/>
        <v/>
      </c>
      <c r="CM44" s="69" t="str">
        <f t="shared" si="164"/>
        <v/>
      </c>
      <c r="CN44" s="69" t="str">
        <f t="shared" si="272"/>
        <v/>
      </c>
      <c r="CO44" s="69" t="str">
        <f t="shared" si="273"/>
        <v/>
      </c>
      <c r="CP44" s="69" t="str">
        <f t="shared" si="165"/>
        <v/>
      </c>
      <c r="CQ44" s="69" t="str">
        <f t="shared" si="274"/>
        <v/>
      </c>
      <c r="CR44" s="69" t="str">
        <f t="shared" si="275"/>
        <v/>
      </c>
      <c r="CS44" s="69" t="str">
        <f t="shared" si="166"/>
        <v/>
      </c>
      <c r="CT44" s="69" t="str">
        <f t="shared" si="276"/>
        <v/>
      </c>
      <c r="CU44" s="69" t="str">
        <f t="shared" si="277"/>
        <v/>
      </c>
      <c r="CV44" s="69" t="str">
        <f t="shared" si="167"/>
        <v/>
      </c>
      <c r="CW44" s="69" t="str">
        <f t="shared" si="278"/>
        <v/>
      </c>
      <c r="CX44" s="69" t="str">
        <f t="shared" si="279"/>
        <v/>
      </c>
      <c r="CY44" s="69" t="str">
        <f t="shared" si="168"/>
        <v/>
      </c>
      <c r="CZ44" s="69" t="str">
        <f t="shared" si="280"/>
        <v/>
      </c>
      <c r="DA44" s="69" t="str">
        <f t="shared" si="281"/>
        <v/>
      </c>
      <c r="DB44" s="69" t="str">
        <f t="shared" si="169"/>
        <v/>
      </c>
      <c r="DC44" s="69" t="str">
        <f t="shared" si="282"/>
        <v/>
      </c>
      <c r="DD44" s="69" t="str">
        <f t="shared" si="283"/>
        <v/>
      </c>
      <c r="DE44" s="69" t="str">
        <f t="shared" si="170"/>
        <v/>
      </c>
      <c r="DG44" s="69" t="str">
        <f t="shared" si="284"/>
        <v/>
      </c>
      <c r="DH44" s="69" t="str">
        <f t="shared" si="285"/>
        <v/>
      </c>
      <c r="DI44" s="69" t="str">
        <f t="shared" si="171"/>
        <v/>
      </c>
      <c r="DJ44" s="69" t="str">
        <f t="shared" si="286"/>
        <v/>
      </c>
      <c r="DK44" s="69" t="str">
        <f t="shared" si="287"/>
        <v/>
      </c>
      <c r="DL44" s="69" t="str">
        <f t="shared" si="172"/>
        <v/>
      </c>
      <c r="DM44" s="69" t="str">
        <f t="shared" si="288"/>
        <v/>
      </c>
      <c r="DN44" s="69" t="str">
        <f t="shared" si="289"/>
        <v/>
      </c>
      <c r="DO44" s="69" t="str">
        <f t="shared" si="173"/>
        <v/>
      </c>
      <c r="DP44" s="69" t="str">
        <f t="shared" si="290"/>
        <v/>
      </c>
      <c r="DQ44" s="69" t="str">
        <f t="shared" si="291"/>
        <v/>
      </c>
      <c r="DR44" s="69" t="str">
        <f t="shared" si="174"/>
        <v/>
      </c>
      <c r="DS44" s="69" t="str">
        <f t="shared" si="292"/>
        <v/>
      </c>
      <c r="DT44" s="69" t="str">
        <f t="shared" si="293"/>
        <v/>
      </c>
      <c r="DU44" s="69" t="str">
        <f t="shared" si="175"/>
        <v/>
      </c>
      <c r="DV44" s="69" t="str">
        <f t="shared" si="294"/>
        <v/>
      </c>
      <c r="DW44" s="69" t="str">
        <f t="shared" si="295"/>
        <v/>
      </c>
      <c r="DX44" s="69" t="str">
        <f t="shared" si="176"/>
        <v/>
      </c>
      <c r="DY44" s="69" t="str">
        <f t="shared" si="296"/>
        <v/>
      </c>
      <c r="DZ44" s="69" t="str">
        <f t="shared" si="297"/>
        <v/>
      </c>
      <c r="EA44" s="69" t="str">
        <f t="shared" si="177"/>
        <v/>
      </c>
      <c r="EB44" s="69" t="str">
        <f t="shared" si="298"/>
        <v/>
      </c>
      <c r="EC44" s="69" t="str">
        <f t="shared" si="299"/>
        <v/>
      </c>
      <c r="ED44" s="69" t="str">
        <f t="shared" si="178"/>
        <v/>
      </c>
      <c r="EF44" s="69" t="str">
        <f t="shared" si="300"/>
        <v/>
      </c>
      <c r="EG44" s="69" t="str">
        <f t="shared" si="301"/>
        <v/>
      </c>
      <c r="EH44" s="69" t="str">
        <f t="shared" si="179"/>
        <v/>
      </c>
      <c r="EI44" s="69" t="str">
        <f t="shared" si="302"/>
        <v/>
      </c>
      <c r="EJ44" s="69" t="str">
        <f t="shared" si="303"/>
        <v/>
      </c>
      <c r="EK44" s="69" t="str">
        <f t="shared" si="180"/>
        <v/>
      </c>
      <c r="EL44" s="69" t="str">
        <f t="shared" si="304"/>
        <v/>
      </c>
      <c r="EM44" s="69" t="str">
        <f t="shared" si="305"/>
        <v/>
      </c>
      <c r="EN44" s="69" t="str">
        <f t="shared" si="181"/>
        <v/>
      </c>
      <c r="EO44" s="69" t="str">
        <f t="shared" si="306"/>
        <v/>
      </c>
      <c r="EP44" s="69" t="str">
        <f t="shared" si="307"/>
        <v/>
      </c>
      <c r="EQ44" s="69" t="str">
        <f t="shared" si="182"/>
        <v/>
      </c>
      <c r="ER44" s="69" t="str">
        <f t="shared" si="308"/>
        <v/>
      </c>
      <c r="ES44" s="69" t="str">
        <f t="shared" si="309"/>
        <v/>
      </c>
      <c r="ET44" s="69" t="str">
        <f t="shared" si="183"/>
        <v/>
      </c>
      <c r="EU44" s="69" t="str">
        <f t="shared" si="310"/>
        <v/>
      </c>
      <c r="EV44" s="69" t="str">
        <f t="shared" si="311"/>
        <v/>
      </c>
      <c r="EW44" s="69" t="str">
        <f t="shared" si="184"/>
        <v/>
      </c>
      <c r="EX44" s="69" t="str">
        <f t="shared" si="312"/>
        <v/>
      </c>
      <c r="EY44" s="69" t="str">
        <f t="shared" si="313"/>
        <v/>
      </c>
      <c r="EZ44" s="69" t="str">
        <f t="shared" si="185"/>
        <v/>
      </c>
      <c r="FB44" s="69" t="str">
        <f t="shared" si="314"/>
        <v/>
      </c>
      <c r="FC44" s="69" t="str">
        <f t="shared" si="315"/>
        <v/>
      </c>
      <c r="FD44" s="69" t="str">
        <f t="shared" si="186"/>
        <v/>
      </c>
      <c r="FE44" s="69" t="str">
        <f t="shared" si="316"/>
        <v/>
      </c>
      <c r="FF44" s="69" t="str">
        <f t="shared" si="317"/>
        <v/>
      </c>
      <c r="FG44" s="69" t="str">
        <f t="shared" si="187"/>
        <v/>
      </c>
      <c r="FH44" s="69" t="str">
        <f t="shared" si="318"/>
        <v/>
      </c>
      <c r="FI44" s="69" t="str">
        <f t="shared" si="319"/>
        <v/>
      </c>
      <c r="FJ44" s="69" t="str">
        <f t="shared" si="188"/>
        <v/>
      </c>
      <c r="FK44" s="69" t="str">
        <f t="shared" si="320"/>
        <v/>
      </c>
      <c r="FL44" s="69" t="str">
        <f t="shared" si="321"/>
        <v/>
      </c>
      <c r="FM44" s="69" t="str">
        <f t="shared" si="189"/>
        <v/>
      </c>
      <c r="FN44" s="69" t="str">
        <f t="shared" si="322"/>
        <v/>
      </c>
      <c r="FO44" s="69" t="str">
        <f t="shared" si="323"/>
        <v/>
      </c>
      <c r="FP44" s="69" t="str">
        <f t="shared" si="190"/>
        <v/>
      </c>
      <c r="FQ44" s="69" t="str">
        <f t="shared" si="324"/>
        <v/>
      </c>
      <c r="FR44" s="69" t="str">
        <f t="shared" si="325"/>
        <v/>
      </c>
      <c r="FS44" s="69" t="str">
        <f t="shared" si="191"/>
        <v/>
      </c>
      <c r="FU44" s="69" t="str">
        <f t="shared" si="326"/>
        <v/>
      </c>
      <c r="FV44" s="69" t="str">
        <f t="shared" si="327"/>
        <v/>
      </c>
      <c r="FW44" s="69" t="str">
        <f t="shared" si="192"/>
        <v/>
      </c>
      <c r="FX44" s="69" t="str">
        <f t="shared" si="328"/>
        <v/>
      </c>
      <c r="FY44" s="69" t="str">
        <f t="shared" si="329"/>
        <v/>
      </c>
      <c r="FZ44" s="69" t="str">
        <f t="shared" si="193"/>
        <v/>
      </c>
      <c r="GA44" s="69" t="str">
        <f t="shared" si="330"/>
        <v/>
      </c>
      <c r="GB44" s="69" t="str">
        <f t="shared" si="331"/>
        <v/>
      </c>
      <c r="GC44" s="69" t="str">
        <f t="shared" si="194"/>
        <v/>
      </c>
      <c r="GD44" s="69" t="str">
        <f t="shared" si="332"/>
        <v/>
      </c>
      <c r="GE44" s="69" t="str">
        <f t="shared" si="333"/>
        <v/>
      </c>
      <c r="GF44" s="69" t="str">
        <f t="shared" si="195"/>
        <v/>
      </c>
      <c r="GG44" s="69" t="str">
        <f t="shared" si="334"/>
        <v/>
      </c>
      <c r="GH44" s="69" t="str">
        <f t="shared" si="335"/>
        <v/>
      </c>
      <c r="GI44" s="69" t="str">
        <f t="shared" si="196"/>
        <v/>
      </c>
      <c r="GK44" s="69" t="str">
        <f t="shared" si="336"/>
        <v/>
      </c>
      <c r="GL44" s="69" t="str">
        <f t="shared" si="337"/>
        <v/>
      </c>
      <c r="GM44" s="69" t="str">
        <f t="shared" si="197"/>
        <v/>
      </c>
      <c r="GN44" s="69" t="str">
        <f t="shared" si="338"/>
        <v/>
      </c>
      <c r="GO44" s="69" t="str">
        <f t="shared" si="339"/>
        <v/>
      </c>
      <c r="GP44" s="69" t="str">
        <f t="shared" si="198"/>
        <v/>
      </c>
      <c r="GQ44" s="69" t="str">
        <f t="shared" si="340"/>
        <v/>
      </c>
      <c r="GR44" s="69" t="str">
        <f t="shared" si="341"/>
        <v/>
      </c>
      <c r="GS44" s="69" t="str">
        <f t="shared" si="199"/>
        <v/>
      </c>
      <c r="GT44" s="69" t="str">
        <f t="shared" si="342"/>
        <v/>
      </c>
      <c r="GU44" s="69" t="str">
        <f t="shared" si="343"/>
        <v/>
      </c>
      <c r="GV44" s="69" t="str">
        <f t="shared" si="200"/>
        <v/>
      </c>
      <c r="GX44" s="69" t="str">
        <f t="shared" si="201"/>
        <v/>
      </c>
      <c r="GY44" s="69" t="str">
        <f t="shared" si="202"/>
        <v/>
      </c>
      <c r="GZ44" s="69" t="str">
        <f t="shared" si="203"/>
        <v/>
      </c>
      <c r="HA44" s="69" t="str">
        <f t="shared" si="204"/>
        <v/>
      </c>
      <c r="HB44" s="69" t="str">
        <f t="shared" si="205"/>
        <v/>
      </c>
      <c r="HC44" s="69" t="str">
        <f t="shared" si="206"/>
        <v/>
      </c>
      <c r="HD44" s="69" t="str">
        <f t="shared" si="207"/>
        <v/>
      </c>
      <c r="HE44" s="69" t="str">
        <f t="shared" si="208"/>
        <v/>
      </c>
      <c r="HF44" s="69" t="str">
        <f t="shared" si="209"/>
        <v/>
      </c>
      <c r="HH44" s="69" t="str">
        <f t="shared" si="210"/>
        <v/>
      </c>
      <c r="HI44" s="69" t="str">
        <f t="shared" si="211"/>
        <v/>
      </c>
      <c r="HJ44" s="69" t="str">
        <f t="shared" si="212"/>
        <v/>
      </c>
      <c r="HK44" s="69" t="str">
        <f t="shared" si="213"/>
        <v/>
      </c>
      <c r="HL44" s="69" t="str">
        <f t="shared" si="214"/>
        <v/>
      </c>
      <c r="HM44" s="69" t="str">
        <f t="shared" si="215"/>
        <v/>
      </c>
      <c r="HO44" s="69" t="str">
        <f t="shared" si="216"/>
        <v/>
      </c>
      <c r="HP44" s="69" t="str">
        <f t="shared" si="217"/>
        <v/>
      </c>
      <c r="HQ44" s="69" t="str">
        <f t="shared" si="218"/>
        <v/>
      </c>
      <c r="HS44" s="69" t="str">
        <f t="shared" si="344"/>
        <v/>
      </c>
      <c r="HT44" s="69" t="str">
        <f t="shared" si="345"/>
        <v/>
      </c>
      <c r="HU44" s="69" t="str">
        <f t="shared" si="219"/>
        <v/>
      </c>
      <c r="HV44" s="69" t="str">
        <f t="shared" si="346"/>
        <v/>
      </c>
      <c r="HW44" s="69" t="str">
        <f t="shared" si="347"/>
        <v/>
      </c>
      <c r="HX44" s="69" t="str">
        <f t="shared" si="220"/>
        <v/>
      </c>
      <c r="HY44" s="69" t="str">
        <f t="shared" si="348"/>
        <v/>
      </c>
      <c r="HZ44" s="69" t="str">
        <f t="shared" si="349"/>
        <v/>
      </c>
      <c r="IA44" s="69" t="str">
        <f t="shared" si="221"/>
        <v/>
      </c>
      <c r="IB44" s="69" t="str">
        <f t="shared" si="350"/>
        <v/>
      </c>
      <c r="IC44" s="69" t="str">
        <f t="shared" si="351"/>
        <v/>
      </c>
      <c r="ID44" s="69" t="str">
        <f t="shared" si="222"/>
        <v/>
      </c>
      <c r="IE44" s="69" t="str">
        <f t="shared" si="352"/>
        <v/>
      </c>
      <c r="IF44" s="69" t="str">
        <f t="shared" si="353"/>
        <v/>
      </c>
      <c r="IG44" s="69" t="str">
        <f t="shared" si="223"/>
        <v/>
      </c>
      <c r="IH44" s="69" t="str">
        <f t="shared" si="354"/>
        <v/>
      </c>
      <c r="II44" s="69" t="str">
        <f t="shared" si="355"/>
        <v/>
      </c>
      <c r="IJ44" s="69" t="str">
        <f t="shared" si="224"/>
        <v/>
      </c>
      <c r="IK44" s="69" t="str">
        <f t="shared" si="356"/>
        <v/>
      </c>
      <c r="IL44" s="69" t="str">
        <f t="shared" si="357"/>
        <v/>
      </c>
      <c r="IM44" s="69" t="str">
        <f t="shared" si="225"/>
        <v/>
      </c>
      <c r="IN44" s="69" t="str">
        <f t="shared" si="226"/>
        <v/>
      </c>
      <c r="IO44" s="69" t="str">
        <f t="shared" si="227"/>
        <v/>
      </c>
      <c r="IP44" s="69" t="str">
        <f t="shared" si="228"/>
        <v/>
      </c>
      <c r="IQ44" s="69" t="str">
        <f t="shared" si="229"/>
        <v/>
      </c>
      <c r="IR44" s="69" t="str">
        <f t="shared" si="230"/>
        <v/>
      </c>
      <c r="IS44" s="69" t="str">
        <f t="shared" si="231"/>
        <v/>
      </c>
      <c r="IT44" s="69" t="str">
        <f t="shared" si="232"/>
        <v/>
      </c>
      <c r="IU44" s="69" t="str">
        <f t="shared" si="233"/>
        <v/>
      </c>
      <c r="IV44" s="69" t="str">
        <f t="shared" si="234"/>
        <v/>
      </c>
    </row>
    <row r="45" spans="1:256" x14ac:dyDescent="0.2">
      <c r="A45" s="57" t="s">
        <v>48</v>
      </c>
      <c r="B45" s="184"/>
      <c r="C45" s="179"/>
      <c r="D45" s="179"/>
      <c r="E45" s="179"/>
      <c r="F45" s="179"/>
      <c r="G45" s="180"/>
      <c r="H45" s="180"/>
      <c r="I45" s="181"/>
      <c r="J45" s="182"/>
      <c r="K45" s="186"/>
      <c r="L45" s="68">
        <f t="shared" si="237"/>
        <v>0</v>
      </c>
      <c r="M45" s="69" t="str">
        <f t="shared" si="238"/>
        <v/>
      </c>
      <c r="N45" s="69" t="str">
        <f t="shared" si="358"/>
        <v/>
      </c>
      <c r="O45" s="69" t="str">
        <f t="shared" si="122"/>
        <v/>
      </c>
      <c r="P45" s="69" t="str">
        <f t="shared" ref="P45:P70" si="359">AV147</f>
        <v/>
      </c>
      <c r="Q45" s="70" t="str">
        <f t="shared" si="239"/>
        <v/>
      </c>
      <c r="R45" s="71" t="str">
        <f t="shared" si="124"/>
        <v/>
      </c>
      <c r="S45" s="71" t="str">
        <f t="shared" si="125"/>
        <v/>
      </c>
      <c r="T45" s="70" t="str">
        <f t="shared" si="240"/>
        <v/>
      </c>
      <c r="U45" s="71" t="str">
        <f t="shared" si="126"/>
        <v/>
      </c>
      <c r="V45" s="71" t="str">
        <f t="shared" si="127"/>
        <v/>
      </c>
      <c r="W45" s="70" t="str">
        <f t="shared" si="241"/>
        <v/>
      </c>
      <c r="X45" s="71" t="str">
        <f t="shared" si="128"/>
        <v/>
      </c>
      <c r="Y45" s="71" t="str">
        <f t="shared" si="129"/>
        <v/>
      </c>
      <c r="Z45" s="70" t="str">
        <f t="shared" si="242"/>
        <v/>
      </c>
      <c r="AA45" s="71" t="str">
        <f t="shared" si="130"/>
        <v/>
      </c>
      <c r="AB45" s="71" t="str">
        <f t="shared" si="131"/>
        <v/>
      </c>
      <c r="AC45" s="70" t="str">
        <f t="shared" si="243"/>
        <v/>
      </c>
      <c r="AD45" s="71" t="str">
        <f t="shared" si="132"/>
        <v/>
      </c>
      <c r="AE45" s="71" t="str">
        <f t="shared" si="133"/>
        <v/>
      </c>
      <c r="AF45" s="70" t="str">
        <f t="shared" si="244"/>
        <v/>
      </c>
      <c r="AG45" s="71" t="str">
        <f t="shared" si="134"/>
        <v/>
      </c>
      <c r="AH45" s="71" t="str">
        <f t="shared" si="135"/>
        <v/>
      </c>
      <c r="AI45" s="70" t="str">
        <f t="shared" si="245"/>
        <v/>
      </c>
      <c r="AJ45" s="71" t="str">
        <f t="shared" si="136"/>
        <v/>
      </c>
      <c r="AK45" s="71" t="str">
        <f t="shared" si="137"/>
        <v/>
      </c>
      <c r="AL45" s="70" t="str">
        <f t="shared" si="138"/>
        <v/>
      </c>
      <c r="AM45" s="71" t="str">
        <f t="shared" si="139"/>
        <v/>
      </c>
      <c r="AN45" s="71" t="str">
        <f t="shared" si="140"/>
        <v/>
      </c>
      <c r="AO45" s="70" t="str">
        <f t="shared" si="141"/>
        <v/>
      </c>
      <c r="AP45" s="71" t="str">
        <f t="shared" si="142"/>
        <v/>
      </c>
      <c r="AQ45" s="71" t="str">
        <f t="shared" si="143"/>
        <v/>
      </c>
      <c r="AR45" s="70" t="str">
        <f t="shared" si="144"/>
        <v/>
      </c>
      <c r="AS45" s="71" t="str">
        <f t="shared" si="145"/>
        <v/>
      </c>
      <c r="AT45" s="71" t="str">
        <f t="shared" si="146"/>
        <v/>
      </c>
      <c r="AU45" s="69" t="str">
        <f t="shared" si="147"/>
        <v/>
      </c>
      <c r="AV45" s="131" t="str">
        <f t="shared" si="148"/>
        <v/>
      </c>
      <c r="AW45" s="69" t="str">
        <f t="shared" si="236"/>
        <v/>
      </c>
      <c r="AX45" s="132" t="str">
        <f t="shared" si="150"/>
        <v/>
      </c>
      <c r="AY45" s="132" t="str">
        <f t="shared" si="151"/>
        <v/>
      </c>
      <c r="AZ45" s="69" t="str">
        <f t="shared" si="246"/>
        <v/>
      </c>
      <c r="BA45" s="69" t="str">
        <f t="shared" si="247"/>
        <v/>
      </c>
      <c r="BB45" s="69" t="str">
        <f t="shared" si="152"/>
        <v/>
      </c>
      <c r="BC45" s="69" t="str">
        <f t="shared" si="248"/>
        <v/>
      </c>
      <c r="BD45" s="69" t="str">
        <f t="shared" si="249"/>
        <v/>
      </c>
      <c r="BE45" s="69" t="str">
        <f t="shared" si="153"/>
        <v/>
      </c>
      <c r="BF45" s="69" t="str">
        <f t="shared" si="250"/>
        <v/>
      </c>
      <c r="BG45" s="69" t="str">
        <f t="shared" si="251"/>
        <v/>
      </c>
      <c r="BH45" s="69" t="str">
        <f t="shared" si="154"/>
        <v/>
      </c>
      <c r="BI45" s="69" t="str">
        <f t="shared" si="252"/>
        <v/>
      </c>
      <c r="BJ45" s="69" t="str">
        <f t="shared" si="253"/>
        <v/>
      </c>
      <c r="BK45" s="69" t="str">
        <f t="shared" si="155"/>
        <v/>
      </c>
      <c r="BL45" s="69" t="str">
        <f t="shared" si="254"/>
        <v/>
      </c>
      <c r="BM45" s="69" t="str">
        <f t="shared" si="255"/>
        <v/>
      </c>
      <c r="BN45" s="69" t="str">
        <f t="shared" si="156"/>
        <v/>
      </c>
      <c r="BO45" s="69" t="str">
        <f t="shared" si="256"/>
        <v/>
      </c>
      <c r="BP45" s="69" t="str">
        <f t="shared" si="257"/>
        <v/>
      </c>
      <c r="BQ45" s="69" t="str">
        <f t="shared" si="157"/>
        <v/>
      </c>
      <c r="BR45" s="69" t="str">
        <f t="shared" si="258"/>
        <v/>
      </c>
      <c r="BS45" s="69" t="str">
        <f t="shared" si="259"/>
        <v/>
      </c>
      <c r="BT45" s="69" t="str">
        <f t="shared" si="158"/>
        <v/>
      </c>
      <c r="BU45" s="69" t="str">
        <f t="shared" si="260"/>
        <v/>
      </c>
      <c r="BV45" s="69" t="str">
        <f t="shared" si="261"/>
        <v/>
      </c>
      <c r="BW45" s="69" t="str">
        <f t="shared" si="159"/>
        <v/>
      </c>
      <c r="BX45" s="69" t="str">
        <f t="shared" si="262"/>
        <v/>
      </c>
      <c r="BY45" s="69" t="str">
        <f t="shared" si="263"/>
        <v/>
      </c>
      <c r="BZ45" s="69" t="str">
        <f t="shared" si="160"/>
        <v/>
      </c>
      <c r="CA45" s="69" t="str">
        <f t="shared" si="264"/>
        <v/>
      </c>
      <c r="CB45" s="69" t="str">
        <f t="shared" si="265"/>
        <v/>
      </c>
      <c r="CC45" s="69" t="str">
        <f t="shared" si="161"/>
        <v/>
      </c>
      <c r="CE45" s="69" t="str">
        <f t="shared" si="266"/>
        <v/>
      </c>
      <c r="CF45" s="69" t="str">
        <f t="shared" si="267"/>
        <v/>
      </c>
      <c r="CG45" s="69" t="str">
        <f t="shared" si="162"/>
        <v/>
      </c>
      <c r="CH45" s="69" t="str">
        <f t="shared" si="268"/>
        <v/>
      </c>
      <c r="CI45" s="69" t="str">
        <f t="shared" si="269"/>
        <v/>
      </c>
      <c r="CJ45" s="69" t="str">
        <f t="shared" si="163"/>
        <v/>
      </c>
      <c r="CK45" s="69" t="str">
        <f t="shared" si="270"/>
        <v/>
      </c>
      <c r="CL45" s="69" t="str">
        <f t="shared" si="271"/>
        <v/>
      </c>
      <c r="CM45" s="69" t="str">
        <f t="shared" si="164"/>
        <v/>
      </c>
      <c r="CN45" s="69" t="str">
        <f t="shared" si="272"/>
        <v/>
      </c>
      <c r="CO45" s="69" t="str">
        <f t="shared" si="273"/>
        <v/>
      </c>
      <c r="CP45" s="69" t="str">
        <f t="shared" si="165"/>
        <v/>
      </c>
      <c r="CQ45" s="69" t="str">
        <f t="shared" si="274"/>
        <v/>
      </c>
      <c r="CR45" s="69" t="str">
        <f t="shared" si="275"/>
        <v/>
      </c>
      <c r="CS45" s="69" t="str">
        <f t="shared" si="166"/>
        <v/>
      </c>
      <c r="CT45" s="69" t="str">
        <f t="shared" si="276"/>
        <v/>
      </c>
      <c r="CU45" s="69" t="str">
        <f t="shared" si="277"/>
        <v/>
      </c>
      <c r="CV45" s="69" t="str">
        <f t="shared" si="167"/>
        <v/>
      </c>
      <c r="CW45" s="69" t="str">
        <f t="shared" si="278"/>
        <v/>
      </c>
      <c r="CX45" s="69" t="str">
        <f t="shared" si="279"/>
        <v/>
      </c>
      <c r="CY45" s="69" t="str">
        <f t="shared" si="168"/>
        <v/>
      </c>
      <c r="CZ45" s="69" t="str">
        <f t="shared" si="280"/>
        <v/>
      </c>
      <c r="DA45" s="69" t="str">
        <f t="shared" si="281"/>
        <v/>
      </c>
      <c r="DB45" s="69" t="str">
        <f t="shared" si="169"/>
        <v/>
      </c>
      <c r="DC45" s="69" t="str">
        <f t="shared" si="282"/>
        <v/>
      </c>
      <c r="DD45" s="69" t="str">
        <f t="shared" si="283"/>
        <v/>
      </c>
      <c r="DE45" s="69" t="str">
        <f t="shared" si="170"/>
        <v/>
      </c>
      <c r="DG45" s="69" t="str">
        <f t="shared" si="284"/>
        <v/>
      </c>
      <c r="DH45" s="69" t="str">
        <f t="shared" si="285"/>
        <v/>
      </c>
      <c r="DI45" s="69" t="str">
        <f t="shared" si="171"/>
        <v/>
      </c>
      <c r="DJ45" s="69" t="str">
        <f t="shared" si="286"/>
        <v/>
      </c>
      <c r="DK45" s="69" t="str">
        <f t="shared" si="287"/>
        <v/>
      </c>
      <c r="DL45" s="69" t="str">
        <f t="shared" si="172"/>
        <v/>
      </c>
      <c r="DM45" s="69" t="str">
        <f t="shared" si="288"/>
        <v/>
      </c>
      <c r="DN45" s="69" t="str">
        <f t="shared" si="289"/>
        <v/>
      </c>
      <c r="DO45" s="69" t="str">
        <f t="shared" si="173"/>
        <v/>
      </c>
      <c r="DP45" s="69" t="str">
        <f t="shared" si="290"/>
        <v/>
      </c>
      <c r="DQ45" s="69" t="str">
        <f t="shared" si="291"/>
        <v/>
      </c>
      <c r="DR45" s="69" t="str">
        <f t="shared" si="174"/>
        <v/>
      </c>
      <c r="DS45" s="69" t="str">
        <f t="shared" si="292"/>
        <v/>
      </c>
      <c r="DT45" s="69" t="str">
        <f t="shared" si="293"/>
        <v/>
      </c>
      <c r="DU45" s="69" t="str">
        <f t="shared" si="175"/>
        <v/>
      </c>
      <c r="DV45" s="69" t="str">
        <f t="shared" si="294"/>
        <v/>
      </c>
      <c r="DW45" s="69" t="str">
        <f t="shared" si="295"/>
        <v/>
      </c>
      <c r="DX45" s="69" t="str">
        <f t="shared" si="176"/>
        <v/>
      </c>
      <c r="DY45" s="69" t="str">
        <f t="shared" si="296"/>
        <v/>
      </c>
      <c r="DZ45" s="69" t="str">
        <f t="shared" si="297"/>
        <v/>
      </c>
      <c r="EA45" s="69" t="str">
        <f t="shared" si="177"/>
        <v/>
      </c>
      <c r="EB45" s="69" t="str">
        <f t="shared" si="298"/>
        <v/>
      </c>
      <c r="EC45" s="69" t="str">
        <f t="shared" si="299"/>
        <v/>
      </c>
      <c r="ED45" s="69" t="str">
        <f t="shared" si="178"/>
        <v/>
      </c>
      <c r="EF45" s="69" t="str">
        <f t="shared" si="300"/>
        <v/>
      </c>
      <c r="EG45" s="69" t="str">
        <f t="shared" si="301"/>
        <v/>
      </c>
      <c r="EH45" s="69" t="str">
        <f t="shared" si="179"/>
        <v/>
      </c>
      <c r="EI45" s="69" t="str">
        <f t="shared" si="302"/>
        <v/>
      </c>
      <c r="EJ45" s="69" t="str">
        <f t="shared" si="303"/>
        <v/>
      </c>
      <c r="EK45" s="69" t="str">
        <f t="shared" si="180"/>
        <v/>
      </c>
      <c r="EL45" s="69" t="str">
        <f t="shared" si="304"/>
        <v/>
      </c>
      <c r="EM45" s="69" t="str">
        <f t="shared" si="305"/>
        <v/>
      </c>
      <c r="EN45" s="69" t="str">
        <f t="shared" si="181"/>
        <v/>
      </c>
      <c r="EO45" s="69" t="str">
        <f t="shared" si="306"/>
        <v/>
      </c>
      <c r="EP45" s="69" t="str">
        <f t="shared" si="307"/>
        <v/>
      </c>
      <c r="EQ45" s="69" t="str">
        <f t="shared" si="182"/>
        <v/>
      </c>
      <c r="ER45" s="69" t="str">
        <f t="shared" si="308"/>
        <v/>
      </c>
      <c r="ES45" s="69" t="str">
        <f t="shared" si="309"/>
        <v/>
      </c>
      <c r="ET45" s="69" t="str">
        <f t="shared" si="183"/>
        <v/>
      </c>
      <c r="EU45" s="69" t="str">
        <f t="shared" si="310"/>
        <v/>
      </c>
      <c r="EV45" s="69" t="str">
        <f t="shared" si="311"/>
        <v/>
      </c>
      <c r="EW45" s="69" t="str">
        <f t="shared" si="184"/>
        <v/>
      </c>
      <c r="EX45" s="69" t="str">
        <f t="shared" si="312"/>
        <v/>
      </c>
      <c r="EY45" s="69" t="str">
        <f t="shared" si="313"/>
        <v/>
      </c>
      <c r="EZ45" s="69" t="str">
        <f t="shared" si="185"/>
        <v/>
      </c>
      <c r="FB45" s="69" t="str">
        <f t="shared" si="314"/>
        <v/>
      </c>
      <c r="FC45" s="69" t="str">
        <f t="shared" si="315"/>
        <v/>
      </c>
      <c r="FD45" s="69" t="str">
        <f t="shared" si="186"/>
        <v/>
      </c>
      <c r="FE45" s="69" t="str">
        <f t="shared" si="316"/>
        <v/>
      </c>
      <c r="FF45" s="69" t="str">
        <f t="shared" si="317"/>
        <v/>
      </c>
      <c r="FG45" s="69" t="str">
        <f t="shared" si="187"/>
        <v/>
      </c>
      <c r="FH45" s="69" t="str">
        <f t="shared" si="318"/>
        <v/>
      </c>
      <c r="FI45" s="69" t="str">
        <f t="shared" si="319"/>
        <v/>
      </c>
      <c r="FJ45" s="69" t="str">
        <f t="shared" si="188"/>
        <v/>
      </c>
      <c r="FK45" s="69" t="str">
        <f t="shared" si="320"/>
        <v/>
      </c>
      <c r="FL45" s="69" t="str">
        <f t="shared" si="321"/>
        <v/>
      </c>
      <c r="FM45" s="69" t="str">
        <f t="shared" si="189"/>
        <v/>
      </c>
      <c r="FN45" s="69" t="str">
        <f t="shared" si="322"/>
        <v/>
      </c>
      <c r="FO45" s="69" t="str">
        <f t="shared" si="323"/>
        <v/>
      </c>
      <c r="FP45" s="69" t="str">
        <f t="shared" si="190"/>
        <v/>
      </c>
      <c r="FQ45" s="69" t="str">
        <f t="shared" si="324"/>
        <v/>
      </c>
      <c r="FR45" s="69" t="str">
        <f t="shared" si="325"/>
        <v/>
      </c>
      <c r="FS45" s="69" t="str">
        <f t="shared" si="191"/>
        <v/>
      </c>
      <c r="FU45" s="69" t="str">
        <f t="shared" si="326"/>
        <v/>
      </c>
      <c r="FV45" s="69" t="str">
        <f t="shared" si="327"/>
        <v/>
      </c>
      <c r="FW45" s="69" t="str">
        <f t="shared" si="192"/>
        <v/>
      </c>
      <c r="FX45" s="69" t="str">
        <f t="shared" si="328"/>
        <v/>
      </c>
      <c r="FY45" s="69" t="str">
        <f t="shared" si="329"/>
        <v/>
      </c>
      <c r="FZ45" s="69" t="str">
        <f t="shared" si="193"/>
        <v/>
      </c>
      <c r="GA45" s="69" t="str">
        <f t="shared" si="330"/>
        <v/>
      </c>
      <c r="GB45" s="69" t="str">
        <f t="shared" si="331"/>
        <v/>
      </c>
      <c r="GC45" s="69" t="str">
        <f t="shared" si="194"/>
        <v/>
      </c>
      <c r="GD45" s="69" t="str">
        <f t="shared" si="332"/>
        <v/>
      </c>
      <c r="GE45" s="69" t="str">
        <f t="shared" si="333"/>
        <v/>
      </c>
      <c r="GF45" s="69" t="str">
        <f t="shared" si="195"/>
        <v/>
      </c>
      <c r="GG45" s="69" t="str">
        <f t="shared" si="334"/>
        <v/>
      </c>
      <c r="GH45" s="69" t="str">
        <f t="shared" si="335"/>
        <v/>
      </c>
      <c r="GI45" s="69" t="str">
        <f t="shared" si="196"/>
        <v/>
      </c>
      <c r="GK45" s="69" t="str">
        <f t="shared" si="336"/>
        <v/>
      </c>
      <c r="GL45" s="69" t="str">
        <f t="shared" si="337"/>
        <v/>
      </c>
      <c r="GM45" s="69" t="str">
        <f t="shared" si="197"/>
        <v/>
      </c>
      <c r="GN45" s="69" t="str">
        <f t="shared" si="338"/>
        <v/>
      </c>
      <c r="GO45" s="69" t="str">
        <f t="shared" si="339"/>
        <v/>
      </c>
      <c r="GP45" s="69" t="str">
        <f t="shared" si="198"/>
        <v/>
      </c>
      <c r="GQ45" s="69" t="str">
        <f t="shared" si="340"/>
        <v/>
      </c>
      <c r="GR45" s="69" t="str">
        <f t="shared" si="341"/>
        <v/>
      </c>
      <c r="GS45" s="69" t="str">
        <f t="shared" si="199"/>
        <v/>
      </c>
      <c r="GT45" s="69" t="str">
        <f t="shared" si="342"/>
        <v/>
      </c>
      <c r="GU45" s="69" t="str">
        <f t="shared" si="343"/>
        <v/>
      </c>
      <c r="GV45" s="69" t="str">
        <f t="shared" si="200"/>
        <v/>
      </c>
      <c r="GX45" s="69" t="str">
        <f t="shared" si="201"/>
        <v/>
      </c>
      <c r="GY45" s="69" t="str">
        <f t="shared" si="202"/>
        <v/>
      </c>
      <c r="GZ45" s="69" t="str">
        <f t="shared" si="203"/>
        <v/>
      </c>
      <c r="HA45" s="69" t="str">
        <f t="shared" si="204"/>
        <v/>
      </c>
      <c r="HB45" s="69" t="str">
        <f t="shared" si="205"/>
        <v/>
      </c>
      <c r="HC45" s="69" t="str">
        <f t="shared" si="206"/>
        <v/>
      </c>
      <c r="HD45" s="69" t="str">
        <f t="shared" si="207"/>
        <v/>
      </c>
      <c r="HE45" s="69" t="str">
        <f t="shared" si="208"/>
        <v/>
      </c>
      <c r="HF45" s="69" t="str">
        <f t="shared" si="209"/>
        <v/>
      </c>
      <c r="HH45" s="69" t="str">
        <f t="shared" si="210"/>
        <v/>
      </c>
      <c r="HI45" s="69" t="str">
        <f t="shared" si="211"/>
        <v/>
      </c>
      <c r="HJ45" s="69" t="str">
        <f t="shared" si="212"/>
        <v/>
      </c>
      <c r="HK45" s="69" t="str">
        <f t="shared" si="213"/>
        <v/>
      </c>
      <c r="HL45" s="69" t="str">
        <f t="shared" si="214"/>
        <v/>
      </c>
      <c r="HM45" s="69" t="str">
        <f t="shared" si="215"/>
        <v/>
      </c>
      <c r="HO45" s="69" t="str">
        <f t="shared" si="216"/>
        <v/>
      </c>
      <c r="HP45" s="69" t="str">
        <f t="shared" si="217"/>
        <v/>
      </c>
      <c r="HQ45" s="69" t="str">
        <f t="shared" si="218"/>
        <v/>
      </c>
      <c r="HS45" s="69" t="str">
        <f t="shared" si="344"/>
        <v/>
      </c>
      <c r="HT45" s="69" t="str">
        <f t="shared" si="345"/>
        <v/>
      </c>
      <c r="HU45" s="69" t="str">
        <f t="shared" si="219"/>
        <v/>
      </c>
      <c r="HV45" s="69" t="str">
        <f t="shared" si="346"/>
        <v/>
      </c>
      <c r="HW45" s="69" t="str">
        <f t="shared" si="347"/>
        <v/>
      </c>
      <c r="HX45" s="69" t="str">
        <f t="shared" si="220"/>
        <v/>
      </c>
      <c r="HY45" s="69" t="str">
        <f t="shared" si="348"/>
        <v/>
      </c>
      <c r="HZ45" s="69" t="str">
        <f t="shared" si="349"/>
        <v/>
      </c>
      <c r="IA45" s="69" t="str">
        <f t="shared" si="221"/>
        <v/>
      </c>
      <c r="IB45" s="69" t="str">
        <f t="shared" si="350"/>
        <v/>
      </c>
      <c r="IC45" s="69" t="str">
        <f t="shared" si="351"/>
        <v/>
      </c>
      <c r="ID45" s="69" t="str">
        <f t="shared" si="222"/>
        <v/>
      </c>
      <c r="IE45" s="69" t="str">
        <f t="shared" si="352"/>
        <v/>
      </c>
      <c r="IF45" s="69" t="str">
        <f t="shared" si="353"/>
        <v/>
      </c>
      <c r="IG45" s="69" t="str">
        <f t="shared" si="223"/>
        <v/>
      </c>
      <c r="IH45" s="69" t="str">
        <f t="shared" si="354"/>
        <v/>
      </c>
      <c r="II45" s="69" t="str">
        <f t="shared" si="355"/>
        <v/>
      </c>
      <c r="IJ45" s="69" t="str">
        <f t="shared" si="224"/>
        <v/>
      </c>
      <c r="IK45" s="69" t="str">
        <f t="shared" si="356"/>
        <v/>
      </c>
      <c r="IL45" s="69" t="str">
        <f t="shared" si="357"/>
        <v/>
      </c>
      <c r="IM45" s="69" t="str">
        <f t="shared" si="225"/>
        <v/>
      </c>
      <c r="IN45" s="69" t="str">
        <f t="shared" si="226"/>
        <v/>
      </c>
      <c r="IO45" s="69" t="str">
        <f t="shared" si="227"/>
        <v/>
      </c>
      <c r="IP45" s="69" t="str">
        <f t="shared" si="228"/>
        <v/>
      </c>
      <c r="IQ45" s="69" t="str">
        <f t="shared" si="229"/>
        <v/>
      </c>
      <c r="IR45" s="69" t="str">
        <f t="shared" si="230"/>
        <v/>
      </c>
      <c r="IS45" s="69" t="str">
        <f t="shared" si="231"/>
        <v/>
      </c>
      <c r="IT45" s="69" t="str">
        <f t="shared" si="232"/>
        <v/>
      </c>
      <c r="IU45" s="69" t="str">
        <f t="shared" si="233"/>
        <v/>
      </c>
      <c r="IV45" s="69" t="str">
        <f t="shared" si="234"/>
        <v/>
      </c>
    </row>
    <row r="46" spans="1:256" x14ac:dyDescent="0.2">
      <c r="A46" s="57" t="s">
        <v>49</v>
      </c>
      <c r="B46" s="184"/>
      <c r="C46" s="179"/>
      <c r="D46" s="179"/>
      <c r="E46" s="179"/>
      <c r="F46" s="179"/>
      <c r="G46" s="180"/>
      <c r="H46" s="180"/>
      <c r="I46" s="181"/>
      <c r="J46" s="182"/>
      <c r="K46" s="186"/>
      <c r="L46" s="68">
        <f t="shared" si="237"/>
        <v>0</v>
      </c>
      <c r="M46" s="69" t="str">
        <f t="shared" si="238"/>
        <v/>
      </c>
      <c r="N46" s="69" t="str">
        <f t="shared" si="358"/>
        <v/>
      </c>
      <c r="O46" s="69" t="str">
        <f t="shared" si="122"/>
        <v/>
      </c>
      <c r="P46" s="69" t="str">
        <f t="shared" si="359"/>
        <v/>
      </c>
      <c r="Q46" s="70" t="str">
        <f t="shared" si="239"/>
        <v/>
      </c>
      <c r="R46" s="71" t="str">
        <f t="shared" si="124"/>
        <v/>
      </c>
      <c r="S46" s="71" t="str">
        <f t="shared" si="125"/>
        <v/>
      </c>
      <c r="T46" s="70" t="str">
        <f t="shared" si="240"/>
        <v/>
      </c>
      <c r="U46" s="71" t="str">
        <f t="shared" si="126"/>
        <v/>
      </c>
      <c r="V46" s="71" t="str">
        <f t="shared" si="127"/>
        <v/>
      </c>
      <c r="W46" s="70" t="str">
        <f t="shared" si="241"/>
        <v/>
      </c>
      <c r="X46" s="71" t="str">
        <f t="shared" si="128"/>
        <v/>
      </c>
      <c r="Y46" s="71" t="str">
        <f t="shared" si="129"/>
        <v/>
      </c>
      <c r="Z46" s="70" t="str">
        <f t="shared" si="242"/>
        <v/>
      </c>
      <c r="AA46" s="71" t="str">
        <f t="shared" si="130"/>
        <v/>
      </c>
      <c r="AB46" s="71" t="str">
        <f t="shared" si="131"/>
        <v/>
      </c>
      <c r="AC46" s="70" t="str">
        <f t="shared" si="243"/>
        <v/>
      </c>
      <c r="AD46" s="71" t="str">
        <f t="shared" si="132"/>
        <v/>
      </c>
      <c r="AE46" s="71" t="str">
        <f t="shared" si="133"/>
        <v/>
      </c>
      <c r="AF46" s="70" t="str">
        <f t="shared" si="244"/>
        <v/>
      </c>
      <c r="AG46" s="71" t="str">
        <f t="shared" si="134"/>
        <v/>
      </c>
      <c r="AH46" s="71" t="str">
        <f t="shared" si="135"/>
        <v/>
      </c>
      <c r="AI46" s="70" t="str">
        <f t="shared" si="245"/>
        <v/>
      </c>
      <c r="AJ46" s="71" t="str">
        <f t="shared" si="136"/>
        <v/>
      </c>
      <c r="AK46" s="71" t="str">
        <f t="shared" si="137"/>
        <v/>
      </c>
      <c r="AL46" s="70" t="str">
        <f t="shared" si="138"/>
        <v/>
      </c>
      <c r="AM46" s="71" t="str">
        <f t="shared" si="139"/>
        <v/>
      </c>
      <c r="AN46" s="71" t="str">
        <f t="shared" si="140"/>
        <v/>
      </c>
      <c r="AO46" s="70" t="str">
        <f t="shared" si="141"/>
        <v/>
      </c>
      <c r="AP46" s="71" t="str">
        <f t="shared" si="142"/>
        <v/>
      </c>
      <c r="AQ46" s="71" t="str">
        <f t="shared" si="143"/>
        <v/>
      </c>
      <c r="AR46" s="70" t="str">
        <f t="shared" si="144"/>
        <v/>
      </c>
      <c r="AS46" s="71" t="str">
        <f t="shared" si="145"/>
        <v/>
      </c>
      <c r="AT46" s="71" t="str">
        <f t="shared" si="146"/>
        <v/>
      </c>
      <c r="AU46" s="69" t="str">
        <f t="shared" si="147"/>
        <v/>
      </c>
      <c r="AV46" s="131" t="str">
        <f t="shared" si="148"/>
        <v/>
      </c>
      <c r="AW46" s="69" t="str">
        <f t="shared" si="236"/>
        <v/>
      </c>
      <c r="AX46" s="132" t="str">
        <f t="shared" si="150"/>
        <v/>
      </c>
      <c r="AY46" s="132" t="str">
        <f t="shared" si="151"/>
        <v/>
      </c>
      <c r="AZ46" s="69" t="str">
        <f t="shared" si="246"/>
        <v/>
      </c>
      <c r="BA46" s="69" t="str">
        <f t="shared" si="247"/>
        <v/>
      </c>
      <c r="BB46" s="69" t="str">
        <f t="shared" si="152"/>
        <v/>
      </c>
      <c r="BC46" s="69" t="str">
        <f t="shared" si="248"/>
        <v/>
      </c>
      <c r="BD46" s="69" t="str">
        <f t="shared" si="249"/>
        <v/>
      </c>
      <c r="BE46" s="69" t="str">
        <f t="shared" si="153"/>
        <v/>
      </c>
      <c r="BF46" s="69" t="str">
        <f t="shared" si="250"/>
        <v/>
      </c>
      <c r="BG46" s="69" t="str">
        <f t="shared" si="251"/>
        <v/>
      </c>
      <c r="BH46" s="69" t="str">
        <f t="shared" si="154"/>
        <v/>
      </c>
      <c r="BI46" s="69" t="str">
        <f t="shared" si="252"/>
        <v/>
      </c>
      <c r="BJ46" s="69" t="str">
        <f t="shared" si="253"/>
        <v/>
      </c>
      <c r="BK46" s="69" t="str">
        <f t="shared" si="155"/>
        <v/>
      </c>
      <c r="BL46" s="69" t="str">
        <f t="shared" si="254"/>
        <v/>
      </c>
      <c r="BM46" s="69" t="str">
        <f t="shared" si="255"/>
        <v/>
      </c>
      <c r="BN46" s="69" t="str">
        <f t="shared" si="156"/>
        <v/>
      </c>
      <c r="BO46" s="69" t="str">
        <f t="shared" si="256"/>
        <v/>
      </c>
      <c r="BP46" s="69" t="str">
        <f t="shared" si="257"/>
        <v/>
      </c>
      <c r="BQ46" s="69" t="str">
        <f t="shared" si="157"/>
        <v/>
      </c>
      <c r="BR46" s="69" t="str">
        <f t="shared" si="258"/>
        <v/>
      </c>
      <c r="BS46" s="69" t="str">
        <f t="shared" si="259"/>
        <v/>
      </c>
      <c r="BT46" s="69" t="str">
        <f t="shared" si="158"/>
        <v/>
      </c>
      <c r="BU46" s="69" t="str">
        <f t="shared" si="260"/>
        <v/>
      </c>
      <c r="BV46" s="69" t="str">
        <f t="shared" si="261"/>
        <v/>
      </c>
      <c r="BW46" s="69" t="str">
        <f t="shared" si="159"/>
        <v/>
      </c>
      <c r="BX46" s="69" t="str">
        <f t="shared" si="262"/>
        <v/>
      </c>
      <c r="BY46" s="69" t="str">
        <f t="shared" si="263"/>
        <v/>
      </c>
      <c r="BZ46" s="69" t="str">
        <f t="shared" si="160"/>
        <v/>
      </c>
      <c r="CA46" s="69" t="str">
        <f t="shared" si="264"/>
        <v/>
      </c>
      <c r="CB46" s="69" t="str">
        <f t="shared" si="265"/>
        <v/>
      </c>
      <c r="CC46" s="69" t="str">
        <f t="shared" si="161"/>
        <v/>
      </c>
      <c r="CE46" s="69" t="str">
        <f t="shared" si="266"/>
        <v/>
      </c>
      <c r="CF46" s="69" t="str">
        <f t="shared" si="267"/>
        <v/>
      </c>
      <c r="CG46" s="69" t="str">
        <f t="shared" si="162"/>
        <v/>
      </c>
      <c r="CH46" s="69" t="str">
        <f t="shared" si="268"/>
        <v/>
      </c>
      <c r="CI46" s="69" t="str">
        <f t="shared" si="269"/>
        <v/>
      </c>
      <c r="CJ46" s="69" t="str">
        <f t="shared" si="163"/>
        <v/>
      </c>
      <c r="CK46" s="69" t="str">
        <f t="shared" si="270"/>
        <v/>
      </c>
      <c r="CL46" s="69" t="str">
        <f t="shared" si="271"/>
        <v/>
      </c>
      <c r="CM46" s="69" t="str">
        <f t="shared" si="164"/>
        <v/>
      </c>
      <c r="CN46" s="69" t="str">
        <f t="shared" si="272"/>
        <v/>
      </c>
      <c r="CO46" s="69" t="str">
        <f t="shared" si="273"/>
        <v/>
      </c>
      <c r="CP46" s="69" t="str">
        <f t="shared" si="165"/>
        <v/>
      </c>
      <c r="CQ46" s="69" t="str">
        <f t="shared" si="274"/>
        <v/>
      </c>
      <c r="CR46" s="69" t="str">
        <f t="shared" si="275"/>
        <v/>
      </c>
      <c r="CS46" s="69" t="str">
        <f t="shared" si="166"/>
        <v/>
      </c>
      <c r="CT46" s="69" t="str">
        <f t="shared" si="276"/>
        <v/>
      </c>
      <c r="CU46" s="69" t="str">
        <f t="shared" si="277"/>
        <v/>
      </c>
      <c r="CV46" s="69" t="str">
        <f t="shared" si="167"/>
        <v/>
      </c>
      <c r="CW46" s="69" t="str">
        <f t="shared" si="278"/>
        <v/>
      </c>
      <c r="CX46" s="69" t="str">
        <f t="shared" si="279"/>
        <v/>
      </c>
      <c r="CY46" s="69" t="str">
        <f t="shared" si="168"/>
        <v/>
      </c>
      <c r="CZ46" s="69" t="str">
        <f t="shared" si="280"/>
        <v/>
      </c>
      <c r="DA46" s="69" t="str">
        <f t="shared" si="281"/>
        <v/>
      </c>
      <c r="DB46" s="69" t="str">
        <f t="shared" si="169"/>
        <v/>
      </c>
      <c r="DC46" s="69" t="str">
        <f t="shared" si="282"/>
        <v/>
      </c>
      <c r="DD46" s="69" t="str">
        <f t="shared" si="283"/>
        <v/>
      </c>
      <c r="DE46" s="69" t="str">
        <f t="shared" si="170"/>
        <v/>
      </c>
      <c r="DG46" s="69" t="str">
        <f t="shared" si="284"/>
        <v/>
      </c>
      <c r="DH46" s="69" t="str">
        <f t="shared" si="285"/>
        <v/>
      </c>
      <c r="DI46" s="69" t="str">
        <f t="shared" si="171"/>
        <v/>
      </c>
      <c r="DJ46" s="69" t="str">
        <f t="shared" si="286"/>
        <v/>
      </c>
      <c r="DK46" s="69" t="str">
        <f t="shared" si="287"/>
        <v/>
      </c>
      <c r="DL46" s="69" t="str">
        <f t="shared" si="172"/>
        <v/>
      </c>
      <c r="DM46" s="69" t="str">
        <f t="shared" si="288"/>
        <v/>
      </c>
      <c r="DN46" s="69" t="str">
        <f t="shared" si="289"/>
        <v/>
      </c>
      <c r="DO46" s="69" t="str">
        <f t="shared" si="173"/>
        <v/>
      </c>
      <c r="DP46" s="69" t="str">
        <f t="shared" si="290"/>
        <v/>
      </c>
      <c r="DQ46" s="69" t="str">
        <f t="shared" si="291"/>
        <v/>
      </c>
      <c r="DR46" s="69" t="str">
        <f t="shared" si="174"/>
        <v/>
      </c>
      <c r="DS46" s="69" t="str">
        <f t="shared" si="292"/>
        <v/>
      </c>
      <c r="DT46" s="69" t="str">
        <f t="shared" si="293"/>
        <v/>
      </c>
      <c r="DU46" s="69" t="str">
        <f t="shared" si="175"/>
        <v/>
      </c>
      <c r="DV46" s="69" t="str">
        <f t="shared" si="294"/>
        <v/>
      </c>
      <c r="DW46" s="69" t="str">
        <f t="shared" si="295"/>
        <v/>
      </c>
      <c r="DX46" s="69" t="str">
        <f t="shared" si="176"/>
        <v/>
      </c>
      <c r="DY46" s="69" t="str">
        <f t="shared" si="296"/>
        <v/>
      </c>
      <c r="DZ46" s="69" t="str">
        <f t="shared" si="297"/>
        <v/>
      </c>
      <c r="EA46" s="69" t="str">
        <f t="shared" si="177"/>
        <v/>
      </c>
      <c r="EB46" s="69" t="str">
        <f t="shared" si="298"/>
        <v/>
      </c>
      <c r="EC46" s="69" t="str">
        <f t="shared" si="299"/>
        <v/>
      </c>
      <c r="ED46" s="69" t="str">
        <f t="shared" si="178"/>
        <v/>
      </c>
      <c r="EF46" s="69" t="str">
        <f t="shared" si="300"/>
        <v/>
      </c>
      <c r="EG46" s="69" t="str">
        <f t="shared" si="301"/>
        <v/>
      </c>
      <c r="EH46" s="69" t="str">
        <f t="shared" si="179"/>
        <v/>
      </c>
      <c r="EI46" s="69" t="str">
        <f t="shared" si="302"/>
        <v/>
      </c>
      <c r="EJ46" s="69" t="str">
        <f t="shared" si="303"/>
        <v/>
      </c>
      <c r="EK46" s="69" t="str">
        <f t="shared" si="180"/>
        <v/>
      </c>
      <c r="EL46" s="69" t="str">
        <f t="shared" si="304"/>
        <v/>
      </c>
      <c r="EM46" s="69" t="str">
        <f t="shared" si="305"/>
        <v/>
      </c>
      <c r="EN46" s="69" t="str">
        <f t="shared" si="181"/>
        <v/>
      </c>
      <c r="EO46" s="69" t="str">
        <f t="shared" si="306"/>
        <v/>
      </c>
      <c r="EP46" s="69" t="str">
        <f t="shared" si="307"/>
        <v/>
      </c>
      <c r="EQ46" s="69" t="str">
        <f t="shared" si="182"/>
        <v/>
      </c>
      <c r="ER46" s="69" t="str">
        <f t="shared" si="308"/>
        <v/>
      </c>
      <c r="ES46" s="69" t="str">
        <f t="shared" si="309"/>
        <v/>
      </c>
      <c r="ET46" s="69" t="str">
        <f t="shared" si="183"/>
        <v/>
      </c>
      <c r="EU46" s="69" t="str">
        <f t="shared" si="310"/>
        <v/>
      </c>
      <c r="EV46" s="69" t="str">
        <f t="shared" si="311"/>
        <v/>
      </c>
      <c r="EW46" s="69" t="str">
        <f t="shared" si="184"/>
        <v/>
      </c>
      <c r="EX46" s="69" t="str">
        <f t="shared" si="312"/>
        <v/>
      </c>
      <c r="EY46" s="69" t="str">
        <f t="shared" si="313"/>
        <v/>
      </c>
      <c r="EZ46" s="69" t="str">
        <f t="shared" si="185"/>
        <v/>
      </c>
      <c r="FB46" s="69" t="str">
        <f t="shared" si="314"/>
        <v/>
      </c>
      <c r="FC46" s="69" t="str">
        <f t="shared" si="315"/>
        <v/>
      </c>
      <c r="FD46" s="69" t="str">
        <f t="shared" si="186"/>
        <v/>
      </c>
      <c r="FE46" s="69" t="str">
        <f t="shared" si="316"/>
        <v/>
      </c>
      <c r="FF46" s="69" t="str">
        <f t="shared" si="317"/>
        <v/>
      </c>
      <c r="FG46" s="69" t="str">
        <f t="shared" si="187"/>
        <v/>
      </c>
      <c r="FH46" s="69" t="str">
        <f t="shared" si="318"/>
        <v/>
      </c>
      <c r="FI46" s="69" t="str">
        <f t="shared" si="319"/>
        <v/>
      </c>
      <c r="FJ46" s="69" t="str">
        <f t="shared" si="188"/>
        <v/>
      </c>
      <c r="FK46" s="69" t="str">
        <f t="shared" si="320"/>
        <v/>
      </c>
      <c r="FL46" s="69" t="str">
        <f t="shared" si="321"/>
        <v/>
      </c>
      <c r="FM46" s="69" t="str">
        <f t="shared" si="189"/>
        <v/>
      </c>
      <c r="FN46" s="69" t="str">
        <f t="shared" si="322"/>
        <v/>
      </c>
      <c r="FO46" s="69" t="str">
        <f t="shared" si="323"/>
        <v/>
      </c>
      <c r="FP46" s="69" t="str">
        <f t="shared" si="190"/>
        <v/>
      </c>
      <c r="FQ46" s="69" t="str">
        <f t="shared" si="324"/>
        <v/>
      </c>
      <c r="FR46" s="69" t="str">
        <f t="shared" si="325"/>
        <v/>
      </c>
      <c r="FS46" s="69" t="str">
        <f t="shared" si="191"/>
        <v/>
      </c>
      <c r="FU46" s="69" t="str">
        <f t="shared" si="326"/>
        <v/>
      </c>
      <c r="FV46" s="69" t="str">
        <f t="shared" si="327"/>
        <v/>
      </c>
      <c r="FW46" s="69" t="str">
        <f t="shared" si="192"/>
        <v/>
      </c>
      <c r="FX46" s="69" t="str">
        <f t="shared" si="328"/>
        <v/>
      </c>
      <c r="FY46" s="69" t="str">
        <f t="shared" si="329"/>
        <v/>
      </c>
      <c r="FZ46" s="69" t="str">
        <f t="shared" si="193"/>
        <v/>
      </c>
      <c r="GA46" s="69" t="str">
        <f t="shared" si="330"/>
        <v/>
      </c>
      <c r="GB46" s="69" t="str">
        <f t="shared" si="331"/>
        <v/>
      </c>
      <c r="GC46" s="69" t="str">
        <f t="shared" si="194"/>
        <v/>
      </c>
      <c r="GD46" s="69" t="str">
        <f t="shared" si="332"/>
        <v/>
      </c>
      <c r="GE46" s="69" t="str">
        <f t="shared" si="333"/>
        <v/>
      </c>
      <c r="GF46" s="69" t="str">
        <f t="shared" si="195"/>
        <v/>
      </c>
      <c r="GG46" s="69" t="str">
        <f t="shared" si="334"/>
        <v/>
      </c>
      <c r="GH46" s="69" t="str">
        <f t="shared" si="335"/>
        <v/>
      </c>
      <c r="GI46" s="69" t="str">
        <f t="shared" si="196"/>
        <v/>
      </c>
      <c r="GK46" s="69" t="str">
        <f t="shared" si="336"/>
        <v/>
      </c>
      <c r="GL46" s="69" t="str">
        <f t="shared" si="337"/>
        <v/>
      </c>
      <c r="GM46" s="69" t="str">
        <f t="shared" si="197"/>
        <v/>
      </c>
      <c r="GN46" s="69" t="str">
        <f t="shared" si="338"/>
        <v/>
      </c>
      <c r="GO46" s="69" t="str">
        <f t="shared" si="339"/>
        <v/>
      </c>
      <c r="GP46" s="69" t="str">
        <f t="shared" si="198"/>
        <v/>
      </c>
      <c r="GQ46" s="69" t="str">
        <f t="shared" si="340"/>
        <v/>
      </c>
      <c r="GR46" s="69" t="str">
        <f t="shared" si="341"/>
        <v/>
      </c>
      <c r="GS46" s="69" t="str">
        <f t="shared" si="199"/>
        <v/>
      </c>
      <c r="GT46" s="69" t="str">
        <f t="shared" si="342"/>
        <v/>
      </c>
      <c r="GU46" s="69" t="str">
        <f t="shared" si="343"/>
        <v/>
      </c>
      <c r="GV46" s="69" t="str">
        <f t="shared" si="200"/>
        <v/>
      </c>
      <c r="GX46" s="69" t="str">
        <f t="shared" si="201"/>
        <v/>
      </c>
      <c r="GY46" s="69" t="str">
        <f t="shared" si="202"/>
        <v/>
      </c>
      <c r="GZ46" s="69" t="str">
        <f t="shared" si="203"/>
        <v/>
      </c>
      <c r="HA46" s="69" t="str">
        <f t="shared" si="204"/>
        <v/>
      </c>
      <c r="HB46" s="69" t="str">
        <f t="shared" si="205"/>
        <v/>
      </c>
      <c r="HC46" s="69" t="str">
        <f t="shared" si="206"/>
        <v/>
      </c>
      <c r="HD46" s="69" t="str">
        <f t="shared" si="207"/>
        <v/>
      </c>
      <c r="HE46" s="69" t="str">
        <f t="shared" si="208"/>
        <v/>
      </c>
      <c r="HF46" s="69" t="str">
        <f t="shared" si="209"/>
        <v/>
      </c>
      <c r="HH46" s="69" t="str">
        <f t="shared" si="210"/>
        <v/>
      </c>
      <c r="HI46" s="69" t="str">
        <f t="shared" si="211"/>
        <v/>
      </c>
      <c r="HJ46" s="69" t="str">
        <f t="shared" si="212"/>
        <v/>
      </c>
      <c r="HK46" s="69" t="str">
        <f t="shared" si="213"/>
        <v/>
      </c>
      <c r="HL46" s="69" t="str">
        <f t="shared" si="214"/>
        <v/>
      </c>
      <c r="HM46" s="69" t="str">
        <f t="shared" si="215"/>
        <v/>
      </c>
      <c r="HO46" s="69" t="str">
        <f t="shared" si="216"/>
        <v/>
      </c>
      <c r="HP46" s="69" t="str">
        <f t="shared" si="217"/>
        <v/>
      </c>
      <c r="HQ46" s="69" t="str">
        <f t="shared" si="218"/>
        <v/>
      </c>
      <c r="HS46" s="69" t="str">
        <f t="shared" si="344"/>
        <v/>
      </c>
      <c r="HT46" s="69" t="str">
        <f t="shared" si="345"/>
        <v/>
      </c>
      <c r="HU46" s="69" t="str">
        <f t="shared" si="219"/>
        <v/>
      </c>
      <c r="HV46" s="69" t="str">
        <f t="shared" si="346"/>
        <v/>
      </c>
      <c r="HW46" s="69" t="str">
        <f t="shared" si="347"/>
        <v/>
      </c>
      <c r="HX46" s="69" t="str">
        <f t="shared" si="220"/>
        <v/>
      </c>
      <c r="HY46" s="69" t="str">
        <f t="shared" si="348"/>
        <v/>
      </c>
      <c r="HZ46" s="69" t="str">
        <f t="shared" si="349"/>
        <v/>
      </c>
      <c r="IA46" s="69" t="str">
        <f t="shared" si="221"/>
        <v/>
      </c>
      <c r="IB46" s="69" t="str">
        <f t="shared" si="350"/>
        <v/>
      </c>
      <c r="IC46" s="69" t="str">
        <f t="shared" si="351"/>
        <v/>
      </c>
      <c r="ID46" s="69" t="str">
        <f t="shared" si="222"/>
        <v/>
      </c>
      <c r="IE46" s="69" t="str">
        <f t="shared" si="352"/>
        <v/>
      </c>
      <c r="IF46" s="69" t="str">
        <f t="shared" si="353"/>
        <v/>
      </c>
      <c r="IG46" s="69" t="str">
        <f t="shared" si="223"/>
        <v/>
      </c>
      <c r="IH46" s="69" t="str">
        <f t="shared" si="354"/>
        <v/>
      </c>
      <c r="II46" s="69" t="str">
        <f t="shared" si="355"/>
        <v/>
      </c>
      <c r="IJ46" s="69" t="str">
        <f t="shared" si="224"/>
        <v/>
      </c>
      <c r="IK46" s="69" t="str">
        <f t="shared" si="356"/>
        <v/>
      </c>
      <c r="IL46" s="69" t="str">
        <f t="shared" si="357"/>
        <v/>
      </c>
      <c r="IM46" s="69" t="str">
        <f t="shared" si="225"/>
        <v/>
      </c>
      <c r="IN46" s="69" t="str">
        <f t="shared" si="226"/>
        <v/>
      </c>
      <c r="IO46" s="69" t="str">
        <f t="shared" si="227"/>
        <v/>
      </c>
      <c r="IP46" s="69" t="str">
        <f t="shared" si="228"/>
        <v/>
      </c>
      <c r="IQ46" s="69" t="str">
        <f t="shared" si="229"/>
        <v/>
      </c>
      <c r="IR46" s="69" t="str">
        <f t="shared" si="230"/>
        <v/>
      </c>
      <c r="IS46" s="69" t="str">
        <f t="shared" si="231"/>
        <v/>
      </c>
      <c r="IT46" s="69" t="str">
        <f t="shared" si="232"/>
        <v/>
      </c>
      <c r="IU46" s="69" t="str">
        <f t="shared" si="233"/>
        <v/>
      </c>
      <c r="IV46" s="69" t="str">
        <f t="shared" si="234"/>
        <v/>
      </c>
    </row>
    <row r="47" spans="1:256" x14ac:dyDescent="0.2">
      <c r="A47" s="57" t="s">
        <v>50</v>
      </c>
      <c r="B47" s="184"/>
      <c r="C47" s="179"/>
      <c r="D47" s="179"/>
      <c r="E47" s="179"/>
      <c r="F47" s="179"/>
      <c r="G47" s="180"/>
      <c r="H47" s="180"/>
      <c r="I47" s="181"/>
      <c r="J47" s="182"/>
      <c r="K47" s="186"/>
      <c r="L47" s="68">
        <f t="shared" si="237"/>
        <v>0</v>
      </c>
      <c r="M47" s="69" t="str">
        <f t="shared" si="238"/>
        <v/>
      </c>
      <c r="N47" s="69" t="str">
        <f t="shared" si="358"/>
        <v/>
      </c>
      <c r="O47" s="69" t="str">
        <f t="shared" si="122"/>
        <v/>
      </c>
      <c r="P47" s="69" t="str">
        <f t="shared" si="359"/>
        <v/>
      </c>
      <c r="Q47" s="70" t="str">
        <f t="shared" si="239"/>
        <v/>
      </c>
      <c r="R47" s="71" t="str">
        <f t="shared" si="124"/>
        <v/>
      </c>
      <c r="S47" s="71" t="str">
        <f t="shared" si="125"/>
        <v/>
      </c>
      <c r="T47" s="70" t="str">
        <f t="shared" si="240"/>
        <v/>
      </c>
      <c r="U47" s="71" t="str">
        <f t="shared" si="126"/>
        <v/>
      </c>
      <c r="V47" s="71" t="str">
        <f t="shared" si="127"/>
        <v/>
      </c>
      <c r="W47" s="70" t="str">
        <f t="shared" si="241"/>
        <v/>
      </c>
      <c r="X47" s="71" t="str">
        <f t="shared" si="128"/>
        <v/>
      </c>
      <c r="Y47" s="71" t="str">
        <f t="shared" si="129"/>
        <v/>
      </c>
      <c r="Z47" s="70" t="str">
        <f t="shared" si="242"/>
        <v/>
      </c>
      <c r="AA47" s="71" t="str">
        <f t="shared" si="130"/>
        <v/>
      </c>
      <c r="AB47" s="71" t="str">
        <f t="shared" si="131"/>
        <v/>
      </c>
      <c r="AC47" s="70" t="str">
        <f t="shared" si="243"/>
        <v/>
      </c>
      <c r="AD47" s="71" t="str">
        <f t="shared" si="132"/>
        <v/>
      </c>
      <c r="AE47" s="71" t="str">
        <f t="shared" si="133"/>
        <v/>
      </c>
      <c r="AF47" s="70" t="str">
        <f t="shared" si="244"/>
        <v/>
      </c>
      <c r="AG47" s="71" t="str">
        <f t="shared" si="134"/>
        <v/>
      </c>
      <c r="AH47" s="71" t="str">
        <f t="shared" si="135"/>
        <v/>
      </c>
      <c r="AI47" s="70" t="str">
        <f t="shared" si="245"/>
        <v/>
      </c>
      <c r="AJ47" s="71" t="str">
        <f t="shared" si="136"/>
        <v/>
      </c>
      <c r="AK47" s="71" t="str">
        <f t="shared" si="137"/>
        <v/>
      </c>
      <c r="AL47" s="70" t="str">
        <f t="shared" si="138"/>
        <v/>
      </c>
      <c r="AM47" s="71" t="str">
        <f t="shared" si="139"/>
        <v/>
      </c>
      <c r="AN47" s="71" t="str">
        <f t="shared" si="140"/>
        <v/>
      </c>
      <c r="AO47" s="70" t="str">
        <f t="shared" si="141"/>
        <v/>
      </c>
      <c r="AP47" s="71" t="str">
        <f t="shared" si="142"/>
        <v/>
      </c>
      <c r="AQ47" s="71" t="str">
        <f t="shared" si="143"/>
        <v/>
      </c>
      <c r="AR47" s="70" t="str">
        <f t="shared" si="144"/>
        <v/>
      </c>
      <c r="AS47" s="71" t="str">
        <f t="shared" si="145"/>
        <v/>
      </c>
      <c r="AT47" s="71" t="str">
        <f t="shared" si="146"/>
        <v/>
      </c>
      <c r="AU47" s="69" t="str">
        <f t="shared" si="147"/>
        <v/>
      </c>
      <c r="AV47" s="131" t="str">
        <f t="shared" si="148"/>
        <v/>
      </c>
      <c r="AW47" s="69" t="str">
        <f t="shared" si="236"/>
        <v/>
      </c>
      <c r="AX47" s="132" t="str">
        <f t="shared" si="150"/>
        <v/>
      </c>
      <c r="AY47" s="132" t="str">
        <f t="shared" si="151"/>
        <v/>
      </c>
      <c r="AZ47" s="69" t="str">
        <f t="shared" si="246"/>
        <v/>
      </c>
      <c r="BA47" s="69" t="str">
        <f t="shared" si="247"/>
        <v/>
      </c>
      <c r="BB47" s="69" t="str">
        <f t="shared" si="152"/>
        <v/>
      </c>
      <c r="BC47" s="69" t="str">
        <f t="shared" si="248"/>
        <v/>
      </c>
      <c r="BD47" s="69" t="str">
        <f t="shared" si="249"/>
        <v/>
      </c>
      <c r="BE47" s="69" t="str">
        <f t="shared" si="153"/>
        <v/>
      </c>
      <c r="BF47" s="69" t="str">
        <f t="shared" si="250"/>
        <v/>
      </c>
      <c r="BG47" s="69" t="str">
        <f t="shared" si="251"/>
        <v/>
      </c>
      <c r="BH47" s="69" t="str">
        <f t="shared" si="154"/>
        <v/>
      </c>
      <c r="BI47" s="69" t="str">
        <f t="shared" si="252"/>
        <v/>
      </c>
      <c r="BJ47" s="69" t="str">
        <f t="shared" si="253"/>
        <v/>
      </c>
      <c r="BK47" s="69" t="str">
        <f t="shared" si="155"/>
        <v/>
      </c>
      <c r="BL47" s="69" t="str">
        <f t="shared" si="254"/>
        <v/>
      </c>
      <c r="BM47" s="69" t="str">
        <f t="shared" si="255"/>
        <v/>
      </c>
      <c r="BN47" s="69" t="str">
        <f t="shared" si="156"/>
        <v/>
      </c>
      <c r="BO47" s="69" t="str">
        <f t="shared" si="256"/>
        <v/>
      </c>
      <c r="BP47" s="69" t="str">
        <f t="shared" si="257"/>
        <v/>
      </c>
      <c r="BQ47" s="69" t="str">
        <f t="shared" si="157"/>
        <v/>
      </c>
      <c r="BR47" s="69" t="str">
        <f t="shared" si="258"/>
        <v/>
      </c>
      <c r="BS47" s="69" t="str">
        <f t="shared" si="259"/>
        <v/>
      </c>
      <c r="BT47" s="69" t="str">
        <f t="shared" si="158"/>
        <v/>
      </c>
      <c r="BU47" s="69" t="str">
        <f t="shared" si="260"/>
        <v/>
      </c>
      <c r="BV47" s="69" t="str">
        <f t="shared" si="261"/>
        <v/>
      </c>
      <c r="BW47" s="69" t="str">
        <f t="shared" si="159"/>
        <v/>
      </c>
      <c r="BX47" s="69" t="str">
        <f t="shared" si="262"/>
        <v/>
      </c>
      <c r="BY47" s="69" t="str">
        <f t="shared" si="263"/>
        <v/>
      </c>
      <c r="BZ47" s="69" t="str">
        <f t="shared" si="160"/>
        <v/>
      </c>
      <c r="CA47" s="69" t="str">
        <f t="shared" si="264"/>
        <v/>
      </c>
      <c r="CB47" s="69" t="str">
        <f t="shared" si="265"/>
        <v/>
      </c>
      <c r="CC47" s="69" t="str">
        <f t="shared" si="161"/>
        <v/>
      </c>
      <c r="CE47" s="69" t="str">
        <f t="shared" si="266"/>
        <v/>
      </c>
      <c r="CF47" s="69" t="str">
        <f t="shared" si="267"/>
        <v/>
      </c>
      <c r="CG47" s="69" t="str">
        <f t="shared" si="162"/>
        <v/>
      </c>
      <c r="CH47" s="69" t="str">
        <f t="shared" si="268"/>
        <v/>
      </c>
      <c r="CI47" s="69" t="str">
        <f t="shared" si="269"/>
        <v/>
      </c>
      <c r="CJ47" s="69" t="str">
        <f t="shared" si="163"/>
        <v/>
      </c>
      <c r="CK47" s="69" t="str">
        <f t="shared" si="270"/>
        <v/>
      </c>
      <c r="CL47" s="69" t="str">
        <f t="shared" si="271"/>
        <v/>
      </c>
      <c r="CM47" s="69" t="str">
        <f t="shared" si="164"/>
        <v/>
      </c>
      <c r="CN47" s="69" t="str">
        <f t="shared" si="272"/>
        <v/>
      </c>
      <c r="CO47" s="69" t="str">
        <f t="shared" si="273"/>
        <v/>
      </c>
      <c r="CP47" s="69" t="str">
        <f t="shared" si="165"/>
        <v/>
      </c>
      <c r="CQ47" s="69" t="str">
        <f t="shared" si="274"/>
        <v/>
      </c>
      <c r="CR47" s="69" t="str">
        <f t="shared" si="275"/>
        <v/>
      </c>
      <c r="CS47" s="69" t="str">
        <f t="shared" si="166"/>
        <v/>
      </c>
      <c r="CT47" s="69" t="str">
        <f t="shared" si="276"/>
        <v/>
      </c>
      <c r="CU47" s="69" t="str">
        <f t="shared" si="277"/>
        <v/>
      </c>
      <c r="CV47" s="69" t="str">
        <f t="shared" si="167"/>
        <v/>
      </c>
      <c r="CW47" s="69" t="str">
        <f t="shared" si="278"/>
        <v/>
      </c>
      <c r="CX47" s="69" t="str">
        <f t="shared" si="279"/>
        <v/>
      </c>
      <c r="CY47" s="69" t="str">
        <f t="shared" si="168"/>
        <v/>
      </c>
      <c r="CZ47" s="69" t="str">
        <f t="shared" si="280"/>
        <v/>
      </c>
      <c r="DA47" s="69" t="str">
        <f t="shared" si="281"/>
        <v/>
      </c>
      <c r="DB47" s="69" t="str">
        <f t="shared" si="169"/>
        <v/>
      </c>
      <c r="DC47" s="69" t="str">
        <f t="shared" si="282"/>
        <v/>
      </c>
      <c r="DD47" s="69" t="str">
        <f t="shared" si="283"/>
        <v/>
      </c>
      <c r="DE47" s="69" t="str">
        <f t="shared" si="170"/>
        <v/>
      </c>
      <c r="DG47" s="69" t="str">
        <f t="shared" si="284"/>
        <v/>
      </c>
      <c r="DH47" s="69" t="str">
        <f t="shared" si="285"/>
        <v/>
      </c>
      <c r="DI47" s="69" t="str">
        <f t="shared" si="171"/>
        <v/>
      </c>
      <c r="DJ47" s="69" t="str">
        <f t="shared" si="286"/>
        <v/>
      </c>
      <c r="DK47" s="69" t="str">
        <f t="shared" si="287"/>
        <v/>
      </c>
      <c r="DL47" s="69" t="str">
        <f t="shared" si="172"/>
        <v/>
      </c>
      <c r="DM47" s="69" t="str">
        <f t="shared" si="288"/>
        <v/>
      </c>
      <c r="DN47" s="69" t="str">
        <f t="shared" si="289"/>
        <v/>
      </c>
      <c r="DO47" s="69" t="str">
        <f t="shared" si="173"/>
        <v/>
      </c>
      <c r="DP47" s="69" t="str">
        <f t="shared" si="290"/>
        <v/>
      </c>
      <c r="DQ47" s="69" t="str">
        <f t="shared" si="291"/>
        <v/>
      </c>
      <c r="DR47" s="69" t="str">
        <f t="shared" si="174"/>
        <v/>
      </c>
      <c r="DS47" s="69" t="str">
        <f t="shared" si="292"/>
        <v/>
      </c>
      <c r="DT47" s="69" t="str">
        <f t="shared" si="293"/>
        <v/>
      </c>
      <c r="DU47" s="69" t="str">
        <f t="shared" si="175"/>
        <v/>
      </c>
      <c r="DV47" s="69" t="str">
        <f t="shared" si="294"/>
        <v/>
      </c>
      <c r="DW47" s="69" t="str">
        <f t="shared" si="295"/>
        <v/>
      </c>
      <c r="DX47" s="69" t="str">
        <f t="shared" si="176"/>
        <v/>
      </c>
      <c r="DY47" s="69" t="str">
        <f t="shared" si="296"/>
        <v/>
      </c>
      <c r="DZ47" s="69" t="str">
        <f t="shared" si="297"/>
        <v/>
      </c>
      <c r="EA47" s="69" t="str">
        <f t="shared" si="177"/>
        <v/>
      </c>
      <c r="EB47" s="69" t="str">
        <f t="shared" si="298"/>
        <v/>
      </c>
      <c r="EC47" s="69" t="str">
        <f t="shared" si="299"/>
        <v/>
      </c>
      <c r="ED47" s="69" t="str">
        <f t="shared" si="178"/>
        <v/>
      </c>
      <c r="EF47" s="69" t="str">
        <f t="shared" si="300"/>
        <v/>
      </c>
      <c r="EG47" s="69" t="str">
        <f t="shared" si="301"/>
        <v/>
      </c>
      <c r="EH47" s="69" t="str">
        <f t="shared" si="179"/>
        <v/>
      </c>
      <c r="EI47" s="69" t="str">
        <f t="shared" si="302"/>
        <v/>
      </c>
      <c r="EJ47" s="69" t="str">
        <f t="shared" si="303"/>
        <v/>
      </c>
      <c r="EK47" s="69" t="str">
        <f t="shared" si="180"/>
        <v/>
      </c>
      <c r="EL47" s="69" t="str">
        <f t="shared" si="304"/>
        <v/>
      </c>
      <c r="EM47" s="69" t="str">
        <f t="shared" si="305"/>
        <v/>
      </c>
      <c r="EN47" s="69" t="str">
        <f t="shared" si="181"/>
        <v/>
      </c>
      <c r="EO47" s="69" t="str">
        <f t="shared" si="306"/>
        <v/>
      </c>
      <c r="EP47" s="69" t="str">
        <f t="shared" si="307"/>
        <v/>
      </c>
      <c r="EQ47" s="69" t="str">
        <f t="shared" si="182"/>
        <v/>
      </c>
      <c r="ER47" s="69" t="str">
        <f t="shared" si="308"/>
        <v/>
      </c>
      <c r="ES47" s="69" t="str">
        <f t="shared" si="309"/>
        <v/>
      </c>
      <c r="ET47" s="69" t="str">
        <f t="shared" si="183"/>
        <v/>
      </c>
      <c r="EU47" s="69" t="str">
        <f t="shared" si="310"/>
        <v/>
      </c>
      <c r="EV47" s="69" t="str">
        <f t="shared" si="311"/>
        <v/>
      </c>
      <c r="EW47" s="69" t="str">
        <f t="shared" si="184"/>
        <v/>
      </c>
      <c r="EX47" s="69" t="str">
        <f t="shared" si="312"/>
        <v/>
      </c>
      <c r="EY47" s="69" t="str">
        <f t="shared" si="313"/>
        <v/>
      </c>
      <c r="EZ47" s="69" t="str">
        <f t="shared" si="185"/>
        <v/>
      </c>
      <c r="FB47" s="69" t="str">
        <f t="shared" si="314"/>
        <v/>
      </c>
      <c r="FC47" s="69" t="str">
        <f t="shared" si="315"/>
        <v/>
      </c>
      <c r="FD47" s="69" t="str">
        <f t="shared" si="186"/>
        <v/>
      </c>
      <c r="FE47" s="69" t="str">
        <f t="shared" si="316"/>
        <v/>
      </c>
      <c r="FF47" s="69" t="str">
        <f t="shared" si="317"/>
        <v/>
      </c>
      <c r="FG47" s="69" t="str">
        <f t="shared" si="187"/>
        <v/>
      </c>
      <c r="FH47" s="69" t="str">
        <f t="shared" si="318"/>
        <v/>
      </c>
      <c r="FI47" s="69" t="str">
        <f t="shared" si="319"/>
        <v/>
      </c>
      <c r="FJ47" s="69" t="str">
        <f t="shared" si="188"/>
        <v/>
      </c>
      <c r="FK47" s="69" t="str">
        <f t="shared" si="320"/>
        <v/>
      </c>
      <c r="FL47" s="69" t="str">
        <f t="shared" si="321"/>
        <v/>
      </c>
      <c r="FM47" s="69" t="str">
        <f t="shared" si="189"/>
        <v/>
      </c>
      <c r="FN47" s="69" t="str">
        <f t="shared" si="322"/>
        <v/>
      </c>
      <c r="FO47" s="69" t="str">
        <f t="shared" si="323"/>
        <v/>
      </c>
      <c r="FP47" s="69" t="str">
        <f t="shared" si="190"/>
        <v/>
      </c>
      <c r="FQ47" s="69" t="str">
        <f t="shared" si="324"/>
        <v/>
      </c>
      <c r="FR47" s="69" t="str">
        <f t="shared" si="325"/>
        <v/>
      </c>
      <c r="FS47" s="69" t="str">
        <f t="shared" si="191"/>
        <v/>
      </c>
      <c r="FU47" s="69" t="str">
        <f t="shared" si="326"/>
        <v/>
      </c>
      <c r="FV47" s="69" t="str">
        <f t="shared" si="327"/>
        <v/>
      </c>
      <c r="FW47" s="69" t="str">
        <f t="shared" si="192"/>
        <v/>
      </c>
      <c r="FX47" s="69" t="str">
        <f t="shared" si="328"/>
        <v/>
      </c>
      <c r="FY47" s="69" t="str">
        <f t="shared" si="329"/>
        <v/>
      </c>
      <c r="FZ47" s="69" t="str">
        <f t="shared" si="193"/>
        <v/>
      </c>
      <c r="GA47" s="69" t="str">
        <f t="shared" si="330"/>
        <v/>
      </c>
      <c r="GB47" s="69" t="str">
        <f t="shared" si="331"/>
        <v/>
      </c>
      <c r="GC47" s="69" t="str">
        <f t="shared" si="194"/>
        <v/>
      </c>
      <c r="GD47" s="69" t="str">
        <f t="shared" si="332"/>
        <v/>
      </c>
      <c r="GE47" s="69" t="str">
        <f t="shared" si="333"/>
        <v/>
      </c>
      <c r="GF47" s="69" t="str">
        <f t="shared" si="195"/>
        <v/>
      </c>
      <c r="GG47" s="69" t="str">
        <f t="shared" si="334"/>
        <v/>
      </c>
      <c r="GH47" s="69" t="str">
        <f t="shared" si="335"/>
        <v/>
      </c>
      <c r="GI47" s="69" t="str">
        <f t="shared" si="196"/>
        <v/>
      </c>
      <c r="GK47" s="69" t="str">
        <f t="shared" si="336"/>
        <v/>
      </c>
      <c r="GL47" s="69" t="str">
        <f t="shared" si="337"/>
        <v/>
      </c>
      <c r="GM47" s="69" t="str">
        <f t="shared" si="197"/>
        <v/>
      </c>
      <c r="GN47" s="69" t="str">
        <f t="shared" si="338"/>
        <v/>
      </c>
      <c r="GO47" s="69" t="str">
        <f t="shared" si="339"/>
        <v/>
      </c>
      <c r="GP47" s="69" t="str">
        <f t="shared" si="198"/>
        <v/>
      </c>
      <c r="GQ47" s="69" t="str">
        <f t="shared" si="340"/>
        <v/>
      </c>
      <c r="GR47" s="69" t="str">
        <f t="shared" si="341"/>
        <v/>
      </c>
      <c r="GS47" s="69" t="str">
        <f t="shared" si="199"/>
        <v/>
      </c>
      <c r="GT47" s="69" t="str">
        <f t="shared" si="342"/>
        <v/>
      </c>
      <c r="GU47" s="69" t="str">
        <f t="shared" si="343"/>
        <v/>
      </c>
      <c r="GV47" s="69" t="str">
        <f t="shared" si="200"/>
        <v/>
      </c>
      <c r="GX47" s="69" t="str">
        <f t="shared" si="201"/>
        <v/>
      </c>
      <c r="GY47" s="69" t="str">
        <f t="shared" si="202"/>
        <v/>
      </c>
      <c r="GZ47" s="69" t="str">
        <f t="shared" si="203"/>
        <v/>
      </c>
      <c r="HA47" s="69" t="str">
        <f t="shared" si="204"/>
        <v/>
      </c>
      <c r="HB47" s="69" t="str">
        <f t="shared" si="205"/>
        <v/>
      </c>
      <c r="HC47" s="69" t="str">
        <f t="shared" si="206"/>
        <v/>
      </c>
      <c r="HD47" s="69" t="str">
        <f t="shared" si="207"/>
        <v/>
      </c>
      <c r="HE47" s="69" t="str">
        <f t="shared" si="208"/>
        <v/>
      </c>
      <c r="HF47" s="69" t="str">
        <f t="shared" si="209"/>
        <v/>
      </c>
      <c r="HH47" s="69" t="str">
        <f t="shared" si="210"/>
        <v/>
      </c>
      <c r="HI47" s="69" t="str">
        <f t="shared" si="211"/>
        <v/>
      </c>
      <c r="HJ47" s="69" t="str">
        <f t="shared" si="212"/>
        <v/>
      </c>
      <c r="HK47" s="69" t="str">
        <f t="shared" si="213"/>
        <v/>
      </c>
      <c r="HL47" s="69" t="str">
        <f t="shared" si="214"/>
        <v/>
      </c>
      <c r="HM47" s="69" t="str">
        <f t="shared" si="215"/>
        <v/>
      </c>
      <c r="HO47" s="69" t="str">
        <f t="shared" si="216"/>
        <v/>
      </c>
      <c r="HP47" s="69" t="str">
        <f t="shared" si="217"/>
        <v/>
      </c>
      <c r="HQ47" s="69" t="str">
        <f t="shared" si="218"/>
        <v/>
      </c>
      <c r="HS47" s="69" t="str">
        <f t="shared" si="344"/>
        <v/>
      </c>
      <c r="HT47" s="69" t="str">
        <f t="shared" si="345"/>
        <v/>
      </c>
      <c r="HU47" s="69" t="str">
        <f t="shared" si="219"/>
        <v/>
      </c>
      <c r="HV47" s="69" t="str">
        <f t="shared" si="346"/>
        <v/>
      </c>
      <c r="HW47" s="69" t="str">
        <f t="shared" si="347"/>
        <v/>
      </c>
      <c r="HX47" s="69" t="str">
        <f t="shared" si="220"/>
        <v/>
      </c>
      <c r="HY47" s="69" t="str">
        <f t="shared" si="348"/>
        <v/>
      </c>
      <c r="HZ47" s="69" t="str">
        <f t="shared" si="349"/>
        <v/>
      </c>
      <c r="IA47" s="69" t="str">
        <f t="shared" si="221"/>
        <v/>
      </c>
      <c r="IB47" s="69" t="str">
        <f t="shared" si="350"/>
        <v/>
      </c>
      <c r="IC47" s="69" t="str">
        <f t="shared" si="351"/>
        <v/>
      </c>
      <c r="ID47" s="69" t="str">
        <f t="shared" si="222"/>
        <v/>
      </c>
      <c r="IE47" s="69" t="str">
        <f t="shared" si="352"/>
        <v/>
      </c>
      <c r="IF47" s="69" t="str">
        <f t="shared" si="353"/>
        <v/>
      </c>
      <c r="IG47" s="69" t="str">
        <f t="shared" si="223"/>
        <v/>
      </c>
      <c r="IH47" s="69" t="str">
        <f t="shared" si="354"/>
        <v/>
      </c>
      <c r="II47" s="69" t="str">
        <f t="shared" si="355"/>
        <v/>
      </c>
      <c r="IJ47" s="69" t="str">
        <f t="shared" si="224"/>
        <v/>
      </c>
      <c r="IK47" s="69" t="str">
        <f t="shared" si="356"/>
        <v/>
      </c>
      <c r="IL47" s="69" t="str">
        <f t="shared" si="357"/>
        <v/>
      </c>
      <c r="IM47" s="69" t="str">
        <f t="shared" si="225"/>
        <v/>
      </c>
      <c r="IN47" s="69" t="str">
        <f t="shared" si="226"/>
        <v/>
      </c>
      <c r="IO47" s="69" t="str">
        <f t="shared" si="227"/>
        <v/>
      </c>
      <c r="IP47" s="69" t="str">
        <f t="shared" si="228"/>
        <v/>
      </c>
      <c r="IQ47" s="69" t="str">
        <f t="shared" si="229"/>
        <v/>
      </c>
      <c r="IR47" s="69" t="str">
        <f t="shared" si="230"/>
        <v/>
      </c>
      <c r="IS47" s="69" t="str">
        <f t="shared" si="231"/>
        <v/>
      </c>
      <c r="IT47" s="69" t="str">
        <f t="shared" si="232"/>
        <v/>
      </c>
      <c r="IU47" s="69" t="str">
        <f t="shared" si="233"/>
        <v/>
      </c>
      <c r="IV47" s="69" t="str">
        <f t="shared" si="234"/>
        <v/>
      </c>
    </row>
    <row r="48" spans="1:256" ht="13.15" customHeight="1" x14ac:dyDescent="0.2">
      <c r="A48" s="57" t="s">
        <v>51</v>
      </c>
      <c r="B48" s="178"/>
      <c r="C48" s="180"/>
      <c r="D48" s="179"/>
      <c r="E48" s="179"/>
      <c r="F48" s="179"/>
      <c r="G48" s="180"/>
      <c r="H48" s="180"/>
      <c r="I48" s="181"/>
      <c r="J48" s="182"/>
      <c r="K48" s="186"/>
      <c r="L48" s="68">
        <f t="shared" si="237"/>
        <v>0</v>
      </c>
      <c r="M48" s="69" t="str">
        <f t="shared" si="238"/>
        <v/>
      </c>
      <c r="N48" s="69" t="str">
        <f t="shared" si="358"/>
        <v/>
      </c>
      <c r="O48" s="69" t="str">
        <f t="shared" si="122"/>
        <v/>
      </c>
      <c r="P48" s="69" t="str">
        <f t="shared" si="359"/>
        <v/>
      </c>
      <c r="Q48" s="70" t="str">
        <f t="shared" si="239"/>
        <v/>
      </c>
      <c r="R48" s="71" t="str">
        <f t="shared" si="124"/>
        <v/>
      </c>
      <c r="S48" s="71" t="str">
        <f t="shared" si="125"/>
        <v/>
      </c>
      <c r="T48" s="70" t="str">
        <f t="shared" si="240"/>
        <v/>
      </c>
      <c r="U48" s="71" t="str">
        <f t="shared" si="126"/>
        <v/>
      </c>
      <c r="V48" s="71" t="str">
        <f t="shared" si="127"/>
        <v/>
      </c>
      <c r="W48" s="70" t="str">
        <f t="shared" si="241"/>
        <v/>
      </c>
      <c r="X48" s="71" t="str">
        <f t="shared" si="128"/>
        <v/>
      </c>
      <c r="Y48" s="71" t="str">
        <f t="shared" si="129"/>
        <v/>
      </c>
      <c r="Z48" s="70" t="str">
        <f t="shared" si="242"/>
        <v/>
      </c>
      <c r="AA48" s="71" t="str">
        <f t="shared" si="130"/>
        <v/>
      </c>
      <c r="AB48" s="71" t="str">
        <f t="shared" si="131"/>
        <v/>
      </c>
      <c r="AC48" s="70" t="str">
        <f t="shared" si="243"/>
        <v/>
      </c>
      <c r="AD48" s="71" t="str">
        <f t="shared" si="132"/>
        <v/>
      </c>
      <c r="AE48" s="71" t="str">
        <f t="shared" si="133"/>
        <v/>
      </c>
      <c r="AF48" s="70" t="str">
        <f t="shared" si="244"/>
        <v/>
      </c>
      <c r="AG48" s="71" t="str">
        <f t="shared" si="134"/>
        <v/>
      </c>
      <c r="AH48" s="71" t="str">
        <f t="shared" si="135"/>
        <v/>
      </c>
      <c r="AI48" s="70" t="str">
        <f t="shared" si="245"/>
        <v/>
      </c>
      <c r="AJ48" s="71" t="str">
        <f t="shared" si="136"/>
        <v/>
      </c>
      <c r="AK48" s="71" t="str">
        <f t="shared" si="137"/>
        <v/>
      </c>
      <c r="AL48" s="70" t="str">
        <f t="shared" si="138"/>
        <v/>
      </c>
      <c r="AM48" s="71" t="str">
        <f t="shared" si="139"/>
        <v/>
      </c>
      <c r="AN48" s="71" t="str">
        <f t="shared" si="140"/>
        <v/>
      </c>
      <c r="AO48" s="70" t="str">
        <f t="shared" si="141"/>
        <v/>
      </c>
      <c r="AP48" s="71" t="str">
        <f t="shared" si="142"/>
        <v/>
      </c>
      <c r="AQ48" s="71" t="str">
        <f t="shared" si="143"/>
        <v/>
      </c>
      <c r="AR48" s="70" t="str">
        <f t="shared" si="144"/>
        <v/>
      </c>
      <c r="AS48" s="71" t="str">
        <f t="shared" si="145"/>
        <v/>
      </c>
      <c r="AT48" s="71" t="str">
        <f t="shared" si="146"/>
        <v/>
      </c>
      <c r="AU48" s="69" t="str">
        <f t="shared" si="147"/>
        <v/>
      </c>
      <c r="AV48" s="131" t="str">
        <f t="shared" si="148"/>
        <v/>
      </c>
      <c r="AW48" s="69" t="str">
        <f t="shared" si="236"/>
        <v/>
      </c>
      <c r="AX48" s="132" t="str">
        <f t="shared" si="150"/>
        <v/>
      </c>
      <c r="AY48" s="132" t="str">
        <f t="shared" si="151"/>
        <v/>
      </c>
      <c r="AZ48" s="69" t="str">
        <f t="shared" si="246"/>
        <v/>
      </c>
      <c r="BA48" s="69" t="str">
        <f t="shared" si="247"/>
        <v/>
      </c>
      <c r="BB48" s="69" t="str">
        <f t="shared" si="152"/>
        <v/>
      </c>
      <c r="BC48" s="69" t="str">
        <f t="shared" si="248"/>
        <v/>
      </c>
      <c r="BD48" s="69" t="str">
        <f t="shared" si="249"/>
        <v/>
      </c>
      <c r="BE48" s="69" t="str">
        <f t="shared" si="153"/>
        <v/>
      </c>
      <c r="BF48" s="69" t="str">
        <f t="shared" si="250"/>
        <v/>
      </c>
      <c r="BG48" s="69" t="str">
        <f t="shared" si="251"/>
        <v/>
      </c>
      <c r="BH48" s="69" t="str">
        <f t="shared" si="154"/>
        <v/>
      </c>
      <c r="BI48" s="69" t="str">
        <f t="shared" si="252"/>
        <v/>
      </c>
      <c r="BJ48" s="69" t="str">
        <f t="shared" si="253"/>
        <v/>
      </c>
      <c r="BK48" s="69" t="str">
        <f t="shared" si="155"/>
        <v/>
      </c>
      <c r="BL48" s="69" t="str">
        <f t="shared" si="254"/>
        <v/>
      </c>
      <c r="BM48" s="69" t="str">
        <f t="shared" si="255"/>
        <v/>
      </c>
      <c r="BN48" s="69" t="str">
        <f t="shared" si="156"/>
        <v/>
      </c>
      <c r="BO48" s="69" t="str">
        <f t="shared" si="256"/>
        <v/>
      </c>
      <c r="BP48" s="69" t="str">
        <f t="shared" si="257"/>
        <v/>
      </c>
      <c r="BQ48" s="69" t="str">
        <f t="shared" si="157"/>
        <v/>
      </c>
      <c r="BR48" s="69" t="str">
        <f t="shared" si="258"/>
        <v/>
      </c>
      <c r="BS48" s="69" t="str">
        <f t="shared" si="259"/>
        <v/>
      </c>
      <c r="BT48" s="69" t="str">
        <f t="shared" si="158"/>
        <v/>
      </c>
      <c r="BU48" s="69" t="str">
        <f t="shared" si="260"/>
        <v/>
      </c>
      <c r="BV48" s="69" t="str">
        <f t="shared" si="261"/>
        <v/>
      </c>
      <c r="BW48" s="69" t="str">
        <f t="shared" si="159"/>
        <v/>
      </c>
      <c r="BX48" s="69" t="str">
        <f t="shared" si="262"/>
        <v/>
      </c>
      <c r="BY48" s="69" t="str">
        <f t="shared" si="263"/>
        <v/>
      </c>
      <c r="BZ48" s="69" t="str">
        <f t="shared" si="160"/>
        <v/>
      </c>
      <c r="CA48" s="69" t="str">
        <f t="shared" si="264"/>
        <v/>
      </c>
      <c r="CB48" s="69" t="str">
        <f t="shared" si="265"/>
        <v/>
      </c>
      <c r="CC48" s="69" t="str">
        <f t="shared" si="161"/>
        <v/>
      </c>
      <c r="CE48" s="69" t="str">
        <f t="shared" si="266"/>
        <v/>
      </c>
      <c r="CF48" s="69" t="str">
        <f t="shared" si="267"/>
        <v/>
      </c>
      <c r="CG48" s="69" t="str">
        <f t="shared" si="162"/>
        <v/>
      </c>
      <c r="CH48" s="69" t="str">
        <f t="shared" si="268"/>
        <v/>
      </c>
      <c r="CI48" s="69" t="str">
        <f t="shared" si="269"/>
        <v/>
      </c>
      <c r="CJ48" s="69" t="str">
        <f t="shared" si="163"/>
        <v/>
      </c>
      <c r="CK48" s="69" t="str">
        <f t="shared" si="270"/>
        <v/>
      </c>
      <c r="CL48" s="69" t="str">
        <f t="shared" si="271"/>
        <v/>
      </c>
      <c r="CM48" s="69" t="str">
        <f t="shared" si="164"/>
        <v/>
      </c>
      <c r="CN48" s="69" t="str">
        <f t="shared" si="272"/>
        <v/>
      </c>
      <c r="CO48" s="69" t="str">
        <f t="shared" si="273"/>
        <v/>
      </c>
      <c r="CP48" s="69" t="str">
        <f t="shared" si="165"/>
        <v/>
      </c>
      <c r="CQ48" s="69" t="str">
        <f t="shared" si="274"/>
        <v/>
      </c>
      <c r="CR48" s="69" t="str">
        <f t="shared" si="275"/>
        <v/>
      </c>
      <c r="CS48" s="69" t="str">
        <f t="shared" si="166"/>
        <v/>
      </c>
      <c r="CT48" s="69" t="str">
        <f t="shared" si="276"/>
        <v/>
      </c>
      <c r="CU48" s="69" t="str">
        <f t="shared" si="277"/>
        <v/>
      </c>
      <c r="CV48" s="69" t="str">
        <f t="shared" si="167"/>
        <v/>
      </c>
      <c r="CW48" s="69" t="str">
        <f t="shared" si="278"/>
        <v/>
      </c>
      <c r="CX48" s="69" t="str">
        <f t="shared" si="279"/>
        <v/>
      </c>
      <c r="CY48" s="69" t="str">
        <f t="shared" si="168"/>
        <v/>
      </c>
      <c r="CZ48" s="69" t="str">
        <f t="shared" si="280"/>
        <v/>
      </c>
      <c r="DA48" s="69" t="str">
        <f t="shared" si="281"/>
        <v/>
      </c>
      <c r="DB48" s="69" t="str">
        <f t="shared" si="169"/>
        <v/>
      </c>
      <c r="DC48" s="69" t="str">
        <f t="shared" si="282"/>
        <v/>
      </c>
      <c r="DD48" s="69" t="str">
        <f t="shared" si="283"/>
        <v/>
      </c>
      <c r="DE48" s="69" t="str">
        <f t="shared" si="170"/>
        <v/>
      </c>
      <c r="DG48" s="69" t="str">
        <f t="shared" si="284"/>
        <v/>
      </c>
      <c r="DH48" s="69" t="str">
        <f t="shared" si="285"/>
        <v/>
      </c>
      <c r="DI48" s="69" t="str">
        <f t="shared" si="171"/>
        <v/>
      </c>
      <c r="DJ48" s="69" t="str">
        <f t="shared" si="286"/>
        <v/>
      </c>
      <c r="DK48" s="69" t="str">
        <f t="shared" si="287"/>
        <v/>
      </c>
      <c r="DL48" s="69" t="str">
        <f t="shared" si="172"/>
        <v/>
      </c>
      <c r="DM48" s="69" t="str">
        <f t="shared" si="288"/>
        <v/>
      </c>
      <c r="DN48" s="69" t="str">
        <f t="shared" si="289"/>
        <v/>
      </c>
      <c r="DO48" s="69" t="str">
        <f t="shared" si="173"/>
        <v/>
      </c>
      <c r="DP48" s="69" t="str">
        <f t="shared" si="290"/>
        <v/>
      </c>
      <c r="DQ48" s="69" t="str">
        <f t="shared" si="291"/>
        <v/>
      </c>
      <c r="DR48" s="69" t="str">
        <f t="shared" si="174"/>
        <v/>
      </c>
      <c r="DS48" s="69" t="str">
        <f t="shared" si="292"/>
        <v/>
      </c>
      <c r="DT48" s="69" t="str">
        <f t="shared" si="293"/>
        <v/>
      </c>
      <c r="DU48" s="69" t="str">
        <f t="shared" si="175"/>
        <v/>
      </c>
      <c r="DV48" s="69" t="str">
        <f t="shared" si="294"/>
        <v/>
      </c>
      <c r="DW48" s="69" t="str">
        <f t="shared" si="295"/>
        <v/>
      </c>
      <c r="DX48" s="69" t="str">
        <f t="shared" si="176"/>
        <v/>
      </c>
      <c r="DY48" s="69" t="str">
        <f t="shared" si="296"/>
        <v/>
      </c>
      <c r="DZ48" s="69" t="str">
        <f t="shared" si="297"/>
        <v/>
      </c>
      <c r="EA48" s="69" t="str">
        <f t="shared" si="177"/>
        <v/>
      </c>
      <c r="EB48" s="69" t="str">
        <f t="shared" si="298"/>
        <v/>
      </c>
      <c r="EC48" s="69" t="str">
        <f t="shared" si="299"/>
        <v/>
      </c>
      <c r="ED48" s="69" t="str">
        <f t="shared" si="178"/>
        <v/>
      </c>
      <c r="EF48" s="69" t="str">
        <f t="shared" si="300"/>
        <v/>
      </c>
      <c r="EG48" s="69" t="str">
        <f t="shared" si="301"/>
        <v/>
      </c>
      <c r="EH48" s="69" t="str">
        <f t="shared" si="179"/>
        <v/>
      </c>
      <c r="EI48" s="69" t="str">
        <f t="shared" si="302"/>
        <v/>
      </c>
      <c r="EJ48" s="69" t="str">
        <f t="shared" si="303"/>
        <v/>
      </c>
      <c r="EK48" s="69" t="str">
        <f t="shared" si="180"/>
        <v/>
      </c>
      <c r="EL48" s="69" t="str">
        <f t="shared" si="304"/>
        <v/>
      </c>
      <c r="EM48" s="69" t="str">
        <f t="shared" si="305"/>
        <v/>
      </c>
      <c r="EN48" s="69" t="str">
        <f t="shared" si="181"/>
        <v/>
      </c>
      <c r="EO48" s="69" t="str">
        <f t="shared" si="306"/>
        <v/>
      </c>
      <c r="EP48" s="69" t="str">
        <f t="shared" si="307"/>
        <v/>
      </c>
      <c r="EQ48" s="69" t="str">
        <f t="shared" si="182"/>
        <v/>
      </c>
      <c r="ER48" s="69" t="str">
        <f t="shared" si="308"/>
        <v/>
      </c>
      <c r="ES48" s="69" t="str">
        <f t="shared" si="309"/>
        <v/>
      </c>
      <c r="ET48" s="69" t="str">
        <f t="shared" si="183"/>
        <v/>
      </c>
      <c r="EU48" s="69" t="str">
        <f t="shared" si="310"/>
        <v/>
      </c>
      <c r="EV48" s="69" t="str">
        <f t="shared" si="311"/>
        <v/>
      </c>
      <c r="EW48" s="69" t="str">
        <f t="shared" si="184"/>
        <v/>
      </c>
      <c r="EX48" s="69" t="str">
        <f t="shared" si="312"/>
        <v/>
      </c>
      <c r="EY48" s="69" t="str">
        <f t="shared" si="313"/>
        <v/>
      </c>
      <c r="EZ48" s="69" t="str">
        <f t="shared" si="185"/>
        <v/>
      </c>
      <c r="FB48" s="69" t="str">
        <f t="shared" si="314"/>
        <v/>
      </c>
      <c r="FC48" s="69" t="str">
        <f t="shared" si="315"/>
        <v/>
      </c>
      <c r="FD48" s="69" t="str">
        <f t="shared" si="186"/>
        <v/>
      </c>
      <c r="FE48" s="69" t="str">
        <f t="shared" si="316"/>
        <v/>
      </c>
      <c r="FF48" s="69" t="str">
        <f t="shared" si="317"/>
        <v/>
      </c>
      <c r="FG48" s="69" t="str">
        <f t="shared" si="187"/>
        <v/>
      </c>
      <c r="FH48" s="69" t="str">
        <f t="shared" si="318"/>
        <v/>
      </c>
      <c r="FI48" s="69" t="str">
        <f t="shared" si="319"/>
        <v/>
      </c>
      <c r="FJ48" s="69" t="str">
        <f t="shared" si="188"/>
        <v/>
      </c>
      <c r="FK48" s="69" t="str">
        <f t="shared" si="320"/>
        <v/>
      </c>
      <c r="FL48" s="69" t="str">
        <f t="shared" si="321"/>
        <v/>
      </c>
      <c r="FM48" s="69" t="str">
        <f t="shared" si="189"/>
        <v/>
      </c>
      <c r="FN48" s="69" t="str">
        <f t="shared" si="322"/>
        <v/>
      </c>
      <c r="FO48" s="69" t="str">
        <f t="shared" si="323"/>
        <v/>
      </c>
      <c r="FP48" s="69" t="str">
        <f t="shared" si="190"/>
        <v/>
      </c>
      <c r="FQ48" s="69" t="str">
        <f t="shared" si="324"/>
        <v/>
      </c>
      <c r="FR48" s="69" t="str">
        <f t="shared" si="325"/>
        <v/>
      </c>
      <c r="FS48" s="69" t="str">
        <f t="shared" si="191"/>
        <v/>
      </c>
      <c r="FU48" s="69" t="str">
        <f t="shared" si="326"/>
        <v/>
      </c>
      <c r="FV48" s="69" t="str">
        <f t="shared" si="327"/>
        <v/>
      </c>
      <c r="FW48" s="69" t="str">
        <f t="shared" si="192"/>
        <v/>
      </c>
      <c r="FX48" s="69" t="str">
        <f t="shared" si="328"/>
        <v/>
      </c>
      <c r="FY48" s="69" t="str">
        <f t="shared" si="329"/>
        <v/>
      </c>
      <c r="FZ48" s="69" t="str">
        <f t="shared" si="193"/>
        <v/>
      </c>
      <c r="GA48" s="69" t="str">
        <f t="shared" si="330"/>
        <v/>
      </c>
      <c r="GB48" s="69" t="str">
        <f t="shared" si="331"/>
        <v/>
      </c>
      <c r="GC48" s="69" t="str">
        <f t="shared" si="194"/>
        <v/>
      </c>
      <c r="GD48" s="69" t="str">
        <f t="shared" si="332"/>
        <v/>
      </c>
      <c r="GE48" s="69" t="str">
        <f t="shared" si="333"/>
        <v/>
      </c>
      <c r="GF48" s="69" t="str">
        <f t="shared" si="195"/>
        <v/>
      </c>
      <c r="GG48" s="69" t="str">
        <f t="shared" si="334"/>
        <v/>
      </c>
      <c r="GH48" s="69" t="str">
        <f t="shared" si="335"/>
        <v/>
      </c>
      <c r="GI48" s="69" t="str">
        <f t="shared" si="196"/>
        <v/>
      </c>
      <c r="GK48" s="69" t="str">
        <f t="shared" si="336"/>
        <v/>
      </c>
      <c r="GL48" s="69" t="str">
        <f t="shared" si="337"/>
        <v/>
      </c>
      <c r="GM48" s="69" t="str">
        <f t="shared" si="197"/>
        <v/>
      </c>
      <c r="GN48" s="69" t="str">
        <f t="shared" si="338"/>
        <v/>
      </c>
      <c r="GO48" s="69" t="str">
        <f t="shared" si="339"/>
        <v/>
      </c>
      <c r="GP48" s="69" t="str">
        <f t="shared" si="198"/>
        <v/>
      </c>
      <c r="GQ48" s="69" t="str">
        <f t="shared" si="340"/>
        <v/>
      </c>
      <c r="GR48" s="69" t="str">
        <f t="shared" si="341"/>
        <v/>
      </c>
      <c r="GS48" s="69" t="str">
        <f t="shared" si="199"/>
        <v/>
      </c>
      <c r="GT48" s="69" t="str">
        <f t="shared" si="342"/>
        <v/>
      </c>
      <c r="GU48" s="69" t="str">
        <f t="shared" si="343"/>
        <v/>
      </c>
      <c r="GV48" s="69" t="str">
        <f t="shared" si="200"/>
        <v/>
      </c>
      <c r="GX48" s="69" t="str">
        <f t="shared" si="201"/>
        <v/>
      </c>
      <c r="GY48" s="69" t="str">
        <f t="shared" si="202"/>
        <v/>
      </c>
      <c r="GZ48" s="69" t="str">
        <f t="shared" si="203"/>
        <v/>
      </c>
      <c r="HA48" s="69" t="str">
        <f t="shared" si="204"/>
        <v/>
      </c>
      <c r="HB48" s="69" t="str">
        <f t="shared" si="205"/>
        <v/>
      </c>
      <c r="HC48" s="69" t="str">
        <f t="shared" si="206"/>
        <v/>
      </c>
      <c r="HD48" s="69" t="str">
        <f t="shared" si="207"/>
        <v/>
      </c>
      <c r="HE48" s="69" t="str">
        <f t="shared" si="208"/>
        <v/>
      </c>
      <c r="HF48" s="69" t="str">
        <f t="shared" si="209"/>
        <v/>
      </c>
      <c r="HH48" s="69" t="str">
        <f t="shared" si="210"/>
        <v/>
      </c>
      <c r="HI48" s="69" t="str">
        <f t="shared" si="211"/>
        <v/>
      </c>
      <c r="HJ48" s="69" t="str">
        <f t="shared" si="212"/>
        <v/>
      </c>
      <c r="HK48" s="69" t="str">
        <f t="shared" si="213"/>
        <v/>
      </c>
      <c r="HL48" s="69" t="str">
        <f t="shared" si="214"/>
        <v/>
      </c>
      <c r="HM48" s="69" t="str">
        <f t="shared" si="215"/>
        <v/>
      </c>
      <c r="HO48" s="69" t="str">
        <f t="shared" si="216"/>
        <v/>
      </c>
      <c r="HP48" s="69" t="str">
        <f t="shared" si="217"/>
        <v/>
      </c>
      <c r="HQ48" s="69" t="str">
        <f t="shared" si="218"/>
        <v/>
      </c>
      <c r="HS48" s="69" t="str">
        <f t="shared" si="344"/>
        <v/>
      </c>
      <c r="HT48" s="69" t="str">
        <f t="shared" si="345"/>
        <v/>
      </c>
      <c r="HU48" s="69" t="str">
        <f t="shared" si="219"/>
        <v/>
      </c>
      <c r="HV48" s="69" t="str">
        <f t="shared" si="346"/>
        <v/>
      </c>
      <c r="HW48" s="69" t="str">
        <f t="shared" si="347"/>
        <v/>
      </c>
      <c r="HX48" s="69" t="str">
        <f t="shared" si="220"/>
        <v/>
      </c>
      <c r="HY48" s="69" t="str">
        <f t="shared" si="348"/>
        <v/>
      </c>
      <c r="HZ48" s="69" t="str">
        <f t="shared" si="349"/>
        <v/>
      </c>
      <c r="IA48" s="69" t="str">
        <f t="shared" si="221"/>
        <v/>
      </c>
      <c r="IB48" s="69" t="str">
        <f t="shared" si="350"/>
        <v/>
      </c>
      <c r="IC48" s="69" t="str">
        <f t="shared" si="351"/>
        <v/>
      </c>
      <c r="ID48" s="69" t="str">
        <f t="shared" si="222"/>
        <v/>
      </c>
      <c r="IE48" s="69" t="str">
        <f t="shared" si="352"/>
        <v/>
      </c>
      <c r="IF48" s="69" t="str">
        <f t="shared" si="353"/>
        <v/>
      </c>
      <c r="IG48" s="69" t="str">
        <f t="shared" si="223"/>
        <v/>
      </c>
      <c r="IH48" s="69" t="str">
        <f t="shared" si="354"/>
        <v/>
      </c>
      <c r="II48" s="69" t="str">
        <f t="shared" si="355"/>
        <v/>
      </c>
      <c r="IJ48" s="69" t="str">
        <f t="shared" si="224"/>
        <v/>
      </c>
      <c r="IK48" s="69" t="str">
        <f t="shared" si="356"/>
        <v/>
      </c>
      <c r="IL48" s="69" t="str">
        <f t="shared" si="357"/>
        <v/>
      </c>
      <c r="IM48" s="69" t="str">
        <f t="shared" si="225"/>
        <v/>
      </c>
      <c r="IN48" s="69" t="str">
        <f t="shared" si="226"/>
        <v/>
      </c>
      <c r="IO48" s="69" t="str">
        <f t="shared" si="227"/>
        <v/>
      </c>
      <c r="IP48" s="69" t="str">
        <f t="shared" si="228"/>
        <v/>
      </c>
      <c r="IQ48" s="69" t="str">
        <f t="shared" si="229"/>
        <v/>
      </c>
      <c r="IR48" s="69" t="str">
        <f t="shared" si="230"/>
        <v/>
      </c>
      <c r="IS48" s="69" t="str">
        <f t="shared" si="231"/>
        <v/>
      </c>
      <c r="IT48" s="69" t="str">
        <f t="shared" si="232"/>
        <v/>
      </c>
      <c r="IU48" s="69" t="str">
        <f t="shared" si="233"/>
        <v/>
      </c>
      <c r="IV48" s="69" t="str">
        <f t="shared" si="234"/>
        <v/>
      </c>
    </row>
    <row r="49" spans="1:256" x14ac:dyDescent="0.2">
      <c r="A49" s="57" t="s">
        <v>52</v>
      </c>
      <c r="B49" s="178"/>
      <c r="C49" s="180"/>
      <c r="D49" s="179"/>
      <c r="E49" s="179"/>
      <c r="F49" s="179"/>
      <c r="G49" s="180"/>
      <c r="H49" s="180"/>
      <c r="I49" s="181"/>
      <c r="J49" s="182"/>
      <c r="K49" s="186"/>
      <c r="L49" s="68">
        <f t="shared" si="237"/>
        <v>0</v>
      </c>
      <c r="M49" s="69" t="str">
        <f t="shared" si="238"/>
        <v/>
      </c>
      <c r="N49" s="69" t="str">
        <f t="shared" si="358"/>
        <v/>
      </c>
      <c r="O49" s="69" t="str">
        <f t="shared" si="122"/>
        <v/>
      </c>
      <c r="P49" s="69" t="str">
        <f t="shared" si="359"/>
        <v/>
      </c>
      <c r="Q49" s="70" t="str">
        <f t="shared" si="239"/>
        <v/>
      </c>
      <c r="R49" s="71" t="str">
        <f t="shared" si="124"/>
        <v/>
      </c>
      <c r="S49" s="71" t="str">
        <f t="shared" si="125"/>
        <v/>
      </c>
      <c r="T49" s="70" t="str">
        <f t="shared" si="240"/>
        <v/>
      </c>
      <c r="U49" s="71" t="str">
        <f t="shared" si="126"/>
        <v/>
      </c>
      <c r="V49" s="71" t="str">
        <f t="shared" si="127"/>
        <v/>
      </c>
      <c r="W49" s="70" t="str">
        <f t="shared" si="241"/>
        <v/>
      </c>
      <c r="X49" s="71" t="str">
        <f t="shared" si="128"/>
        <v/>
      </c>
      <c r="Y49" s="71" t="str">
        <f t="shared" si="129"/>
        <v/>
      </c>
      <c r="Z49" s="70" t="str">
        <f t="shared" si="242"/>
        <v/>
      </c>
      <c r="AA49" s="71" t="str">
        <f t="shared" si="130"/>
        <v/>
      </c>
      <c r="AB49" s="71" t="str">
        <f t="shared" si="131"/>
        <v/>
      </c>
      <c r="AC49" s="70" t="str">
        <f t="shared" si="243"/>
        <v/>
      </c>
      <c r="AD49" s="71" t="str">
        <f t="shared" si="132"/>
        <v/>
      </c>
      <c r="AE49" s="71" t="str">
        <f t="shared" si="133"/>
        <v/>
      </c>
      <c r="AF49" s="70" t="str">
        <f t="shared" si="244"/>
        <v/>
      </c>
      <c r="AG49" s="71" t="str">
        <f t="shared" si="134"/>
        <v/>
      </c>
      <c r="AH49" s="71" t="str">
        <f t="shared" si="135"/>
        <v/>
      </c>
      <c r="AI49" s="70" t="str">
        <f t="shared" si="245"/>
        <v/>
      </c>
      <c r="AJ49" s="71" t="str">
        <f t="shared" si="136"/>
        <v/>
      </c>
      <c r="AK49" s="71" t="str">
        <f t="shared" si="137"/>
        <v/>
      </c>
      <c r="AL49" s="70" t="str">
        <f t="shared" si="138"/>
        <v/>
      </c>
      <c r="AM49" s="71" t="str">
        <f t="shared" si="139"/>
        <v/>
      </c>
      <c r="AN49" s="71" t="str">
        <f t="shared" si="140"/>
        <v/>
      </c>
      <c r="AO49" s="70" t="str">
        <f t="shared" si="141"/>
        <v/>
      </c>
      <c r="AP49" s="71" t="str">
        <f t="shared" si="142"/>
        <v/>
      </c>
      <c r="AQ49" s="71" t="str">
        <f t="shared" si="143"/>
        <v/>
      </c>
      <c r="AR49" s="70" t="str">
        <f t="shared" si="144"/>
        <v/>
      </c>
      <c r="AS49" s="71" t="str">
        <f t="shared" si="145"/>
        <v/>
      </c>
      <c r="AT49" s="71" t="str">
        <f t="shared" si="146"/>
        <v/>
      </c>
      <c r="AU49" s="69" t="str">
        <f t="shared" si="147"/>
        <v/>
      </c>
      <c r="AV49" s="131" t="str">
        <f t="shared" si="148"/>
        <v/>
      </c>
      <c r="AW49" s="69" t="str">
        <f t="shared" si="236"/>
        <v/>
      </c>
      <c r="AX49" s="132" t="str">
        <f t="shared" si="150"/>
        <v/>
      </c>
      <c r="AY49" s="132" t="str">
        <f t="shared" si="151"/>
        <v/>
      </c>
      <c r="AZ49" s="69" t="str">
        <f t="shared" si="246"/>
        <v/>
      </c>
      <c r="BA49" s="69" t="str">
        <f t="shared" si="247"/>
        <v/>
      </c>
      <c r="BB49" s="69" t="str">
        <f t="shared" si="152"/>
        <v/>
      </c>
      <c r="BC49" s="69" t="str">
        <f t="shared" si="248"/>
        <v/>
      </c>
      <c r="BD49" s="69" t="str">
        <f t="shared" si="249"/>
        <v/>
      </c>
      <c r="BE49" s="69" t="str">
        <f t="shared" si="153"/>
        <v/>
      </c>
      <c r="BF49" s="69" t="str">
        <f t="shared" si="250"/>
        <v/>
      </c>
      <c r="BG49" s="69" t="str">
        <f t="shared" si="251"/>
        <v/>
      </c>
      <c r="BH49" s="69" t="str">
        <f t="shared" si="154"/>
        <v/>
      </c>
      <c r="BI49" s="69" t="str">
        <f t="shared" si="252"/>
        <v/>
      </c>
      <c r="BJ49" s="69" t="str">
        <f t="shared" si="253"/>
        <v/>
      </c>
      <c r="BK49" s="69" t="str">
        <f t="shared" si="155"/>
        <v/>
      </c>
      <c r="BL49" s="69" t="str">
        <f t="shared" si="254"/>
        <v/>
      </c>
      <c r="BM49" s="69" t="str">
        <f t="shared" si="255"/>
        <v/>
      </c>
      <c r="BN49" s="69" t="str">
        <f t="shared" si="156"/>
        <v/>
      </c>
      <c r="BO49" s="69" t="str">
        <f t="shared" si="256"/>
        <v/>
      </c>
      <c r="BP49" s="69" t="str">
        <f t="shared" si="257"/>
        <v/>
      </c>
      <c r="BQ49" s="69" t="str">
        <f t="shared" si="157"/>
        <v/>
      </c>
      <c r="BR49" s="69" t="str">
        <f t="shared" si="258"/>
        <v/>
      </c>
      <c r="BS49" s="69" t="str">
        <f t="shared" si="259"/>
        <v/>
      </c>
      <c r="BT49" s="69" t="str">
        <f t="shared" si="158"/>
        <v/>
      </c>
      <c r="BU49" s="69" t="str">
        <f t="shared" si="260"/>
        <v/>
      </c>
      <c r="BV49" s="69" t="str">
        <f t="shared" si="261"/>
        <v/>
      </c>
      <c r="BW49" s="69" t="str">
        <f t="shared" si="159"/>
        <v/>
      </c>
      <c r="BX49" s="69" t="str">
        <f t="shared" si="262"/>
        <v/>
      </c>
      <c r="BY49" s="69" t="str">
        <f t="shared" si="263"/>
        <v/>
      </c>
      <c r="BZ49" s="69" t="str">
        <f t="shared" si="160"/>
        <v/>
      </c>
      <c r="CA49" s="69" t="str">
        <f t="shared" si="264"/>
        <v/>
      </c>
      <c r="CB49" s="69" t="str">
        <f t="shared" si="265"/>
        <v/>
      </c>
      <c r="CC49" s="69" t="str">
        <f t="shared" si="161"/>
        <v/>
      </c>
      <c r="CE49" s="69" t="str">
        <f t="shared" si="266"/>
        <v/>
      </c>
      <c r="CF49" s="69" t="str">
        <f t="shared" si="267"/>
        <v/>
      </c>
      <c r="CG49" s="69" t="str">
        <f t="shared" si="162"/>
        <v/>
      </c>
      <c r="CH49" s="69" t="str">
        <f t="shared" si="268"/>
        <v/>
      </c>
      <c r="CI49" s="69" t="str">
        <f t="shared" si="269"/>
        <v/>
      </c>
      <c r="CJ49" s="69" t="str">
        <f t="shared" si="163"/>
        <v/>
      </c>
      <c r="CK49" s="69" t="str">
        <f t="shared" si="270"/>
        <v/>
      </c>
      <c r="CL49" s="69" t="str">
        <f t="shared" si="271"/>
        <v/>
      </c>
      <c r="CM49" s="69" t="str">
        <f t="shared" si="164"/>
        <v/>
      </c>
      <c r="CN49" s="69" t="str">
        <f t="shared" si="272"/>
        <v/>
      </c>
      <c r="CO49" s="69" t="str">
        <f t="shared" si="273"/>
        <v/>
      </c>
      <c r="CP49" s="69" t="str">
        <f t="shared" si="165"/>
        <v/>
      </c>
      <c r="CQ49" s="69" t="str">
        <f t="shared" si="274"/>
        <v/>
      </c>
      <c r="CR49" s="69" t="str">
        <f t="shared" si="275"/>
        <v/>
      </c>
      <c r="CS49" s="69" t="str">
        <f t="shared" si="166"/>
        <v/>
      </c>
      <c r="CT49" s="69" t="str">
        <f t="shared" si="276"/>
        <v/>
      </c>
      <c r="CU49" s="69" t="str">
        <f t="shared" si="277"/>
        <v/>
      </c>
      <c r="CV49" s="69" t="str">
        <f t="shared" si="167"/>
        <v/>
      </c>
      <c r="CW49" s="69" t="str">
        <f t="shared" si="278"/>
        <v/>
      </c>
      <c r="CX49" s="69" t="str">
        <f t="shared" si="279"/>
        <v/>
      </c>
      <c r="CY49" s="69" t="str">
        <f t="shared" si="168"/>
        <v/>
      </c>
      <c r="CZ49" s="69" t="str">
        <f t="shared" si="280"/>
        <v/>
      </c>
      <c r="DA49" s="69" t="str">
        <f t="shared" si="281"/>
        <v/>
      </c>
      <c r="DB49" s="69" t="str">
        <f t="shared" si="169"/>
        <v/>
      </c>
      <c r="DC49" s="69" t="str">
        <f t="shared" si="282"/>
        <v/>
      </c>
      <c r="DD49" s="69" t="str">
        <f t="shared" si="283"/>
        <v/>
      </c>
      <c r="DE49" s="69" t="str">
        <f t="shared" si="170"/>
        <v/>
      </c>
      <c r="DG49" s="69" t="str">
        <f t="shared" si="284"/>
        <v/>
      </c>
      <c r="DH49" s="69" t="str">
        <f t="shared" si="285"/>
        <v/>
      </c>
      <c r="DI49" s="69" t="str">
        <f t="shared" si="171"/>
        <v/>
      </c>
      <c r="DJ49" s="69" t="str">
        <f t="shared" si="286"/>
        <v/>
      </c>
      <c r="DK49" s="69" t="str">
        <f t="shared" si="287"/>
        <v/>
      </c>
      <c r="DL49" s="69" t="str">
        <f t="shared" si="172"/>
        <v/>
      </c>
      <c r="DM49" s="69" t="str">
        <f t="shared" si="288"/>
        <v/>
      </c>
      <c r="DN49" s="69" t="str">
        <f t="shared" si="289"/>
        <v/>
      </c>
      <c r="DO49" s="69" t="str">
        <f t="shared" si="173"/>
        <v/>
      </c>
      <c r="DP49" s="69" t="str">
        <f t="shared" si="290"/>
        <v/>
      </c>
      <c r="DQ49" s="69" t="str">
        <f t="shared" si="291"/>
        <v/>
      </c>
      <c r="DR49" s="69" t="str">
        <f t="shared" si="174"/>
        <v/>
      </c>
      <c r="DS49" s="69" t="str">
        <f t="shared" si="292"/>
        <v/>
      </c>
      <c r="DT49" s="69" t="str">
        <f t="shared" si="293"/>
        <v/>
      </c>
      <c r="DU49" s="69" t="str">
        <f t="shared" si="175"/>
        <v/>
      </c>
      <c r="DV49" s="69" t="str">
        <f t="shared" si="294"/>
        <v/>
      </c>
      <c r="DW49" s="69" t="str">
        <f t="shared" si="295"/>
        <v/>
      </c>
      <c r="DX49" s="69" t="str">
        <f t="shared" si="176"/>
        <v/>
      </c>
      <c r="DY49" s="69" t="str">
        <f t="shared" si="296"/>
        <v/>
      </c>
      <c r="DZ49" s="69" t="str">
        <f t="shared" si="297"/>
        <v/>
      </c>
      <c r="EA49" s="69" t="str">
        <f t="shared" si="177"/>
        <v/>
      </c>
      <c r="EB49" s="69" t="str">
        <f t="shared" si="298"/>
        <v/>
      </c>
      <c r="EC49" s="69" t="str">
        <f t="shared" si="299"/>
        <v/>
      </c>
      <c r="ED49" s="69" t="str">
        <f t="shared" si="178"/>
        <v/>
      </c>
      <c r="EF49" s="69" t="str">
        <f t="shared" si="300"/>
        <v/>
      </c>
      <c r="EG49" s="69" t="str">
        <f t="shared" si="301"/>
        <v/>
      </c>
      <c r="EH49" s="69" t="str">
        <f t="shared" si="179"/>
        <v/>
      </c>
      <c r="EI49" s="69" t="str">
        <f t="shared" si="302"/>
        <v/>
      </c>
      <c r="EJ49" s="69" t="str">
        <f t="shared" si="303"/>
        <v/>
      </c>
      <c r="EK49" s="69" t="str">
        <f t="shared" si="180"/>
        <v/>
      </c>
      <c r="EL49" s="69" t="str">
        <f t="shared" si="304"/>
        <v/>
      </c>
      <c r="EM49" s="69" t="str">
        <f t="shared" si="305"/>
        <v/>
      </c>
      <c r="EN49" s="69" t="str">
        <f t="shared" si="181"/>
        <v/>
      </c>
      <c r="EO49" s="69" t="str">
        <f t="shared" si="306"/>
        <v/>
      </c>
      <c r="EP49" s="69" t="str">
        <f t="shared" si="307"/>
        <v/>
      </c>
      <c r="EQ49" s="69" t="str">
        <f t="shared" si="182"/>
        <v/>
      </c>
      <c r="ER49" s="69" t="str">
        <f t="shared" si="308"/>
        <v/>
      </c>
      <c r="ES49" s="69" t="str">
        <f t="shared" si="309"/>
        <v/>
      </c>
      <c r="ET49" s="69" t="str">
        <f t="shared" si="183"/>
        <v/>
      </c>
      <c r="EU49" s="69" t="str">
        <f t="shared" si="310"/>
        <v/>
      </c>
      <c r="EV49" s="69" t="str">
        <f t="shared" si="311"/>
        <v/>
      </c>
      <c r="EW49" s="69" t="str">
        <f t="shared" si="184"/>
        <v/>
      </c>
      <c r="EX49" s="69" t="str">
        <f t="shared" si="312"/>
        <v/>
      </c>
      <c r="EY49" s="69" t="str">
        <f t="shared" si="313"/>
        <v/>
      </c>
      <c r="EZ49" s="69" t="str">
        <f t="shared" si="185"/>
        <v/>
      </c>
      <c r="FB49" s="69" t="str">
        <f t="shared" si="314"/>
        <v/>
      </c>
      <c r="FC49" s="69" t="str">
        <f t="shared" si="315"/>
        <v/>
      </c>
      <c r="FD49" s="69" t="str">
        <f t="shared" si="186"/>
        <v/>
      </c>
      <c r="FE49" s="69" t="str">
        <f t="shared" si="316"/>
        <v/>
      </c>
      <c r="FF49" s="69" t="str">
        <f t="shared" si="317"/>
        <v/>
      </c>
      <c r="FG49" s="69" t="str">
        <f t="shared" si="187"/>
        <v/>
      </c>
      <c r="FH49" s="69" t="str">
        <f t="shared" si="318"/>
        <v/>
      </c>
      <c r="FI49" s="69" t="str">
        <f t="shared" si="319"/>
        <v/>
      </c>
      <c r="FJ49" s="69" t="str">
        <f t="shared" si="188"/>
        <v/>
      </c>
      <c r="FK49" s="69" t="str">
        <f t="shared" si="320"/>
        <v/>
      </c>
      <c r="FL49" s="69" t="str">
        <f t="shared" si="321"/>
        <v/>
      </c>
      <c r="FM49" s="69" t="str">
        <f t="shared" si="189"/>
        <v/>
      </c>
      <c r="FN49" s="69" t="str">
        <f t="shared" si="322"/>
        <v/>
      </c>
      <c r="FO49" s="69" t="str">
        <f t="shared" si="323"/>
        <v/>
      </c>
      <c r="FP49" s="69" t="str">
        <f t="shared" si="190"/>
        <v/>
      </c>
      <c r="FQ49" s="69" t="str">
        <f t="shared" si="324"/>
        <v/>
      </c>
      <c r="FR49" s="69" t="str">
        <f t="shared" si="325"/>
        <v/>
      </c>
      <c r="FS49" s="69" t="str">
        <f t="shared" si="191"/>
        <v/>
      </c>
      <c r="FU49" s="69" t="str">
        <f t="shared" si="326"/>
        <v/>
      </c>
      <c r="FV49" s="69" t="str">
        <f t="shared" si="327"/>
        <v/>
      </c>
      <c r="FW49" s="69" t="str">
        <f t="shared" si="192"/>
        <v/>
      </c>
      <c r="FX49" s="69" t="str">
        <f t="shared" si="328"/>
        <v/>
      </c>
      <c r="FY49" s="69" t="str">
        <f t="shared" si="329"/>
        <v/>
      </c>
      <c r="FZ49" s="69" t="str">
        <f t="shared" si="193"/>
        <v/>
      </c>
      <c r="GA49" s="69" t="str">
        <f t="shared" si="330"/>
        <v/>
      </c>
      <c r="GB49" s="69" t="str">
        <f t="shared" si="331"/>
        <v/>
      </c>
      <c r="GC49" s="69" t="str">
        <f t="shared" si="194"/>
        <v/>
      </c>
      <c r="GD49" s="69" t="str">
        <f t="shared" si="332"/>
        <v/>
      </c>
      <c r="GE49" s="69" t="str">
        <f t="shared" si="333"/>
        <v/>
      </c>
      <c r="GF49" s="69" t="str">
        <f t="shared" si="195"/>
        <v/>
      </c>
      <c r="GG49" s="69" t="str">
        <f t="shared" si="334"/>
        <v/>
      </c>
      <c r="GH49" s="69" t="str">
        <f t="shared" si="335"/>
        <v/>
      </c>
      <c r="GI49" s="69" t="str">
        <f t="shared" si="196"/>
        <v/>
      </c>
      <c r="GK49" s="69" t="str">
        <f t="shared" si="336"/>
        <v/>
      </c>
      <c r="GL49" s="69" t="str">
        <f t="shared" si="337"/>
        <v/>
      </c>
      <c r="GM49" s="69" t="str">
        <f t="shared" si="197"/>
        <v/>
      </c>
      <c r="GN49" s="69" t="str">
        <f t="shared" si="338"/>
        <v/>
      </c>
      <c r="GO49" s="69" t="str">
        <f t="shared" si="339"/>
        <v/>
      </c>
      <c r="GP49" s="69" t="str">
        <f t="shared" si="198"/>
        <v/>
      </c>
      <c r="GQ49" s="69" t="str">
        <f t="shared" si="340"/>
        <v/>
      </c>
      <c r="GR49" s="69" t="str">
        <f t="shared" si="341"/>
        <v/>
      </c>
      <c r="GS49" s="69" t="str">
        <f t="shared" si="199"/>
        <v/>
      </c>
      <c r="GT49" s="69" t="str">
        <f t="shared" si="342"/>
        <v/>
      </c>
      <c r="GU49" s="69" t="str">
        <f t="shared" si="343"/>
        <v/>
      </c>
      <c r="GV49" s="69" t="str">
        <f t="shared" si="200"/>
        <v/>
      </c>
      <c r="GX49" s="69" t="str">
        <f t="shared" si="201"/>
        <v/>
      </c>
      <c r="GY49" s="69" t="str">
        <f t="shared" si="202"/>
        <v/>
      </c>
      <c r="GZ49" s="69" t="str">
        <f t="shared" si="203"/>
        <v/>
      </c>
      <c r="HA49" s="69" t="str">
        <f t="shared" si="204"/>
        <v/>
      </c>
      <c r="HB49" s="69" t="str">
        <f t="shared" si="205"/>
        <v/>
      </c>
      <c r="HC49" s="69" t="str">
        <f t="shared" si="206"/>
        <v/>
      </c>
      <c r="HD49" s="69" t="str">
        <f t="shared" si="207"/>
        <v/>
      </c>
      <c r="HE49" s="69" t="str">
        <f t="shared" si="208"/>
        <v/>
      </c>
      <c r="HF49" s="69" t="str">
        <f t="shared" si="209"/>
        <v/>
      </c>
      <c r="HH49" s="69" t="str">
        <f t="shared" si="210"/>
        <v/>
      </c>
      <c r="HI49" s="69" t="str">
        <f t="shared" si="211"/>
        <v/>
      </c>
      <c r="HJ49" s="69" t="str">
        <f t="shared" si="212"/>
        <v/>
      </c>
      <c r="HK49" s="69" t="str">
        <f t="shared" si="213"/>
        <v/>
      </c>
      <c r="HL49" s="69" t="str">
        <f t="shared" si="214"/>
        <v/>
      </c>
      <c r="HM49" s="69" t="str">
        <f t="shared" si="215"/>
        <v/>
      </c>
      <c r="HO49" s="69" t="str">
        <f t="shared" si="216"/>
        <v/>
      </c>
      <c r="HP49" s="69" t="str">
        <f t="shared" si="217"/>
        <v/>
      </c>
      <c r="HQ49" s="69" t="str">
        <f t="shared" si="218"/>
        <v/>
      </c>
      <c r="HS49" s="69" t="str">
        <f t="shared" si="344"/>
        <v/>
      </c>
      <c r="HT49" s="69" t="str">
        <f t="shared" si="345"/>
        <v/>
      </c>
      <c r="HU49" s="69" t="str">
        <f t="shared" si="219"/>
        <v/>
      </c>
      <c r="HV49" s="69" t="str">
        <f t="shared" si="346"/>
        <v/>
      </c>
      <c r="HW49" s="69" t="str">
        <f t="shared" si="347"/>
        <v/>
      </c>
      <c r="HX49" s="69" t="str">
        <f t="shared" si="220"/>
        <v/>
      </c>
      <c r="HY49" s="69" t="str">
        <f t="shared" si="348"/>
        <v/>
      </c>
      <c r="HZ49" s="69" t="str">
        <f t="shared" si="349"/>
        <v/>
      </c>
      <c r="IA49" s="69" t="str">
        <f t="shared" si="221"/>
        <v/>
      </c>
      <c r="IB49" s="69" t="str">
        <f t="shared" si="350"/>
        <v/>
      </c>
      <c r="IC49" s="69" t="str">
        <f t="shared" si="351"/>
        <v/>
      </c>
      <c r="ID49" s="69" t="str">
        <f t="shared" si="222"/>
        <v/>
      </c>
      <c r="IE49" s="69" t="str">
        <f t="shared" si="352"/>
        <v/>
      </c>
      <c r="IF49" s="69" t="str">
        <f t="shared" si="353"/>
        <v/>
      </c>
      <c r="IG49" s="69" t="str">
        <f t="shared" si="223"/>
        <v/>
      </c>
      <c r="IH49" s="69" t="str">
        <f t="shared" si="354"/>
        <v/>
      </c>
      <c r="II49" s="69" t="str">
        <f t="shared" si="355"/>
        <v/>
      </c>
      <c r="IJ49" s="69" t="str">
        <f t="shared" si="224"/>
        <v/>
      </c>
      <c r="IK49" s="69" t="str">
        <f t="shared" si="356"/>
        <v/>
      </c>
      <c r="IL49" s="69" t="str">
        <f t="shared" si="357"/>
        <v/>
      </c>
      <c r="IM49" s="69" t="str">
        <f t="shared" si="225"/>
        <v/>
      </c>
      <c r="IN49" s="69" t="str">
        <f t="shared" si="226"/>
        <v/>
      </c>
      <c r="IO49" s="69" t="str">
        <f t="shared" si="227"/>
        <v/>
      </c>
      <c r="IP49" s="69" t="str">
        <f t="shared" si="228"/>
        <v/>
      </c>
      <c r="IQ49" s="69" t="str">
        <f t="shared" si="229"/>
        <v/>
      </c>
      <c r="IR49" s="69" t="str">
        <f t="shared" si="230"/>
        <v/>
      </c>
      <c r="IS49" s="69" t="str">
        <f t="shared" si="231"/>
        <v/>
      </c>
      <c r="IT49" s="69" t="str">
        <f t="shared" si="232"/>
        <v/>
      </c>
      <c r="IU49" s="69" t="str">
        <f t="shared" si="233"/>
        <v/>
      </c>
      <c r="IV49" s="69" t="str">
        <f t="shared" si="234"/>
        <v/>
      </c>
    </row>
    <row r="50" spans="1:256" x14ac:dyDescent="0.2">
      <c r="A50" s="57" t="s">
        <v>53</v>
      </c>
      <c r="B50" s="178"/>
      <c r="C50" s="180"/>
      <c r="D50" s="179"/>
      <c r="E50" s="179"/>
      <c r="F50" s="179"/>
      <c r="G50" s="180"/>
      <c r="H50" s="180"/>
      <c r="I50" s="181"/>
      <c r="J50" s="182"/>
      <c r="K50" s="186"/>
      <c r="L50" s="68">
        <f t="shared" si="237"/>
        <v>0</v>
      </c>
      <c r="M50" s="69" t="str">
        <f t="shared" si="238"/>
        <v/>
      </c>
      <c r="N50" s="69" t="str">
        <f t="shared" si="358"/>
        <v/>
      </c>
      <c r="O50" s="69" t="str">
        <f t="shared" si="122"/>
        <v/>
      </c>
      <c r="P50" s="69" t="str">
        <f t="shared" si="359"/>
        <v/>
      </c>
      <c r="Q50" s="70" t="str">
        <f t="shared" si="239"/>
        <v/>
      </c>
      <c r="R50" s="71" t="str">
        <f t="shared" si="124"/>
        <v/>
      </c>
      <c r="S50" s="71" t="str">
        <f t="shared" si="125"/>
        <v/>
      </c>
      <c r="T50" s="70" t="str">
        <f t="shared" si="240"/>
        <v/>
      </c>
      <c r="U50" s="71" t="str">
        <f t="shared" si="126"/>
        <v/>
      </c>
      <c r="V50" s="71" t="str">
        <f t="shared" si="127"/>
        <v/>
      </c>
      <c r="W50" s="70" t="str">
        <f t="shared" si="241"/>
        <v/>
      </c>
      <c r="X50" s="71" t="str">
        <f t="shared" si="128"/>
        <v/>
      </c>
      <c r="Y50" s="71" t="str">
        <f t="shared" si="129"/>
        <v/>
      </c>
      <c r="Z50" s="70" t="str">
        <f t="shared" si="242"/>
        <v/>
      </c>
      <c r="AA50" s="71" t="str">
        <f t="shared" si="130"/>
        <v/>
      </c>
      <c r="AB50" s="71" t="str">
        <f t="shared" si="131"/>
        <v/>
      </c>
      <c r="AC50" s="70" t="str">
        <f t="shared" si="243"/>
        <v/>
      </c>
      <c r="AD50" s="71" t="str">
        <f t="shared" si="132"/>
        <v/>
      </c>
      <c r="AE50" s="71" t="str">
        <f t="shared" si="133"/>
        <v/>
      </c>
      <c r="AF50" s="70" t="str">
        <f t="shared" si="244"/>
        <v/>
      </c>
      <c r="AG50" s="71" t="str">
        <f t="shared" si="134"/>
        <v/>
      </c>
      <c r="AH50" s="71" t="str">
        <f t="shared" si="135"/>
        <v/>
      </c>
      <c r="AI50" s="70" t="str">
        <f t="shared" si="245"/>
        <v/>
      </c>
      <c r="AJ50" s="71" t="str">
        <f t="shared" si="136"/>
        <v/>
      </c>
      <c r="AK50" s="71" t="str">
        <f t="shared" si="137"/>
        <v/>
      </c>
      <c r="AL50" s="70" t="str">
        <f t="shared" si="138"/>
        <v/>
      </c>
      <c r="AM50" s="71" t="str">
        <f t="shared" si="139"/>
        <v/>
      </c>
      <c r="AN50" s="71" t="str">
        <f t="shared" si="140"/>
        <v/>
      </c>
      <c r="AO50" s="70" t="str">
        <f t="shared" si="141"/>
        <v/>
      </c>
      <c r="AP50" s="71" t="str">
        <f t="shared" si="142"/>
        <v/>
      </c>
      <c r="AQ50" s="71" t="str">
        <f t="shared" si="143"/>
        <v/>
      </c>
      <c r="AR50" s="70" t="str">
        <f t="shared" si="144"/>
        <v/>
      </c>
      <c r="AS50" s="71" t="str">
        <f t="shared" si="145"/>
        <v/>
      </c>
      <c r="AT50" s="71" t="str">
        <f t="shared" si="146"/>
        <v/>
      </c>
      <c r="AU50" s="69" t="str">
        <f t="shared" si="147"/>
        <v/>
      </c>
      <c r="AV50" s="131" t="str">
        <f t="shared" si="148"/>
        <v/>
      </c>
      <c r="AW50" s="69" t="str">
        <f t="shared" si="236"/>
        <v/>
      </c>
      <c r="AX50" s="132" t="str">
        <f t="shared" si="150"/>
        <v/>
      </c>
      <c r="AY50" s="132" t="str">
        <f t="shared" si="151"/>
        <v/>
      </c>
      <c r="AZ50" s="69" t="str">
        <f t="shared" si="246"/>
        <v/>
      </c>
      <c r="BA50" s="69" t="str">
        <f t="shared" si="247"/>
        <v/>
      </c>
      <c r="BB50" s="69" t="str">
        <f t="shared" si="152"/>
        <v/>
      </c>
      <c r="BC50" s="69" t="str">
        <f t="shared" si="248"/>
        <v/>
      </c>
      <c r="BD50" s="69" t="str">
        <f t="shared" si="249"/>
        <v/>
      </c>
      <c r="BE50" s="69" t="str">
        <f t="shared" si="153"/>
        <v/>
      </c>
      <c r="BF50" s="69" t="str">
        <f t="shared" si="250"/>
        <v/>
      </c>
      <c r="BG50" s="69" t="str">
        <f t="shared" si="251"/>
        <v/>
      </c>
      <c r="BH50" s="69" t="str">
        <f t="shared" si="154"/>
        <v/>
      </c>
      <c r="BI50" s="69" t="str">
        <f t="shared" si="252"/>
        <v/>
      </c>
      <c r="BJ50" s="69" t="str">
        <f t="shared" si="253"/>
        <v/>
      </c>
      <c r="BK50" s="69" t="str">
        <f t="shared" si="155"/>
        <v/>
      </c>
      <c r="BL50" s="69" t="str">
        <f t="shared" si="254"/>
        <v/>
      </c>
      <c r="BM50" s="69" t="str">
        <f t="shared" si="255"/>
        <v/>
      </c>
      <c r="BN50" s="69" t="str">
        <f t="shared" si="156"/>
        <v/>
      </c>
      <c r="BO50" s="69" t="str">
        <f t="shared" si="256"/>
        <v/>
      </c>
      <c r="BP50" s="69" t="str">
        <f t="shared" si="257"/>
        <v/>
      </c>
      <c r="BQ50" s="69" t="str">
        <f t="shared" si="157"/>
        <v/>
      </c>
      <c r="BR50" s="69" t="str">
        <f t="shared" si="258"/>
        <v/>
      </c>
      <c r="BS50" s="69" t="str">
        <f t="shared" si="259"/>
        <v/>
      </c>
      <c r="BT50" s="69" t="str">
        <f t="shared" si="158"/>
        <v/>
      </c>
      <c r="BU50" s="69" t="str">
        <f t="shared" si="260"/>
        <v/>
      </c>
      <c r="BV50" s="69" t="str">
        <f t="shared" si="261"/>
        <v/>
      </c>
      <c r="BW50" s="69" t="str">
        <f t="shared" si="159"/>
        <v/>
      </c>
      <c r="BX50" s="69" t="str">
        <f t="shared" si="262"/>
        <v/>
      </c>
      <c r="BY50" s="69" t="str">
        <f t="shared" si="263"/>
        <v/>
      </c>
      <c r="BZ50" s="69" t="str">
        <f t="shared" si="160"/>
        <v/>
      </c>
      <c r="CA50" s="69" t="str">
        <f t="shared" si="264"/>
        <v/>
      </c>
      <c r="CB50" s="69" t="str">
        <f t="shared" si="265"/>
        <v/>
      </c>
      <c r="CC50" s="69" t="str">
        <f t="shared" si="161"/>
        <v/>
      </c>
      <c r="CE50" s="69" t="str">
        <f t="shared" si="266"/>
        <v/>
      </c>
      <c r="CF50" s="69" t="str">
        <f t="shared" si="267"/>
        <v/>
      </c>
      <c r="CG50" s="69" t="str">
        <f t="shared" si="162"/>
        <v/>
      </c>
      <c r="CH50" s="69" t="str">
        <f t="shared" si="268"/>
        <v/>
      </c>
      <c r="CI50" s="69" t="str">
        <f t="shared" si="269"/>
        <v/>
      </c>
      <c r="CJ50" s="69" t="str">
        <f t="shared" si="163"/>
        <v/>
      </c>
      <c r="CK50" s="69" t="str">
        <f t="shared" si="270"/>
        <v/>
      </c>
      <c r="CL50" s="69" t="str">
        <f t="shared" si="271"/>
        <v/>
      </c>
      <c r="CM50" s="69" t="str">
        <f t="shared" si="164"/>
        <v/>
      </c>
      <c r="CN50" s="69" t="str">
        <f t="shared" si="272"/>
        <v/>
      </c>
      <c r="CO50" s="69" t="str">
        <f t="shared" si="273"/>
        <v/>
      </c>
      <c r="CP50" s="69" t="str">
        <f t="shared" si="165"/>
        <v/>
      </c>
      <c r="CQ50" s="69" t="str">
        <f t="shared" si="274"/>
        <v/>
      </c>
      <c r="CR50" s="69" t="str">
        <f t="shared" si="275"/>
        <v/>
      </c>
      <c r="CS50" s="69" t="str">
        <f t="shared" si="166"/>
        <v/>
      </c>
      <c r="CT50" s="69" t="str">
        <f t="shared" si="276"/>
        <v/>
      </c>
      <c r="CU50" s="69" t="str">
        <f t="shared" si="277"/>
        <v/>
      </c>
      <c r="CV50" s="69" t="str">
        <f t="shared" si="167"/>
        <v/>
      </c>
      <c r="CW50" s="69" t="str">
        <f t="shared" si="278"/>
        <v/>
      </c>
      <c r="CX50" s="69" t="str">
        <f t="shared" si="279"/>
        <v/>
      </c>
      <c r="CY50" s="69" t="str">
        <f t="shared" si="168"/>
        <v/>
      </c>
      <c r="CZ50" s="69" t="str">
        <f t="shared" si="280"/>
        <v/>
      </c>
      <c r="DA50" s="69" t="str">
        <f t="shared" si="281"/>
        <v/>
      </c>
      <c r="DB50" s="69" t="str">
        <f t="shared" si="169"/>
        <v/>
      </c>
      <c r="DC50" s="69" t="str">
        <f t="shared" si="282"/>
        <v/>
      </c>
      <c r="DD50" s="69" t="str">
        <f t="shared" si="283"/>
        <v/>
      </c>
      <c r="DE50" s="69" t="str">
        <f t="shared" si="170"/>
        <v/>
      </c>
      <c r="DG50" s="69" t="str">
        <f t="shared" si="284"/>
        <v/>
      </c>
      <c r="DH50" s="69" t="str">
        <f t="shared" si="285"/>
        <v/>
      </c>
      <c r="DI50" s="69" t="str">
        <f t="shared" si="171"/>
        <v/>
      </c>
      <c r="DJ50" s="69" t="str">
        <f t="shared" si="286"/>
        <v/>
      </c>
      <c r="DK50" s="69" t="str">
        <f t="shared" si="287"/>
        <v/>
      </c>
      <c r="DL50" s="69" t="str">
        <f t="shared" si="172"/>
        <v/>
      </c>
      <c r="DM50" s="69" t="str">
        <f t="shared" si="288"/>
        <v/>
      </c>
      <c r="DN50" s="69" t="str">
        <f t="shared" si="289"/>
        <v/>
      </c>
      <c r="DO50" s="69" t="str">
        <f t="shared" si="173"/>
        <v/>
      </c>
      <c r="DP50" s="69" t="str">
        <f t="shared" si="290"/>
        <v/>
      </c>
      <c r="DQ50" s="69" t="str">
        <f t="shared" si="291"/>
        <v/>
      </c>
      <c r="DR50" s="69" t="str">
        <f t="shared" si="174"/>
        <v/>
      </c>
      <c r="DS50" s="69" t="str">
        <f t="shared" si="292"/>
        <v/>
      </c>
      <c r="DT50" s="69" t="str">
        <f t="shared" si="293"/>
        <v/>
      </c>
      <c r="DU50" s="69" t="str">
        <f t="shared" si="175"/>
        <v/>
      </c>
      <c r="DV50" s="69" t="str">
        <f t="shared" si="294"/>
        <v/>
      </c>
      <c r="DW50" s="69" t="str">
        <f t="shared" si="295"/>
        <v/>
      </c>
      <c r="DX50" s="69" t="str">
        <f t="shared" si="176"/>
        <v/>
      </c>
      <c r="DY50" s="69" t="str">
        <f t="shared" si="296"/>
        <v/>
      </c>
      <c r="DZ50" s="69" t="str">
        <f t="shared" si="297"/>
        <v/>
      </c>
      <c r="EA50" s="69" t="str">
        <f t="shared" si="177"/>
        <v/>
      </c>
      <c r="EB50" s="69" t="str">
        <f t="shared" si="298"/>
        <v/>
      </c>
      <c r="EC50" s="69" t="str">
        <f t="shared" si="299"/>
        <v/>
      </c>
      <c r="ED50" s="69" t="str">
        <f t="shared" si="178"/>
        <v/>
      </c>
      <c r="EF50" s="69" t="str">
        <f t="shared" si="300"/>
        <v/>
      </c>
      <c r="EG50" s="69" t="str">
        <f t="shared" si="301"/>
        <v/>
      </c>
      <c r="EH50" s="69" t="str">
        <f t="shared" si="179"/>
        <v/>
      </c>
      <c r="EI50" s="69" t="str">
        <f t="shared" si="302"/>
        <v/>
      </c>
      <c r="EJ50" s="69" t="str">
        <f t="shared" si="303"/>
        <v/>
      </c>
      <c r="EK50" s="69" t="str">
        <f t="shared" si="180"/>
        <v/>
      </c>
      <c r="EL50" s="69" t="str">
        <f t="shared" si="304"/>
        <v/>
      </c>
      <c r="EM50" s="69" t="str">
        <f t="shared" si="305"/>
        <v/>
      </c>
      <c r="EN50" s="69" t="str">
        <f t="shared" si="181"/>
        <v/>
      </c>
      <c r="EO50" s="69" t="str">
        <f t="shared" si="306"/>
        <v/>
      </c>
      <c r="EP50" s="69" t="str">
        <f t="shared" si="307"/>
        <v/>
      </c>
      <c r="EQ50" s="69" t="str">
        <f t="shared" si="182"/>
        <v/>
      </c>
      <c r="ER50" s="69" t="str">
        <f t="shared" si="308"/>
        <v/>
      </c>
      <c r="ES50" s="69" t="str">
        <f t="shared" si="309"/>
        <v/>
      </c>
      <c r="ET50" s="69" t="str">
        <f t="shared" si="183"/>
        <v/>
      </c>
      <c r="EU50" s="69" t="str">
        <f t="shared" si="310"/>
        <v/>
      </c>
      <c r="EV50" s="69" t="str">
        <f t="shared" si="311"/>
        <v/>
      </c>
      <c r="EW50" s="69" t="str">
        <f t="shared" si="184"/>
        <v/>
      </c>
      <c r="EX50" s="69" t="str">
        <f t="shared" si="312"/>
        <v/>
      </c>
      <c r="EY50" s="69" t="str">
        <f t="shared" si="313"/>
        <v/>
      </c>
      <c r="EZ50" s="69" t="str">
        <f t="shared" si="185"/>
        <v/>
      </c>
      <c r="FB50" s="69" t="str">
        <f t="shared" si="314"/>
        <v/>
      </c>
      <c r="FC50" s="69" t="str">
        <f t="shared" si="315"/>
        <v/>
      </c>
      <c r="FD50" s="69" t="str">
        <f t="shared" si="186"/>
        <v/>
      </c>
      <c r="FE50" s="69" t="str">
        <f t="shared" si="316"/>
        <v/>
      </c>
      <c r="FF50" s="69" t="str">
        <f t="shared" si="317"/>
        <v/>
      </c>
      <c r="FG50" s="69" t="str">
        <f t="shared" si="187"/>
        <v/>
      </c>
      <c r="FH50" s="69" t="str">
        <f t="shared" si="318"/>
        <v/>
      </c>
      <c r="FI50" s="69" t="str">
        <f t="shared" si="319"/>
        <v/>
      </c>
      <c r="FJ50" s="69" t="str">
        <f t="shared" si="188"/>
        <v/>
      </c>
      <c r="FK50" s="69" t="str">
        <f t="shared" si="320"/>
        <v/>
      </c>
      <c r="FL50" s="69" t="str">
        <f t="shared" si="321"/>
        <v/>
      </c>
      <c r="FM50" s="69" t="str">
        <f t="shared" si="189"/>
        <v/>
      </c>
      <c r="FN50" s="69" t="str">
        <f t="shared" si="322"/>
        <v/>
      </c>
      <c r="FO50" s="69" t="str">
        <f t="shared" si="323"/>
        <v/>
      </c>
      <c r="FP50" s="69" t="str">
        <f t="shared" si="190"/>
        <v/>
      </c>
      <c r="FQ50" s="69" t="str">
        <f t="shared" si="324"/>
        <v/>
      </c>
      <c r="FR50" s="69" t="str">
        <f t="shared" si="325"/>
        <v/>
      </c>
      <c r="FS50" s="69" t="str">
        <f t="shared" si="191"/>
        <v/>
      </c>
      <c r="FU50" s="69" t="str">
        <f t="shared" si="326"/>
        <v/>
      </c>
      <c r="FV50" s="69" t="str">
        <f t="shared" si="327"/>
        <v/>
      </c>
      <c r="FW50" s="69" t="str">
        <f t="shared" si="192"/>
        <v/>
      </c>
      <c r="FX50" s="69" t="str">
        <f t="shared" si="328"/>
        <v/>
      </c>
      <c r="FY50" s="69" t="str">
        <f t="shared" si="329"/>
        <v/>
      </c>
      <c r="FZ50" s="69" t="str">
        <f t="shared" si="193"/>
        <v/>
      </c>
      <c r="GA50" s="69" t="str">
        <f t="shared" si="330"/>
        <v/>
      </c>
      <c r="GB50" s="69" t="str">
        <f t="shared" si="331"/>
        <v/>
      </c>
      <c r="GC50" s="69" t="str">
        <f t="shared" si="194"/>
        <v/>
      </c>
      <c r="GD50" s="69" t="str">
        <f t="shared" si="332"/>
        <v/>
      </c>
      <c r="GE50" s="69" t="str">
        <f t="shared" si="333"/>
        <v/>
      </c>
      <c r="GF50" s="69" t="str">
        <f t="shared" si="195"/>
        <v/>
      </c>
      <c r="GG50" s="69" t="str">
        <f t="shared" si="334"/>
        <v/>
      </c>
      <c r="GH50" s="69" t="str">
        <f t="shared" si="335"/>
        <v/>
      </c>
      <c r="GI50" s="69" t="str">
        <f t="shared" si="196"/>
        <v/>
      </c>
      <c r="GK50" s="69" t="str">
        <f t="shared" si="336"/>
        <v/>
      </c>
      <c r="GL50" s="69" t="str">
        <f t="shared" si="337"/>
        <v/>
      </c>
      <c r="GM50" s="69" t="str">
        <f t="shared" si="197"/>
        <v/>
      </c>
      <c r="GN50" s="69" t="str">
        <f t="shared" si="338"/>
        <v/>
      </c>
      <c r="GO50" s="69" t="str">
        <f t="shared" si="339"/>
        <v/>
      </c>
      <c r="GP50" s="69" t="str">
        <f t="shared" si="198"/>
        <v/>
      </c>
      <c r="GQ50" s="69" t="str">
        <f t="shared" si="340"/>
        <v/>
      </c>
      <c r="GR50" s="69" t="str">
        <f t="shared" si="341"/>
        <v/>
      </c>
      <c r="GS50" s="69" t="str">
        <f t="shared" si="199"/>
        <v/>
      </c>
      <c r="GT50" s="69" t="str">
        <f t="shared" si="342"/>
        <v/>
      </c>
      <c r="GU50" s="69" t="str">
        <f t="shared" si="343"/>
        <v/>
      </c>
      <c r="GV50" s="69" t="str">
        <f t="shared" si="200"/>
        <v/>
      </c>
      <c r="GX50" s="69" t="str">
        <f t="shared" si="201"/>
        <v/>
      </c>
      <c r="GY50" s="69" t="str">
        <f t="shared" si="202"/>
        <v/>
      </c>
      <c r="GZ50" s="69" t="str">
        <f t="shared" si="203"/>
        <v/>
      </c>
      <c r="HA50" s="69" t="str">
        <f t="shared" si="204"/>
        <v/>
      </c>
      <c r="HB50" s="69" t="str">
        <f t="shared" si="205"/>
        <v/>
      </c>
      <c r="HC50" s="69" t="str">
        <f t="shared" si="206"/>
        <v/>
      </c>
      <c r="HD50" s="69" t="str">
        <f t="shared" si="207"/>
        <v/>
      </c>
      <c r="HE50" s="69" t="str">
        <f t="shared" si="208"/>
        <v/>
      </c>
      <c r="HF50" s="69" t="str">
        <f t="shared" si="209"/>
        <v/>
      </c>
      <c r="HH50" s="69" t="str">
        <f t="shared" si="210"/>
        <v/>
      </c>
      <c r="HI50" s="69" t="str">
        <f t="shared" si="211"/>
        <v/>
      </c>
      <c r="HJ50" s="69" t="str">
        <f t="shared" si="212"/>
        <v/>
      </c>
      <c r="HK50" s="69" t="str">
        <f t="shared" si="213"/>
        <v/>
      </c>
      <c r="HL50" s="69" t="str">
        <f t="shared" si="214"/>
        <v/>
      </c>
      <c r="HM50" s="69" t="str">
        <f t="shared" si="215"/>
        <v/>
      </c>
      <c r="HO50" s="69" t="str">
        <f t="shared" si="216"/>
        <v/>
      </c>
      <c r="HP50" s="69" t="str">
        <f t="shared" si="217"/>
        <v/>
      </c>
      <c r="HQ50" s="69" t="str">
        <f t="shared" si="218"/>
        <v/>
      </c>
      <c r="HS50" s="69" t="str">
        <f t="shared" si="344"/>
        <v/>
      </c>
      <c r="HT50" s="69" t="str">
        <f t="shared" si="345"/>
        <v/>
      </c>
      <c r="HU50" s="69" t="str">
        <f t="shared" si="219"/>
        <v/>
      </c>
      <c r="HV50" s="69" t="str">
        <f t="shared" si="346"/>
        <v/>
      </c>
      <c r="HW50" s="69" t="str">
        <f t="shared" si="347"/>
        <v/>
      </c>
      <c r="HX50" s="69" t="str">
        <f t="shared" si="220"/>
        <v/>
      </c>
      <c r="HY50" s="69" t="str">
        <f t="shared" si="348"/>
        <v/>
      </c>
      <c r="HZ50" s="69" t="str">
        <f t="shared" si="349"/>
        <v/>
      </c>
      <c r="IA50" s="69" t="str">
        <f t="shared" si="221"/>
        <v/>
      </c>
      <c r="IB50" s="69" t="str">
        <f t="shared" si="350"/>
        <v/>
      </c>
      <c r="IC50" s="69" t="str">
        <f t="shared" si="351"/>
        <v/>
      </c>
      <c r="ID50" s="69" t="str">
        <f t="shared" si="222"/>
        <v/>
      </c>
      <c r="IE50" s="69" t="str">
        <f t="shared" si="352"/>
        <v/>
      </c>
      <c r="IF50" s="69" t="str">
        <f t="shared" si="353"/>
        <v/>
      </c>
      <c r="IG50" s="69" t="str">
        <f t="shared" si="223"/>
        <v/>
      </c>
      <c r="IH50" s="69" t="str">
        <f t="shared" si="354"/>
        <v/>
      </c>
      <c r="II50" s="69" t="str">
        <f t="shared" si="355"/>
        <v/>
      </c>
      <c r="IJ50" s="69" t="str">
        <f t="shared" si="224"/>
        <v/>
      </c>
      <c r="IK50" s="69" t="str">
        <f t="shared" si="356"/>
        <v/>
      </c>
      <c r="IL50" s="69" t="str">
        <f t="shared" si="357"/>
        <v/>
      </c>
      <c r="IM50" s="69" t="str">
        <f t="shared" si="225"/>
        <v/>
      </c>
      <c r="IN50" s="69" t="str">
        <f t="shared" si="226"/>
        <v/>
      </c>
      <c r="IO50" s="69" t="str">
        <f t="shared" si="227"/>
        <v/>
      </c>
      <c r="IP50" s="69" t="str">
        <f t="shared" si="228"/>
        <v/>
      </c>
      <c r="IQ50" s="69" t="str">
        <f t="shared" si="229"/>
        <v/>
      </c>
      <c r="IR50" s="69" t="str">
        <f t="shared" si="230"/>
        <v/>
      </c>
      <c r="IS50" s="69" t="str">
        <f t="shared" si="231"/>
        <v/>
      </c>
      <c r="IT50" s="69" t="str">
        <f t="shared" si="232"/>
        <v/>
      </c>
      <c r="IU50" s="69" t="str">
        <f t="shared" si="233"/>
        <v/>
      </c>
      <c r="IV50" s="69" t="str">
        <f t="shared" si="234"/>
        <v/>
      </c>
    </row>
    <row r="51" spans="1:256" x14ac:dyDescent="0.2">
      <c r="A51" s="57" t="s">
        <v>54</v>
      </c>
      <c r="B51" s="178"/>
      <c r="C51" s="179"/>
      <c r="D51" s="179"/>
      <c r="E51" s="179"/>
      <c r="F51" s="179"/>
      <c r="G51" s="180"/>
      <c r="H51" s="180"/>
      <c r="I51" s="181"/>
      <c r="J51" s="182"/>
      <c r="K51" s="186"/>
      <c r="L51" s="68">
        <f t="shared" si="237"/>
        <v>0</v>
      </c>
      <c r="M51" s="69" t="str">
        <f t="shared" si="238"/>
        <v/>
      </c>
      <c r="N51" s="69" t="str">
        <f t="shared" si="358"/>
        <v/>
      </c>
      <c r="O51" s="69" t="str">
        <f t="shared" si="122"/>
        <v/>
      </c>
      <c r="P51" s="69" t="str">
        <f t="shared" si="359"/>
        <v/>
      </c>
      <c r="Q51" s="70" t="str">
        <f t="shared" si="239"/>
        <v/>
      </c>
      <c r="R51" s="71" t="str">
        <f t="shared" si="124"/>
        <v/>
      </c>
      <c r="S51" s="71" t="str">
        <f t="shared" si="125"/>
        <v/>
      </c>
      <c r="T51" s="70" t="str">
        <f t="shared" si="240"/>
        <v/>
      </c>
      <c r="U51" s="71" t="str">
        <f t="shared" si="126"/>
        <v/>
      </c>
      <c r="V51" s="71" t="str">
        <f t="shared" si="127"/>
        <v/>
      </c>
      <c r="W51" s="70" t="str">
        <f t="shared" si="241"/>
        <v/>
      </c>
      <c r="X51" s="71" t="str">
        <f t="shared" si="128"/>
        <v/>
      </c>
      <c r="Y51" s="71" t="str">
        <f t="shared" si="129"/>
        <v/>
      </c>
      <c r="Z51" s="70" t="str">
        <f t="shared" si="242"/>
        <v/>
      </c>
      <c r="AA51" s="71" t="str">
        <f t="shared" si="130"/>
        <v/>
      </c>
      <c r="AB51" s="71" t="str">
        <f t="shared" si="131"/>
        <v/>
      </c>
      <c r="AC51" s="70" t="str">
        <f t="shared" si="243"/>
        <v/>
      </c>
      <c r="AD51" s="71" t="str">
        <f t="shared" si="132"/>
        <v/>
      </c>
      <c r="AE51" s="71" t="str">
        <f t="shared" si="133"/>
        <v/>
      </c>
      <c r="AF51" s="70" t="str">
        <f t="shared" si="244"/>
        <v/>
      </c>
      <c r="AG51" s="71" t="str">
        <f t="shared" si="134"/>
        <v/>
      </c>
      <c r="AH51" s="71" t="str">
        <f t="shared" si="135"/>
        <v/>
      </c>
      <c r="AI51" s="70" t="str">
        <f t="shared" si="245"/>
        <v/>
      </c>
      <c r="AJ51" s="71" t="str">
        <f t="shared" si="136"/>
        <v/>
      </c>
      <c r="AK51" s="71" t="str">
        <f t="shared" si="137"/>
        <v/>
      </c>
      <c r="AL51" s="70" t="str">
        <f t="shared" si="138"/>
        <v/>
      </c>
      <c r="AM51" s="71" t="str">
        <f t="shared" si="139"/>
        <v/>
      </c>
      <c r="AN51" s="71" t="str">
        <f t="shared" si="140"/>
        <v/>
      </c>
      <c r="AO51" s="70" t="str">
        <f t="shared" si="141"/>
        <v/>
      </c>
      <c r="AP51" s="71" t="str">
        <f t="shared" si="142"/>
        <v/>
      </c>
      <c r="AQ51" s="71" t="str">
        <f t="shared" si="143"/>
        <v/>
      </c>
      <c r="AR51" s="70" t="str">
        <f t="shared" si="144"/>
        <v/>
      </c>
      <c r="AS51" s="71" t="str">
        <f t="shared" si="145"/>
        <v/>
      </c>
      <c r="AT51" s="71" t="str">
        <f t="shared" si="146"/>
        <v/>
      </c>
      <c r="AU51" s="69" t="str">
        <f t="shared" si="147"/>
        <v/>
      </c>
      <c r="AV51" s="131" t="str">
        <f t="shared" si="148"/>
        <v/>
      </c>
      <c r="AW51" s="69" t="str">
        <f t="shared" si="236"/>
        <v/>
      </c>
      <c r="AX51" s="132" t="str">
        <f t="shared" si="150"/>
        <v/>
      </c>
      <c r="AY51" s="132" t="str">
        <f t="shared" si="151"/>
        <v/>
      </c>
      <c r="AZ51" s="69" t="str">
        <f t="shared" si="246"/>
        <v/>
      </c>
      <c r="BA51" s="69" t="str">
        <f t="shared" si="247"/>
        <v/>
      </c>
      <c r="BB51" s="69" t="str">
        <f t="shared" si="152"/>
        <v/>
      </c>
      <c r="BC51" s="69" t="str">
        <f t="shared" si="248"/>
        <v/>
      </c>
      <c r="BD51" s="69" t="str">
        <f t="shared" si="249"/>
        <v/>
      </c>
      <c r="BE51" s="69" t="str">
        <f t="shared" si="153"/>
        <v/>
      </c>
      <c r="BF51" s="69" t="str">
        <f t="shared" si="250"/>
        <v/>
      </c>
      <c r="BG51" s="69" t="str">
        <f t="shared" si="251"/>
        <v/>
      </c>
      <c r="BH51" s="69" t="str">
        <f t="shared" si="154"/>
        <v/>
      </c>
      <c r="BI51" s="69" t="str">
        <f t="shared" si="252"/>
        <v/>
      </c>
      <c r="BJ51" s="69" t="str">
        <f t="shared" si="253"/>
        <v/>
      </c>
      <c r="BK51" s="69" t="str">
        <f t="shared" si="155"/>
        <v/>
      </c>
      <c r="BL51" s="69" t="str">
        <f t="shared" si="254"/>
        <v/>
      </c>
      <c r="BM51" s="69" t="str">
        <f t="shared" si="255"/>
        <v/>
      </c>
      <c r="BN51" s="69" t="str">
        <f t="shared" si="156"/>
        <v/>
      </c>
      <c r="BO51" s="69" t="str">
        <f t="shared" si="256"/>
        <v/>
      </c>
      <c r="BP51" s="69" t="str">
        <f t="shared" si="257"/>
        <v/>
      </c>
      <c r="BQ51" s="69" t="str">
        <f t="shared" si="157"/>
        <v/>
      </c>
      <c r="BR51" s="69" t="str">
        <f t="shared" si="258"/>
        <v/>
      </c>
      <c r="BS51" s="69" t="str">
        <f t="shared" si="259"/>
        <v/>
      </c>
      <c r="BT51" s="69" t="str">
        <f t="shared" si="158"/>
        <v/>
      </c>
      <c r="BU51" s="69" t="str">
        <f t="shared" si="260"/>
        <v/>
      </c>
      <c r="BV51" s="69" t="str">
        <f t="shared" si="261"/>
        <v/>
      </c>
      <c r="BW51" s="69" t="str">
        <f t="shared" si="159"/>
        <v/>
      </c>
      <c r="BX51" s="69" t="str">
        <f t="shared" si="262"/>
        <v/>
      </c>
      <c r="BY51" s="69" t="str">
        <f t="shared" si="263"/>
        <v/>
      </c>
      <c r="BZ51" s="69" t="str">
        <f t="shared" si="160"/>
        <v/>
      </c>
      <c r="CA51" s="69" t="str">
        <f t="shared" si="264"/>
        <v/>
      </c>
      <c r="CB51" s="69" t="str">
        <f t="shared" si="265"/>
        <v/>
      </c>
      <c r="CC51" s="69" t="str">
        <f t="shared" si="161"/>
        <v/>
      </c>
      <c r="CE51" s="69" t="str">
        <f t="shared" si="266"/>
        <v/>
      </c>
      <c r="CF51" s="69" t="str">
        <f t="shared" si="267"/>
        <v/>
      </c>
      <c r="CG51" s="69" t="str">
        <f t="shared" si="162"/>
        <v/>
      </c>
      <c r="CH51" s="69" t="str">
        <f t="shared" si="268"/>
        <v/>
      </c>
      <c r="CI51" s="69" t="str">
        <f t="shared" si="269"/>
        <v/>
      </c>
      <c r="CJ51" s="69" t="str">
        <f t="shared" si="163"/>
        <v/>
      </c>
      <c r="CK51" s="69" t="str">
        <f t="shared" si="270"/>
        <v/>
      </c>
      <c r="CL51" s="69" t="str">
        <f t="shared" si="271"/>
        <v/>
      </c>
      <c r="CM51" s="69" t="str">
        <f t="shared" si="164"/>
        <v/>
      </c>
      <c r="CN51" s="69" t="str">
        <f t="shared" si="272"/>
        <v/>
      </c>
      <c r="CO51" s="69" t="str">
        <f t="shared" si="273"/>
        <v/>
      </c>
      <c r="CP51" s="69" t="str">
        <f t="shared" si="165"/>
        <v/>
      </c>
      <c r="CQ51" s="69" t="str">
        <f t="shared" si="274"/>
        <v/>
      </c>
      <c r="CR51" s="69" t="str">
        <f t="shared" si="275"/>
        <v/>
      </c>
      <c r="CS51" s="69" t="str">
        <f t="shared" si="166"/>
        <v/>
      </c>
      <c r="CT51" s="69" t="str">
        <f t="shared" si="276"/>
        <v/>
      </c>
      <c r="CU51" s="69" t="str">
        <f t="shared" si="277"/>
        <v/>
      </c>
      <c r="CV51" s="69" t="str">
        <f t="shared" si="167"/>
        <v/>
      </c>
      <c r="CW51" s="69" t="str">
        <f t="shared" si="278"/>
        <v/>
      </c>
      <c r="CX51" s="69" t="str">
        <f t="shared" si="279"/>
        <v/>
      </c>
      <c r="CY51" s="69" t="str">
        <f t="shared" si="168"/>
        <v/>
      </c>
      <c r="CZ51" s="69" t="str">
        <f t="shared" si="280"/>
        <v/>
      </c>
      <c r="DA51" s="69" t="str">
        <f t="shared" si="281"/>
        <v/>
      </c>
      <c r="DB51" s="69" t="str">
        <f t="shared" si="169"/>
        <v/>
      </c>
      <c r="DC51" s="69" t="str">
        <f t="shared" si="282"/>
        <v/>
      </c>
      <c r="DD51" s="69" t="str">
        <f t="shared" si="283"/>
        <v/>
      </c>
      <c r="DE51" s="69" t="str">
        <f t="shared" si="170"/>
        <v/>
      </c>
      <c r="DG51" s="69" t="str">
        <f t="shared" si="284"/>
        <v/>
      </c>
      <c r="DH51" s="69" t="str">
        <f t="shared" si="285"/>
        <v/>
      </c>
      <c r="DI51" s="69" t="str">
        <f t="shared" si="171"/>
        <v/>
      </c>
      <c r="DJ51" s="69" t="str">
        <f t="shared" si="286"/>
        <v/>
      </c>
      <c r="DK51" s="69" t="str">
        <f t="shared" si="287"/>
        <v/>
      </c>
      <c r="DL51" s="69" t="str">
        <f t="shared" si="172"/>
        <v/>
      </c>
      <c r="DM51" s="69" t="str">
        <f t="shared" si="288"/>
        <v/>
      </c>
      <c r="DN51" s="69" t="str">
        <f t="shared" si="289"/>
        <v/>
      </c>
      <c r="DO51" s="69" t="str">
        <f t="shared" si="173"/>
        <v/>
      </c>
      <c r="DP51" s="69" t="str">
        <f t="shared" si="290"/>
        <v/>
      </c>
      <c r="DQ51" s="69" t="str">
        <f t="shared" si="291"/>
        <v/>
      </c>
      <c r="DR51" s="69" t="str">
        <f t="shared" si="174"/>
        <v/>
      </c>
      <c r="DS51" s="69" t="str">
        <f t="shared" si="292"/>
        <v/>
      </c>
      <c r="DT51" s="69" t="str">
        <f t="shared" si="293"/>
        <v/>
      </c>
      <c r="DU51" s="69" t="str">
        <f t="shared" si="175"/>
        <v/>
      </c>
      <c r="DV51" s="69" t="str">
        <f t="shared" si="294"/>
        <v/>
      </c>
      <c r="DW51" s="69" t="str">
        <f t="shared" si="295"/>
        <v/>
      </c>
      <c r="DX51" s="69" t="str">
        <f t="shared" si="176"/>
        <v/>
      </c>
      <c r="DY51" s="69" t="str">
        <f t="shared" si="296"/>
        <v/>
      </c>
      <c r="DZ51" s="69" t="str">
        <f t="shared" si="297"/>
        <v/>
      </c>
      <c r="EA51" s="69" t="str">
        <f t="shared" si="177"/>
        <v/>
      </c>
      <c r="EB51" s="69" t="str">
        <f t="shared" si="298"/>
        <v/>
      </c>
      <c r="EC51" s="69" t="str">
        <f t="shared" si="299"/>
        <v/>
      </c>
      <c r="ED51" s="69" t="str">
        <f t="shared" si="178"/>
        <v/>
      </c>
      <c r="EF51" s="69" t="str">
        <f t="shared" si="300"/>
        <v/>
      </c>
      <c r="EG51" s="69" t="str">
        <f t="shared" si="301"/>
        <v/>
      </c>
      <c r="EH51" s="69" t="str">
        <f t="shared" si="179"/>
        <v/>
      </c>
      <c r="EI51" s="69" t="str">
        <f t="shared" si="302"/>
        <v/>
      </c>
      <c r="EJ51" s="69" t="str">
        <f t="shared" si="303"/>
        <v/>
      </c>
      <c r="EK51" s="69" t="str">
        <f t="shared" si="180"/>
        <v/>
      </c>
      <c r="EL51" s="69" t="str">
        <f t="shared" si="304"/>
        <v/>
      </c>
      <c r="EM51" s="69" t="str">
        <f t="shared" si="305"/>
        <v/>
      </c>
      <c r="EN51" s="69" t="str">
        <f t="shared" si="181"/>
        <v/>
      </c>
      <c r="EO51" s="69" t="str">
        <f t="shared" si="306"/>
        <v/>
      </c>
      <c r="EP51" s="69" t="str">
        <f t="shared" si="307"/>
        <v/>
      </c>
      <c r="EQ51" s="69" t="str">
        <f t="shared" si="182"/>
        <v/>
      </c>
      <c r="ER51" s="69" t="str">
        <f t="shared" si="308"/>
        <v/>
      </c>
      <c r="ES51" s="69" t="str">
        <f t="shared" si="309"/>
        <v/>
      </c>
      <c r="ET51" s="69" t="str">
        <f t="shared" si="183"/>
        <v/>
      </c>
      <c r="EU51" s="69" t="str">
        <f t="shared" si="310"/>
        <v/>
      </c>
      <c r="EV51" s="69" t="str">
        <f t="shared" si="311"/>
        <v/>
      </c>
      <c r="EW51" s="69" t="str">
        <f t="shared" si="184"/>
        <v/>
      </c>
      <c r="EX51" s="69" t="str">
        <f t="shared" si="312"/>
        <v/>
      </c>
      <c r="EY51" s="69" t="str">
        <f t="shared" si="313"/>
        <v/>
      </c>
      <c r="EZ51" s="69" t="str">
        <f t="shared" si="185"/>
        <v/>
      </c>
      <c r="FB51" s="69" t="str">
        <f t="shared" si="314"/>
        <v/>
      </c>
      <c r="FC51" s="69" t="str">
        <f t="shared" si="315"/>
        <v/>
      </c>
      <c r="FD51" s="69" t="str">
        <f t="shared" si="186"/>
        <v/>
      </c>
      <c r="FE51" s="69" t="str">
        <f t="shared" si="316"/>
        <v/>
      </c>
      <c r="FF51" s="69" t="str">
        <f t="shared" si="317"/>
        <v/>
      </c>
      <c r="FG51" s="69" t="str">
        <f t="shared" si="187"/>
        <v/>
      </c>
      <c r="FH51" s="69" t="str">
        <f t="shared" si="318"/>
        <v/>
      </c>
      <c r="FI51" s="69" t="str">
        <f t="shared" si="319"/>
        <v/>
      </c>
      <c r="FJ51" s="69" t="str">
        <f t="shared" si="188"/>
        <v/>
      </c>
      <c r="FK51" s="69" t="str">
        <f t="shared" si="320"/>
        <v/>
      </c>
      <c r="FL51" s="69" t="str">
        <f t="shared" si="321"/>
        <v/>
      </c>
      <c r="FM51" s="69" t="str">
        <f t="shared" si="189"/>
        <v/>
      </c>
      <c r="FN51" s="69" t="str">
        <f t="shared" si="322"/>
        <v/>
      </c>
      <c r="FO51" s="69" t="str">
        <f t="shared" si="323"/>
        <v/>
      </c>
      <c r="FP51" s="69" t="str">
        <f t="shared" si="190"/>
        <v/>
      </c>
      <c r="FQ51" s="69" t="str">
        <f t="shared" si="324"/>
        <v/>
      </c>
      <c r="FR51" s="69" t="str">
        <f t="shared" si="325"/>
        <v/>
      </c>
      <c r="FS51" s="69" t="str">
        <f t="shared" si="191"/>
        <v/>
      </c>
      <c r="FU51" s="69" t="str">
        <f t="shared" si="326"/>
        <v/>
      </c>
      <c r="FV51" s="69" t="str">
        <f t="shared" si="327"/>
        <v/>
      </c>
      <c r="FW51" s="69" t="str">
        <f t="shared" si="192"/>
        <v/>
      </c>
      <c r="FX51" s="69" t="str">
        <f t="shared" si="328"/>
        <v/>
      </c>
      <c r="FY51" s="69" t="str">
        <f t="shared" si="329"/>
        <v/>
      </c>
      <c r="FZ51" s="69" t="str">
        <f t="shared" si="193"/>
        <v/>
      </c>
      <c r="GA51" s="69" t="str">
        <f t="shared" si="330"/>
        <v/>
      </c>
      <c r="GB51" s="69" t="str">
        <f t="shared" si="331"/>
        <v/>
      </c>
      <c r="GC51" s="69" t="str">
        <f t="shared" si="194"/>
        <v/>
      </c>
      <c r="GD51" s="69" t="str">
        <f t="shared" si="332"/>
        <v/>
      </c>
      <c r="GE51" s="69" t="str">
        <f t="shared" si="333"/>
        <v/>
      </c>
      <c r="GF51" s="69" t="str">
        <f t="shared" si="195"/>
        <v/>
      </c>
      <c r="GG51" s="69" t="str">
        <f t="shared" si="334"/>
        <v/>
      </c>
      <c r="GH51" s="69" t="str">
        <f t="shared" si="335"/>
        <v/>
      </c>
      <c r="GI51" s="69" t="str">
        <f t="shared" si="196"/>
        <v/>
      </c>
      <c r="GK51" s="69" t="str">
        <f t="shared" si="336"/>
        <v/>
      </c>
      <c r="GL51" s="69" t="str">
        <f t="shared" si="337"/>
        <v/>
      </c>
      <c r="GM51" s="69" t="str">
        <f t="shared" si="197"/>
        <v/>
      </c>
      <c r="GN51" s="69" t="str">
        <f t="shared" si="338"/>
        <v/>
      </c>
      <c r="GO51" s="69" t="str">
        <f t="shared" si="339"/>
        <v/>
      </c>
      <c r="GP51" s="69" t="str">
        <f t="shared" si="198"/>
        <v/>
      </c>
      <c r="GQ51" s="69" t="str">
        <f t="shared" si="340"/>
        <v/>
      </c>
      <c r="GR51" s="69" t="str">
        <f t="shared" si="341"/>
        <v/>
      </c>
      <c r="GS51" s="69" t="str">
        <f t="shared" si="199"/>
        <v/>
      </c>
      <c r="GT51" s="69" t="str">
        <f t="shared" si="342"/>
        <v/>
      </c>
      <c r="GU51" s="69" t="str">
        <f t="shared" si="343"/>
        <v/>
      </c>
      <c r="GV51" s="69" t="str">
        <f t="shared" si="200"/>
        <v/>
      </c>
      <c r="GX51" s="69" t="str">
        <f t="shared" si="201"/>
        <v/>
      </c>
      <c r="GY51" s="69" t="str">
        <f t="shared" si="202"/>
        <v/>
      </c>
      <c r="GZ51" s="69" t="str">
        <f t="shared" si="203"/>
        <v/>
      </c>
      <c r="HA51" s="69" t="str">
        <f t="shared" si="204"/>
        <v/>
      </c>
      <c r="HB51" s="69" t="str">
        <f t="shared" si="205"/>
        <v/>
      </c>
      <c r="HC51" s="69" t="str">
        <f t="shared" si="206"/>
        <v/>
      </c>
      <c r="HD51" s="69" t="str">
        <f t="shared" si="207"/>
        <v/>
      </c>
      <c r="HE51" s="69" t="str">
        <f t="shared" si="208"/>
        <v/>
      </c>
      <c r="HF51" s="69" t="str">
        <f t="shared" si="209"/>
        <v/>
      </c>
      <c r="HH51" s="69" t="str">
        <f t="shared" si="210"/>
        <v/>
      </c>
      <c r="HI51" s="69" t="str">
        <f t="shared" si="211"/>
        <v/>
      </c>
      <c r="HJ51" s="69" t="str">
        <f t="shared" si="212"/>
        <v/>
      </c>
      <c r="HK51" s="69" t="str">
        <f t="shared" si="213"/>
        <v/>
      </c>
      <c r="HL51" s="69" t="str">
        <f t="shared" si="214"/>
        <v/>
      </c>
      <c r="HM51" s="69" t="str">
        <f t="shared" si="215"/>
        <v/>
      </c>
      <c r="HO51" s="69" t="str">
        <f t="shared" si="216"/>
        <v/>
      </c>
      <c r="HP51" s="69" t="str">
        <f t="shared" si="217"/>
        <v/>
      </c>
      <c r="HQ51" s="69" t="str">
        <f t="shared" si="218"/>
        <v/>
      </c>
      <c r="HS51" s="69" t="str">
        <f t="shared" si="344"/>
        <v/>
      </c>
      <c r="HT51" s="69" t="str">
        <f t="shared" si="345"/>
        <v/>
      </c>
      <c r="HU51" s="69" t="str">
        <f t="shared" si="219"/>
        <v/>
      </c>
      <c r="HV51" s="69" t="str">
        <f t="shared" si="346"/>
        <v/>
      </c>
      <c r="HW51" s="69" t="str">
        <f t="shared" si="347"/>
        <v/>
      </c>
      <c r="HX51" s="69" t="str">
        <f t="shared" si="220"/>
        <v/>
      </c>
      <c r="HY51" s="69" t="str">
        <f t="shared" si="348"/>
        <v/>
      </c>
      <c r="HZ51" s="69" t="str">
        <f t="shared" si="349"/>
        <v/>
      </c>
      <c r="IA51" s="69" t="str">
        <f t="shared" si="221"/>
        <v/>
      </c>
      <c r="IB51" s="69" t="str">
        <f t="shared" si="350"/>
        <v/>
      </c>
      <c r="IC51" s="69" t="str">
        <f t="shared" si="351"/>
        <v/>
      </c>
      <c r="ID51" s="69" t="str">
        <f t="shared" si="222"/>
        <v/>
      </c>
      <c r="IE51" s="69" t="str">
        <f t="shared" si="352"/>
        <v/>
      </c>
      <c r="IF51" s="69" t="str">
        <f t="shared" si="353"/>
        <v/>
      </c>
      <c r="IG51" s="69" t="str">
        <f t="shared" si="223"/>
        <v/>
      </c>
      <c r="IH51" s="69" t="str">
        <f t="shared" si="354"/>
        <v/>
      </c>
      <c r="II51" s="69" t="str">
        <f t="shared" si="355"/>
        <v/>
      </c>
      <c r="IJ51" s="69" t="str">
        <f t="shared" si="224"/>
        <v/>
      </c>
      <c r="IK51" s="69" t="str">
        <f t="shared" si="356"/>
        <v/>
      </c>
      <c r="IL51" s="69" t="str">
        <f t="shared" si="357"/>
        <v/>
      </c>
      <c r="IM51" s="69" t="str">
        <f t="shared" si="225"/>
        <v/>
      </c>
      <c r="IN51" s="69" t="str">
        <f t="shared" si="226"/>
        <v/>
      </c>
      <c r="IO51" s="69" t="str">
        <f t="shared" si="227"/>
        <v/>
      </c>
      <c r="IP51" s="69" t="str">
        <f t="shared" si="228"/>
        <v/>
      </c>
      <c r="IQ51" s="69" t="str">
        <f t="shared" si="229"/>
        <v/>
      </c>
      <c r="IR51" s="69" t="str">
        <f t="shared" si="230"/>
        <v/>
      </c>
      <c r="IS51" s="69" t="str">
        <f t="shared" si="231"/>
        <v/>
      </c>
      <c r="IT51" s="69" t="str">
        <f t="shared" si="232"/>
        <v/>
      </c>
      <c r="IU51" s="69" t="str">
        <f t="shared" si="233"/>
        <v/>
      </c>
      <c r="IV51" s="69" t="str">
        <f t="shared" si="234"/>
        <v/>
      </c>
    </row>
    <row r="52" spans="1:256" x14ac:dyDescent="0.2">
      <c r="A52" s="57" t="s">
        <v>55</v>
      </c>
      <c r="B52" s="178"/>
      <c r="C52" s="179"/>
      <c r="D52" s="179"/>
      <c r="E52" s="179"/>
      <c r="F52" s="179"/>
      <c r="G52" s="180"/>
      <c r="H52" s="180"/>
      <c r="I52" s="181"/>
      <c r="J52" s="182"/>
      <c r="K52" s="186"/>
      <c r="L52" s="68">
        <f t="shared" si="237"/>
        <v>0</v>
      </c>
      <c r="M52" s="69" t="str">
        <f t="shared" si="238"/>
        <v/>
      </c>
      <c r="N52" s="69" t="str">
        <f t="shared" si="358"/>
        <v/>
      </c>
      <c r="O52" s="69" t="str">
        <f t="shared" si="122"/>
        <v/>
      </c>
      <c r="P52" s="69" t="str">
        <f t="shared" si="359"/>
        <v/>
      </c>
      <c r="Q52" s="70" t="str">
        <f t="shared" si="239"/>
        <v/>
      </c>
      <c r="R52" s="71" t="str">
        <f t="shared" si="124"/>
        <v/>
      </c>
      <c r="S52" s="71" t="str">
        <f t="shared" si="125"/>
        <v/>
      </c>
      <c r="T52" s="70" t="str">
        <f t="shared" si="240"/>
        <v/>
      </c>
      <c r="U52" s="71" t="str">
        <f t="shared" si="126"/>
        <v/>
      </c>
      <c r="V52" s="71" t="str">
        <f t="shared" si="127"/>
        <v/>
      </c>
      <c r="W52" s="70" t="str">
        <f t="shared" si="241"/>
        <v/>
      </c>
      <c r="X52" s="71" t="str">
        <f t="shared" si="128"/>
        <v/>
      </c>
      <c r="Y52" s="71" t="str">
        <f t="shared" si="129"/>
        <v/>
      </c>
      <c r="Z52" s="70" t="str">
        <f t="shared" si="242"/>
        <v/>
      </c>
      <c r="AA52" s="71" t="str">
        <f t="shared" si="130"/>
        <v/>
      </c>
      <c r="AB52" s="71" t="str">
        <f t="shared" si="131"/>
        <v/>
      </c>
      <c r="AC52" s="70" t="str">
        <f t="shared" si="243"/>
        <v/>
      </c>
      <c r="AD52" s="71" t="str">
        <f t="shared" si="132"/>
        <v/>
      </c>
      <c r="AE52" s="71" t="str">
        <f t="shared" si="133"/>
        <v/>
      </c>
      <c r="AF52" s="70" t="str">
        <f t="shared" si="244"/>
        <v/>
      </c>
      <c r="AG52" s="71" t="str">
        <f t="shared" si="134"/>
        <v/>
      </c>
      <c r="AH52" s="71" t="str">
        <f t="shared" si="135"/>
        <v/>
      </c>
      <c r="AI52" s="70" t="str">
        <f t="shared" si="245"/>
        <v/>
      </c>
      <c r="AJ52" s="71" t="str">
        <f t="shared" si="136"/>
        <v/>
      </c>
      <c r="AK52" s="71" t="str">
        <f t="shared" si="137"/>
        <v/>
      </c>
      <c r="AL52" s="70" t="str">
        <f t="shared" si="138"/>
        <v/>
      </c>
      <c r="AM52" s="71" t="str">
        <f t="shared" si="139"/>
        <v/>
      </c>
      <c r="AN52" s="71" t="str">
        <f t="shared" si="140"/>
        <v/>
      </c>
      <c r="AO52" s="70" t="str">
        <f t="shared" si="141"/>
        <v/>
      </c>
      <c r="AP52" s="71" t="str">
        <f t="shared" si="142"/>
        <v/>
      </c>
      <c r="AQ52" s="71" t="str">
        <f t="shared" si="143"/>
        <v/>
      </c>
      <c r="AR52" s="70" t="str">
        <f t="shared" si="144"/>
        <v/>
      </c>
      <c r="AS52" s="71" t="str">
        <f t="shared" si="145"/>
        <v/>
      </c>
      <c r="AT52" s="71" t="str">
        <f t="shared" si="146"/>
        <v/>
      </c>
      <c r="AU52" s="69" t="str">
        <f t="shared" si="147"/>
        <v/>
      </c>
      <c r="AV52" s="131" t="str">
        <f t="shared" si="148"/>
        <v/>
      </c>
      <c r="AW52" s="69" t="str">
        <f t="shared" si="236"/>
        <v/>
      </c>
      <c r="AX52" s="132" t="str">
        <f t="shared" si="150"/>
        <v/>
      </c>
      <c r="AY52" s="132" t="str">
        <f t="shared" si="151"/>
        <v/>
      </c>
      <c r="AZ52" s="69" t="str">
        <f t="shared" si="246"/>
        <v/>
      </c>
      <c r="BA52" s="69" t="str">
        <f t="shared" si="247"/>
        <v/>
      </c>
      <c r="BB52" s="69" t="str">
        <f t="shared" si="152"/>
        <v/>
      </c>
      <c r="BC52" s="69" t="str">
        <f t="shared" si="248"/>
        <v/>
      </c>
      <c r="BD52" s="69" t="str">
        <f t="shared" si="249"/>
        <v/>
      </c>
      <c r="BE52" s="69" t="str">
        <f t="shared" si="153"/>
        <v/>
      </c>
      <c r="BF52" s="69" t="str">
        <f t="shared" si="250"/>
        <v/>
      </c>
      <c r="BG52" s="69" t="str">
        <f t="shared" si="251"/>
        <v/>
      </c>
      <c r="BH52" s="69" t="str">
        <f t="shared" si="154"/>
        <v/>
      </c>
      <c r="BI52" s="69" t="str">
        <f t="shared" si="252"/>
        <v/>
      </c>
      <c r="BJ52" s="69" t="str">
        <f t="shared" si="253"/>
        <v/>
      </c>
      <c r="BK52" s="69" t="str">
        <f t="shared" si="155"/>
        <v/>
      </c>
      <c r="BL52" s="69" t="str">
        <f t="shared" si="254"/>
        <v/>
      </c>
      <c r="BM52" s="69" t="str">
        <f t="shared" si="255"/>
        <v/>
      </c>
      <c r="BN52" s="69" t="str">
        <f t="shared" si="156"/>
        <v/>
      </c>
      <c r="BO52" s="69" t="str">
        <f t="shared" si="256"/>
        <v/>
      </c>
      <c r="BP52" s="69" t="str">
        <f t="shared" si="257"/>
        <v/>
      </c>
      <c r="BQ52" s="69" t="str">
        <f t="shared" si="157"/>
        <v/>
      </c>
      <c r="BR52" s="69" t="str">
        <f t="shared" si="258"/>
        <v/>
      </c>
      <c r="BS52" s="69" t="str">
        <f t="shared" si="259"/>
        <v/>
      </c>
      <c r="BT52" s="69" t="str">
        <f t="shared" si="158"/>
        <v/>
      </c>
      <c r="BU52" s="69" t="str">
        <f t="shared" si="260"/>
        <v/>
      </c>
      <c r="BV52" s="69" t="str">
        <f t="shared" si="261"/>
        <v/>
      </c>
      <c r="BW52" s="69" t="str">
        <f t="shared" si="159"/>
        <v/>
      </c>
      <c r="BX52" s="69" t="str">
        <f t="shared" si="262"/>
        <v/>
      </c>
      <c r="BY52" s="69" t="str">
        <f t="shared" si="263"/>
        <v/>
      </c>
      <c r="BZ52" s="69" t="str">
        <f t="shared" si="160"/>
        <v/>
      </c>
      <c r="CA52" s="69" t="str">
        <f t="shared" si="264"/>
        <v/>
      </c>
      <c r="CB52" s="69" t="str">
        <f t="shared" si="265"/>
        <v/>
      </c>
      <c r="CC52" s="69" t="str">
        <f t="shared" si="161"/>
        <v/>
      </c>
      <c r="CE52" s="69" t="str">
        <f t="shared" si="266"/>
        <v/>
      </c>
      <c r="CF52" s="69" t="str">
        <f t="shared" si="267"/>
        <v/>
      </c>
      <c r="CG52" s="69" t="str">
        <f t="shared" si="162"/>
        <v/>
      </c>
      <c r="CH52" s="69" t="str">
        <f t="shared" si="268"/>
        <v/>
      </c>
      <c r="CI52" s="69" t="str">
        <f t="shared" si="269"/>
        <v/>
      </c>
      <c r="CJ52" s="69" t="str">
        <f t="shared" si="163"/>
        <v/>
      </c>
      <c r="CK52" s="69" t="str">
        <f t="shared" si="270"/>
        <v/>
      </c>
      <c r="CL52" s="69" t="str">
        <f t="shared" si="271"/>
        <v/>
      </c>
      <c r="CM52" s="69" t="str">
        <f t="shared" si="164"/>
        <v/>
      </c>
      <c r="CN52" s="69" t="str">
        <f t="shared" si="272"/>
        <v/>
      </c>
      <c r="CO52" s="69" t="str">
        <f t="shared" si="273"/>
        <v/>
      </c>
      <c r="CP52" s="69" t="str">
        <f t="shared" si="165"/>
        <v/>
      </c>
      <c r="CQ52" s="69" t="str">
        <f t="shared" si="274"/>
        <v/>
      </c>
      <c r="CR52" s="69" t="str">
        <f t="shared" si="275"/>
        <v/>
      </c>
      <c r="CS52" s="69" t="str">
        <f t="shared" si="166"/>
        <v/>
      </c>
      <c r="CT52" s="69" t="str">
        <f t="shared" si="276"/>
        <v/>
      </c>
      <c r="CU52" s="69" t="str">
        <f t="shared" si="277"/>
        <v/>
      </c>
      <c r="CV52" s="69" t="str">
        <f t="shared" si="167"/>
        <v/>
      </c>
      <c r="CW52" s="69" t="str">
        <f t="shared" si="278"/>
        <v/>
      </c>
      <c r="CX52" s="69" t="str">
        <f t="shared" si="279"/>
        <v/>
      </c>
      <c r="CY52" s="69" t="str">
        <f t="shared" si="168"/>
        <v/>
      </c>
      <c r="CZ52" s="69" t="str">
        <f t="shared" si="280"/>
        <v/>
      </c>
      <c r="DA52" s="69" t="str">
        <f t="shared" si="281"/>
        <v/>
      </c>
      <c r="DB52" s="69" t="str">
        <f t="shared" si="169"/>
        <v/>
      </c>
      <c r="DC52" s="69" t="str">
        <f t="shared" si="282"/>
        <v/>
      </c>
      <c r="DD52" s="69" t="str">
        <f t="shared" si="283"/>
        <v/>
      </c>
      <c r="DE52" s="69" t="str">
        <f t="shared" si="170"/>
        <v/>
      </c>
      <c r="DG52" s="69" t="str">
        <f t="shared" si="284"/>
        <v/>
      </c>
      <c r="DH52" s="69" t="str">
        <f t="shared" si="285"/>
        <v/>
      </c>
      <c r="DI52" s="69" t="str">
        <f t="shared" si="171"/>
        <v/>
      </c>
      <c r="DJ52" s="69" t="str">
        <f t="shared" si="286"/>
        <v/>
      </c>
      <c r="DK52" s="69" t="str">
        <f t="shared" si="287"/>
        <v/>
      </c>
      <c r="DL52" s="69" t="str">
        <f t="shared" si="172"/>
        <v/>
      </c>
      <c r="DM52" s="69" t="str">
        <f t="shared" si="288"/>
        <v/>
      </c>
      <c r="DN52" s="69" t="str">
        <f t="shared" si="289"/>
        <v/>
      </c>
      <c r="DO52" s="69" t="str">
        <f t="shared" si="173"/>
        <v/>
      </c>
      <c r="DP52" s="69" t="str">
        <f t="shared" si="290"/>
        <v/>
      </c>
      <c r="DQ52" s="69" t="str">
        <f t="shared" si="291"/>
        <v/>
      </c>
      <c r="DR52" s="69" t="str">
        <f t="shared" si="174"/>
        <v/>
      </c>
      <c r="DS52" s="69" t="str">
        <f t="shared" si="292"/>
        <v/>
      </c>
      <c r="DT52" s="69" t="str">
        <f t="shared" si="293"/>
        <v/>
      </c>
      <c r="DU52" s="69" t="str">
        <f t="shared" si="175"/>
        <v/>
      </c>
      <c r="DV52" s="69" t="str">
        <f t="shared" si="294"/>
        <v/>
      </c>
      <c r="DW52" s="69" t="str">
        <f t="shared" si="295"/>
        <v/>
      </c>
      <c r="DX52" s="69" t="str">
        <f t="shared" si="176"/>
        <v/>
      </c>
      <c r="DY52" s="69" t="str">
        <f t="shared" si="296"/>
        <v/>
      </c>
      <c r="DZ52" s="69" t="str">
        <f t="shared" si="297"/>
        <v/>
      </c>
      <c r="EA52" s="69" t="str">
        <f t="shared" si="177"/>
        <v/>
      </c>
      <c r="EB52" s="69" t="str">
        <f t="shared" si="298"/>
        <v/>
      </c>
      <c r="EC52" s="69" t="str">
        <f t="shared" si="299"/>
        <v/>
      </c>
      <c r="ED52" s="69" t="str">
        <f t="shared" si="178"/>
        <v/>
      </c>
      <c r="EF52" s="69" t="str">
        <f t="shared" si="300"/>
        <v/>
      </c>
      <c r="EG52" s="69" t="str">
        <f t="shared" si="301"/>
        <v/>
      </c>
      <c r="EH52" s="69" t="str">
        <f t="shared" si="179"/>
        <v/>
      </c>
      <c r="EI52" s="69" t="str">
        <f t="shared" si="302"/>
        <v/>
      </c>
      <c r="EJ52" s="69" t="str">
        <f t="shared" si="303"/>
        <v/>
      </c>
      <c r="EK52" s="69" t="str">
        <f t="shared" si="180"/>
        <v/>
      </c>
      <c r="EL52" s="69" t="str">
        <f t="shared" si="304"/>
        <v/>
      </c>
      <c r="EM52" s="69" t="str">
        <f t="shared" si="305"/>
        <v/>
      </c>
      <c r="EN52" s="69" t="str">
        <f t="shared" si="181"/>
        <v/>
      </c>
      <c r="EO52" s="69" t="str">
        <f t="shared" si="306"/>
        <v/>
      </c>
      <c r="EP52" s="69" t="str">
        <f t="shared" si="307"/>
        <v/>
      </c>
      <c r="EQ52" s="69" t="str">
        <f t="shared" si="182"/>
        <v/>
      </c>
      <c r="ER52" s="69" t="str">
        <f t="shared" si="308"/>
        <v/>
      </c>
      <c r="ES52" s="69" t="str">
        <f t="shared" si="309"/>
        <v/>
      </c>
      <c r="ET52" s="69" t="str">
        <f t="shared" si="183"/>
        <v/>
      </c>
      <c r="EU52" s="69" t="str">
        <f t="shared" si="310"/>
        <v/>
      </c>
      <c r="EV52" s="69" t="str">
        <f t="shared" si="311"/>
        <v/>
      </c>
      <c r="EW52" s="69" t="str">
        <f t="shared" si="184"/>
        <v/>
      </c>
      <c r="EX52" s="69" t="str">
        <f t="shared" si="312"/>
        <v/>
      </c>
      <c r="EY52" s="69" t="str">
        <f t="shared" si="313"/>
        <v/>
      </c>
      <c r="EZ52" s="69" t="str">
        <f t="shared" si="185"/>
        <v/>
      </c>
      <c r="FB52" s="69" t="str">
        <f t="shared" si="314"/>
        <v/>
      </c>
      <c r="FC52" s="69" t="str">
        <f t="shared" si="315"/>
        <v/>
      </c>
      <c r="FD52" s="69" t="str">
        <f t="shared" si="186"/>
        <v/>
      </c>
      <c r="FE52" s="69" t="str">
        <f t="shared" si="316"/>
        <v/>
      </c>
      <c r="FF52" s="69" t="str">
        <f t="shared" si="317"/>
        <v/>
      </c>
      <c r="FG52" s="69" t="str">
        <f t="shared" si="187"/>
        <v/>
      </c>
      <c r="FH52" s="69" t="str">
        <f t="shared" si="318"/>
        <v/>
      </c>
      <c r="FI52" s="69" t="str">
        <f t="shared" si="319"/>
        <v/>
      </c>
      <c r="FJ52" s="69" t="str">
        <f t="shared" si="188"/>
        <v/>
      </c>
      <c r="FK52" s="69" t="str">
        <f t="shared" si="320"/>
        <v/>
      </c>
      <c r="FL52" s="69" t="str">
        <f t="shared" si="321"/>
        <v/>
      </c>
      <c r="FM52" s="69" t="str">
        <f t="shared" si="189"/>
        <v/>
      </c>
      <c r="FN52" s="69" t="str">
        <f t="shared" si="322"/>
        <v/>
      </c>
      <c r="FO52" s="69" t="str">
        <f t="shared" si="323"/>
        <v/>
      </c>
      <c r="FP52" s="69" t="str">
        <f t="shared" si="190"/>
        <v/>
      </c>
      <c r="FQ52" s="69" t="str">
        <f t="shared" si="324"/>
        <v/>
      </c>
      <c r="FR52" s="69" t="str">
        <f t="shared" si="325"/>
        <v/>
      </c>
      <c r="FS52" s="69" t="str">
        <f t="shared" si="191"/>
        <v/>
      </c>
      <c r="FU52" s="69" t="str">
        <f t="shared" si="326"/>
        <v/>
      </c>
      <c r="FV52" s="69" t="str">
        <f t="shared" si="327"/>
        <v/>
      </c>
      <c r="FW52" s="69" t="str">
        <f t="shared" si="192"/>
        <v/>
      </c>
      <c r="FX52" s="69" t="str">
        <f t="shared" si="328"/>
        <v/>
      </c>
      <c r="FY52" s="69" t="str">
        <f t="shared" si="329"/>
        <v/>
      </c>
      <c r="FZ52" s="69" t="str">
        <f t="shared" si="193"/>
        <v/>
      </c>
      <c r="GA52" s="69" t="str">
        <f t="shared" si="330"/>
        <v/>
      </c>
      <c r="GB52" s="69" t="str">
        <f t="shared" si="331"/>
        <v/>
      </c>
      <c r="GC52" s="69" t="str">
        <f t="shared" si="194"/>
        <v/>
      </c>
      <c r="GD52" s="69" t="str">
        <f t="shared" si="332"/>
        <v/>
      </c>
      <c r="GE52" s="69" t="str">
        <f t="shared" si="333"/>
        <v/>
      </c>
      <c r="GF52" s="69" t="str">
        <f t="shared" si="195"/>
        <v/>
      </c>
      <c r="GG52" s="69" t="str">
        <f t="shared" si="334"/>
        <v/>
      </c>
      <c r="GH52" s="69" t="str">
        <f t="shared" si="335"/>
        <v/>
      </c>
      <c r="GI52" s="69" t="str">
        <f t="shared" si="196"/>
        <v/>
      </c>
      <c r="GK52" s="69" t="str">
        <f t="shared" si="336"/>
        <v/>
      </c>
      <c r="GL52" s="69" t="str">
        <f t="shared" si="337"/>
        <v/>
      </c>
      <c r="GM52" s="69" t="str">
        <f t="shared" si="197"/>
        <v/>
      </c>
      <c r="GN52" s="69" t="str">
        <f t="shared" si="338"/>
        <v/>
      </c>
      <c r="GO52" s="69" t="str">
        <f t="shared" si="339"/>
        <v/>
      </c>
      <c r="GP52" s="69" t="str">
        <f t="shared" si="198"/>
        <v/>
      </c>
      <c r="GQ52" s="69" t="str">
        <f t="shared" si="340"/>
        <v/>
      </c>
      <c r="GR52" s="69" t="str">
        <f t="shared" si="341"/>
        <v/>
      </c>
      <c r="GS52" s="69" t="str">
        <f t="shared" si="199"/>
        <v/>
      </c>
      <c r="GT52" s="69" t="str">
        <f t="shared" si="342"/>
        <v/>
      </c>
      <c r="GU52" s="69" t="str">
        <f t="shared" si="343"/>
        <v/>
      </c>
      <c r="GV52" s="69" t="str">
        <f t="shared" si="200"/>
        <v/>
      </c>
      <c r="GX52" s="69" t="str">
        <f t="shared" si="201"/>
        <v/>
      </c>
      <c r="GY52" s="69" t="str">
        <f t="shared" si="202"/>
        <v/>
      </c>
      <c r="GZ52" s="69" t="str">
        <f t="shared" si="203"/>
        <v/>
      </c>
      <c r="HA52" s="69" t="str">
        <f t="shared" si="204"/>
        <v/>
      </c>
      <c r="HB52" s="69" t="str">
        <f t="shared" si="205"/>
        <v/>
      </c>
      <c r="HC52" s="69" t="str">
        <f t="shared" si="206"/>
        <v/>
      </c>
      <c r="HD52" s="69" t="str">
        <f t="shared" si="207"/>
        <v/>
      </c>
      <c r="HE52" s="69" t="str">
        <f t="shared" si="208"/>
        <v/>
      </c>
      <c r="HF52" s="69" t="str">
        <f t="shared" si="209"/>
        <v/>
      </c>
      <c r="HH52" s="69" t="str">
        <f t="shared" si="210"/>
        <v/>
      </c>
      <c r="HI52" s="69" t="str">
        <f t="shared" si="211"/>
        <v/>
      </c>
      <c r="HJ52" s="69" t="str">
        <f t="shared" si="212"/>
        <v/>
      </c>
      <c r="HK52" s="69" t="str">
        <f t="shared" si="213"/>
        <v/>
      </c>
      <c r="HL52" s="69" t="str">
        <f t="shared" si="214"/>
        <v/>
      </c>
      <c r="HM52" s="69" t="str">
        <f t="shared" si="215"/>
        <v/>
      </c>
      <c r="HO52" s="69" t="str">
        <f t="shared" si="216"/>
        <v/>
      </c>
      <c r="HP52" s="69" t="str">
        <f t="shared" si="217"/>
        <v/>
      </c>
      <c r="HQ52" s="69" t="str">
        <f t="shared" si="218"/>
        <v/>
      </c>
      <c r="HS52" s="69" t="str">
        <f t="shared" si="344"/>
        <v/>
      </c>
      <c r="HT52" s="69" t="str">
        <f t="shared" si="345"/>
        <v/>
      </c>
      <c r="HU52" s="69" t="str">
        <f t="shared" si="219"/>
        <v/>
      </c>
      <c r="HV52" s="69" t="str">
        <f t="shared" si="346"/>
        <v/>
      </c>
      <c r="HW52" s="69" t="str">
        <f t="shared" si="347"/>
        <v/>
      </c>
      <c r="HX52" s="69" t="str">
        <f t="shared" si="220"/>
        <v/>
      </c>
      <c r="HY52" s="69" t="str">
        <f t="shared" si="348"/>
        <v/>
      </c>
      <c r="HZ52" s="69" t="str">
        <f t="shared" si="349"/>
        <v/>
      </c>
      <c r="IA52" s="69" t="str">
        <f t="shared" si="221"/>
        <v/>
      </c>
      <c r="IB52" s="69" t="str">
        <f t="shared" si="350"/>
        <v/>
      </c>
      <c r="IC52" s="69" t="str">
        <f t="shared" si="351"/>
        <v/>
      </c>
      <c r="ID52" s="69" t="str">
        <f t="shared" si="222"/>
        <v/>
      </c>
      <c r="IE52" s="69" t="str">
        <f t="shared" si="352"/>
        <v/>
      </c>
      <c r="IF52" s="69" t="str">
        <f t="shared" si="353"/>
        <v/>
      </c>
      <c r="IG52" s="69" t="str">
        <f t="shared" si="223"/>
        <v/>
      </c>
      <c r="IH52" s="69" t="str">
        <f t="shared" si="354"/>
        <v/>
      </c>
      <c r="II52" s="69" t="str">
        <f t="shared" si="355"/>
        <v/>
      </c>
      <c r="IJ52" s="69" t="str">
        <f t="shared" si="224"/>
        <v/>
      </c>
      <c r="IK52" s="69" t="str">
        <f t="shared" si="356"/>
        <v/>
      </c>
      <c r="IL52" s="69" t="str">
        <f t="shared" si="357"/>
        <v/>
      </c>
      <c r="IM52" s="69" t="str">
        <f t="shared" si="225"/>
        <v/>
      </c>
      <c r="IN52" s="69" t="str">
        <f t="shared" si="226"/>
        <v/>
      </c>
      <c r="IO52" s="69" t="str">
        <f t="shared" si="227"/>
        <v/>
      </c>
      <c r="IP52" s="69" t="str">
        <f t="shared" si="228"/>
        <v/>
      </c>
      <c r="IQ52" s="69" t="str">
        <f t="shared" si="229"/>
        <v/>
      </c>
      <c r="IR52" s="69" t="str">
        <f t="shared" si="230"/>
        <v/>
      </c>
      <c r="IS52" s="69" t="str">
        <f t="shared" si="231"/>
        <v/>
      </c>
      <c r="IT52" s="69" t="str">
        <f t="shared" si="232"/>
        <v/>
      </c>
      <c r="IU52" s="69" t="str">
        <f t="shared" si="233"/>
        <v/>
      </c>
      <c r="IV52" s="69" t="str">
        <f t="shared" si="234"/>
        <v/>
      </c>
    </row>
    <row r="53" spans="1:256" x14ac:dyDescent="0.2">
      <c r="A53" s="57" t="s">
        <v>56</v>
      </c>
      <c r="B53" s="178"/>
      <c r="C53" s="179"/>
      <c r="D53" s="179"/>
      <c r="E53" s="179"/>
      <c r="F53" s="179"/>
      <c r="G53" s="180"/>
      <c r="H53" s="180"/>
      <c r="I53" s="181"/>
      <c r="J53" s="182"/>
      <c r="K53" s="186"/>
      <c r="L53" s="68">
        <f t="shared" si="237"/>
        <v>0</v>
      </c>
      <c r="M53" s="69" t="str">
        <f t="shared" si="238"/>
        <v/>
      </c>
      <c r="N53" s="69" t="str">
        <f t="shared" si="358"/>
        <v/>
      </c>
      <c r="O53" s="69" t="str">
        <f t="shared" si="122"/>
        <v/>
      </c>
      <c r="P53" s="69" t="str">
        <f t="shared" si="359"/>
        <v/>
      </c>
      <c r="Q53" s="70" t="str">
        <f t="shared" si="239"/>
        <v/>
      </c>
      <c r="R53" s="71" t="str">
        <f t="shared" si="124"/>
        <v/>
      </c>
      <c r="S53" s="71" t="str">
        <f t="shared" si="125"/>
        <v/>
      </c>
      <c r="T53" s="70" t="str">
        <f t="shared" si="240"/>
        <v/>
      </c>
      <c r="U53" s="71" t="str">
        <f t="shared" si="126"/>
        <v/>
      </c>
      <c r="V53" s="71" t="str">
        <f t="shared" si="127"/>
        <v/>
      </c>
      <c r="W53" s="70" t="str">
        <f t="shared" si="241"/>
        <v/>
      </c>
      <c r="X53" s="71" t="str">
        <f t="shared" si="128"/>
        <v/>
      </c>
      <c r="Y53" s="71" t="str">
        <f t="shared" si="129"/>
        <v/>
      </c>
      <c r="Z53" s="70" t="str">
        <f t="shared" si="242"/>
        <v/>
      </c>
      <c r="AA53" s="71" t="str">
        <f t="shared" si="130"/>
        <v/>
      </c>
      <c r="AB53" s="71" t="str">
        <f t="shared" si="131"/>
        <v/>
      </c>
      <c r="AC53" s="70" t="str">
        <f t="shared" si="243"/>
        <v/>
      </c>
      <c r="AD53" s="71" t="str">
        <f t="shared" si="132"/>
        <v/>
      </c>
      <c r="AE53" s="71" t="str">
        <f t="shared" si="133"/>
        <v/>
      </c>
      <c r="AF53" s="70" t="str">
        <f t="shared" si="244"/>
        <v/>
      </c>
      <c r="AG53" s="71" t="str">
        <f t="shared" si="134"/>
        <v/>
      </c>
      <c r="AH53" s="71" t="str">
        <f t="shared" si="135"/>
        <v/>
      </c>
      <c r="AI53" s="70" t="str">
        <f t="shared" si="245"/>
        <v/>
      </c>
      <c r="AJ53" s="71" t="str">
        <f t="shared" si="136"/>
        <v/>
      </c>
      <c r="AK53" s="71" t="str">
        <f t="shared" si="137"/>
        <v/>
      </c>
      <c r="AL53" s="70" t="str">
        <f t="shared" si="138"/>
        <v/>
      </c>
      <c r="AM53" s="71" t="str">
        <f t="shared" si="139"/>
        <v/>
      </c>
      <c r="AN53" s="71" t="str">
        <f t="shared" si="140"/>
        <v/>
      </c>
      <c r="AO53" s="70" t="str">
        <f t="shared" si="141"/>
        <v/>
      </c>
      <c r="AP53" s="71" t="str">
        <f t="shared" si="142"/>
        <v/>
      </c>
      <c r="AQ53" s="71" t="str">
        <f t="shared" si="143"/>
        <v/>
      </c>
      <c r="AR53" s="70" t="str">
        <f t="shared" si="144"/>
        <v/>
      </c>
      <c r="AS53" s="71" t="str">
        <f t="shared" si="145"/>
        <v/>
      </c>
      <c r="AT53" s="71" t="str">
        <f t="shared" si="146"/>
        <v/>
      </c>
      <c r="AU53" s="69" t="str">
        <f t="shared" si="147"/>
        <v/>
      </c>
      <c r="AV53" s="131" t="str">
        <f t="shared" si="148"/>
        <v/>
      </c>
      <c r="AW53" s="69" t="str">
        <f t="shared" si="236"/>
        <v/>
      </c>
      <c r="AX53" s="132" t="str">
        <f t="shared" si="150"/>
        <v/>
      </c>
      <c r="AY53" s="132" t="str">
        <f t="shared" si="151"/>
        <v/>
      </c>
      <c r="AZ53" s="69" t="str">
        <f t="shared" si="246"/>
        <v/>
      </c>
      <c r="BA53" s="69" t="str">
        <f t="shared" si="247"/>
        <v/>
      </c>
      <c r="BB53" s="69" t="str">
        <f t="shared" si="152"/>
        <v/>
      </c>
      <c r="BC53" s="69" t="str">
        <f t="shared" si="248"/>
        <v/>
      </c>
      <c r="BD53" s="69" t="str">
        <f t="shared" si="249"/>
        <v/>
      </c>
      <c r="BE53" s="69" t="str">
        <f t="shared" si="153"/>
        <v/>
      </c>
      <c r="BF53" s="69" t="str">
        <f t="shared" si="250"/>
        <v/>
      </c>
      <c r="BG53" s="69" t="str">
        <f t="shared" si="251"/>
        <v/>
      </c>
      <c r="BH53" s="69" t="str">
        <f t="shared" si="154"/>
        <v/>
      </c>
      <c r="BI53" s="69" t="str">
        <f t="shared" si="252"/>
        <v/>
      </c>
      <c r="BJ53" s="69" t="str">
        <f t="shared" si="253"/>
        <v/>
      </c>
      <c r="BK53" s="69" t="str">
        <f t="shared" si="155"/>
        <v/>
      </c>
      <c r="BL53" s="69" t="str">
        <f t="shared" si="254"/>
        <v/>
      </c>
      <c r="BM53" s="69" t="str">
        <f t="shared" si="255"/>
        <v/>
      </c>
      <c r="BN53" s="69" t="str">
        <f t="shared" si="156"/>
        <v/>
      </c>
      <c r="BO53" s="69" t="str">
        <f t="shared" si="256"/>
        <v/>
      </c>
      <c r="BP53" s="69" t="str">
        <f t="shared" si="257"/>
        <v/>
      </c>
      <c r="BQ53" s="69" t="str">
        <f t="shared" si="157"/>
        <v/>
      </c>
      <c r="BR53" s="69" t="str">
        <f t="shared" si="258"/>
        <v/>
      </c>
      <c r="BS53" s="69" t="str">
        <f t="shared" si="259"/>
        <v/>
      </c>
      <c r="BT53" s="69" t="str">
        <f t="shared" si="158"/>
        <v/>
      </c>
      <c r="BU53" s="69" t="str">
        <f t="shared" si="260"/>
        <v/>
      </c>
      <c r="BV53" s="69" t="str">
        <f t="shared" si="261"/>
        <v/>
      </c>
      <c r="BW53" s="69" t="str">
        <f t="shared" si="159"/>
        <v/>
      </c>
      <c r="BX53" s="69" t="str">
        <f t="shared" si="262"/>
        <v/>
      </c>
      <c r="BY53" s="69" t="str">
        <f t="shared" si="263"/>
        <v/>
      </c>
      <c r="BZ53" s="69" t="str">
        <f t="shared" si="160"/>
        <v/>
      </c>
      <c r="CA53" s="69" t="str">
        <f t="shared" si="264"/>
        <v/>
      </c>
      <c r="CB53" s="69" t="str">
        <f t="shared" si="265"/>
        <v/>
      </c>
      <c r="CC53" s="69" t="str">
        <f t="shared" si="161"/>
        <v/>
      </c>
      <c r="CE53" s="69" t="str">
        <f t="shared" si="266"/>
        <v/>
      </c>
      <c r="CF53" s="69" t="str">
        <f t="shared" si="267"/>
        <v/>
      </c>
      <c r="CG53" s="69" t="str">
        <f t="shared" si="162"/>
        <v/>
      </c>
      <c r="CH53" s="69" t="str">
        <f t="shared" si="268"/>
        <v/>
      </c>
      <c r="CI53" s="69" t="str">
        <f t="shared" si="269"/>
        <v/>
      </c>
      <c r="CJ53" s="69" t="str">
        <f t="shared" si="163"/>
        <v/>
      </c>
      <c r="CK53" s="69" t="str">
        <f t="shared" si="270"/>
        <v/>
      </c>
      <c r="CL53" s="69" t="str">
        <f t="shared" si="271"/>
        <v/>
      </c>
      <c r="CM53" s="69" t="str">
        <f t="shared" si="164"/>
        <v/>
      </c>
      <c r="CN53" s="69" t="str">
        <f t="shared" si="272"/>
        <v/>
      </c>
      <c r="CO53" s="69" t="str">
        <f t="shared" si="273"/>
        <v/>
      </c>
      <c r="CP53" s="69" t="str">
        <f t="shared" si="165"/>
        <v/>
      </c>
      <c r="CQ53" s="69" t="str">
        <f t="shared" si="274"/>
        <v/>
      </c>
      <c r="CR53" s="69" t="str">
        <f t="shared" si="275"/>
        <v/>
      </c>
      <c r="CS53" s="69" t="str">
        <f t="shared" si="166"/>
        <v/>
      </c>
      <c r="CT53" s="69" t="str">
        <f t="shared" si="276"/>
        <v/>
      </c>
      <c r="CU53" s="69" t="str">
        <f t="shared" si="277"/>
        <v/>
      </c>
      <c r="CV53" s="69" t="str">
        <f t="shared" si="167"/>
        <v/>
      </c>
      <c r="CW53" s="69" t="str">
        <f t="shared" si="278"/>
        <v/>
      </c>
      <c r="CX53" s="69" t="str">
        <f t="shared" si="279"/>
        <v/>
      </c>
      <c r="CY53" s="69" t="str">
        <f t="shared" si="168"/>
        <v/>
      </c>
      <c r="CZ53" s="69" t="str">
        <f t="shared" si="280"/>
        <v/>
      </c>
      <c r="DA53" s="69" t="str">
        <f t="shared" si="281"/>
        <v/>
      </c>
      <c r="DB53" s="69" t="str">
        <f t="shared" si="169"/>
        <v/>
      </c>
      <c r="DC53" s="69" t="str">
        <f t="shared" si="282"/>
        <v/>
      </c>
      <c r="DD53" s="69" t="str">
        <f t="shared" si="283"/>
        <v/>
      </c>
      <c r="DE53" s="69" t="str">
        <f t="shared" si="170"/>
        <v/>
      </c>
      <c r="DG53" s="69" t="str">
        <f t="shared" si="284"/>
        <v/>
      </c>
      <c r="DH53" s="69" t="str">
        <f t="shared" si="285"/>
        <v/>
      </c>
      <c r="DI53" s="69" t="str">
        <f t="shared" si="171"/>
        <v/>
      </c>
      <c r="DJ53" s="69" t="str">
        <f t="shared" si="286"/>
        <v/>
      </c>
      <c r="DK53" s="69" t="str">
        <f t="shared" si="287"/>
        <v/>
      </c>
      <c r="DL53" s="69" t="str">
        <f t="shared" si="172"/>
        <v/>
      </c>
      <c r="DM53" s="69" t="str">
        <f t="shared" si="288"/>
        <v/>
      </c>
      <c r="DN53" s="69" t="str">
        <f t="shared" si="289"/>
        <v/>
      </c>
      <c r="DO53" s="69" t="str">
        <f t="shared" si="173"/>
        <v/>
      </c>
      <c r="DP53" s="69" t="str">
        <f t="shared" si="290"/>
        <v/>
      </c>
      <c r="DQ53" s="69" t="str">
        <f t="shared" si="291"/>
        <v/>
      </c>
      <c r="DR53" s="69" t="str">
        <f t="shared" si="174"/>
        <v/>
      </c>
      <c r="DS53" s="69" t="str">
        <f t="shared" si="292"/>
        <v/>
      </c>
      <c r="DT53" s="69" t="str">
        <f t="shared" si="293"/>
        <v/>
      </c>
      <c r="DU53" s="69" t="str">
        <f t="shared" si="175"/>
        <v/>
      </c>
      <c r="DV53" s="69" t="str">
        <f t="shared" si="294"/>
        <v/>
      </c>
      <c r="DW53" s="69" t="str">
        <f t="shared" si="295"/>
        <v/>
      </c>
      <c r="DX53" s="69" t="str">
        <f t="shared" si="176"/>
        <v/>
      </c>
      <c r="DY53" s="69" t="str">
        <f t="shared" si="296"/>
        <v/>
      </c>
      <c r="DZ53" s="69" t="str">
        <f t="shared" si="297"/>
        <v/>
      </c>
      <c r="EA53" s="69" t="str">
        <f t="shared" si="177"/>
        <v/>
      </c>
      <c r="EB53" s="69" t="str">
        <f t="shared" si="298"/>
        <v/>
      </c>
      <c r="EC53" s="69" t="str">
        <f t="shared" si="299"/>
        <v/>
      </c>
      <c r="ED53" s="69" t="str">
        <f t="shared" si="178"/>
        <v/>
      </c>
      <c r="EF53" s="69" t="str">
        <f t="shared" si="300"/>
        <v/>
      </c>
      <c r="EG53" s="69" t="str">
        <f t="shared" si="301"/>
        <v/>
      </c>
      <c r="EH53" s="69" t="str">
        <f t="shared" si="179"/>
        <v/>
      </c>
      <c r="EI53" s="69" t="str">
        <f t="shared" si="302"/>
        <v/>
      </c>
      <c r="EJ53" s="69" t="str">
        <f t="shared" si="303"/>
        <v/>
      </c>
      <c r="EK53" s="69" t="str">
        <f t="shared" si="180"/>
        <v/>
      </c>
      <c r="EL53" s="69" t="str">
        <f t="shared" si="304"/>
        <v/>
      </c>
      <c r="EM53" s="69" t="str">
        <f t="shared" si="305"/>
        <v/>
      </c>
      <c r="EN53" s="69" t="str">
        <f t="shared" si="181"/>
        <v/>
      </c>
      <c r="EO53" s="69" t="str">
        <f t="shared" si="306"/>
        <v/>
      </c>
      <c r="EP53" s="69" t="str">
        <f t="shared" si="307"/>
        <v/>
      </c>
      <c r="EQ53" s="69" t="str">
        <f t="shared" si="182"/>
        <v/>
      </c>
      <c r="ER53" s="69" t="str">
        <f t="shared" si="308"/>
        <v/>
      </c>
      <c r="ES53" s="69" t="str">
        <f t="shared" si="309"/>
        <v/>
      </c>
      <c r="ET53" s="69" t="str">
        <f t="shared" si="183"/>
        <v/>
      </c>
      <c r="EU53" s="69" t="str">
        <f t="shared" si="310"/>
        <v/>
      </c>
      <c r="EV53" s="69" t="str">
        <f t="shared" si="311"/>
        <v/>
      </c>
      <c r="EW53" s="69" t="str">
        <f t="shared" si="184"/>
        <v/>
      </c>
      <c r="EX53" s="69" t="str">
        <f t="shared" si="312"/>
        <v/>
      </c>
      <c r="EY53" s="69" t="str">
        <f t="shared" si="313"/>
        <v/>
      </c>
      <c r="EZ53" s="69" t="str">
        <f t="shared" si="185"/>
        <v/>
      </c>
      <c r="FB53" s="69" t="str">
        <f t="shared" si="314"/>
        <v/>
      </c>
      <c r="FC53" s="69" t="str">
        <f t="shared" si="315"/>
        <v/>
      </c>
      <c r="FD53" s="69" t="str">
        <f t="shared" si="186"/>
        <v/>
      </c>
      <c r="FE53" s="69" t="str">
        <f t="shared" si="316"/>
        <v/>
      </c>
      <c r="FF53" s="69" t="str">
        <f t="shared" si="317"/>
        <v/>
      </c>
      <c r="FG53" s="69" t="str">
        <f t="shared" si="187"/>
        <v/>
      </c>
      <c r="FH53" s="69" t="str">
        <f t="shared" si="318"/>
        <v/>
      </c>
      <c r="FI53" s="69" t="str">
        <f t="shared" si="319"/>
        <v/>
      </c>
      <c r="FJ53" s="69" t="str">
        <f t="shared" si="188"/>
        <v/>
      </c>
      <c r="FK53" s="69" t="str">
        <f t="shared" si="320"/>
        <v/>
      </c>
      <c r="FL53" s="69" t="str">
        <f t="shared" si="321"/>
        <v/>
      </c>
      <c r="FM53" s="69" t="str">
        <f t="shared" si="189"/>
        <v/>
      </c>
      <c r="FN53" s="69" t="str">
        <f t="shared" si="322"/>
        <v/>
      </c>
      <c r="FO53" s="69" t="str">
        <f t="shared" si="323"/>
        <v/>
      </c>
      <c r="FP53" s="69" t="str">
        <f t="shared" si="190"/>
        <v/>
      </c>
      <c r="FQ53" s="69" t="str">
        <f t="shared" si="324"/>
        <v/>
      </c>
      <c r="FR53" s="69" t="str">
        <f t="shared" si="325"/>
        <v/>
      </c>
      <c r="FS53" s="69" t="str">
        <f t="shared" si="191"/>
        <v/>
      </c>
      <c r="FU53" s="69" t="str">
        <f t="shared" si="326"/>
        <v/>
      </c>
      <c r="FV53" s="69" t="str">
        <f t="shared" si="327"/>
        <v/>
      </c>
      <c r="FW53" s="69" t="str">
        <f t="shared" si="192"/>
        <v/>
      </c>
      <c r="FX53" s="69" t="str">
        <f t="shared" si="328"/>
        <v/>
      </c>
      <c r="FY53" s="69" t="str">
        <f t="shared" si="329"/>
        <v/>
      </c>
      <c r="FZ53" s="69" t="str">
        <f t="shared" si="193"/>
        <v/>
      </c>
      <c r="GA53" s="69" t="str">
        <f t="shared" si="330"/>
        <v/>
      </c>
      <c r="GB53" s="69" t="str">
        <f t="shared" si="331"/>
        <v/>
      </c>
      <c r="GC53" s="69" t="str">
        <f t="shared" si="194"/>
        <v/>
      </c>
      <c r="GD53" s="69" t="str">
        <f t="shared" si="332"/>
        <v/>
      </c>
      <c r="GE53" s="69" t="str">
        <f t="shared" si="333"/>
        <v/>
      </c>
      <c r="GF53" s="69" t="str">
        <f t="shared" si="195"/>
        <v/>
      </c>
      <c r="GG53" s="69" t="str">
        <f t="shared" si="334"/>
        <v/>
      </c>
      <c r="GH53" s="69" t="str">
        <f t="shared" si="335"/>
        <v/>
      </c>
      <c r="GI53" s="69" t="str">
        <f t="shared" si="196"/>
        <v/>
      </c>
      <c r="GK53" s="69" t="str">
        <f t="shared" si="336"/>
        <v/>
      </c>
      <c r="GL53" s="69" t="str">
        <f t="shared" si="337"/>
        <v/>
      </c>
      <c r="GM53" s="69" t="str">
        <f t="shared" si="197"/>
        <v/>
      </c>
      <c r="GN53" s="69" t="str">
        <f t="shared" si="338"/>
        <v/>
      </c>
      <c r="GO53" s="69" t="str">
        <f t="shared" si="339"/>
        <v/>
      </c>
      <c r="GP53" s="69" t="str">
        <f t="shared" si="198"/>
        <v/>
      </c>
      <c r="GQ53" s="69" t="str">
        <f t="shared" si="340"/>
        <v/>
      </c>
      <c r="GR53" s="69" t="str">
        <f t="shared" si="341"/>
        <v/>
      </c>
      <c r="GS53" s="69" t="str">
        <f t="shared" si="199"/>
        <v/>
      </c>
      <c r="GT53" s="69" t="str">
        <f t="shared" si="342"/>
        <v/>
      </c>
      <c r="GU53" s="69" t="str">
        <f t="shared" si="343"/>
        <v/>
      </c>
      <c r="GV53" s="69" t="str">
        <f t="shared" si="200"/>
        <v/>
      </c>
      <c r="GX53" s="69" t="str">
        <f t="shared" si="201"/>
        <v/>
      </c>
      <c r="GY53" s="69" t="str">
        <f t="shared" si="202"/>
        <v/>
      </c>
      <c r="GZ53" s="69" t="str">
        <f t="shared" si="203"/>
        <v/>
      </c>
      <c r="HA53" s="69" t="str">
        <f t="shared" si="204"/>
        <v/>
      </c>
      <c r="HB53" s="69" t="str">
        <f t="shared" si="205"/>
        <v/>
      </c>
      <c r="HC53" s="69" t="str">
        <f t="shared" si="206"/>
        <v/>
      </c>
      <c r="HD53" s="69" t="str">
        <f t="shared" si="207"/>
        <v/>
      </c>
      <c r="HE53" s="69" t="str">
        <f t="shared" si="208"/>
        <v/>
      </c>
      <c r="HF53" s="69" t="str">
        <f t="shared" si="209"/>
        <v/>
      </c>
      <c r="HH53" s="69" t="str">
        <f t="shared" si="210"/>
        <v/>
      </c>
      <c r="HI53" s="69" t="str">
        <f t="shared" si="211"/>
        <v/>
      </c>
      <c r="HJ53" s="69" t="str">
        <f t="shared" si="212"/>
        <v/>
      </c>
      <c r="HK53" s="69" t="str">
        <f t="shared" si="213"/>
        <v/>
      </c>
      <c r="HL53" s="69" t="str">
        <f t="shared" si="214"/>
        <v/>
      </c>
      <c r="HM53" s="69" t="str">
        <f t="shared" si="215"/>
        <v/>
      </c>
      <c r="HO53" s="69" t="str">
        <f t="shared" si="216"/>
        <v/>
      </c>
      <c r="HP53" s="69" t="str">
        <f t="shared" si="217"/>
        <v/>
      </c>
      <c r="HQ53" s="69" t="str">
        <f t="shared" si="218"/>
        <v/>
      </c>
      <c r="HS53" s="69" t="str">
        <f t="shared" si="344"/>
        <v/>
      </c>
      <c r="HT53" s="69" t="str">
        <f t="shared" si="345"/>
        <v/>
      </c>
      <c r="HU53" s="69" t="str">
        <f t="shared" si="219"/>
        <v/>
      </c>
      <c r="HV53" s="69" t="str">
        <f t="shared" si="346"/>
        <v/>
      </c>
      <c r="HW53" s="69" t="str">
        <f t="shared" si="347"/>
        <v/>
      </c>
      <c r="HX53" s="69" t="str">
        <f t="shared" si="220"/>
        <v/>
      </c>
      <c r="HY53" s="69" t="str">
        <f t="shared" si="348"/>
        <v/>
      </c>
      <c r="HZ53" s="69" t="str">
        <f t="shared" si="349"/>
        <v/>
      </c>
      <c r="IA53" s="69" t="str">
        <f t="shared" si="221"/>
        <v/>
      </c>
      <c r="IB53" s="69" t="str">
        <f t="shared" si="350"/>
        <v/>
      </c>
      <c r="IC53" s="69" t="str">
        <f t="shared" si="351"/>
        <v/>
      </c>
      <c r="ID53" s="69" t="str">
        <f t="shared" si="222"/>
        <v/>
      </c>
      <c r="IE53" s="69" t="str">
        <f t="shared" si="352"/>
        <v/>
      </c>
      <c r="IF53" s="69" t="str">
        <f t="shared" si="353"/>
        <v/>
      </c>
      <c r="IG53" s="69" t="str">
        <f t="shared" si="223"/>
        <v/>
      </c>
      <c r="IH53" s="69" t="str">
        <f t="shared" si="354"/>
        <v/>
      </c>
      <c r="II53" s="69" t="str">
        <f t="shared" si="355"/>
        <v/>
      </c>
      <c r="IJ53" s="69" t="str">
        <f t="shared" si="224"/>
        <v/>
      </c>
      <c r="IK53" s="69" t="str">
        <f t="shared" si="356"/>
        <v/>
      </c>
      <c r="IL53" s="69" t="str">
        <f t="shared" si="357"/>
        <v/>
      </c>
      <c r="IM53" s="69" t="str">
        <f t="shared" si="225"/>
        <v/>
      </c>
      <c r="IN53" s="69" t="str">
        <f t="shared" si="226"/>
        <v/>
      </c>
      <c r="IO53" s="69" t="str">
        <f t="shared" si="227"/>
        <v/>
      </c>
      <c r="IP53" s="69" t="str">
        <f t="shared" si="228"/>
        <v/>
      </c>
      <c r="IQ53" s="69" t="str">
        <f t="shared" si="229"/>
        <v/>
      </c>
      <c r="IR53" s="69" t="str">
        <f t="shared" si="230"/>
        <v/>
      </c>
      <c r="IS53" s="69" t="str">
        <f t="shared" si="231"/>
        <v/>
      </c>
      <c r="IT53" s="69" t="str">
        <f t="shared" si="232"/>
        <v/>
      </c>
      <c r="IU53" s="69" t="str">
        <f t="shared" si="233"/>
        <v/>
      </c>
      <c r="IV53" s="69" t="str">
        <f t="shared" si="234"/>
        <v/>
      </c>
    </row>
    <row r="54" spans="1:256" ht="13.15" customHeight="1" x14ac:dyDescent="0.2">
      <c r="A54" s="57" t="s">
        <v>57</v>
      </c>
      <c r="B54" s="178"/>
      <c r="C54" s="179"/>
      <c r="D54" s="179"/>
      <c r="E54" s="179"/>
      <c r="F54" s="179"/>
      <c r="G54" s="180"/>
      <c r="H54" s="180"/>
      <c r="I54" s="181"/>
      <c r="J54" s="182"/>
      <c r="K54" s="186"/>
      <c r="L54" s="68">
        <f t="shared" si="237"/>
        <v>0</v>
      </c>
      <c r="M54" s="69" t="str">
        <f t="shared" si="238"/>
        <v/>
      </c>
      <c r="N54" s="69" t="str">
        <f t="shared" si="358"/>
        <v/>
      </c>
      <c r="O54" s="69" t="str">
        <f t="shared" si="122"/>
        <v/>
      </c>
      <c r="P54" s="69" t="str">
        <f t="shared" si="359"/>
        <v/>
      </c>
      <c r="Q54" s="70" t="str">
        <f t="shared" si="239"/>
        <v/>
      </c>
      <c r="R54" s="71" t="str">
        <f t="shared" si="124"/>
        <v/>
      </c>
      <c r="S54" s="71" t="str">
        <f t="shared" si="125"/>
        <v/>
      </c>
      <c r="T54" s="70" t="str">
        <f t="shared" si="240"/>
        <v/>
      </c>
      <c r="U54" s="71" t="str">
        <f t="shared" si="126"/>
        <v/>
      </c>
      <c r="V54" s="71" t="str">
        <f t="shared" si="127"/>
        <v/>
      </c>
      <c r="W54" s="70" t="str">
        <f t="shared" si="241"/>
        <v/>
      </c>
      <c r="X54" s="71" t="str">
        <f t="shared" si="128"/>
        <v/>
      </c>
      <c r="Y54" s="71" t="str">
        <f t="shared" si="129"/>
        <v/>
      </c>
      <c r="Z54" s="70" t="str">
        <f t="shared" si="242"/>
        <v/>
      </c>
      <c r="AA54" s="71" t="str">
        <f t="shared" si="130"/>
        <v/>
      </c>
      <c r="AB54" s="71" t="str">
        <f t="shared" si="131"/>
        <v/>
      </c>
      <c r="AC54" s="70" t="str">
        <f t="shared" si="243"/>
        <v/>
      </c>
      <c r="AD54" s="71" t="str">
        <f t="shared" si="132"/>
        <v/>
      </c>
      <c r="AE54" s="71" t="str">
        <f t="shared" si="133"/>
        <v/>
      </c>
      <c r="AF54" s="70" t="str">
        <f t="shared" si="244"/>
        <v/>
      </c>
      <c r="AG54" s="71" t="str">
        <f t="shared" si="134"/>
        <v/>
      </c>
      <c r="AH54" s="71" t="str">
        <f t="shared" si="135"/>
        <v/>
      </c>
      <c r="AI54" s="70" t="str">
        <f t="shared" si="245"/>
        <v/>
      </c>
      <c r="AJ54" s="71" t="str">
        <f t="shared" si="136"/>
        <v/>
      </c>
      <c r="AK54" s="71" t="str">
        <f t="shared" si="137"/>
        <v/>
      </c>
      <c r="AL54" s="70" t="str">
        <f t="shared" si="138"/>
        <v/>
      </c>
      <c r="AM54" s="71" t="str">
        <f t="shared" si="139"/>
        <v/>
      </c>
      <c r="AN54" s="71" t="str">
        <f t="shared" si="140"/>
        <v/>
      </c>
      <c r="AO54" s="70" t="str">
        <f t="shared" si="141"/>
        <v/>
      </c>
      <c r="AP54" s="71" t="str">
        <f t="shared" si="142"/>
        <v/>
      </c>
      <c r="AQ54" s="71" t="str">
        <f t="shared" si="143"/>
        <v/>
      </c>
      <c r="AR54" s="70" t="str">
        <f t="shared" si="144"/>
        <v/>
      </c>
      <c r="AS54" s="71" t="str">
        <f t="shared" si="145"/>
        <v/>
      </c>
      <c r="AT54" s="71" t="str">
        <f t="shared" si="146"/>
        <v/>
      </c>
      <c r="AU54" s="69" t="str">
        <f t="shared" si="147"/>
        <v/>
      </c>
      <c r="AV54" s="131" t="str">
        <f t="shared" si="148"/>
        <v/>
      </c>
      <c r="AW54" s="69" t="str">
        <f t="shared" si="236"/>
        <v/>
      </c>
      <c r="AX54" s="132" t="str">
        <f t="shared" si="150"/>
        <v/>
      </c>
      <c r="AY54" s="132" t="str">
        <f t="shared" si="151"/>
        <v/>
      </c>
      <c r="AZ54" s="69" t="str">
        <f t="shared" si="246"/>
        <v/>
      </c>
      <c r="BA54" s="69" t="str">
        <f t="shared" si="247"/>
        <v/>
      </c>
      <c r="BB54" s="69" t="str">
        <f t="shared" si="152"/>
        <v/>
      </c>
      <c r="BC54" s="69" t="str">
        <f t="shared" si="248"/>
        <v/>
      </c>
      <c r="BD54" s="69" t="str">
        <f t="shared" si="249"/>
        <v/>
      </c>
      <c r="BE54" s="69" t="str">
        <f t="shared" si="153"/>
        <v/>
      </c>
      <c r="BF54" s="69" t="str">
        <f t="shared" si="250"/>
        <v/>
      </c>
      <c r="BG54" s="69" t="str">
        <f t="shared" si="251"/>
        <v/>
      </c>
      <c r="BH54" s="69" t="str">
        <f t="shared" si="154"/>
        <v/>
      </c>
      <c r="BI54" s="69" t="str">
        <f t="shared" si="252"/>
        <v/>
      </c>
      <c r="BJ54" s="69" t="str">
        <f t="shared" si="253"/>
        <v/>
      </c>
      <c r="BK54" s="69" t="str">
        <f t="shared" si="155"/>
        <v/>
      </c>
      <c r="BL54" s="69" t="str">
        <f t="shared" si="254"/>
        <v/>
      </c>
      <c r="BM54" s="69" t="str">
        <f t="shared" si="255"/>
        <v/>
      </c>
      <c r="BN54" s="69" t="str">
        <f t="shared" si="156"/>
        <v/>
      </c>
      <c r="BO54" s="69" t="str">
        <f t="shared" si="256"/>
        <v/>
      </c>
      <c r="BP54" s="69" t="str">
        <f t="shared" si="257"/>
        <v/>
      </c>
      <c r="BQ54" s="69" t="str">
        <f t="shared" si="157"/>
        <v/>
      </c>
      <c r="BR54" s="69" t="str">
        <f t="shared" si="258"/>
        <v/>
      </c>
      <c r="BS54" s="69" t="str">
        <f t="shared" si="259"/>
        <v/>
      </c>
      <c r="BT54" s="69" t="str">
        <f t="shared" si="158"/>
        <v/>
      </c>
      <c r="BU54" s="69" t="str">
        <f t="shared" si="260"/>
        <v/>
      </c>
      <c r="BV54" s="69" t="str">
        <f t="shared" si="261"/>
        <v/>
      </c>
      <c r="BW54" s="69" t="str">
        <f t="shared" si="159"/>
        <v/>
      </c>
      <c r="BX54" s="69" t="str">
        <f t="shared" si="262"/>
        <v/>
      </c>
      <c r="BY54" s="69" t="str">
        <f t="shared" si="263"/>
        <v/>
      </c>
      <c r="BZ54" s="69" t="str">
        <f t="shared" si="160"/>
        <v/>
      </c>
      <c r="CA54" s="69" t="str">
        <f t="shared" si="264"/>
        <v/>
      </c>
      <c r="CB54" s="69" t="str">
        <f t="shared" si="265"/>
        <v/>
      </c>
      <c r="CC54" s="69" t="str">
        <f t="shared" si="161"/>
        <v/>
      </c>
      <c r="CE54" s="69" t="str">
        <f t="shared" si="266"/>
        <v/>
      </c>
      <c r="CF54" s="69" t="str">
        <f t="shared" si="267"/>
        <v/>
      </c>
      <c r="CG54" s="69" t="str">
        <f t="shared" si="162"/>
        <v/>
      </c>
      <c r="CH54" s="69" t="str">
        <f t="shared" si="268"/>
        <v/>
      </c>
      <c r="CI54" s="69" t="str">
        <f t="shared" si="269"/>
        <v/>
      </c>
      <c r="CJ54" s="69" t="str">
        <f t="shared" si="163"/>
        <v/>
      </c>
      <c r="CK54" s="69" t="str">
        <f t="shared" si="270"/>
        <v/>
      </c>
      <c r="CL54" s="69" t="str">
        <f t="shared" si="271"/>
        <v/>
      </c>
      <c r="CM54" s="69" t="str">
        <f t="shared" si="164"/>
        <v/>
      </c>
      <c r="CN54" s="69" t="str">
        <f t="shared" si="272"/>
        <v/>
      </c>
      <c r="CO54" s="69" t="str">
        <f t="shared" si="273"/>
        <v/>
      </c>
      <c r="CP54" s="69" t="str">
        <f t="shared" si="165"/>
        <v/>
      </c>
      <c r="CQ54" s="69" t="str">
        <f t="shared" si="274"/>
        <v/>
      </c>
      <c r="CR54" s="69" t="str">
        <f t="shared" si="275"/>
        <v/>
      </c>
      <c r="CS54" s="69" t="str">
        <f t="shared" si="166"/>
        <v/>
      </c>
      <c r="CT54" s="69" t="str">
        <f t="shared" si="276"/>
        <v/>
      </c>
      <c r="CU54" s="69" t="str">
        <f t="shared" si="277"/>
        <v/>
      </c>
      <c r="CV54" s="69" t="str">
        <f t="shared" si="167"/>
        <v/>
      </c>
      <c r="CW54" s="69" t="str">
        <f t="shared" si="278"/>
        <v/>
      </c>
      <c r="CX54" s="69" t="str">
        <f t="shared" si="279"/>
        <v/>
      </c>
      <c r="CY54" s="69" t="str">
        <f t="shared" si="168"/>
        <v/>
      </c>
      <c r="CZ54" s="69" t="str">
        <f t="shared" si="280"/>
        <v/>
      </c>
      <c r="DA54" s="69" t="str">
        <f t="shared" si="281"/>
        <v/>
      </c>
      <c r="DB54" s="69" t="str">
        <f t="shared" si="169"/>
        <v/>
      </c>
      <c r="DC54" s="69" t="str">
        <f t="shared" si="282"/>
        <v/>
      </c>
      <c r="DD54" s="69" t="str">
        <f t="shared" si="283"/>
        <v/>
      </c>
      <c r="DE54" s="69" t="str">
        <f t="shared" si="170"/>
        <v/>
      </c>
      <c r="DG54" s="69" t="str">
        <f t="shared" si="284"/>
        <v/>
      </c>
      <c r="DH54" s="69" t="str">
        <f t="shared" si="285"/>
        <v/>
      </c>
      <c r="DI54" s="69" t="str">
        <f t="shared" si="171"/>
        <v/>
      </c>
      <c r="DJ54" s="69" t="str">
        <f t="shared" si="286"/>
        <v/>
      </c>
      <c r="DK54" s="69" t="str">
        <f t="shared" si="287"/>
        <v/>
      </c>
      <c r="DL54" s="69" t="str">
        <f t="shared" si="172"/>
        <v/>
      </c>
      <c r="DM54" s="69" t="str">
        <f t="shared" si="288"/>
        <v/>
      </c>
      <c r="DN54" s="69" t="str">
        <f t="shared" si="289"/>
        <v/>
      </c>
      <c r="DO54" s="69" t="str">
        <f t="shared" si="173"/>
        <v/>
      </c>
      <c r="DP54" s="69" t="str">
        <f t="shared" si="290"/>
        <v/>
      </c>
      <c r="DQ54" s="69" t="str">
        <f t="shared" si="291"/>
        <v/>
      </c>
      <c r="DR54" s="69" t="str">
        <f t="shared" si="174"/>
        <v/>
      </c>
      <c r="DS54" s="69" t="str">
        <f t="shared" si="292"/>
        <v/>
      </c>
      <c r="DT54" s="69" t="str">
        <f t="shared" si="293"/>
        <v/>
      </c>
      <c r="DU54" s="69" t="str">
        <f t="shared" si="175"/>
        <v/>
      </c>
      <c r="DV54" s="69" t="str">
        <f t="shared" si="294"/>
        <v/>
      </c>
      <c r="DW54" s="69" t="str">
        <f t="shared" si="295"/>
        <v/>
      </c>
      <c r="DX54" s="69" t="str">
        <f t="shared" si="176"/>
        <v/>
      </c>
      <c r="DY54" s="69" t="str">
        <f t="shared" si="296"/>
        <v/>
      </c>
      <c r="DZ54" s="69" t="str">
        <f t="shared" si="297"/>
        <v/>
      </c>
      <c r="EA54" s="69" t="str">
        <f t="shared" si="177"/>
        <v/>
      </c>
      <c r="EB54" s="69" t="str">
        <f t="shared" si="298"/>
        <v/>
      </c>
      <c r="EC54" s="69" t="str">
        <f t="shared" si="299"/>
        <v/>
      </c>
      <c r="ED54" s="69" t="str">
        <f t="shared" si="178"/>
        <v/>
      </c>
      <c r="EF54" s="69" t="str">
        <f t="shared" si="300"/>
        <v/>
      </c>
      <c r="EG54" s="69" t="str">
        <f t="shared" si="301"/>
        <v/>
      </c>
      <c r="EH54" s="69" t="str">
        <f t="shared" si="179"/>
        <v/>
      </c>
      <c r="EI54" s="69" t="str">
        <f t="shared" si="302"/>
        <v/>
      </c>
      <c r="EJ54" s="69" t="str">
        <f t="shared" si="303"/>
        <v/>
      </c>
      <c r="EK54" s="69" t="str">
        <f t="shared" si="180"/>
        <v/>
      </c>
      <c r="EL54" s="69" t="str">
        <f t="shared" si="304"/>
        <v/>
      </c>
      <c r="EM54" s="69" t="str">
        <f t="shared" si="305"/>
        <v/>
      </c>
      <c r="EN54" s="69" t="str">
        <f t="shared" si="181"/>
        <v/>
      </c>
      <c r="EO54" s="69" t="str">
        <f t="shared" si="306"/>
        <v/>
      </c>
      <c r="EP54" s="69" t="str">
        <f t="shared" si="307"/>
        <v/>
      </c>
      <c r="EQ54" s="69" t="str">
        <f t="shared" si="182"/>
        <v/>
      </c>
      <c r="ER54" s="69" t="str">
        <f t="shared" si="308"/>
        <v/>
      </c>
      <c r="ES54" s="69" t="str">
        <f t="shared" si="309"/>
        <v/>
      </c>
      <c r="ET54" s="69" t="str">
        <f t="shared" si="183"/>
        <v/>
      </c>
      <c r="EU54" s="69" t="str">
        <f t="shared" si="310"/>
        <v/>
      </c>
      <c r="EV54" s="69" t="str">
        <f t="shared" si="311"/>
        <v/>
      </c>
      <c r="EW54" s="69" t="str">
        <f t="shared" si="184"/>
        <v/>
      </c>
      <c r="EX54" s="69" t="str">
        <f t="shared" si="312"/>
        <v/>
      </c>
      <c r="EY54" s="69" t="str">
        <f t="shared" si="313"/>
        <v/>
      </c>
      <c r="EZ54" s="69" t="str">
        <f t="shared" si="185"/>
        <v/>
      </c>
      <c r="FB54" s="69" t="str">
        <f t="shared" si="314"/>
        <v/>
      </c>
      <c r="FC54" s="69" t="str">
        <f t="shared" si="315"/>
        <v/>
      </c>
      <c r="FD54" s="69" t="str">
        <f t="shared" si="186"/>
        <v/>
      </c>
      <c r="FE54" s="69" t="str">
        <f t="shared" si="316"/>
        <v/>
      </c>
      <c r="FF54" s="69" t="str">
        <f t="shared" si="317"/>
        <v/>
      </c>
      <c r="FG54" s="69" t="str">
        <f t="shared" si="187"/>
        <v/>
      </c>
      <c r="FH54" s="69" t="str">
        <f t="shared" si="318"/>
        <v/>
      </c>
      <c r="FI54" s="69" t="str">
        <f t="shared" si="319"/>
        <v/>
      </c>
      <c r="FJ54" s="69" t="str">
        <f t="shared" si="188"/>
        <v/>
      </c>
      <c r="FK54" s="69" t="str">
        <f t="shared" si="320"/>
        <v/>
      </c>
      <c r="FL54" s="69" t="str">
        <f t="shared" si="321"/>
        <v/>
      </c>
      <c r="FM54" s="69" t="str">
        <f t="shared" si="189"/>
        <v/>
      </c>
      <c r="FN54" s="69" t="str">
        <f t="shared" si="322"/>
        <v/>
      </c>
      <c r="FO54" s="69" t="str">
        <f t="shared" si="323"/>
        <v/>
      </c>
      <c r="FP54" s="69" t="str">
        <f t="shared" si="190"/>
        <v/>
      </c>
      <c r="FQ54" s="69" t="str">
        <f t="shared" si="324"/>
        <v/>
      </c>
      <c r="FR54" s="69" t="str">
        <f t="shared" si="325"/>
        <v/>
      </c>
      <c r="FS54" s="69" t="str">
        <f t="shared" si="191"/>
        <v/>
      </c>
      <c r="FU54" s="69" t="str">
        <f t="shared" si="326"/>
        <v/>
      </c>
      <c r="FV54" s="69" t="str">
        <f t="shared" si="327"/>
        <v/>
      </c>
      <c r="FW54" s="69" t="str">
        <f t="shared" si="192"/>
        <v/>
      </c>
      <c r="FX54" s="69" t="str">
        <f t="shared" si="328"/>
        <v/>
      </c>
      <c r="FY54" s="69" t="str">
        <f t="shared" si="329"/>
        <v/>
      </c>
      <c r="FZ54" s="69" t="str">
        <f t="shared" si="193"/>
        <v/>
      </c>
      <c r="GA54" s="69" t="str">
        <f t="shared" si="330"/>
        <v/>
      </c>
      <c r="GB54" s="69" t="str">
        <f t="shared" si="331"/>
        <v/>
      </c>
      <c r="GC54" s="69" t="str">
        <f t="shared" si="194"/>
        <v/>
      </c>
      <c r="GD54" s="69" t="str">
        <f t="shared" si="332"/>
        <v/>
      </c>
      <c r="GE54" s="69" t="str">
        <f t="shared" si="333"/>
        <v/>
      </c>
      <c r="GF54" s="69" t="str">
        <f t="shared" si="195"/>
        <v/>
      </c>
      <c r="GG54" s="69" t="str">
        <f t="shared" si="334"/>
        <v/>
      </c>
      <c r="GH54" s="69" t="str">
        <f t="shared" si="335"/>
        <v/>
      </c>
      <c r="GI54" s="69" t="str">
        <f t="shared" si="196"/>
        <v/>
      </c>
      <c r="GK54" s="69" t="str">
        <f t="shared" si="336"/>
        <v/>
      </c>
      <c r="GL54" s="69" t="str">
        <f t="shared" si="337"/>
        <v/>
      </c>
      <c r="GM54" s="69" t="str">
        <f t="shared" si="197"/>
        <v/>
      </c>
      <c r="GN54" s="69" t="str">
        <f t="shared" si="338"/>
        <v/>
      </c>
      <c r="GO54" s="69" t="str">
        <f t="shared" si="339"/>
        <v/>
      </c>
      <c r="GP54" s="69" t="str">
        <f t="shared" si="198"/>
        <v/>
      </c>
      <c r="GQ54" s="69" t="str">
        <f t="shared" si="340"/>
        <v/>
      </c>
      <c r="GR54" s="69" t="str">
        <f t="shared" si="341"/>
        <v/>
      </c>
      <c r="GS54" s="69" t="str">
        <f t="shared" si="199"/>
        <v/>
      </c>
      <c r="GT54" s="69" t="str">
        <f t="shared" si="342"/>
        <v/>
      </c>
      <c r="GU54" s="69" t="str">
        <f t="shared" si="343"/>
        <v/>
      </c>
      <c r="GV54" s="69" t="str">
        <f t="shared" si="200"/>
        <v/>
      </c>
      <c r="GX54" s="69" t="str">
        <f t="shared" si="201"/>
        <v/>
      </c>
      <c r="GY54" s="69" t="str">
        <f t="shared" si="202"/>
        <v/>
      </c>
      <c r="GZ54" s="69" t="str">
        <f t="shared" si="203"/>
        <v/>
      </c>
      <c r="HA54" s="69" t="str">
        <f t="shared" si="204"/>
        <v/>
      </c>
      <c r="HB54" s="69" t="str">
        <f t="shared" si="205"/>
        <v/>
      </c>
      <c r="HC54" s="69" t="str">
        <f t="shared" si="206"/>
        <v/>
      </c>
      <c r="HD54" s="69" t="str">
        <f t="shared" si="207"/>
        <v/>
      </c>
      <c r="HE54" s="69" t="str">
        <f t="shared" si="208"/>
        <v/>
      </c>
      <c r="HF54" s="69" t="str">
        <f t="shared" si="209"/>
        <v/>
      </c>
      <c r="HH54" s="69" t="str">
        <f t="shared" si="210"/>
        <v/>
      </c>
      <c r="HI54" s="69" t="str">
        <f t="shared" si="211"/>
        <v/>
      </c>
      <c r="HJ54" s="69" t="str">
        <f t="shared" si="212"/>
        <v/>
      </c>
      <c r="HK54" s="69" t="str">
        <f t="shared" si="213"/>
        <v/>
      </c>
      <c r="HL54" s="69" t="str">
        <f t="shared" si="214"/>
        <v/>
      </c>
      <c r="HM54" s="69" t="str">
        <f t="shared" si="215"/>
        <v/>
      </c>
      <c r="HO54" s="69" t="str">
        <f t="shared" si="216"/>
        <v/>
      </c>
      <c r="HP54" s="69" t="str">
        <f t="shared" si="217"/>
        <v/>
      </c>
      <c r="HQ54" s="69" t="str">
        <f t="shared" si="218"/>
        <v/>
      </c>
      <c r="HS54" s="69" t="str">
        <f t="shared" si="344"/>
        <v/>
      </c>
      <c r="HT54" s="69" t="str">
        <f t="shared" si="345"/>
        <v/>
      </c>
      <c r="HU54" s="69" t="str">
        <f t="shared" si="219"/>
        <v/>
      </c>
      <c r="HV54" s="69" t="str">
        <f t="shared" si="346"/>
        <v/>
      </c>
      <c r="HW54" s="69" t="str">
        <f t="shared" si="347"/>
        <v/>
      </c>
      <c r="HX54" s="69" t="str">
        <f t="shared" si="220"/>
        <v/>
      </c>
      <c r="HY54" s="69" t="str">
        <f t="shared" si="348"/>
        <v/>
      </c>
      <c r="HZ54" s="69" t="str">
        <f t="shared" si="349"/>
        <v/>
      </c>
      <c r="IA54" s="69" t="str">
        <f t="shared" si="221"/>
        <v/>
      </c>
      <c r="IB54" s="69" t="str">
        <f t="shared" si="350"/>
        <v/>
      </c>
      <c r="IC54" s="69" t="str">
        <f t="shared" si="351"/>
        <v/>
      </c>
      <c r="ID54" s="69" t="str">
        <f t="shared" si="222"/>
        <v/>
      </c>
      <c r="IE54" s="69" t="str">
        <f t="shared" si="352"/>
        <v/>
      </c>
      <c r="IF54" s="69" t="str">
        <f t="shared" si="353"/>
        <v/>
      </c>
      <c r="IG54" s="69" t="str">
        <f t="shared" si="223"/>
        <v/>
      </c>
      <c r="IH54" s="69" t="str">
        <f t="shared" si="354"/>
        <v/>
      </c>
      <c r="II54" s="69" t="str">
        <f t="shared" si="355"/>
        <v/>
      </c>
      <c r="IJ54" s="69" t="str">
        <f t="shared" si="224"/>
        <v/>
      </c>
      <c r="IK54" s="69" t="str">
        <f t="shared" si="356"/>
        <v/>
      </c>
      <c r="IL54" s="69" t="str">
        <f t="shared" si="357"/>
        <v/>
      </c>
      <c r="IM54" s="69" t="str">
        <f t="shared" si="225"/>
        <v/>
      </c>
      <c r="IN54" s="69" t="str">
        <f t="shared" si="226"/>
        <v/>
      </c>
      <c r="IO54" s="69" t="str">
        <f t="shared" si="227"/>
        <v/>
      </c>
      <c r="IP54" s="69" t="str">
        <f t="shared" si="228"/>
        <v/>
      </c>
      <c r="IQ54" s="69" t="str">
        <f t="shared" si="229"/>
        <v/>
      </c>
      <c r="IR54" s="69" t="str">
        <f t="shared" si="230"/>
        <v/>
      </c>
      <c r="IS54" s="69" t="str">
        <f t="shared" si="231"/>
        <v/>
      </c>
      <c r="IT54" s="69" t="str">
        <f t="shared" si="232"/>
        <v/>
      </c>
      <c r="IU54" s="69" t="str">
        <f t="shared" si="233"/>
        <v/>
      </c>
      <c r="IV54" s="69" t="str">
        <f t="shared" si="234"/>
        <v/>
      </c>
    </row>
    <row r="55" spans="1:256" x14ac:dyDescent="0.2">
      <c r="A55" s="57" t="s">
        <v>58</v>
      </c>
      <c r="B55" s="178"/>
      <c r="C55" s="179"/>
      <c r="D55" s="179"/>
      <c r="E55" s="179"/>
      <c r="F55" s="179"/>
      <c r="G55" s="180"/>
      <c r="H55" s="180"/>
      <c r="I55" s="181"/>
      <c r="J55" s="182"/>
      <c r="K55" s="186"/>
      <c r="L55" s="68">
        <f t="shared" si="237"/>
        <v>0</v>
      </c>
      <c r="M55" s="69" t="str">
        <f t="shared" si="238"/>
        <v/>
      </c>
      <c r="N55" s="69" t="str">
        <f t="shared" si="358"/>
        <v/>
      </c>
      <c r="O55" s="69" t="str">
        <f t="shared" si="122"/>
        <v/>
      </c>
      <c r="P55" s="69" t="str">
        <f t="shared" si="359"/>
        <v/>
      </c>
      <c r="Q55" s="70" t="str">
        <f t="shared" si="239"/>
        <v/>
      </c>
      <c r="R55" s="71" t="str">
        <f t="shared" si="124"/>
        <v/>
      </c>
      <c r="S55" s="71" t="str">
        <f t="shared" si="125"/>
        <v/>
      </c>
      <c r="T55" s="70" t="str">
        <f t="shared" si="240"/>
        <v/>
      </c>
      <c r="U55" s="71" t="str">
        <f t="shared" si="126"/>
        <v/>
      </c>
      <c r="V55" s="71" t="str">
        <f t="shared" si="127"/>
        <v/>
      </c>
      <c r="W55" s="70" t="str">
        <f t="shared" si="241"/>
        <v/>
      </c>
      <c r="X55" s="71" t="str">
        <f t="shared" si="128"/>
        <v/>
      </c>
      <c r="Y55" s="71" t="str">
        <f t="shared" si="129"/>
        <v/>
      </c>
      <c r="Z55" s="70" t="str">
        <f t="shared" si="242"/>
        <v/>
      </c>
      <c r="AA55" s="71" t="str">
        <f t="shared" si="130"/>
        <v/>
      </c>
      <c r="AB55" s="71" t="str">
        <f t="shared" si="131"/>
        <v/>
      </c>
      <c r="AC55" s="70" t="str">
        <f t="shared" si="243"/>
        <v/>
      </c>
      <c r="AD55" s="71" t="str">
        <f t="shared" si="132"/>
        <v/>
      </c>
      <c r="AE55" s="71" t="str">
        <f t="shared" si="133"/>
        <v/>
      </c>
      <c r="AF55" s="70" t="str">
        <f t="shared" si="244"/>
        <v/>
      </c>
      <c r="AG55" s="71" t="str">
        <f t="shared" si="134"/>
        <v/>
      </c>
      <c r="AH55" s="71" t="str">
        <f t="shared" si="135"/>
        <v/>
      </c>
      <c r="AI55" s="70" t="str">
        <f t="shared" si="245"/>
        <v/>
      </c>
      <c r="AJ55" s="71" t="str">
        <f t="shared" si="136"/>
        <v/>
      </c>
      <c r="AK55" s="71" t="str">
        <f t="shared" si="137"/>
        <v/>
      </c>
      <c r="AL55" s="70" t="str">
        <f t="shared" si="138"/>
        <v/>
      </c>
      <c r="AM55" s="71" t="str">
        <f t="shared" si="139"/>
        <v/>
      </c>
      <c r="AN55" s="71" t="str">
        <f t="shared" si="140"/>
        <v/>
      </c>
      <c r="AO55" s="70" t="str">
        <f t="shared" si="141"/>
        <v/>
      </c>
      <c r="AP55" s="71" t="str">
        <f t="shared" si="142"/>
        <v/>
      </c>
      <c r="AQ55" s="71" t="str">
        <f t="shared" si="143"/>
        <v/>
      </c>
      <c r="AR55" s="70" t="str">
        <f t="shared" si="144"/>
        <v/>
      </c>
      <c r="AS55" s="71" t="str">
        <f t="shared" si="145"/>
        <v/>
      </c>
      <c r="AT55" s="71" t="str">
        <f t="shared" si="146"/>
        <v/>
      </c>
      <c r="AU55" s="69" t="str">
        <f t="shared" si="147"/>
        <v/>
      </c>
      <c r="AV55" s="131" t="str">
        <f t="shared" si="148"/>
        <v/>
      </c>
      <c r="AW55" s="69" t="str">
        <f t="shared" si="236"/>
        <v/>
      </c>
      <c r="AX55" s="132" t="str">
        <f t="shared" si="150"/>
        <v/>
      </c>
      <c r="AY55" s="132" t="str">
        <f t="shared" si="151"/>
        <v/>
      </c>
      <c r="AZ55" s="69" t="str">
        <f t="shared" si="246"/>
        <v/>
      </c>
      <c r="BA55" s="69" t="str">
        <f t="shared" si="247"/>
        <v/>
      </c>
      <c r="BB55" s="69" t="str">
        <f t="shared" si="152"/>
        <v/>
      </c>
      <c r="BC55" s="69" t="str">
        <f t="shared" si="248"/>
        <v/>
      </c>
      <c r="BD55" s="69" t="str">
        <f t="shared" si="249"/>
        <v/>
      </c>
      <c r="BE55" s="69" t="str">
        <f t="shared" si="153"/>
        <v/>
      </c>
      <c r="BF55" s="69" t="str">
        <f t="shared" si="250"/>
        <v/>
      </c>
      <c r="BG55" s="69" t="str">
        <f t="shared" si="251"/>
        <v/>
      </c>
      <c r="BH55" s="69" t="str">
        <f t="shared" si="154"/>
        <v/>
      </c>
      <c r="BI55" s="69" t="str">
        <f t="shared" si="252"/>
        <v/>
      </c>
      <c r="BJ55" s="69" t="str">
        <f t="shared" si="253"/>
        <v/>
      </c>
      <c r="BK55" s="69" t="str">
        <f t="shared" si="155"/>
        <v/>
      </c>
      <c r="BL55" s="69" t="str">
        <f t="shared" si="254"/>
        <v/>
      </c>
      <c r="BM55" s="69" t="str">
        <f t="shared" si="255"/>
        <v/>
      </c>
      <c r="BN55" s="69" t="str">
        <f t="shared" si="156"/>
        <v/>
      </c>
      <c r="BO55" s="69" t="str">
        <f t="shared" si="256"/>
        <v/>
      </c>
      <c r="BP55" s="69" t="str">
        <f t="shared" si="257"/>
        <v/>
      </c>
      <c r="BQ55" s="69" t="str">
        <f t="shared" si="157"/>
        <v/>
      </c>
      <c r="BR55" s="69" t="str">
        <f t="shared" si="258"/>
        <v/>
      </c>
      <c r="BS55" s="69" t="str">
        <f t="shared" si="259"/>
        <v/>
      </c>
      <c r="BT55" s="69" t="str">
        <f t="shared" si="158"/>
        <v/>
      </c>
      <c r="BU55" s="69" t="str">
        <f t="shared" si="260"/>
        <v/>
      </c>
      <c r="BV55" s="69" t="str">
        <f t="shared" si="261"/>
        <v/>
      </c>
      <c r="BW55" s="69" t="str">
        <f t="shared" si="159"/>
        <v/>
      </c>
      <c r="BX55" s="69" t="str">
        <f t="shared" si="262"/>
        <v/>
      </c>
      <c r="BY55" s="69" t="str">
        <f t="shared" si="263"/>
        <v/>
      </c>
      <c r="BZ55" s="69" t="str">
        <f t="shared" si="160"/>
        <v/>
      </c>
      <c r="CA55" s="69" t="str">
        <f t="shared" si="264"/>
        <v/>
      </c>
      <c r="CB55" s="69" t="str">
        <f t="shared" si="265"/>
        <v/>
      </c>
      <c r="CC55" s="69" t="str">
        <f t="shared" si="161"/>
        <v/>
      </c>
      <c r="CE55" s="69" t="str">
        <f t="shared" si="266"/>
        <v/>
      </c>
      <c r="CF55" s="69" t="str">
        <f t="shared" si="267"/>
        <v/>
      </c>
      <c r="CG55" s="69" t="str">
        <f t="shared" si="162"/>
        <v/>
      </c>
      <c r="CH55" s="69" t="str">
        <f t="shared" si="268"/>
        <v/>
      </c>
      <c r="CI55" s="69" t="str">
        <f t="shared" si="269"/>
        <v/>
      </c>
      <c r="CJ55" s="69" t="str">
        <f t="shared" si="163"/>
        <v/>
      </c>
      <c r="CK55" s="69" t="str">
        <f t="shared" si="270"/>
        <v/>
      </c>
      <c r="CL55" s="69" t="str">
        <f t="shared" si="271"/>
        <v/>
      </c>
      <c r="CM55" s="69" t="str">
        <f t="shared" si="164"/>
        <v/>
      </c>
      <c r="CN55" s="69" t="str">
        <f t="shared" si="272"/>
        <v/>
      </c>
      <c r="CO55" s="69" t="str">
        <f t="shared" si="273"/>
        <v/>
      </c>
      <c r="CP55" s="69" t="str">
        <f t="shared" si="165"/>
        <v/>
      </c>
      <c r="CQ55" s="69" t="str">
        <f t="shared" si="274"/>
        <v/>
      </c>
      <c r="CR55" s="69" t="str">
        <f t="shared" si="275"/>
        <v/>
      </c>
      <c r="CS55" s="69" t="str">
        <f t="shared" si="166"/>
        <v/>
      </c>
      <c r="CT55" s="69" t="str">
        <f t="shared" si="276"/>
        <v/>
      </c>
      <c r="CU55" s="69" t="str">
        <f t="shared" si="277"/>
        <v/>
      </c>
      <c r="CV55" s="69" t="str">
        <f t="shared" si="167"/>
        <v/>
      </c>
      <c r="CW55" s="69" t="str">
        <f t="shared" si="278"/>
        <v/>
      </c>
      <c r="CX55" s="69" t="str">
        <f t="shared" si="279"/>
        <v/>
      </c>
      <c r="CY55" s="69" t="str">
        <f t="shared" si="168"/>
        <v/>
      </c>
      <c r="CZ55" s="69" t="str">
        <f t="shared" si="280"/>
        <v/>
      </c>
      <c r="DA55" s="69" t="str">
        <f t="shared" si="281"/>
        <v/>
      </c>
      <c r="DB55" s="69" t="str">
        <f t="shared" si="169"/>
        <v/>
      </c>
      <c r="DC55" s="69" t="str">
        <f t="shared" si="282"/>
        <v/>
      </c>
      <c r="DD55" s="69" t="str">
        <f t="shared" si="283"/>
        <v/>
      </c>
      <c r="DE55" s="69" t="str">
        <f t="shared" si="170"/>
        <v/>
      </c>
      <c r="DG55" s="69" t="str">
        <f t="shared" si="284"/>
        <v/>
      </c>
      <c r="DH55" s="69" t="str">
        <f t="shared" si="285"/>
        <v/>
      </c>
      <c r="DI55" s="69" t="str">
        <f t="shared" si="171"/>
        <v/>
      </c>
      <c r="DJ55" s="69" t="str">
        <f t="shared" si="286"/>
        <v/>
      </c>
      <c r="DK55" s="69" t="str">
        <f t="shared" si="287"/>
        <v/>
      </c>
      <c r="DL55" s="69" t="str">
        <f t="shared" si="172"/>
        <v/>
      </c>
      <c r="DM55" s="69" t="str">
        <f t="shared" si="288"/>
        <v/>
      </c>
      <c r="DN55" s="69" t="str">
        <f t="shared" si="289"/>
        <v/>
      </c>
      <c r="DO55" s="69" t="str">
        <f t="shared" si="173"/>
        <v/>
      </c>
      <c r="DP55" s="69" t="str">
        <f t="shared" si="290"/>
        <v/>
      </c>
      <c r="DQ55" s="69" t="str">
        <f t="shared" si="291"/>
        <v/>
      </c>
      <c r="DR55" s="69" t="str">
        <f t="shared" si="174"/>
        <v/>
      </c>
      <c r="DS55" s="69" t="str">
        <f t="shared" si="292"/>
        <v/>
      </c>
      <c r="DT55" s="69" t="str">
        <f t="shared" si="293"/>
        <v/>
      </c>
      <c r="DU55" s="69" t="str">
        <f t="shared" si="175"/>
        <v/>
      </c>
      <c r="DV55" s="69" t="str">
        <f t="shared" si="294"/>
        <v/>
      </c>
      <c r="DW55" s="69" t="str">
        <f t="shared" si="295"/>
        <v/>
      </c>
      <c r="DX55" s="69" t="str">
        <f t="shared" si="176"/>
        <v/>
      </c>
      <c r="DY55" s="69" t="str">
        <f t="shared" si="296"/>
        <v/>
      </c>
      <c r="DZ55" s="69" t="str">
        <f t="shared" si="297"/>
        <v/>
      </c>
      <c r="EA55" s="69" t="str">
        <f t="shared" si="177"/>
        <v/>
      </c>
      <c r="EB55" s="69" t="str">
        <f t="shared" si="298"/>
        <v/>
      </c>
      <c r="EC55" s="69" t="str">
        <f t="shared" si="299"/>
        <v/>
      </c>
      <c r="ED55" s="69" t="str">
        <f t="shared" si="178"/>
        <v/>
      </c>
      <c r="EF55" s="69" t="str">
        <f t="shared" si="300"/>
        <v/>
      </c>
      <c r="EG55" s="69" t="str">
        <f t="shared" si="301"/>
        <v/>
      </c>
      <c r="EH55" s="69" t="str">
        <f t="shared" si="179"/>
        <v/>
      </c>
      <c r="EI55" s="69" t="str">
        <f t="shared" si="302"/>
        <v/>
      </c>
      <c r="EJ55" s="69" t="str">
        <f t="shared" si="303"/>
        <v/>
      </c>
      <c r="EK55" s="69" t="str">
        <f t="shared" si="180"/>
        <v/>
      </c>
      <c r="EL55" s="69" t="str">
        <f t="shared" si="304"/>
        <v/>
      </c>
      <c r="EM55" s="69" t="str">
        <f t="shared" si="305"/>
        <v/>
      </c>
      <c r="EN55" s="69" t="str">
        <f t="shared" si="181"/>
        <v/>
      </c>
      <c r="EO55" s="69" t="str">
        <f t="shared" si="306"/>
        <v/>
      </c>
      <c r="EP55" s="69" t="str">
        <f t="shared" si="307"/>
        <v/>
      </c>
      <c r="EQ55" s="69" t="str">
        <f t="shared" si="182"/>
        <v/>
      </c>
      <c r="ER55" s="69" t="str">
        <f t="shared" si="308"/>
        <v/>
      </c>
      <c r="ES55" s="69" t="str">
        <f t="shared" si="309"/>
        <v/>
      </c>
      <c r="ET55" s="69" t="str">
        <f t="shared" si="183"/>
        <v/>
      </c>
      <c r="EU55" s="69" t="str">
        <f t="shared" si="310"/>
        <v/>
      </c>
      <c r="EV55" s="69" t="str">
        <f t="shared" si="311"/>
        <v/>
      </c>
      <c r="EW55" s="69" t="str">
        <f t="shared" si="184"/>
        <v/>
      </c>
      <c r="EX55" s="69" t="str">
        <f t="shared" si="312"/>
        <v/>
      </c>
      <c r="EY55" s="69" t="str">
        <f t="shared" si="313"/>
        <v/>
      </c>
      <c r="EZ55" s="69" t="str">
        <f t="shared" si="185"/>
        <v/>
      </c>
      <c r="FB55" s="69" t="str">
        <f t="shared" si="314"/>
        <v/>
      </c>
      <c r="FC55" s="69" t="str">
        <f t="shared" si="315"/>
        <v/>
      </c>
      <c r="FD55" s="69" t="str">
        <f t="shared" si="186"/>
        <v/>
      </c>
      <c r="FE55" s="69" t="str">
        <f t="shared" si="316"/>
        <v/>
      </c>
      <c r="FF55" s="69" t="str">
        <f t="shared" si="317"/>
        <v/>
      </c>
      <c r="FG55" s="69" t="str">
        <f t="shared" si="187"/>
        <v/>
      </c>
      <c r="FH55" s="69" t="str">
        <f t="shared" si="318"/>
        <v/>
      </c>
      <c r="FI55" s="69" t="str">
        <f t="shared" si="319"/>
        <v/>
      </c>
      <c r="FJ55" s="69" t="str">
        <f t="shared" si="188"/>
        <v/>
      </c>
      <c r="FK55" s="69" t="str">
        <f t="shared" si="320"/>
        <v/>
      </c>
      <c r="FL55" s="69" t="str">
        <f t="shared" si="321"/>
        <v/>
      </c>
      <c r="FM55" s="69" t="str">
        <f t="shared" si="189"/>
        <v/>
      </c>
      <c r="FN55" s="69" t="str">
        <f t="shared" si="322"/>
        <v/>
      </c>
      <c r="FO55" s="69" t="str">
        <f t="shared" si="323"/>
        <v/>
      </c>
      <c r="FP55" s="69" t="str">
        <f t="shared" si="190"/>
        <v/>
      </c>
      <c r="FQ55" s="69" t="str">
        <f t="shared" si="324"/>
        <v/>
      </c>
      <c r="FR55" s="69" t="str">
        <f t="shared" si="325"/>
        <v/>
      </c>
      <c r="FS55" s="69" t="str">
        <f t="shared" si="191"/>
        <v/>
      </c>
      <c r="FU55" s="69" t="str">
        <f t="shared" si="326"/>
        <v/>
      </c>
      <c r="FV55" s="69" t="str">
        <f t="shared" si="327"/>
        <v/>
      </c>
      <c r="FW55" s="69" t="str">
        <f t="shared" si="192"/>
        <v/>
      </c>
      <c r="FX55" s="69" t="str">
        <f t="shared" si="328"/>
        <v/>
      </c>
      <c r="FY55" s="69" t="str">
        <f t="shared" si="329"/>
        <v/>
      </c>
      <c r="FZ55" s="69" t="str">
        <f t="shared" si="193"/>
        <v/>
      </c>
      <c r="GA55" s="69" t="str">
        <f t="shared" si="330"/>
        <v/>
      </c>
      <c r="GB55" s="69" t="str">
        <f t="shared" si="331"/>
        <v/>
      </c>
      <c r="GC55" s="69" t="str">
        <f t="shared" si="194"/>
        <v/>
      </c>
      <c r="GD55" s="69" t="str">
        <f t="shared" si="332"/>
        <v/>
      </c>
      <c r="GE55" s="69" t="str">
        <f t="shared" si="333"/>
        <v/>
      </c>
      <c r="GF55" s="69" t="str">
        <f t="shared" si="195"/>
        <v/>
      </c>
      <c r="GG55" s="69" t="str">
        <f t="shared" si="334"/>
        <v/>
      </c>
      <c r="GH55" s="69" t="str">
        <f t="shared" si="335"/>
        <v/>
      </c>
      <c r="GI55" s="69" t="str">
        <f t="shared" si="196"/>
        <v/>
      </c>
      <c r="GK55" s="69" t="str">
        <f t="shared" si="336"/>
        <v/>
      </c>
      <c r="GL55" s="69" t="str">
        <f t="shared" si="337"/>
        <v/>
      </c>
      <c r="GM55" s="69" t="str">
        <f t="shared" si="197"/>
        <v/>
      </c>
      <c r="GN55" s="69" t="str">
        <f t="shared" si="338"/>
        <v/>
      </c>
      <c r="GO55" s="69" t="str">
        <f t="shared" si="339"/>
        <v/>
      </c>
      <c r="GP55" s="69" t="str">
        <f t="shared" si="198"/>
        <v/>
      </c>
      <c r="GQ55" s="69" t="str">
        <f t="shared" si="340"/>
        <v/>
      </c>
      <c r="GR55" s="69" t="str">
        <f t="shared" si="341"/>
        <v/>
      </c>
      <c r="GS55" s="69" t="str">
        <f t="shared" si="199"/>
        <v/>
      </c>
      <c r="GT55" s="69" t="str">
        <f t="shared" si="342"/>
        <v/>
      </c>
      <c r="GU55" s="69" t="str">
        <f t="shared" si="343"/>
        <v/>
      </c>
      <c r="GV55" s="69" t="str">
        <f t="shared" si="200"/>
        <v/>
      </c>
      <c r="GX55" s="69" t="str">
        <f t="shared" si="201"/>
        <v/>
      </c>
      <c r="GY55" s="69" t="str">
        <f t="shared" si="202"/>
        <v/>
      </c>
      <c r="GZ55" s="69" t="str">
        <f t="shared" si="203"/>
        <v/>
      </c>
      <c r="HA55" s="69" t="str">
        <f t="shared" si="204"/>
        <v/>
      </c>
      <c r="HB55" s="69" t="str">
        <f t="shared" si="205"/>
        <v/>
      </c>
      <c r="HC55" s="69" t="str">
        <f t="shared" si="206"/>
        <v/>
      </c>
      <c r="HD55" s="69" t="str">
        <f t="shared" si="207"/>
        <v/>
      </c>
      <c r="HE55" s="69" t="str">
        <f t="shared" si="208"/>
        <v/>
      </c>
      <c r="HF55" s="69" t="str">
        <f t="shared" si="209"/>
        <v/>
      </c>
      <c r="HH55" s="69" t="str">
        <f t="shared" si="210"/>
        <v/>
      </c>
      <c r="HI55" s="69" t="str">
        <f t="shared" si="211"/>
        <v/>
      </c>
      <c r="HJ55" s="69" t="str">
        <f t="shared" si="212"/>
        <v/>
      </c>
      <c r="HK55" s="69" t="str">
        <f t="shared" si="213"/>
        <v/>
      </c>
      <c r="HL55" s="69" t="str">
        <f t="shared" si="214"/>
        <v/>
      </c>
      <c r="HM55" s="69" t="str">
        <f t="shared" si="215"/>
        <v/>
      </c>
      <c r="HO55" s="69" t="str">
        <f t="shared" si="216"/>
        <v/>
      </c>
      <c r="HP55" s="69" t="str">
        <f t="shared" si="217"/>
        <v/>
      </c>
      <c r="HQ55" s="69" t="str">
        <f t="shared" si="218"/>
        <v/>
      </c>
      <c r="HS55" s="69" t="str">
        <f t="shared" si="344"/>
        <v/>
      </c>
      <c r="HT55" s="69" t="str">
        <f t="shared" si="345"/>
        <v/>
      </c>
      <c r="HU55" s="69" t="str">
        <f t="shared" si="219"/>
        <v/>
      </c>
      <c r="HV55" s="69" t="str">
        <f t="shared" si="346"/>
        <v/>
      </c>
      <c r="HW55" s="69" t="str">
        <f t="shared" si="347"/>
        <v/>
      </c>
      <c r="HX55" s="69" t="str">
        <f t="shared" si="220"/>
        <v/>
      </c>
      <c r="HY55" s="69" t="str">
        <f t="shared" si="348"/>
        <v/>
      </c>
      <c r="HZ55" s="69" t="str">
        <f t="shared" si="349"/>
        <v/>
      </c>
      <c r="IA55" s="69" t="str">
        <f t="shared" si="221"/>
        <v/>
      </c>
      <c r="IB55" s="69" t="str">
        <f t="shared" si="350"/>
        <v/>
      </c>
      <c r="IC55" s="69" t="str">
        <f t="shared" si="351"/>
        <v/>
      </c>
      <c r="ID55" s="69" t="str">
        <f t="shared" si="222"/>
        <v/>
      </c>
      <c r="IE55" s="69" t="str">
        <f t="shared" si="352"/>
        <v/>
      </c>
      <c r="IF55" s="69" t="str">
        <f t="shared" si="353"/>
        <v/>
      </c>
      <c r="IG55" s="69" t="str">
        <f t="shared" si="223"/>
        <v/>
      </c>
      <c r="IH55" s="69" t="str">
        <f t="shared" si="354"/>
        <v/>
      </c>
      <c r="II55" s="69" t="str">
        <f t="shared" si="355"/>
        <v/>
      </c>
      <c r="IJ55" s="69" t="str">
        <f t="shared" si="224"/>
        <v/>
      </c>
      <c r="IK55" s="69" t="str">
        <f t="shared" si="356"/>
        <v/>
      </c>
      <c r="IL55" s="69" t="str">
        <f t="shared" si="357"/>
        <v/>
      </c>
      <c r="IM55" s="69" t="str">
        <f t="shared" si="225"/>
        <v/>
      </c>
      <c r="IN55" s="69" t="str">
        <f t="shared" si="226"/>
        <v/>
      </c>
      <c r="IO55" s="69" t="str">
        <f t="shared" si="227"/>
        <v/>
      </c>
      <c r="IP55" s="69" t="str">
        <f t="shared" si="228"/>
        <v/>
      </c>
      <c r="IQ55" s="69" t="str">
        <f t="shared" si="229"/>
        <v/>
      </c>
      <c r="IR55" s="69" t="str">
        <f t="shared" si="230"/>
        <v/>
      </c>
      <c r="IS55" s="69" t="str">
        <f t="shared" si="231"/>
        <v/>
      </c>
      <c r="IT55" s="69" t="str">
        <f t="shared" si="232"/>
        <v/>
      </c>
      <c r="IU55" s="69" t="str">
        <f t="shared" si="233"/>
        <v/>
      </c>
      <c r="IV55" s="69" t="str">
        <f t="shared" si="234"/>
        <v/>
      </c>
    </row>
    <row r="56" spans="1:256" x14ac:dyDescent="0.2">
      <c r="A56" s="57" t="s">
        <v>59</v>
      </c>
      <c r="B56" s="178"/>
      <c r="C56" s="179"/>
      <c r="D56" s="179"/>
      <c r="E56" s="179"/>
      <c r="F56" s="179"/>
      <c r="G56" s="180"/>
      <c r="H56" s="180"/>
      <c r="I56" s="181"/>
      <c r="J56" s="182"/>
      <c r="K56" s="186"/>
      <c r="L56" s="68">
        <f t="shared" si="237"/>
        <v>0</v>
      </c>
      <c r="M56" s="69" t="str">
        <f t="shared" si="238"/>
        <v/>
      </c>
      <c r="N56" s="69" t="str">
        <f t="shared" si="358"/>
        <v/>
      </c>
      <c r="O56" s="69" t="str">
        <f t="shared" si="122"/>
        <v/>
      </c>
      <c r="P56" s="69" t="str">
        <f t="shared" si="359"/>
        <v/>
      </c>
      <c r="Q56" s="70" t="str">
        <f t="shared" si="239"/>
        <v/>
      </c>
      <c r="R56" s="71" t="str">
        <f t="shared" si="124"/>
        <v/>
      </c>
      <c r="S56" s="71" t="str">
        <f t="shared" si="125"/>
        <v/>
      </c>
      <c r="T56" s="70" t="str">
        <f t="shared" si="240"/>
        <v/>
      </c>
      <c r="U56" s="71" t="str">
        <f t="shared" si="126"/>
        <v/>
      </c>
      <c r="V56" s="71" t="str">
        <f t="shared" si="127"/>
        <v/>
      </c>
      <c r="W56" s="70" t="str">
        <f t="shared" si="241"/>
        <v/>
      </c>
      <c r="X56" s="71" t="str">
        <f t="shared" si="128"/>
        <v/>
      </c>
      <c r="Y56" s="71" t="str">
        <f t="shared" si="129"/>
        <v/>
      </c>
      <c r="Z56" s="70" t="str">
        <f t="shared" si="242"/>
        <v/>
      </c>
      <c r="AA56" s="71" t="str">
        <f t="shared" si="130"/>
        <v/>
      </c>
      <c r="AB56" s="71" t="str">
        <f t="shared" si="131"/>
        <v/>
      </c>
      <c r="AC56" s="70" t="str">
        <f t="shared" si="243"/>
        <v/>
      </c>
      <c r="AD56" s="71" t="str">
        <f t="shared" si="132"/>
        <v/>
      </c>
      <c r="AE56" s="71" t="str">
        <f t="shared" si="133"/>
        <v/>
      </c>
      <c r="AF56" s="70" t="str">
        <f t="shared" si="244"/>
        <v/>
      </c>
      <c r="AG56" s="71" t="str">
        <f t="shared" si="134"/>
        <v/>
      </c>
      <c r="AH56" s="71" t="str">
        <f t="shared" si="135"/>
        <v/>
      </c>
      <c r="AI56" s="70" t="str">
        <f t="shared" si="245"/>
        <v/>
      </c>
      <c r="AJ56" s="71" t="str">
        <f t="shared" si="136"/>
        <v/>
      </c>
      <c r="AK56" s="71" t="str">
        <f t="shared" si="137"/>
        <v/>
      </c>
      <c r="AL56" s="70" t="str">
        <f t="shared" si="138"/>
        <v/>
      </c>
      <c r="AM56" s="71" t="str">
        <f t="shared" si="139"/>
        <v/>
      </c>
      <c r="AN56" s="71" t="str">
        <f t="shared" si="140"/>
        <v/>
      </c>
      <c r="AO56" s="70" t="str">
        <f t="shared" si="141"/>
        <v/>
      </c>
      <c r="AP56" s="71" t="str">
        <f t="shared" si="142"/>
        <v/>
      </c>
      <c r="AQ56" s="71" t="str">
        <f t="shared" si="143"/>
        <v/>
      </c>
      <c r="AR56" s="70" t="str">
        <f t="shared" si="144"/>
        <v/>
      </c>
      <c r="AS56" s="71" t="str">
        <f t="shared" si="145"/>
        <v/>
      </c>
      <c r="AT56" s="71" t="str">
        <f t="shared" si="146"/>
        <v/>
      </c>
      <c r="AU56" s="69" t="str">
        <f t="shared" si="147"/>
        <v/>
      </c>
      <c r="AV56" s="131" t="str">
        <f t="shared" si="148"/>
        <v/>
      </c>
      <c r="AW56" s="69" t="str">
        <f t="shared" si="236"/>
        <v/>
      </c>
      <c r="AX56" s="132" t="str">
        <f t="shared" si="150"/>
        <v/>
      </c>
      <c r="AY56" s="132" t="str">
        <f t="shared" si="151"/>
        <v/>
      </c>
      <c r="AZ56" s="69" t="str">
        <f t="shared" si="246"/>
        <v/>
      </c>
      <c r="BA56" s="69" t="str">
        <f t="shared" si="247"/>
        <v/>
      </c>
      <c r="BB56" s="69" t="str">
        <f t="shared" si="152"/>
        <v/>
      </c>
      <c r="BC56" s="69" t="str">
        <f t="shared" si="248"/>
        <v/>
      </c>
      <c r="BD56" s="69" t="str">
        <f t="shared" si="249"/>
        <v/>
      </c>
      <c r="BE56" s="69" t="str">
        <f t="shared" si="153"/>
        <v/>
      </c>
      <c r="BF56" s="69" t="str">
        <f t="shared" si="250"/>
        <v/>
      </c>
      <c r="BG56" s="69" t="str">
        <f t="shared" si="251"/>
        <v/>
      </c>
      <c r="BH56" s="69" t="str">
        <f t="shared" si="154"/>
        <v/>
      </c>
      <c r="BI56" s="69" t="str">
        <f t="shared" si="252"/>
        <v/>
      </c>
      <c r="BJ56" s="69" t="str">
        <f t="shared" si="253"/>
        <v/>
      </c>
      <c r="BK56" s="69" t="str">
        <f t="shared" si="155"/>
        <v/>
      </c>
      <c r="BL56" s="69" t="str">
        <f t="shared" si="254"/>
        <v/>
      </c>
      <c r="BM56" s="69" t="str">
        <f t="shared" si="255"/>
        <v/>
      </c>
      <c r="BN56" s="69" t="str">
        <f t="shared" si="156"/>
        <v/>
      </c>
      <c r="BO56" s="69" t="str">
        <f t="shared" si="256"/>
        <v/>
      </c>
      <c r="BP56" s="69" t="str">
        <f t="shared" si="257"/>
        <v/>
      </c>
      <c r="BQ56" s="69" t="str">
        <f t="shared" si="157"/>
        <v/>
      </c>
      <c r="BR56" s="69" t="str">
        <f t="shared" si="258"/>
        <v/>
      </c>
      <c r="BS56" s="69" t="str">
        <f t="shared" si="259"/>
        <v/>
      </c>
      <c r="BT56" s="69" t="str">
        <f t="shared" si="158"/>
        <v/>
      </c>
      <c r="BU56" s="69" t="str">
        <f t="shared" si="260"/>
        <v/>
      </c>
      <c r="BV56" s="69" t="str">
        <f t="shared" si="261"/>
        <v/>
      </c>
      <c r="BW56" s="69" t="str">
        <f t="shared" si="159"/>
        <v/>
      </c>
      <c r="BX56" s="69" t="str">
        <f t="shared" si="262"/>
        <v/>
      </c>
      <c r="BY56" s="69" t="str">
        <f t="shared" si="263"/>
        <v/>
      </c>
      <c r="BZ56" s="69" t="str">
        <f t="shared" si="160"/>
        <v/>
      </c>
      <c r="CA56" s="69" t="str">
        <f t="shared" si="264"/>
        <v/>
      </c>
      <c r="CB56" s="69" t="str">
        <f t="shared" si="265"/>
        <v/>
      </c>
      <c r="CC56" s="69" t="str">
        <f t="shared" si="161"/>
        <v/>
      </c>
      <c r="CE56" s="69" t="str">
        <f t="shared" si="266"/>
        <v/>
      </c>
      <c r="CF56" s="69" t="str">
        <f t="shared" si="267"/>
        <v/>
      </c>
      <c r="CG56" s="69" t="str">
        <f t="shared" si="162"/>
        <v/>
      </c>
      <c r="CH56" s="69" t="str">
        <f t="shared" si="268"/>
        <v/>
      </c>
      <c r="CI56" s="69" t="str">
        <f t="shared" si="269"/>
        <v/>
      </c>
      <c r="CJ56" s="69" t="str">
        <f t="shared" si="163"/>
        <v/>
      </c>
      <c r="CK56" s="69" t="str">
        <f t="shared" si="270"/>
        <v/>
      </c>
      <c r="CL56" s="69" t="str">
        <f t="shared" si="271"/>
        <v/>
      </c>
      <c r="CM56" s="69" t="str">
        <f t="shared" si="164"/>
        <v/>
      </c>
      <c r="CN56" s="69" t="str">
        <f t="shared" si="272"/>
        <v/>
      </c>
      <c r="CO56" s="69" t="str">
        <f t="shared" si="273"/>
        <v/>
      </c>
      <c r="CP56" s="69" t="str">
        <f t="shared" si="165"/>
        <v/>
      </c>
      <c r="CQ56" s="69" t="str">
        <f t="shared" si="274"/>
        <v/>
      </c>
      <c r="CR56" s="69" t="str">
        <f t="shared" si="275"/>
        <v/>
      </c>
      <c r="CS56" s="69" t="str">
        <f t="shared" si="166"/>
        <v/>
      </c>
      <c r="CT56" s="69" t="str">
        <f t="shared" si="276"/>
        <v/>
      </c>
      <c r="CU56" s="69" t="str">
        <f t="shared" si="277"/>
        <v/>
      </c>
      <c r="CV56" s="69" t="str">
        <f t="shared" si="167"/>
        <v/>
      </c>
      <c r="CW56" s="69" t="str">
        <f t="shared" si="278"/>
        <v/>
      </c>
      <c r="CX56" s="69" t="str">
        <f t="shared" si="279"/>
        <v/>
      </c>
      <c r="CY56" s="69" t="str">
        <f t="shared" si="168"/>
        <v/>
      </c>
      <c r="CZ56" s="69" t="str">
        <f t="shared" si="280"/>
        <v/>
      </c>
      <c r="DA56" s="69" t="str">
        <f t="shared" si="281"/>
        <v/>
      </c>
      <c r="DB56" s="69" t="str">
        <f t="shared" si="169"/>
        <v/>
      </c>
      <c r="DC56" s="69" t="str">
        <f t="shared" si="282"/>
        <v/>
      </c>
      <c r="DD56" s="69" t="str">
        <f t="shared" si="283"/>
        <v/>
      </c>
      <c r="DE56" s="69" t="str">
        <f t="shared" si="170"/>
        <v/>
      </c>
      <c r="DG56" s="69" t="str">
        <f t="shared" si="284"/>
        <v/>
      </c>
      <c r="DH56" s="69" t="str">
        <f t="shared" si="285"/>
        <v/>
      </c>
      <c r="DI56" s="69" t="str">
        <f t="shared" si="171"/>
        <v/>
      </c>
      <c r="DJ56" s="69" t="str">
        <f t="shared" si="286"/>
        <v/>
      </c>
      <c r="DK56" s="69" t="str">
        <f t="shared" si="287"/>
        <v/>
      </c>
      <c r="DL56" s="69" t="str">
        <f t="shared" si="172"/>
        <v/>
      </c>
      <c r="DM56" s="69" t="str">
        <f t="shared" si="288"/>
        <v/>
      </c>
      <c r="DN56" s="69" t="str">
        <f t="shared" si="289"/>
        <v/>
      </c>
      <c r="DO56" s="69" t="str">
        <f t="shared" si="173"/>
        <v/>
      </c>
      <c r="DP56" s="69" t="str">
        <f t="shared" si="290"/>
        <v/>
      </c>
      <c r="DQ56" s="69" t="str">
        <f t="shared" si="291"/>
        <v/>
      </c>
      <c r="DR56" s="69" t="str">
        <f t="shared" si="174"/>
        <v/>
      </c>
      <c r="DS56" s="69" t="str">
        <f t="shared" si="292"/>
        <v/>
      </c>
      <c r="DT56" s="69" t="str">
        <f t="shared" si="293"/>
        <v/>
      </c>
      <c r="DU56" s="69" t="str">
        <f t="shared" si="175"/>
        <v/>
      </c>
      <c r="DV56" s="69" t="str">
        <f t="shared" si="294"/>
        <v/>
      </c>
      <c r="DW56" s="69" t="str">
        <f t="shared" si="295"/>
        <v/>
      </c>
      <c r="DX56" s="69" t="str">
        <f t="shared" si="176"/>
        <v/>
      </c>
      <c r="DY56" s="69" t="str">
        <f t="shared" si="296"/>
        <v/>
      </c>
      <c r="DZ56" s="69" t="str">
        <f t="shared" si="297"/>
        <v/>
      </c>
      <c r="EA56" s="69" t="str">
        <f t="shared" si="177"/>
        <v/>
      </c>
      <c r="EB56" s="69" t="str">
        <f t="shared" si="298"/>
        <v/>
      </c>
      <c r="EC56" s="69" t="str">
        <f t="shared" si="299"/>
        <v/>
      </c>
      <c r="ED56" s="69" t="str">
        <f t="shared" si="178"/>
        <v/>
      </c>
      <c r="EF56" s="69" t="str">
        <f t="shared" si="300"/>
        <v/>
      </c>
      <c r="EG56" s="69" t="str">
        <f t="shared" si="301"/>
        <v/>
      </c>
      <c r="EH56" s="69" t="str">
        <f t="shared" si="179"/>
        <v/>
      </c>
      <c r="EI56" s="69" t="str">
        <f t="shared" si="302"/>
        <v/>
      </c>
      <c r="EJ56" s="69" t="str">
        <f t="shared" si="303"/>
        <v/>
      </c>
      <c r="EK56" s="69" t="str">
        <f t="shared" si="180"/>
        <v/>
      </c>
      <c r="EL56" s="69" t="str">
        <f t="shared" si="304"/>
        <v/>
      </c>
      <c r="EM56" s="69" t="str">
        <f t="shared" si="305"/>
        <v/>
      </c>
      <c r="EN56" s="69" t="str">
        <f t="shared" si="181"/>
        <v/>
      </c>
      <c r="EO56" s="69" t="str">
        <f t="shared" si="306"/>
        <v/>
      </c>
      <c r="EP56" s="69" t="str">
        <f t="shared" si="307"/>
        <v/>
      </c>
      <c r="EQ56" s="69" t="str">
        <f t="shared" si="182"/>
        <v/>
      </c>
      <c r="ER56" s="69" t="str">
        <f t="shared" si="308"/>
        <v/>
      </c>
      <c r="ES56" s="69" t="str">
        <f t="shared" si="309"/>
        <v/>
      </c>
      <c r="ET56" s="69" t="str">
        <f t="shared" si="183"/>
        <v/>
      </c>
      <c r="EU56" s="69" t="str">
        <f t="shared" si="310"/>
        <v/>
      </c>
      <c r="EV56" s="69" t="str">
        <f t="shared" si="311"/>
        <v/>
      </c>
      <c r="EW56" s="69" t="str">
        <f t="shared" si="184"/>
        <v/>
      </c>
      <c r="EX56" s="69" t="str">
        <f t="shared" si="312"/>
        <v/>
      </c>
      <c r="EY56" s="69" t="str">
        <f t="shared" si="313"/>
        <v/>
      </c>
      <c r="EZ56" s="69" t="str">
        <f t="shared" si="185"/>
        <v/>
      </c>
      <c r="FB56" s="69" t="str">
        <f t="shared" si="314"/>
        <v/>
      </c>
      <c r="FC56" s="69" t="str">
        <f t="shared" si="315"/>
        <v/>
      </c>
      <c r="FD56" s="69" t="str">
        <f t="shared" si="186"/>
        <v/>
      </c>
      <c r="FE56" s="69" t="str">
        <f t="shared" si="316"/>
        <v/>
      </c>
      <c r="FF56" s="69" t="str">
        <f t="shared" si="317"/>
        <v/>
      </c>
      <c r="FG56" s="69" t="str">
        <f t="shared" si="187"/>
        <v/>
      </c>
      <c r="FH56" s="69" t="str">
        <f t="shared" si="318"/>
        <v/>
      </c>
      <c r="FI56" s="69" t="str">
        <f t="shared" si="319"/>
        <v/>
      </c>
      <c r="FJ56" s="69" t="str">
        <f t="shared" si="188"/>
        <v/>
      </c>
      <c r="FK56" s="69" t="str">
        <f t="shared" si="320"/>
        <v/>
      </c>
      <c r="FL56" s="69" t="str">
        <f t="shared" si="321"/>
        <v/>
      </c>
      <c r="FM56" s="69" t="str">
        <f t="shared" si="189"/>
        <v/>
      </c>
      <c r="FN56" s="69" t="str">
        <f t="shared" si="322"/>
        <v/>
      </c>
      <c r="FO56" s="69" t="str">
        <f t="shared" si="323"/>
        <v/>
      </c>
      <c r="FP56" s="69" t="str">
        <f t="shared" si="190"/>
        <v/>
      </c>
      <c r="FQ56" s="69" t="str">
        <f t="shared" si="324"/>
        <v/>
      </c>
      <c r="FR56" s="69" t="str">
        <f t="shared" si="325"/>
        <v/>
      </c>
      <c r="FS56" s="69" t="str">
        <f t="shared" si="191"/>
        <v/>
      </c>
      <c r="FU56" s="69" t="str">
        <f t="shared" si="326"/>
        <v/>
      </c>
      <c r="FV56" s="69" t="str">
        <f t="shared" si="327"/>
        <v/>
      </c>
      <c r="FW56" s="69" t="str">
        <f t="shared" si="192"/>
        <v/>
      </c>
      <c r="FX56" s="69" t="str">
        <f t="shared" si="328"/>
        <v/>
      </c>
      <c r="FY56" s="69" t="str">
        <f t="shared" si="329"/>
        <v/>
      </c>
      <c r="FZ56" s="69" t="str">
        <f t="shared" si="193"/>
        <v/>
      </c>
      <c r="GA56" s="69" t="str">
        <f t="shared" si="330"/>
        <v/>
      </c>
      <c r="GB56" s="69" t="str">
        <f t="shared" si="331"/>
        <v/>
      </c>
      <c r="GC56" s="69" t="str">
        <f t="shared" si="194"/>
        <v/>
      </c>
      <c r="GD56" s="69" t="str">
        <f t="shared" si="332"/>
        <v/>
      </c>
      <c r="GE56" s="69" t="str">
        <f t="shared" si="333"/>
        <v/>
      </c>
      <c r="GF56" s="69" t="str">
        <f t="shared" si="195"/>
        <v/>
      </c>
      <c r="GG56" s="69" t="str">
        <f t="shared" si="334"/>
        <v/>
      </c>
      <c r="GH56" s="69" t="str">
        <f t="shared" si="335"/>
        <v/>
      </c>
      <c r="GI56" s="69" t="str">
        <f t="shared" si="196"/>
        <v/>
      </c>
      <c r="GK56" s="69" t="str">
        <f t="shared" si="336"/>
        <v/>
      </c>
      <c r="GL56" s="69" t="str">
        <f t="shared" si="337"/>
        <v/>
      </c>
      <c r="GM56" s="69" t="str">
        <f t="shared" si="197"/>
        <v/>
      </c>
      <c r="GN56" s="69" t="str">
        <f t="shared" si="338"/>
        <v/>
      </c>
      <c r="GO56" s="69" t="str">
        <f t="shared" si="339"/>
        <v/>
      </c>
      <c r="GP56" s="69" t="str">
        <f t="shared" si="198"/>
        <v/>
      </c>
      <c r="GQ56" s="69" t="str">
        <f t="shared" si="340"/>
        <v/>
      </c>
      <c r="GR56" s="69" t="str">
        <f t="shared" si="341"/>
        <v/>
      </c>
      <c r="GS56" s="69" t="str">
        <f t="shared" si="199"/>
        <v/>
      </c>
      <c r="GT56" s="69" t="str">
        <f t="shared" si="342"/>
        <v/>
      </c>
      <c r="GU56" s="69" t="str">
        <f t="shared" si="343"/>
        <v/>
      </c>
      <c r="GV56" s="69" t="str">
        <f t="shared" si="200"/>
        <v/>
      </c>
      <c r="GX56" s="69" t="str">
        <f t="shared" si="201"/>
        <v/>
      </c>
      <c r="GY56" s="69" t="str">
        <f t="shared" si="202"/>
        <v/>
      </c>
      <c r="GZ56" s="69" t="str">
        <f t="shared" si="203"/>
        <v/>
      </c>
      <c r="HA56" s="69" t="str">
        <f t="shared" si="204"/>
        <v/>
      </c>
      <c r="HB56" s="69" t="str">
        <f t="shared" si="205"/>
        <v/>
      </c>
      <c r="HC56" s="69" t="str">
        <f t="shared" si="206"/>
        <v/>
      </c>
      <c r="HD56" s="69" t="str">
        <f t="shared" si="207"/>
        <v/>
      </c>
      <c r="HE56" s="69" t="str">
        <f t="shared" si="208"/>
        <v/>
      </c>
      <c r="HF56" s="69" t="str">
        <f t="shared" si="209"/>
        <v/>
      </c>
      <c r="HH56" s="69" t="str">
        <f t="shared" si="210"/>
        <v/>
      </c>
      <c r="HI56" s="69" t="str">
        <f t="shared" si="211"/>
        <v/>
      </c>
      <c r="HJ56" s="69" t="str">
        <f t="shared" si="212"/>
        <v/>
      </c>
      <c r="HK56" s="69" t="str">
        <f t="shared" si="213"/>
        <v/>
      </c>
      <c r="HL56" s="69" t="str">
        <f t="shared" si="214"/>
        <v/>
      </c>
      <c r="HM56" s="69" t="str">
        <f t="shared" si="215"/>
        <v/>
      </c>
      <c r="HO56" s="69" t="str">
        <f t="shared" si="216"/>
        <v/>
      </c>
      <c r="HP56" s="69" t="str">
        <f t="shared" si="217"/>
        <v/>
      </c>
      <c r="HQ56" s="69" t="str">
        <f t="shared" si="218"/>
        <v/>
      </c>
      <c r="HS56" s="69" t="str">
        <f t="shared" si="344"/>
        <v/>
      </c>
      <c r="HT56" s="69" t="str">
        <f t="shared" si="345"/>
        <v/>
      </c>
      <c r="HU56" s="69" t="str">
        <f t="shared" si="219"/>
        <v/>
      </c>
      <c r="HV56" s="69" t="str">
        <f t="shared" si="346"/>
        <v/>
      </c>
      <c r="HW56" s="69" t="str">
        <f t="shared" si="347"/>
        <v/>
      </c>
      <c r="HX56" s="69" t="str">
        <f t="shared" si="220"/>
        <v/>
      </c>
      <c r="HY56" s="69" t="str">
        <f t="shared" si="348"/>
        <v/>
      </c>
      <c r="HZ56" s="69" t="str">
        <f t="shared" si="349"/>
        <v/>
      </c>
      <c r="IA56" s="69" t="str">
        <f t="shared" si="221"/>
        <v/>
      </c>
      <c r="IB56" s="69" t="str">
        <f t="shared" si="350"/>
        <v/>
      </c>
      <c r="IC56" s="69" t="str">
        <f t="shared" si="351"/>
        <v/>
      </c>
      <c r="ID56" s="69" t="str">
        <f t="shared" si="222"/>
        <v/>
      </c>
      <c r="IE56" s="69" t="str">
        <f t="shared" si="352"/>
        <v/>
      </c>
      <c r="IF56" s="69" t="str">
        <f t="shared" si="353"/>
        <v/>
      </c>
      <c r="IG56" s="69" t="str">
        <f t="shared" si="223"/>
        <v/>
      </c>
      <c r="IH56" s="69" t="str">
        <f t="shared" si="354"/>
        <v/>
      </c>
      <c r="II56" s="69" t="str">
        <f t="shared" si="355"/>
        <v/>
      </c>
      <c r="IJ56" s="69" t="str">
        <f t="shared" si="224"/>
        <v/>
      </c>
      <c r="IK56" s="69" t="str">
        <f t="shared" si="356"/>
        <v/>
      </c>
      <c r="IL56" s="69" t="str">
        <f t="shared" si="357"/>
        <v/>
      </c>
      <c r="IM56" s="69" t="str">
        <f t="shared" si="225"/>
        <v/>
      </c>
      <c r="IN56" s="69" t="str">
        <f t="shared" si="226"/>
        <v/>
      </c>
      <c r="IO56" s="69" t="str">
        <f t="shared" si="227"/>
        <v/>
      </c>
      <c r="IP56" s="69" t="str">
        <f t="shared" si="228"/>
        <v/>
      </c>
      <c r="IQ56" s="69" t="str">
        <f t="shared" si="229"/>
        <v/>
      </c>
      <c r="IR56" s="69" t="str">
        <f t="shared" si="230"/>
        <v/>
      </c>
      <c r="IS56" s="69" t="str">
        <f t="shared" si="231"/>
        <v/>
      </c>
      <c r="IT56" s="69" t="str">
        <f t="shared" si="232"/>
        <v/>
      </c>
      <c r="IU56" s="69" t="str">
        <f t="shared" si="233"/>
        <v/>
      </c>
      <c r="IV56" s="69" t="str">
        <f t="shared" si="234"/>
        <v/>
      </c>
    </row>
    <row r="57" spans="1:256" x14ac:dyDescent="0.2">
      <c r="A57" s="57" t="s">
        <v>60</v>
      </c>
      <c r="B57" s="184"/>
      <c r="C57" s="179"/>
      <c r="D57" s="179"/>
      <c r="E57" s="179"/>
      <c r="F57" s="179"/>
      <c r="G57" s="180"/>
      <c r="H57" s="180"/>
      <c r="I57" s="181"/>
      <c r="J57" s="187"/>
      <c r="K57" s="186"/>
      <c r="L57" s="68">
        <f t="shared" si="237"/>
        <v>0</v>
      </c>
      <c r="M57" s="69" t="str">
        <f t="shared" si="238"/>
        <v/>
      </c>
      <c r="N57" s="69" t="str">
        <f t="shared" si="358"/>
        <v/>
      </c>
      <c r="O57" s="69" t="str">
        <f t="shared" si="122"/>
        <v/>
      </c>
      <c r="P57" s="69" t="str">
        <f t="shared" si="359"/>
        <v/>
      </c>
      <c r="Q57" s="70" t="str">
        <f t="shared" si="239"/>
        <v/>
      </c>
      <c r="R57" s="71" t="str">
        <f t="shared" si="124"/>
        <v/>
      </c>
      <c r="S57" s="71" t="str">
        <f t="shared" si="125"/>
        <v/>
      </c>
      <c r="T57" s="70" t="str">
        <f t="shared" si="240"/>
        <v/>
      </c>
      <c r="U57" s="71" t="str">
        <f t="shared" si="126"/>
        <v/>
      </c>
      <c r="V57" s="71" t="str">
        <f t="shared" si="127"/>
        <v/>
      </c>
      <c r="W57" s="70" t="str">
        <f t="shared" si="241"/>
        <v/>
      </c>
      <c r="X57" s="71" t="str">
        <f t="shared" si="128"/>
        <v/>
      </c>
      <c r="Y57" s="71" t="str">
        <f t="shared" si="129"/>
        <v/>
      </c>
      <c r="Z57" s="70" t="str">
        <f t="shared" si="242"/>
        <v/>
      </c>
      <c r="AA57" s="71" t="str">
        <f t="shared" si="130"/>
        <v/>
      </c>
      <c r="AB57" s="71" t="str">
        <f t="shared" si="131"/>
        <v/>
      </c>
      <c r="AC57" s="70" t="str">
        <f t="shared" si="243"/>
        <v/>
      </c>
      <c r="AD57" s="71" t="str">
        <f t="shared" si="132"/>
        <v/>
      </c>
      <c r="AE57" s="71" t="str">
        <f t="shared" si="133"/>
        <v/>
      </c>
      <c r="AF57" s="70" t="str">
        <f t="shared" si="244"/>
        <v/>
      </c>
      <c r="AG57" s="71" t="str">
        <f t="shared" si="134"/>
        <v/>
      </c>
      <c r="AH57" s="71" t="str">
        <f t="shared" si="135"/>
        <v/>
      </c>
      <c r="AI57" s="70" t="str">
        <f t="shared" si="245"/>
        <v/>
      </c>
      <c r="AJ57" s="71" t="str">
        <f t="shared" si="136"/>
        <v/>
      </c>
      <c r="AK57" s="71" t="str">
        <f t="shared" si="137"/>
        <v/>
      </c>
      <c r="AL57" s="70" t="str">
        <f t="shared" si="138"/>
        <v/>
      </c>
      <c r="AM57" s="71" t="str">
        <f t="shared" si="139"/>
        <v/>
      </c>
      <c r="AN57" s="71" t="str">
        <f t="shared" si="140"/>
        <v/>
      </c>
      <c r="AO57" s="70" t="str">
        <f t="shared" si="141"/>
        <v/>
      </c>
      <c r="AP57" s="71" t="str">
        <f t="shared" si="142"/>
        <v/>
      </c>
      <c r="AQ57" s="71" t="str">
        <f t="shared" si="143"/>
        <v/>
      </c>
      <c r="AR57" s="70" t="str">
        <f t="shared" si="144"/>
        <v/>
      </c>
      <c r="AS57" s="71" t="str">
        <f t="shared" si="145"/>
        <v/>
      </c>
      <c r="AT57" s="71" t="str">
        <f t="shared" si="146"/>
        <v/>
      </c>
      <c r="AU57" s="69" t="str">
        <f t="shared" si="147"/>
        <v/>
      </c>
      <c r="AV57" s="131" t="str">
        <f t="shared" si="148"/>
        <v/>
      </c>
      <c r="AW57" s="69" t="str">
        <f t="shared" si="236"/>
        <v/>
      </c>
      <c r="AX57" s="132" t="str">
        <f t="shared" si="150"/>
        <v/>
      </c>
      <c r="AY57" s="132" t="str">
        <f t="shared" si="151"/>
        <v/>
      </c>
      <c r="AZ57" s="69" t="str">
        <f t="shared" si="246"/>
        <v/>
      </c>
      <c r="BA57" s="69" t="str">
        <f t="shared" si="247"/>
        <v/>
      </c>
      <c r="BB57" s="69" t="str">
        <f t="shared" si="152"/>
        <v/>
      </c>
      <c r="BC57" s="69" t="str">
        <f t="shared" si="248"/>
        <v/>
      </c>
      <c r="BD57" s="69" t="str">
        <f t="shared" si="249"/>
        <v/>
      </c>
      <c r="BE57" s="69" t="str">
        <f t="shared" si="153"/>
        <v/>
      </c>
      <c r="BF57" s="69" t="str">
        <f t="shared" si="250"/>
        <v/>
      </c>
      <c r="BG57" s="69" t="str">
        <f t="shared" si="251"/>
        <v/>
      </c>
      <c r="BH57" s="69" t="str">
        <f t="shared" si="154"/>
        <v/>
      </c>
      <c r="BI57" s="69" t="str">
        <f t="shared" si="252"/>
        <v/>
      </c>
      <c r="BJ57" s="69" t="str">
        <f t="shared" si="253"/>
        <v/>
      </c>
      <c r="BK57" s="69" t="str">
        <f t="shared" si="155"/>
        <v/>
      </c>
      <c r="BL57" s="69" t="str">
        <f t="shared" si="254"/>
        <v/>
      </c>
      <c r="BM57" s="69" t="str">
        <f t="shared" si="255"/>
        <v/>
      </c>
      <c r="BN57" s="69" t="str">
        <f t="shared" si="156"/>
        <v/>
      </c>
      <c r="BO57" s="69" t="str">
        <f t="shared" si="256"/>
        <v/>
      </c>
      <c r="BP57" s="69" t="str">
        <f t="shared" si="257"/>
        <v/>
      </c>
      <c r="BQ57" s="69" t="str">
        <f t="shared" si="157"/>
        <v/>
      </c>
      <c r="BR57" s="69" t="str">
        <f t="shared" si="258"/>
        <v/>
      </c>
      <c r="BS57" s="69" t="str">
        <f t="shared" si="259"/>
        <v/>
      </c>
      <c r="BT57" s="69" t="str">
        <f t="shared" si="158"/>
        <v/>
      </c>
      <c r="BU57" s="69" t="str">
        <f t="shared" si="260"/>
        <v/>
      </c>
      <c r="BV57" s="69" t="str">
        <f t="shared" si="261"/>
        <v/>
      </c>
      <c r="BW57" s="69" t="str">
        <f t="shared" si="159"/>
        <v/>
      </c>
      <c r="BX57" s="69" t="str">
        <f t="shared" si="262"/>
        <v/>
      </c>
      <c r="BY57" s="69" t="str">
        <f t="shared" si="263"/>
        <v/>
      </c>
      <c r="BZ57" s="69" t="str">
        <f t="shared" si="160"/>
        <v/>
      </c>
      <c r="CA57" s="69" t="str">
        <f t="shared" si="264"/>
        <v/>
      </c>
      <c r="CB57" s="69" t="str">
        <f t="shared" si="265"/>
        <v/>
      </c>
      <c r="CC57" s="69" t="str">
        <f t="shared" si="161"/>
        <v/>
      </c>
      <c r="CE57" s="69" t="str">
        <f t="shared" si="266"/>
        <v/>
      </c>
      <c r="CF57" s="69" t="str">
        <f t="shared" si="267"/>
        <v/>
      </c>
      <c r="CG57" s="69" t="str">
        <f t="shared" si="162"/>
        <v/>
      </c>
      <c r="CH57" s="69" t="str">
        <f t="shared" si="268"/>
        <v/>
      </c>
      <c r="CI57" s="69" t="str">
        <f t="shared" si="269"/>
        <v/>
      </c>
      <c r="CJ57" s="69" t="str">
        <f t="shared" si="163"/>
        <v/>
      </c>
      <c r="CK57" s="69" t="str">
        <f t="shared" si="270"/>
        <v/>
      </c>
      <c r="CL57" s="69" t="str">
        <f t="shared" si="271"/>
        <v/>
      </c>
      <c r="CM57" s="69" t="str">
        <f t="shared" si="164"/>
        <v/>
      </c>
      <c r="CN57" s="69" t="str">
        <f t="shared" si="272"/>
        <v/>
      </c>
      <c r="CO57" s="69" t="str">
        <f t="shared" si="273"/>
        <v/>
      </c>
      <c r="CP57" s="69" t="str">
        <f t="shared" si="165"/>
        <v/>
      </c>
      <c r="CQ57" s="69" t="str">
        <f t="shared" si="274"/>
        <v/>
      </c>
      <c r="CR57" s="69" t="str">
        <f t="shared" si="275"/>
        <v/>
      </c>
      <c r="CS57" s="69" t="str">
        <f t="shared" si="166"/>
        <v/>
      </c>
      <c r="CT57" s="69" t="str">
        <f t="shared" si="276"/>
        <v/>
      </c>
      <c r="CU57" s="69" t="str">
        <f t="shared" si="277"/>
        <v/>
      </c>
      <c r="CV57" s="69" t="str">
        <f t="shared" si="167"/>
        <v/>
      </c>
      <c r="CW57" s="69" t="str">
        <f t="shared" si="278"/>
        <v/>
      </c>
      <c r="CX57" s="69" t="str">
        <f t="shared" si="279"/>
        <v/>
      </c>
      <c r="CY57" s="69" t="str">
        <f t="shared" si="168"/>
        <v/>
      </c>
      <c r="CZ57" s="69" t="str">
        <f t="shared" si="280"/>
        <v/>
      </c>
      <c r="DA57" s="69" t="str">
        <f t="shared" si="281"/>
        <v/>
      </c>
      <c r="DB57" s="69" t="str">
        <f t="shared" si="169"/>
        <v/>
      </c>
      <c r="DC57" s="69" t="str">
        <f t="shared" si="282"/>
        <v/>
      </c>
      <c r="DD57" s="69" t="str">
        <f t="shared" si="283"/>
        <v/>
      </c>
      <c r="DE57" s="69" t="str">
        <f t="shared" si="170"/>
        <v/>
      </c>
      <c r="DG57" s="69" t="str">
        <f t="shared" si="284"/>
        <v/>
      </c>
      <c r="DH57" s="69" t="str">
        <f t="shared" si="285"/>
        <v/>
      </c>
      <c r="DI57" s="69" t="str">
        <f t="shared" si="171"/>
        <v/>
      </c>
      <c r="DJ57" s="69" t="str">
        <f t="shared" si="286"/>
        <v/>
      </c>
      <c r="DK57" s="69" t="str">
        <f t="shared" si="287"/>
        <v/>
      </c>
      <c r="DL57" s="69" t="str">
        <f t="shared" si="172"/>
        <v/>
      </c>
      <c r="DM57" s="69" t="str">
        <f t="shared" si="288"/>
        <v/>
      </c>
      <c r="DN57" s="69" t="str">
        <f t="shared" si="289"/>
        <v/>
      </c>
      <c r="DO57" s="69" t="str">
        <f t="shared" si="173"/>
        <v/>
      </c>
      <c r="DP57" s="69" t="str">
        <f t="shared" si="290"/>
        <v/>
      </c>
      <c r="DQ57" s="69" t="str">
        <f t="shared" si="291"/>
        <v/>
      </c>
      <c r="DR57" s="69" t="str">
        <f t="shared" si="174"/>
        <v/>
      </c>
      <c r="DS57" s="69" t="str">
        <f t="shared" si="292"/>
        <v/>
      </c>
      <c r="DT57" s="69" t="str">
        <f t="shared" si="293"/>
        <v/>
      </c>
      <c r="DU57" s="69" t="str">
        <f t="shared" si="175"/>
        <v/>
      </c>
      <c r="DV57" s="69" t="str">
        <f t="shared" si="294"/>
        <v/>
      </c>
      <c r="DW57" s="69" t="str">
        <f t="shared" si="295"/>
        <v/>
      </c>
      <c r="DX57" s="69" t="str">
        <f t="shared" si="176"/>
        <v/>
      </c>
      <c r="DY57" s="69" t="str">
        <f t="shared" si="296"/>
        <v/>
      </c>
      <c r="DZ57" s="69" t="str">
        <f t="shared" si="297"/>
        <v/>
      </c>
      <c r="EA57" s="69" t="str">
        <f t="shared" si="177"/>
        <v/>
      </c>
      <c r="EB57" s="69" t="str">
        <f t="shared" si="298"/>
        <v/>
      </c>
      <c r="EC57" s="69" t="str">
        <f t="shared" si="299"/>
        <v/>
      </c>
      <c r="ED57" s="69" t="str">
        <f t="shared" si="178"/>
        <v/>
      </c>
      <c r="EF57" s="69" t="str">
        <f t="shared" si="300"/>
        <v/>
      </c>
      <c r="EG57" s="69" t="str">
        <f t="shared" si="301"/>
        <v/>
      </c>
      <c r="EH57" s="69" t="str">
        <f t="shared" si="179"/>
        <v/>
      </c>
      <c r="EI57" s="69" t="str">
        <f t="shared" si="302"/>
        <v/>
      </c>
      <c r="EJ57" s="69" t="str">
        <f t="shared" si="303"/>
        <v/>
      </c>
      <c r="EK57" s="69" t="str">
        <f t="shared" si="180"/>
        <v/>
      </c>
      <c r="EL57" s="69" t="str">
        <f t="shared" si="304"/>
        <v/>
      </c>
      <c r="EM57" s="69" t="str">
        <f t="shared" si="305"/>
        <v/>
      </c>
      <c r="EN57" s="69" t="str">
        <f t="shared" si="181"/>
        <v/>
      </c>
      <c r="EO57" s="69" t="str">
        <f t="shared" si="306"/>
        <v/>
      </c>
      <c r="EP57" s="69" t="str">
        <f t="shared" si="307"/>
        <v/>
      </c>
      <c r="EQ57" s="69" t="str">
        <f t="shared" si="182"/>
        <v/>
      </c>
      <c r="ER57" s="69" t="str">
        <f t="shared" si="308"/>
        <v/>
      </c>
      <c r="ES57" s="69" t="str">
        <f t="shared" si="309"/>
        <v/>
      </c>
      <c r="ET57" s="69" t="str">
        <f t="shared" si="183"/>
        <v/>
      </c>
      <c r="EU57" s="69" t="str">
        <f t="shared" si="310"/>
        <v/>
      </c>
      <c r="EV57" s="69" t="str">
        <f t="shared" si="311"/>
        <v/>
      </c>
      <c r="EW57" s="69" t="str">
        <f t="shared" si="184"/>
        <v/>
      </c>
      <c r="EX57" s="69" t="str">
        <f t="shared" si="312"/>
        <v/>
      </c>
      <c r="EY57" s="69" t="str">
        <f t="shared" si="313"/>
        <v/>
      </c>
      <c r="EZ57" s="69" t="str">
        <f t="shared" si="185"/>
        <v/>
      </c>
      <c r="FB57" s="69" t="str">
        <f t="shared" si="314"/>
        <v/>
      </c>
      <c r="FC57" s="69" t="str">
        <f t="shared" si="315"/>
        <v/>
      </c>
      <c r="FD57" s="69" t="str">
        <f t="shared" si="186"/>
        <v/>
      </c>
      <c r="FE57" s="69" t="str">
        <f t="shared" si="316"/>
        <v/>
      </c>
      <c r="FF57" s="69" t="str">
        <f t="shared" si="317"/>
        <v/>
      </c>
      <c r="FG57" s="69" t="str">
        <f t="shared" si="187"/>
        <v/>
      </c>
      <c r="FH57" s="69" t="str">
        <f t="shared" si="318"/>
        <v/>
      </c>
      <c r="FI57" s="69" t="str">
        <f t="shared" si="319"/>
        <v/>
      </c>
      <c r="FJ57" s="69" t="str">
        <f t="shared" si="188"/>
        <v/>
      </c>
      <c r="FK57" s="69" t="str">
        <f t="shared" si="320"/>
        <v/>
      </c>
      <c r="FL57" s="69" t="str">
        <f t="shared" si="321"/>
        <v/>
      </c>
      <c r="FM57" s="69" t="str">
        <f t="shared" si="189"/>
        <v/>
      </c>
      <c r="FN57" s="69" t="str">
        <f t="shared" si="322"/>
        <v/>
      </c>
      <c r="FO57" s="69" t="str">
        <f t="shared" si="323"/>
        <v/>
      </c>
      <c r="FP57" s="69" t="str">
        <f t="shared" si="190"/>
        <v/>
      </c>
      <c r="FQ57" s="69" t="str">
        <f t="shared" si="324"/>
        <v/>
      </c>
      <c r="FR57" s="69" t="str">
        <f t="shared" si="325"/>
        <v/>
      </c>
      <c r="FS57" s="69" t="str">
        <f t="shared" si="191"/>
        <v/>
      </c>
      <c r="FU57" s="69" t="str">
        <f t="shared" si="326"/>
        <v/>
      </c>
      <c r="FV57" s="69" t="str">
        <f t="shared" si="327"/>
        <v/>
      </c>
      <c r="FW57" s="69" t="str">
        <f t="shared" si="192"/>
        <v/>
      </c>
      <c r="FX57" s="69" t="str">
        <f t="shared" si="328"/>
        <v/>
      </c>
      <c r="FY57" s="69" t="str">
        <f t="shared" si="329"/>
        <v/>
      </c>
      <c r="FZ57" s="69" t="str">
        <f t="shared" si="193"/>
        <v/>
      </c>
      <c r="GA57" s="69" t="str">
        <f t="shared" si="330"/>
        <v/>
      </c>
      <c r="GB57" s="69" t="str">
        <f t="shared" si="331"/>
        <v/>
      </c>
      <c r="GC57" s="69" t="str">
        <f t="shared" si="194"/>
        <v/>
      </c>
      <c r="GD57" s="69" t="str">
        <f t="shared" si="332"/>
        <v/>
      </c>
      <c r="GE57" s="69" t="str">
        <f t="shared" si="333"/>
        <v/>
      </c>
      <c r="GF57" s="69" t="str">
        <f t="shared" si="195"/>
        <v/>
      </c>
      <c r="GG57" s="69" t="str">
        <f t="shared" si="334"/>
        <v/>
      </c>
      <c r="GH57" s="69" t="str">
        <f t="shared" si="335"/>
        <v/>
      </c>
      <c r="GI57" s="69" t="str">
        <f t="shared" si="196"/>
        <v/>
      </c>
      <c r="GK57" s="69" t="str">
        <f t="shared" si="336"/>
        <v/>
      </c>
      <c r="GL57" s="69" t="str">
        <f t="shared" si="337"/>
        <v/>
      </c>
      <c r="GM57" s="69" t="str">
        <f t="shared" si="197"/>
        <v/>
      </c>
      <c r="GN57" s="69" t="str">
        <f t="shared" si="338"/>
        <v/>
      </c>
      <c r="GO57" s="69" t="str">
        <f t="shared" si="339"/>
        <v/>
      </c>
      <c r="GP57" s="69" t="str">
        <f t="shared" si="198"/>
        <v/>
      </c>
      <c r="GQ57" s="69" t="str">
        <f t="shared" si="340"/>
        <v/>
      </c>
      <c r="GR57" s="69" t="str">
        <f t="shared" si="341"/>
        <v/>
      </c>
      <c r="GS57" s="69" t="str">
        <f t="shared" si="199"/>
        <v/>
      </c>
      <c r="GT57" s="69" t="str">
        <f t="shared" si="342"/>
        <v/>
      </c>
      <c r="GU57" s="69" t="str">
        <f t="shared" si="343"/>
        <v/>
      </c>
      <c r="GV57" s="69" t="str">
        <f t="shared" si="200"/>
        <v/>
      </c>
      <c r="GX57" s="69" t="str">
        <f t="shared" si="201"/>
        <v/>
      </c>
      <c r="GY57" s="69" t="str">
        <f t="shared" si="202"/>
        <v/>
      </c>
      <c r="GZ57" s="69" t="str">
        <f t="shared" si="203"/>
        <v/>
      </c>
      <c r="HA57" s="69" t="str">
        <f t="shared" si="204"/>
        <v/>
      </c>
      <c r="HB57" s="69" t="str">
        <f t="shared" si="205"/>
        <v/>
      </c>
      <c r="HC57" s="69" t="str">
        <f t="shared" si="206"/>
        <v/>
      </c>
      <c r="HD57" s="69" t="str">
        <f t="shared" si="207"/>
        <v/>
      </c>
      <c r="HE57" s="69" t="str">
        <f t="shared" si="208"/>
        <v/>
      </c>
      <c r="HF57" s="69" t="str">
        <f t="shared" si="209"/>
        <v/>
      </c>
      <c r="HH57" s="69" t="str">
        <f t="shared" si="210"/>
        <v/>
      </c>
      <c r="HI57" s="69" t="str">
        <f t="shared" si="211"/>
        <v/>
      </c>
      <c r="HJ57" s="69" t="str">
        <f t="shared" si="212"/>
        <v/>
      </c>
      <c r="HK57" s="69" t="str">
        <f t="shared" si="213"/>
        <v/>
      </c>
      <c r="HL57" s="69" t="str">
        <f t="shared" si="214"/>
        <v/>
      </c>
      <c r="HM57" s="69" t="str">
        <f t="shared" si="215"/>
        <v/>
      </c>
      <c r="HO57" s="69" t="str">
        <f t="shared" si="216"/>
        <v/>
      </c>
      <c r="HP57" s="69" t="str">
        <f t="shared" si="217"/>
        <v/>
      </c>
      <c r="HQ57" s="69" t="str">
        <f t="shared" si="218"/>
        <v/>
      </c>
      <c r="HS57" s="69" t="str">
        <f t="shared" si="344"/>
        <v/>
      </c>
      <c r="HT57" s="69" t="str">
        <f t="shared" si="345"/>
        <v/>
      </c>
      <c r="HU57" s="69" t="str">
        <f t="shared" si="219"/>
        <v/>
      </c>
      <c r="HV57" s="69" t="str">
        <f t="shared" si="346"/>
        <v/>
      </c>
      <c r="HW57" s="69" t="str">
        <f t="shared" si="347"/>
        <v/>
      </c>
      <c r="HX57" s="69" t="str">
        <f t="shared" si="220"/>
        <v/>
      </c>
      <c r="HY57" s="69" t="str">
        <f t="shared" si="348"/>
        <v/>
      </c>
      <c r="HZ57" s="69" t="str">
        <f t="shared" si="349"/>
        <v/>
      </c>
      <c r="IA57" s="69" t="str">
        <f t="shared" si="221"/>
        <v/>
      </c>
      <c r="IB57" s="69" t="str">
        <f t="shared" si="350"/>
        <v/>
      </c>
      <c r="IC57" s="69" t="str">
        <f t="shared" si="351"/>
        <v/>
      </c>
      <c r="ID57" s="69" t="str">
        <f t="shared" si="222"/>
        <v/>
      </c>
      <c r="IE57" s="69" t="str">
        <f t="shared" si="352"/>
        <v/>
      </c>
      <c r="IF57" s="69" t="str">
        <f t="shared" si="353"/>
        <v/>
      </c>
      <c r="IG57" s="69" t="str">
        <f t="shared" si="223"/>
        <v/>
      </c>
      <c r="IH57" s="69" t="str">
        <f t="shared" si="354"/>
        <v/>
      </c>
      <c r="II57" s="69" t="str">
        <f t="shared" si="355"/>
        <v/>
      </c>
      <c r="IJ57" s="69" t="str">
        <f t="shared" si="224"/>
        <v/>
      </c>
      <c r="IK57" s="69" t="str">
        <f t="shared" si="356"/>
        <v/>
      </c>
      <c r="IL57" s="69" t="str">
        <f t="shared" si="357"/>
        <v/>
      </c>
      <c r="IM57" s="69" t="str">
        <f t="shared" si="225"/>
        <v/>
      </c>
      <c r="IN57" s="69" t="str">
        <f t="shared" si="226"/>
        <v/>
      </c>
      <c r="IO57" s="69" t="str">
        <f t="shared" si="227"/>
        <v/>
      </c>
      <c r="IP57" s="69" t="str">
        <f t="shared" si="228"/>
        <v/>
      </c>
      <c r="IQ57" s="69" t="str">
        <f t="shared" si="229"/>
        <v/>
      </c>
      <c r="IR57" s="69" t="str">
        <f t="shared" si="230"/>
        <v/>
      </c>
      <c r="IS57" s="69" t="str">
        <f t="shared" si="231"/>
        <v/>
      </c>
      <c r="IT57" s="69" t="str">
        <f t="shared" si="232"/>
        <v/>
      </c>
      <c r="IU57" s="69" t="str">
        <f t="shared" si="233"/>
        <v/>
      </c>
      <c r="IV57" s="69" t="str">
        <f t="shared" si="234"/>
        <v/>
      </c>
    </row>
    <row r="58" spans="1:256" x14ac:dyDescent="0.2">
      <c r="A58" s="57" t="s">
        <v>61</v>
      </c>
      <c r="B58" s="184"/>
      <c r="C58" s="179"/>
      <c r="D58" s="179"/>
      <c r="E58" s="179"/>
      <c r="F58" s="179"/>
      <c r="G58" s="180"/>
      <c r="H58" s="180"/>
      <c r="I58" s="181"/>
      <c r="J58" s="187"/>
      <c r="K58" s="186"/>
      <c r="L58" s="68">
        <f t="shared" si="237"/>
        <v>0</v>
      </c>
      <c r="M58" s="69" t="str">
        <f t="shared" si="238"/>
        <v/>
      </c>
      <c r="N58" s="69" t="str">
        <f t="shared" si="358"/>
        <v/>
      </c>
      <c r="O58" s="69" t="str">
        <f t="shared" si="122"/>
        <v/>
      </c>
      <c r="P58" s="69" t="str">
        <f t="shared" si="359"/>
        <v/>
      </c>
      <c r="Q58" s="70" t="str">
        <f t="shared" si="239"/>
        <v/>
      </c>
      <c r="R58" s="71" t="str">
        <f t="shared" si="124"/>
        <v/>
      </c>
      <c r="S58" s="71" t="str">
        <f t="shared" si="125"/>
        <v/>
      </c>
      <c r="T58" s="70" t="str">
        <f t="shared" si="240"/>
        <v/>
      </c>
      <c r="U58" s="71" t="str">
        <f t="shared" si="126"/>
        <v/>
      </c>
      <c r="V58" s="71" t="str">
        <f t="shared" si="127"/>
        <v/>
      </c>
      <c r="W58" s="70" t="str">
        <f t="shared" si="241"/>
        <v/>
      </c>
      <c r="X58" s="71" t="str">
        <f t="shared" si="128"/>
        <v/>
      </c>
      <c r="Y58" s="71" t="str">
        <f t="shared" si="129"/>
        <v/>
      </c>
      <c r="Z58" s="70" t="str">
        <f t="shared" si="242"/>
        <v/>
      </c>
      <c r="AA58" s="71" t="str">
        <f t="shared" si="130"/>
        <v/>
      </c>
      <c r="AB58" s="71" t="str">
        <f t="shared" si="131"/>
        <v/>
      </c>
      <c r="AC58" s="70" t="str">
        <f t="shared" si="243"/>
        <v/>
      </c>
      <c r="AD58" s="71" t="str">
        <f t="shared" si="132"/>
        <v/>
      </c>
      <c r="AE58" s="71" t="str">
        <f t="shared" si="133"/>
        <v/>
      </c>
      <c r="AF58" s="70" t="str">
        <f t="shared" si="244"/>
        <v/>
      </c>
      <c r="AG58" s="71" t="str">
        <f t="shared" si="134"/>
        <v/>
      </c>
      <c r="AH58" s="71" t="str">
        <f t="shared" si="135"/>
        <v/>
      </c>
      <c r="AI58" s="70" t="str">
        <f t="shared" si="245"/>
        <v/>
      </c>
      <c r="AJ58" s="71" t="str">
        <f t="shared" si="136"/>
        <v/>
      </c>
      <c r="AK58" s="71" t="str">
        <f t="shared" si="137"/>
        <v/>
      </c>
      <c r="AL58" s="70" t="str">
        <f t="shared" si="138"/>
        <v/>
      </c>
      <c r="AM58" s="71" t="str">
        <f t="shared" si="139"/>
        <v/>
      </c>
      <c r="AN58" s="71" t="str">
        <f t="shared" si="140"/>
        <v/>
      </c>
      <c r="AO58" s="70" t="str">
        <f t="shared" si="141"/>
        <v/>
      </c>
      <c r="AP58" s="71" t="str">
        <f t="shared" si="142"/>
        <v/>
      </c>
      <c r="AQ58" s="71" t="str">
        <f t="shared" si="143"/>
        <v/>
      </c>
      <c r="AR58" s="70" t="str">
        <f t="shared" si="144"/>
        <v/>
      </c>
      <c r="AS58" s="71" t="str">
        <f t="shared" si="145"/>
        <v/>
      </c>
      <c r="AT58" s="71" t="str">
        <f t="shared" si="146"/>
        <v/>
      </c>
      <c r="AU58" s="69" t="str">
        <f t="shared" si="147"/>
        <v/>
      </c>
      <c r="AV58" s="131" t="str">
        <f t="shared" si="148"/>
        <v/>
      </c>
      <c r="AW58" s="69" t="str">
        <f t="shared" si="236"/>
        <v/>
      </c>
      <c r="AX58" s="132" t="str">
        <f t="shared" si="150"/>
        <v/>
      </c>
      <c r="AY58" s="132" t="str">
        <f t="shared" si="151"/>
        <v/>
      </c>
      <c r="AZ58" s="69" t="str">
        <f t="shared" si="246"/>
        <v/>
      </c>
      <c r="BA58" s="69" t="str">
        <f t="shared" si="247"/>
        <v/>
      </c>
      <c r="BB58" s="69" t="str">
        <f t="shared" si="152"/>
        <v/>
      </c>
      <c r="BC58" s="69" t="str">
        <f t="shared" si="248"/>
        <v/>
      </c>
      <c r="BD58" s="69" t="str">
        <f t="shared" si="249"/>
        <v/>
      </c>
      <c r="BE58" s="69" t="str">
        <f t="shared" si="153"/>
        <v/>
      </c>
      <c r="BF58" s="69" t="str">
        <f t="shared" si="250"/>
        <v/>
      </c>
      <c r="BG58" s="69" t="str">
        <f t="shared" si="251"/>
        <v/>
      </c>
      <c r="BH58" s="69" t="str">
        <f t="shared" si="154"/>
        <v/>
      </c>
      <c r="BI58" s="69" t="str">
        <f t="shared" si="252"/>
        <v/>
      </c>
      <c r="BJ58" s="69" t="str">
        <f t="shared" si="253"/>
        <v/>
      </c>
      <c r="BK58" s="69" t="str">
        <f t="shared" si="155"/>
        <v/>
      </c>
      <c r="BL58" s="69" t="str">
        <f t="shared" si="254"/>
        <v/>
      </c>
      <c r="BM58" s="69" t="str">
        <f t="shared" si="255"/>
        <v/>
      </c>
      <c r="BN58" s="69" t="str">
        <f t="shared" si="156"/>
        <v/>
      </c>
      <c r="BO58" s="69" t="str">
        <f t="shared" si="256"/>
        <v/>
      </c>
      <c r="BP58" s="69" t="str">
        <f t="shared" si="257"/>
        <v/>
      </c>
      <c r="BQ58" s="69" t="str">
        <f t="shared" si="157"/>
        <v/>
      </c>
      <c r="BR58" s="69" t="str">
        <f t="shared" si="258"/>
        <v/>
      </c>
      <c r="BS58" s="69" t="str">
        <f t="shared" si="259"/>
        <v/>
      </c>
      <c r="BT58" s="69" t="str">
        <f t="shared" si="158"/>
        <v/>
      </c>
      <c r="BU58" s="69" t="str">
        <f t="shared" si="260"/>
        <v/>
      </c>
      <c r="BV58" s="69" t="str">
        <f t="shared" si="261"/>
        <v/>
      </c>
      <c r="BW58" s="69" t="str">
        <f t="shared" si="159"/>
        <v/>
      </c>
      <c r="BX58" s="69" t="str">
        <f t="shared" si="262"/>
        <v/>
      </c>
      <c r="BY58" s="69" t="str">
        <f t="shared" si="263"/>
        <v/>
      </c>
      <c r="BZ58" s="69" t="str">
        <f t="shared" si="160"/>
        <v/>
      </c>
      <c r="CA58" s="69" t="str">
        <f t="shared" si="264"/>
        <v/>
      </c>
      <c r="CB58" s="69" t="str">
        <f t="shared" si="265"/>
        <v/>
      </c>
      <c r="CC58" s="69" t="str">
        <f t="shared" si="161"/>
        <v/>
      </c>
      <c r="CE58" s="69" t="str">
        <f t="shared" si="266"/>
        <v/>
      </c>
      <c r="CF58" s="69" t="str">
        <f t="shared" si="267"/>
        <v/>
      </c>
      <c r="CG58" s="69" t="str">
        <f t="shared" si="162"/>
        <v/>
      </c>
      <c r="CH58" s="69" t="str">
        <f t="shared" si="268"/>
        <v/>
      </c>
      <c r="CI58" s="69" t="str">
        <f t="shared" si="269"/>
        <v/>
      </c>
      <c r="CJ58" s="69" t="str">
        <f t="shared" si="163"/>
        <v/>
      </c>
      <c r="CK58" s="69" t="str">
        <f t="shared" si="270"/>
        <v/>
      </c>
      <c r="CL58" s="69" t="str">
        <f t="shared" si="271"/>
        <v/>
      </c>
      <c r="CM58" s="69" t="str">
        <f t="shared" si="164"/>
        <v/>
      </c>
      <c r="CN58" s="69" t="str">
        <f t="shared" si="272"/>
        <v/>
      </c>
      <c r="CO58" s="69" t="str">
        <f t="shared" si="273"/>
        <v/>
      </c>
      <c r="CP58" s="69" t="str">
        <f t="shared" si="165"/>
        <v/>
      </c>
      <c r="CQ58" s="69" t="str">
        <f t="shared" si="274"/>
        <v/>
      </c>
      <c r="CR58" s="69" t="str">
        <f t="shared" si="275"/>
        <v/>
      </c>
      <c r="CS58" s="69" t="str">
        <f t="shared" si="166"/>
        <v/>
      </c>
      <c r="CT58" s="69" t="str">
        <f t="shared" si="276"/>
        <v/>
      </c>
      <c r="CU58" s="69" t="str">
        <f t="shared" si="277"/>
        <v/>
      </c>
      <c r="CV58" s="69" t="str">
        <f t="shared" si="167"/>
        <v/>
      </c>
      <c r="CW58" s="69" t="str">
        <f t="shared" si="278"/>
        <v/>
      </c>
      <c r="CX58" s="69" t="str">
        <f t="shared" si="279"/>
        <v/>
      </c>
      <c r="CY58" s="69" t="str">
        <f t="shared" si="168"/>
        <v/>
      </c>
      <c r="CZ58" s="69" t="str">
        <f t="shared" si="280"/>
        <v/>
      </c>
      <c r="DA58" s="69" t="str">
        <f t="shared" si="281"/>
        <v/>
      </c>
      <c r="DB58" s="69" t="str">
        <f t="shared" si="169"/>
        <v/>
      </c>
      <c r="DC58" s="69" t="str">
        <f t="shared" si="282"/>
        <v/>
      </c>
      <c r="DD58" s="69" t="str">
        <f t="shared" si="283"/>
        <v/>
      </c>
      <c r="DE58" s="69" t="str">
        <f t="shared" si="170"/>
        <v/>
      </c>
      <c r="DG58" s="69" t="str">
        <f t="shared" si="284"/>
        <v/>
      </c>
      <c r="DH58" s="69" t="str">
        <f t="shared" si="285"/>
        <v/>
      </c>
      <c r="DI58" s="69" t="str">
        <f t="shared" si="171"/>
        <v/>
      </c>
      <c r="DJ58" s="69" t="str">
        <f t="shared" si="286"/>
        <v/>
      </c>
      <c r="DK58" s="69" t="str">
        <f t="shared" si="287"/>
        <v/>
      </c>
      <c r="DL58" s="69" t="str">
        <f t="shared" si="172"/>
        <v/>
      </c>
      <c r="DM58" s="69" t="str">
        <f t="shared" si="288"/>
        <v/>
      </c>
      <c r="DN58" s="69" t="str">
        <f t="shared" si="289"/>
        <v/>
      </c>
      <c r="DO58" s="69" t="str">
        <f t="shared" si="173"/>
        <v/>
      </c>
      <c r="DP58" s="69" t="str">
        <f t="shared" si="290"/>
        <v/>
      </c>
      <c r="DQ58" s="69" t="str">
        <f t="shared" si="291"/>
        <v/>
      </c>
      <c r="DR58" s="69" t="str">
        <f t="shared" si="174"/>
        <v/>
      </c>
      <c r="DS58" s="69" t="str">
        <f t="shared" si="292"/>
        <v/>
      </c>
      <c r="DT58" s="69" t="str">
        <f t="shared" si="293"/>
        <v/>
      </c>
      <c r="DU58" s="69" t="str">
        <f t="shared" si="175"/>
        <v/>
      </c>
      <c r="DV58" s="69" t="str">
        <f t="shared" si="294"/>
        <v/>
      </c>
      <c r="DW58" s="69" t="str">
        <f t="shared" si="295"/>
        <v/>
      </c>
      <c r="DX58" s="69" t="str">
        <f t="shared" si="176"/>
        <v/>
      </c>
      <c r="DY58" s="69" t="str">
        <f t="shared" si="296"/>
        <v/>
      </c>
      <c r="DZ58" s="69" t="str">
        <f t="shared" si="297"/>
        <v/>
      </c>
      <c r="EA58" s="69" t="str">
        <f t="shared" si="177"/>
        <v/>
      </c>
      <c r="EB58" s="69" t="str">
        <f t="shared" si="298"/>
        <v/>
      </c>
      <c r="EC58" s="69" t="str">
        <f t="shared" si="299"/>
        <v/>
      </c>
      <c r="ED58" s="69" t="str">
        <f t="shared" si="178"/>
        <v/>
      </c>
      <c r="EF58" s="69" t="str">
        <f t="shared" si="300"/>
        <v/>
      </c>
      <c r="EG58" s="69" t="str">
        <f t="shared" si="301"/>
        <v/>
      </c>
      <c r="EH58" s="69" t="str">
        <f t="shared" si="179"/>
        <v/>
      </c>
      <c r="EI58" s="69" t="str">
        <f t="shared" si="302"/>
        <v/>
      </c>
      <c r="EJ58" s="69" t="str">
        <f t="shared" si="303"/>
        <v/>
      </c>
      <c r="EK58" s="69" t="str">
        <f t="shared" si="180"/>
        <v/>
      </c>
      <c r="EL58" s="69" t="str">
        <f t="shared" si="304"/>
        <v/>
      </c>
      <c r="EM58" s="69" t="str">
        <f t="shared" si="305"/>
        <v/>
      </c>
      <c r="EN58" s="69" t="str">
        <f t="shared" si="181"/>
        <v/>
      </c>
      <c r="EO58" s="69" t="str">
        <f t="shared" si="306"/>
        <v/>
      </c>
      <c r="EP58" s="69" t="str">
        <f t="shared" si="307"/>
        <v/>
      </c>
      <c r="EQ58" s="69" t="str">
        <f t="shared" si="182"/>
        <v/>
      </c>
      <c r="ER58" s="69" t="str">
        <f t="shared" si="308"/>
        <v/>
      </c>
      <c r="ES58" s="69" t="str">
        <f t="shared" si="309"/>
        <v/>
      </c>
      <c r="ET58" s="69" t="str">
        <f t="shared" si="183"/>
        <v/>
      </c>
      <c r="EU58" s="69" t="str">
        <f t="shared" si="310"/>
        <v/>
      </c>
      <c r="EV58" s="69" t="str">
        <f t="shared" si="311"/>
        <v/>
      </c>
      <c r="EW58" s="69" t="str">
        <f t="shared" si="184"/>
        <v/>
      </c>
      <c r="EX58" s="69" t="str">
        <f t="shared" si="312"/>
        <v/>
      </c>
      <c r="EY58" s="69" t="str">
        <f t="shared" si="313"/>
        <v/>
      </c>
      <c r="EZ58" s="69" t="str">
        <f t="shared" si="185"/>
        <v/>
      </c>
      <c r="FB58" s="69" t="str">
        <f t="shared" si="314"/>
        <v/>
      </c>
      <c r="FC58" s="69" t="str">
        <f t="shared" si="315"/>
        <v/>
      </c>
      <c r="FD58" s="69" t="str">
        <f t="shared" si="186"/>
        <v/>
      </c>
      <c r="FE58" s="69" t="str">
        <f t="shared" si="316"/>
        <v/>
      </c>
      <c r="FF58" s="69" t="str">
        <f t="shared" si="317"/>
        <v/>
      </c>
      <c r="FG58" s="69" t="str">
        <f t="shared" si="187"/>
        <v/>
      </c>
      <c r="FH58" s="69" t="str">
        <f t="shared" si="318"/>
        <v/>
      </c>
      <c r="FI58" s="69" t="str">
        <f t="shared" si="319"/>
        <v/>
      </c>
      <c r="FJ58" s="69" t="str">
        <f t="shared" si="188"/>
        <v/>
      </c>
      <c r="FK58" s="69" t="str">
        <f t="shared" si="320"/>
        <v/>
      </c>
      <c r="FL58" s="69" t="str">
        <f t="shared" si="321"/>
        <v/>
      </c>
      <c r="FM58" s="69" t="str">
        <f t="shared" si="189"/>
        <v/>
      </c>
      <c r="FN58" s="69" t="str">
        <f t="shared" si="322"/>
        <v/>
      </c>
      <c r="FO58" s="69" t="str">
        <f t="shared" si="323"/>
        <v/>
      </c>
      <c r="FP58" s="69" t="str">
        <f t="shared" si="190"/>
        <v/>
      </c>
      <c r="FQ58" s="69" t="str">
        <f t="shared" si="324"/>
        <v/>
      </c>
      <c r="FR58" s="69" t="str">
        <f t="shared" si="325"/>
        <v/>
      </c>
      <c r="FS58" s="69" t="str">
        <f t="shared" si="191"/>
        <v/>
      </c>
      <c r="FU58" s="69" t="str">
        <f t="shared" si="326"/>
        <v/>
      </c>
      <c r="FV58" s="69" t="str">
        <f t="shared" si="327"/>
        <v/>
      </c>
      <c r="FW58" s="69" t="str">
        <f t="shared" si="192"/>
        <v/>
      </c>
      <c r="FX58" s="69" t="str">
        <f t="shared" si="328"/>
        <v/>
      </c>
      <c r="FY58" s="69" t="str">
        <f t="shared" si="329"/>
        <v/>
      </c>
      <c r="FZ58" s="69" t="str">
        <f t="shared" si="193"/>
        <v/>
      </c>
      <c r="GA58" s="69" t="str">
        <f t="shared" si="330"/>
        <v/>
      </c>
      <c r="GB58" s="69" t="str">
        <f t="shared" si="331"/>
        <v/>
      </c>
      <c r="GC58" s="69" t="str">
        <f t="shared" si="194"/>
        <v/>
      </c>
      <c r="GD58" s="69" t="str">
        <f t="shared" si="332"/>
        <v/>
      </c>
      <c r="GE58" s="69" t="str">
        <f t="shared" si="333"/>
        <v/>
      </c>
      <c r="GF58" s="69" t="str">
        <f t="shared" si="195"/>
        <v/>
      </c>
      <c r="GG58" s="69" t="str">
        <f t="shared" si="334"/>
        <v/>
      </c>
      <c r="GH58" s="69" t="str">
        <f t="shared" si="335"/>
        <v/>
      </c>
      <c r="GI58" s="69" t="str">
        <f t="shared" si="196"/>
        <v/>
      </c>
      <c r="GK58" s="69" t="str">
        <f t="shared" si="336"/>
        <v/>
      </c>
      <c r="GL58" s="69" t="str">
        <f t="shared" si="337"/>
        <v/>
      </c>
      <c r="GM58" s="69" t="str">
        <f t="shared" si="197"/>
        <v/>
      </c>
      <c r="GN58" s="69" t="str">
        <f t="shared" si="338"/>
        <v/>
      </c>
      <c r="GO58" s="69" t="str">
        <f t="shared" si="339"/>
        <v/>
      </c>
      <c r="GP58" s="69" t="str">
        <f t="shared" si="198"/>
        <v/>
      </c>
      <c r="GQ58" s="69" t="str">
        <f t="shared" si="340"/>
        <v/>
      </c>
      <c r="GR58" s="69" t="str">
        <f t="shared" si="341"/>
        <v/>
      </c>
      <c r="GS58" s="69" t="str">
        <f t="shared" si="199"/>
        <v/>
      </c>
      <c r="GT58" s="69" t="str">
        <f t="shared" si="342"/>
        <v/>
      </c>
      <c r="GU58" s="69" t="str">
        <f t="shared" si="343"/>
        <v/>
      </c>
      <c r="GV58" s="69" t="str">
        <f t="shared" si="200"/>
        <v/>
      </c>
      <c r="GX58" s="69" t="str">
        <f t="shared" si="201"/>
        <v/>
      </c>
      <c r="GY58" s="69" t="str">
        <f t="shared" si="202"/>
        <v/>
      </c>
      <c r="GZ58" s="69" t="str">
        <f t="shared" si="203"/>
        <v/>
      </c>
      <c r="HA58" s="69" t="str">
        <f t="shared" si="204"/>
        <v/>
      </c>
      <c r="HB58" s="69" t="str">
        <f t="shared" si="205"/>
        <v/>
      </c>
      <c r="HC58" s="69" t="str">
        <f t="shared" si="206"/>
        <v/>
      </c>
      <c r="HD58" s="69" t="str">
        <f t="shared" si="207"/>
        <v/>
      </c>
      <c r="HE58" s="69" t="str">
        <f t="shared" si="208"/>
        <v/>
      </c>
      <c r="HF58" s="69" t="str">
        <f t="shared" si="209"/>
        <v/>
      </c>
      <c r="HH58" s="69" t="str">
        <f t="shared" si="210"/>
        <v/>
      </c>
      <c r="HI58" s="69" t="str">
        <f t="shared" si="211"/>
        <v/>
      </c>
      <c r="HJ58" s="69" t="str">
        <f t="shared" si="212"/>
        <v/>
      </c>
      <c r="HK58" s="69" t="str">
        <f t="shared" si="213"/>
        <v/>
      </c>
      <c r="HL58" s="69" t="str">
        <f t="shared" si="214"/>
        <v/>
      </c>
      <c r="HM58" s="69" t="str">
        <f t="shared" si="215"/>
        <v/>
      </c>
      <c r="HO58" s="69" t="str">
        <f t="shared" si="216"/>
        <v/>
      </c>
      <c r="HP58" s="69" t="str">
        <f t="shared" si="217"/>
        <v/>
      </c>
      <c r="HQ58" s="69" t="str">
        <f t="shared" si="218"/>
        <v/>
      </c>
      <c r="HS58" s="69" t="str">
        <f t="shared" si="344"/>
        <v/>
      </c>
      <c r="HT58" s="69" t="str">
        <f t="shared" si="345"/>
        <v/>
      </c>
      <c r="HU58" s="69" t="str">
        <f t="shared" si="219"/>
        <v/>
      </c>
      <c r="HV58" s="69" t="str">
        <f t="shared" si="346"/>
        <v/>
      </c>
      <c r="HW58" s="69" t="str">
        <f t="shared" si="347"/>
        <v/>
      </c>
      <c r="HX58" s="69" t="str">
        <f t="shared" si="220"/>
        <v/>
      </c>
      <c r="HY58" s="69" t="str">
        <f t="shared" si="348"/>
        <v/>
      </c>
      <c r="HZ58" s="69" t="str">
        <f t="shared" si="349"/>
        <v/>
      </c>
      <c r="IA58" s="69" t="str">
        <f t="shared" si="221"/>
        <v/>
      </c>
      <c r="IB58" s="69" t="str">
        <f t="shared" si="350"/>
        <v/>
      </c>
      <c r="IC58" s="69" t="str">
        <f t="shared" si="351"/>
        <v/>
      </c>
      <c r="ID58" s="69" t="str">
        <f t="shared" si="222"/>
        <v/>
      </c>
      <c r="IE58" s="69" t="str">
        <f t="shared" si="352"/>
        <v/>
      </c>
      <c r="IF58" s="69" t="str">
        <f t="shared" si="353"/>
        <v/>
      </c>
      <c r="IG58" s="69" t="str">
        <f t="shared" si="223"/>
        <v/>
      </c>
      <c r="IH58" s="69" t="str">
        <f t="shared" si="354"/>
        <v/>
      </c>
      <c r="II58" s="69" t="str">
        <f t="shared" si="355"/>
        <v/>
      </c>
      <c r="IJ58" s="69" t="str">
        <f t="shared" si="224"/>
        <v/>
      </c>
      <c r="IK58" s="69" t="str">
        <f t="shared" si="356"/>
        <v/>
      </c>
      <c r="IL58" s="69" t="str">
        <f t="shared" si="357"/>
        <v/>
      </c>
      <c r="IM58" s="69" t="str">
        <f t="shared" si="225"/>
        <v/>
      </c>
      <c r="IN58" s="69" t="str">
        <f t="shared" si="226"/>
        <v/>
      </c>
      <c r="IO58" s="69" t="str">
        <f t="shared" si="227"/>
        <v/>
      </c>
      <c r="IP58" s="69" t="str">
        <f t="shared" si="228"/>
        <v/>
      </c>
      <c r="IQ58" s="69" t="str">
        <f t="shared" si="229"/>
        <v/>
      </c>
      <c r="IR58" s="69" t="str">
        <f t="shared" si="230"/>
        <v/>
      </c>
      <c r="IS58" s="69" t="str">
        <f t="shared" si="231"/>
        <v/>
      </c>
      <c r="IT58" s="69" t="str">
        <f t="shared" si="232"/>
        <v/>
      </c>
      <c r="IU58" s="69" t="str">
        <f t="shared" si="233"/>
        <v/>
      </c>
      <c r="IV58" s="69" t="str">
        <f t="shared" si="234"/>
        <v/>
      </c>
    </row>
    <row r="59" spans="1:256" x14ac:dyDescent="0.2">
      <c r="A59" s="57" t="s">
        <v>62</v>
      </c>
      <c r="B59" s="184"/>
      <c r="C59" s="179"/>
      <c r="D59" s="179"/>
      <c r="E59" s="179"/>
      <c r="F59" s="179"/>
      <c r="G59" s="180"/>
      <c r="H59" s="180"/>
      <c r="I59" s="181"/>
      <c r="J59" s="187"/>
      <c r="K59" s="186"/>
      <c r="L59" s="68">
        <f t="shared" si="237"/>
        <v>0</v>
      </c>
      <c r="M59" s="69" t="str">
        <f t="shared" si="238"/>
        <v/>
      </c>
      <c r="N59" s="69" t="str">
        <f t="shared" si="358"/>
        <v/>
      </c>
      <c r="O59" s="69" t="str">
        <f t="shared" si="122"/>
        <v/>
      </c>
      <c r="P59" s="69" t="str">
        <f t="shared" si="359"/>
        <v/>
      </c>
      <c r="Q59" s="70" t="str">
        <f t="shared" si="239"/>
        <v/>
      </c>
      <c r="R59" s="71" t="str">
        <f t="shared" si="124"/>
        <v/>
      </c>
      <c r="S59" s="71" t="str">
        <f t="shared" si="125"/>
        <v/>
      </c>
      <c r="T59" s="70" t="str">
        <f t="shared" si="240"/>
        <v/>
      </c>
      <c r="U59" s="71" t="str">
        <f t="shared" si="126"/>
        <v/>
      </c>
      <c r="V59" s="71" t="str">
        <f t="shared" si="127"/>
        <v/>
      </c>
      <c r="W59" s="70" t="str">
        <f t="shared" si="241"/>
        <v/>
      </c>
      <c r="X59" s="71" t="str">
        <f t="shared" si="128"/>
        <v/>
      </c>
      <c r="Y59" s="71" t="str">
        <f t="shared" si="129"/>
        <v/>
      </c>
      <c r="Z59" s="70" t="str">
        <f t="shared" si="242"/>
        <v/>
      </c>
      <c r="AA59" s="71" t="str">
        <f t="shared" si="130"/>
        <v/>
      </c>
      <c r="AB59" s="71" t="str">
        <f t="shared" si="131"/>
        <v/>
      </c>
      <c r="AC59" s="70" t="str">
        <f t="shared" si="243"/>
        <v/>
      </c>
      <c r="AD59" s="71" t="str">
        <f t="shared" si="132"/>
        <v/>
      </c>
      <c r="AE59" s="71" t="str">
        <f t="shared" si="133"/>
        <v/>
      </c>
      <c r="AF59" s="70" t="str">
        <f t="shared" si="244"/>
        <v/>
      </c>
      <c r="AG59" s="71" t="str">
        <f t="shared" si="134"/>
        <v/>
      </c>
      <c r="AH59" s="71" t="str">
        <f t="shared" si="135"/>
        <v/>
      </c>
      <c r="AI59" s="70" t="str">
        <f t="shared" si="245"/>
        <v/>
      </c>
      <c r="AJ59" s="71" t="str">
        <f t="shared" si="136"/>
        <v/>
      </c>
      <c r="AK59" s="71" t="str">
        <f t="shared" si="137"/>
        <v/>
      </c>
      <c r="AL59" s="70" t="str">
        <f t="shared" si="138"/>
        <v/>
      </c>
      <c r="AM59" s="71" t="str">
        <f t="shared" si="139"/>
        <v/>
      </c>
      <c r="AN59" s="71" t="str">
        <f t="shared" si="140"/>
        <v/>
      </c>
      <c r="AO59" s="70" t="str">
        <f t="shared" si="141"/>
        <v/>
      </c>
      <c r="AP59" s="71" t="str">
        <f t="shared" si="142"/>
        <v/>
      </c>
      <c r="AQ59" s="71" t="str">
        <f t="shared" si="143"/>
        <v/>
      </c>
      <c r="AR59" s="70" t="str">
        <f t="shared" si="144"/>
        <v/>
      </c>
      <c r="AS59" s="71" t="str">
        <f t="shared" si="145"/>
        <v/>
      </c>
      <c r="AT59" s="71" t="str">
        <f t="shared" si="146"/>
        <v/>
      </c>
      <c r="AU59" s="69" t="str">
        <f t="shared" si="147"/>
        <v/>
      </c>
      <c r="AV59" s="131" t="str">
        <f t="shared" si="148"/>
        <v/>
      </c>
      <c r="AW59" s="69" t="str">
        <f t="shared" si="236"/>
        <v/>
      </c>
      <c r="AX59" s="132" t="str">
        <f t="shared" si="150"/>
        <v/>
      </c>
      <c r="AY59" s="132" t="str">
        <f t="shared" si="151"/>
        <v/>
      </c>
      <c r="AZ59" s="69" t="str">
        <f t="shared" si="246"/>
        <v/>
      </c>
      <c r="BA59" s="69" t="str">
        <f t="shared" si="247"/>
        <v/>
      </c>
      <c r="BB59" s="69" t="str">
        <f t="shared" si="152"/>
        <v/>
      </c>
      <c r="BC59" s="69" t="str">
        <f t="shared" si="248"/>
        <v/>
      </c>
      <c r="BD59" s="69" t="str">
        <f t="shared" si="249"/>
        <v/>
      </c>
      <c r="BE59" s="69" t="str">
        <f t="shared" si="153"/>
        <v/>
      </c>
      <c r="BF59" s="69" t="str">
        <f t="shared" si="250"/>
        <v/>
      </c>
      <c r="BG59" s="69" t="str">
        <f t="shared" si="251"/>
        <v/>
      </c>
      <c r="BH59" s="69" t="str">
        <f t="shared" si="154"/>
        <v/>
      </c>
      <c r="BI59" s="69" t="str">
        <f t="shared" si="252"/>
        <v/>
      </c>
      <c r="BJ59" s="69" t="str">
        <f t="shared" si="253"/>
        <v/>
      </c>
      <c r="BK59" s="69" t="str">
        <f t="shared" si="155"/>
        <v/>
      </c>
      <c r="BL59" s="69" t="str">
        <f t="shared" si="254"/>
        <v/>
      </c>
      <c r="BM59" s="69" t="str">
        <f t="shared" si="255"/>
        <v/>
      </c>
      <c r="BN59" s="69" t="str">
        <f t="shared" si="156"/>
        <v/>
      </c>
      <c r="BO59" s="69" t="str">
        <f t="shared" si="256"/>
        <v/>
      </c>
      <c r="BP59" s="69" t="str">
        <f t="shared" si="257"/>
        <v/>
      </c>
      <c r="BQ59" s="69" t="str">
        <f t="shared" si="157"/>
        <v/>
      </c>
      <c r="BR59" s="69" t="str">
        <f t="shared" si="258"/>
        <v/>
      </c>
      <c r="BS59" s="69" t="str">
        <f t="shared" si="259"/>
        <v/>
      </c>
      <c r="BT59" s="69" t="str">
        <f t="shared" si="158"/>
        <v/>
      </c>
      <c r="BU59" s="69" t="str">
        <f t="shared" si="260"/>
        <v/>
      </c>
      <c r="BV59" s="69" t="str">
        <f t="shared" si="261"/>
        <v/>
      </c>
      <c r="BW59" s="69" t="str">
        <f t="shared" si="159"/>
        <v/>
      </c>
      <c r="BX59" s="69" t="str">
        <f t="shared" si="262"/>
        <v/>
      </c>
      <c r="BY59" s="69" t="str">
        <f t="shared" si="263"/>
        <v/>
      </c>
      <c r="BZ59" s="69" t="str">
        <f t="shared" si="160"/>
        <v/>
      </c>
      <c r="CA59" s="69" t="str">
        <f t="shared" si="264"/>
        <v/>
      </c>
      <c r="CB59" s="69" t="str">
        <f t="shared" si="265"/>
        <v/>
      </c>
      <c r="CC59" s="69" t="str">
        <f t="shared" si="161"/>
        <v/>
      </c>
      <c r="CE59" s="69" t="str">
        <f t="shared" si="266"/>
        <v/>
      </c>
      <c r="CF59" s="69" t="str">
        <f t="shared" si="267"/>
        <v/>
      </c>
      <c r="CG59" s="69" t="str">
        <f t="shared" si="162"/>
        <v/>
      </c>
      <c r="CH59" s="69" t="str">
        <f t="shared" si="268"/>
        <v/>
      </c>
      <c r="CI59" s="69" t="str">
        <f t="shared" si="269"/>
        <v/>
      </c>
      <c r="CJ59" s="69" t="str">
        <f t="shared" si="163"/>
        <v/>
      </c>
      <c r="CK59" s="69" t="str">
        <f t="shared" si="270"/>
        <v/>
      </c>
      <c r="CL59" s="69" t="str">
        <f t="shared" si="271"/>
        <v/>
      </c>
      <c r="CM59" s="69" t="str">
        <f t="shared" si="164"/>
        <v/>
      </c>
      <c r="CN59" s="69" t="str">
        <f t="shared" si="272"/>
        <v/>
      </c>
      <c r="CO59" s="69" t="str">
        <f t="shared" si="273"/>
        <v/>
      </c>
      <c r="CP59" s="69" t="str">
        <f t="shared" si="165"/>
        <v/>
      </c>
      <c r="CQ59" s="69" t="str">
        <f t="shared" si="274"/>
        <v/>
      </c>
      <c r="CR59" s="69" t="str">
        <f t="shared" si="275"/>
        <v/>
      </c>
      <c r="CS59" s="69" t="str">
        <f t="shared" si="166"/>
        <v/>
      </c>
      <c r="CT59" s="69" t="str">
        <f t="shared" si="276"/>
        <v/>
      </c>
      <c r="CU59" s="69" t="str">
        <f t="shared" si="277"/>
        <v/>
      </c>
      <c r="CV59" s="69" t="str">
        <f t="shared" si="167"/>
        <v/>
      </c>
      <c r="CW59" s="69" t="str">
        <f t="shared" si="278"/>
        <v/>
      </c>
      <c r="CX59" s="69" t="str">
        <f t="shared" si="279"/>
        <v/>
      </c>
      <c r="CY59" s="69" t="str">
        <f t="shared" si="168"/>
        <v/>
      </c>
      <c r="CZ59" s="69" t="str">
        <f t="shared" si="280"/>
        <v/>
      </c>
      <c r="DA59" s="69" t="str">
        <f t="shared" si="281"/>
        <v/>
      </c>
      <c r="DB59" s="69" t="str">
        <f t="shared" si="169"/>
        <v/>
      </c>
      <c r="DC59" s="69" t="str">
        <f t="shared" si="282"/>
        <v/>
      </c>
      <c r="DD59" s="69" t="str">
        <f t="shared" si="283"/>
        <v/>
      </c>
      <c r="DE59" s="69" t="str">
        <f t="shared" si="170"/>
        <v/>
      </c>
      <c r="DG59" s="69" t="str">
        <f t="shared" si="284"/>
        <v/>
      </c>
      <c r="DH59" s="69" t="str">
        <f t="shared" si="285"/>
        <v/>
      </c>
      <c r="DI59" s="69" t="str">
        <f t="shared" si="171"/>
        <v/>
      </c>
      <c r="DJ59" s="69" t="str">
        <f t="shared" si="286"/>
        <v/>
      </c>
      <c r="DK59" s="69" t="str">
        <f t="shared" si="287"/>
        <v/>
      </c>
      <c r="DL59" s="69" t="str">
        <f t="shared" si="172"/>
        <v/>
      </c>
      <c r="DM59" s="69" t="str">
        <f t="shared" si="288"/>
        <v/>
      </c>
      <c r="DN59" s="69" t="str">
        <f t="shared" si="289"/>
        <v/>
      </c>
      <c r="DO59" s="69" t="str">
        <f t="shared" si="173"/>
        <v/>
      </c>
      <c r="DP59" s="69" t="str">
        <f t="shared" si="290"/>
        <v/>
      </c>
      <c r="DQ59" s="69" t="str">
        <f t="shared" si="291"/>
        <v/>
      </c>
      <c r="DR59" s="69" t="str">
        <f t="shared" si="174"/>
        <v/>
      </c>
      <c r="DS59" s="69" t="str">
        <f t="shared" si="292"/>
        <v/>
      </c>
      <c r="DT59" s="69" t="str">
        <f t="shared" si="293"/>
        <v/>
      </c>
      <c r="DU59" s="69" t="str">
        <f t="shared" si="175"/>
        <v/>
      </c>
      <c r="DV59" s="69" t="str">
        <f t="shared" si="294"/>
        <v/>
      </c>
      <c r="DW59" s="69" t="str">
        <f t="shared" si="295"/>
        <v/>
      </c>
      <c r="DX59" s="69" t="str">
        <f t="shared" si="176"/>
        <v/>
      </c>
      <c r="DY59" s="69" t="str">
        <f t="shared" si="296"/>
        <v/>
      </c>
      <c r="DZ59" s="69" t="str">
        <f t="shared" si="297"/>
        <v/>
      </c>
      <c r="EA59" s="69" t="str">
        <f t="shared" si="177"/>
        <v/>
      </c>
      <c r="EB59" s="69" t="str">
        <f t="shared" si="298"/>
        <v/>
      </c>
      <c r="EC59" s="69" t="str">
        <f t="shared" si="299"/>
        <v/>
      </c>
      <c r="ED59" s="69" t="str">
        <f t="shared" si="178"/>
        <v/>
      </c>
      <c r="EF59" s="69" t="str">
        <f t="shared" si="300"/>
        <v/>
      </c>
      <c r="EG59" s="69" t="str">
        <f t="shared" si="301"/>
        <v/>
      </c>
      <c r="EH59" s="69" t="str">
        <f t="shared" si="179"/>
        <v/>
      </c>
      <c r="EI59" s="69" t="str">
        <f t="shared" si="302"/>
        <v/>
      </c>
      <c r="EJ59" s="69" t="str">
        <f t="shared" si="303"/>
        <v/>
      </c>
      <c r="EK59" s="69" t="str">
        <f t="shared" si="180"/>
        <v/>
      </c>
      <c r="EL59" s="69" t="str">
        <f t="shared" si="304"/>
        <v/>
      </c>
      <c r="EM59" s="69" t="str">
        <f t="shared" si="305"/>
        <v/>
      </c>
      <c r="EN59" s="69" t="str">
        <f t="shared" si="181"/>
        <v/>
      </c>
      <c r="EO59" s="69" t="str">
        <f t="shared" si="306"/>
        <v/>
      </c>
      <c r="EP59" s="69" t="str">
        <f t="shared" si="307"/>
        <v/>
      </c>
      <c r="EQ59" s="69" t="str">
        <f t="shared" si="182"/>
        <v/>
      </c>
      <c r="ER59" s="69" t="str">
        <f t="shared" si="308"/>
        <v/>
      </c>
      <c r="ES59" s="69" t="str">
        <f t="shared" si="309"/>
        <v/>
      </c>
      <c r="ET59" s="69" t="str">
        <f t="shared" si="183"/>
        <v/>
      </c>
      <c r="EU59" s="69" t="str">
        <f t="shared" si="310"/>
        <v/>
      </c>
      <c r="EV59" s="69" t="str">
        <f t="shared" si="311"/>
        <v/>
      </c>
      <c r="EW59" s="69" t="str">
        <f t="shared" si="184"/>
        <v/>
      </c>
      <c r="EX59" s="69" t="str">
        <f t="shared" si="312"/>
        <v/>
      </c>
      <c r="EY59" s="69" t="str">
        <f t="shared" si="313"/>
        <v/>
      </c>
      <c r="EZ59" s="69" t="str">
        <f t="shared" si="185"/>
        <v/>
      </c>
      <c r="FB59" s="69" t="str">
        <f t="shared" si="314"/>
        <v/>
      </c>
      <c r="FC59" s="69" t="str">
        <f t="shared" si="315"/>
        <v/>
      </c>
      <c r="FD59" s="69" t="str">
        <f t="shared" si="186"/>
        <v/>
      </c>
      <c r="FE59" s="69" t="str">
        <f t="shared" si="316"/>
        <v/>
      </c>
      <c r="FF59" s="69" t="str">
        <f t="shared" si="317"/>
        <v/>
      </c>
      <c r="FG59" s="69" t="str">
        <f t="shared" si="187"/>
        <v/>
      </c>
      <c r="FH59" s="69" t="str">
        <f t="shared" si="318"/>
        <v/>
      </c>
      <c r="FI59" s="69" t="str">
        <f t="shared" si="319"/>
        <v/>
      </c>
      <c r="FJ59" s="69" t="str">
        <f t="shared" si="188"/>
        <v/>
      </c>
      <c r="FK59" s="69" t="str">
        <f t="shared" si="320"/>
        <v/>
      </c>
      <c r="FL59" s="69" t="str">
        <f t="shared" si="321"/>
        <v/>
      </c>
      <c r="FM59" s="69" t="str">
        <f t="shared" si="189"/>
        <v/>
      </c>
      <c r="FN59" s="69" t="str">
        <f t="shared" si="322"/>
        <v/>
      </c>
      <c r="FO59" s="69" t="str">
        <f t="shared" si="323"/>
        <v/>
      </c>
      <c r="FP59" s="69" t="str">
        <f t="shared" si="190"/>
        <v/>
      </c>
      <c r="FQ59" s="69" t="str">
        <f t="shared" si="324"/>
        <v/>
      </c>
      <c r="FR59" s="69" t="str">
        <f t="shared" si="325"/>
        <v/>
      </c>
      <c r="FS59" s="69" t="str">
        <f t="shared" si="191"/>
        <v/>
      </c>
      <c r="FU59" s="69" t="str">
        <f t="shared" si="326"/>
        <v/>
      </c>
      <c r="FV59" s="69" t="str">
        <f t="shared" si="327"/>
        <v/>
      </c>
      <c r="FW59" s="69" t="str">
        <f t="shared" si="192"/>
        <v/>
      </c>
      <c r="FX59" s="69" t="str">
        <f t="shared" si="328"/>
        <v/>
      </c>
      <c r="FY59" s="69" t="str">
        <f t="shared" si="329"/>
        <v/>
      </c>
      <c r="FZ59" s="69" t="str">
        <f t="shared" si="193"/>
        <v/>
      </c>
      <c r="GA59" s="69" t="str">
        <f t="shared" si="330"/>
        <v/>
      </c>
      <c r="GB59" s="69" t="str">
        <f t="shared" si="331"/>
        <v/>
      </c>
      <c r="GC59" s="69" t="str">
        <f t="shared" si="194"/>
        <v/>
      </c>
      <c r="GD59" s="69" t="str">
        <f t="shared" si="332"/>
        <v/>
      </c>
      <c r="GE59" s="69" t="str">
        <f t="shared" si="333"/>
        <v/>
      </c>
      <c r="GF59" s="69" t="str">
        <f t="shared" si="195"/>
        <v/>
      </c>
      <c r="GG59" s="69" t="str">
        <f t="shared" si="334"/>
        <v/>
      </c>
      <c r="GH59" s="69" t="str">
        <f t="shared" si="335"/>
        <v/>
      </c>
      <c r="GI59" s="69" t="str">
        <f t="shared" si="196"/>
        <v/>
      </c>
      <c r="GK59" s="69" t="str">
        <f t="shared" si="336"/>
        <v/>
      </c>
      <c r="GL59" s="69" t="str">
        <f t="shared" si="337"/>
        <v/>
      </c>
      <c r="GM59" s="69" t="str">
        <f t="shared" si="197"/>
        <v/>
      </c>
      <c r="GN59" s="69" t="str">
        <f t="shared" si="338"/>
        <v/>
      </c>
      <c r="GO59" s="69" t="str">
        <f t="shared" si="339"/>
        <v/>
      </c>
      <c r="GP59" s="69" t="str">
        <f t="shared" si="198"/>
        <v/>
      </c>
      <c r="GQ59" s="69" t="str">
        <f t="shared" si="340"/>
        <v/>
      </c>
      <c r="GR59" s="69" t="str">
        <f t="shared" si="341"/>
        <v/>
      </c>
      <c r="GS59" s="69" t="str">
        <f t="shared" si="199"/>
        <v/>
      </c>
      <c r="GT59" s="69" t="str">
        <f t="shared" si="342"/>
        <v/>
      </c>
      <c r="GU59" s="69" t="str">
        <f t="shared" si="343"/>
        <v/>
      </c>
      <c r="GV59" s="69" t="str">
        <f t="shared" si="200"/>
        <v/>
      </c>
      <c r="GX59" s="69" t="str">
        <f t="shared" si="201"/>
        <v/>
      </c>
      <c r="GY59" s="69" t="str">
        <f t="shared" si="202"/>
        <v/>
      </c>
      <c r="GZ59" s="69" t="str">
        <f t="shared" si="203"/>
        <v/>
      </c>
      <c r="HA59" s="69" t="str">
        <f t="shared" si="204"/>
        <v/>
      </c>
      <c r="HB59" s="69" t="str">
        <f t="shared" si="205"/>
        <v/>
      </c>
      <c r="HC59" s="69" t="str">
        <f t="shared" si="206"/>
        <v/>
      </c>
      <c r="HD59" s="69" t="str">
        <f t="shared" si="207"/>
        <v/>
      </c>
      <c r="HE59" s="69" t="str">
        <f t="shared" si="208"/>
        <v/>
      </c>
      <c r="HF59" s="69" t="str">
        <f t="shared" si="209"/>
        <v/>
      </c>
      <c r="HH59" s="69" t="str">
        <f t="shared" si="210"/>
        <v/>
      </c>
      <c r="HI59" s="69" t="str">
        <f t="shared" si="211"/>
        <v/>
      </c>
      <c r="HJ59" s="69" t="str">
        <f t="shared" si="212"/>
        <v/>
      </c>
      <c r="HK59" s="69" t="str">
        <f t="shared" si="213"/>
        <v/>
      </c>
      <c r="HL59" s="69" t="str">
        <f t="shared" si="214"/>
        <v/>
      </c>
      <c r="HM59" s="69" t="str">
        <f t="shared" si="215"/>
        <v/>
      </c>
      <c r="HO59" s="69" t="str">
        <f t="shared" si="216"/>
        <v/>
      </c>
      <c r="HP59" s="69" t="str">
        <f t="shared" si="217"/>
        <v/>
      </c>
      <c r="HQ59" s="69" t="str">
        <f t="shared" si="218"/>
        <v/>
      </c>
      <c r="HS59" s="69" t="str">
        <f t="shared" si="344"/>
        <v/>
      </c>
      <c r="HT59" s="69" t="str">
        <f t="shared" si="345"/>
        <v/>
      </c>
      <c r="HU59" s="69" t="str">
        <f t="shared" si="219"/>
        <v/>
      </c>
      <c r="HV59" s="69" t="str">
        <f t="shared" si="346"/>
        <v/>
      </c>
      <c r="HW59" s="69" t="str">
        <f t="shared" si="347"/>
        <v/>
      </c>
      <c r="HX59" s="69" t="str">
        <f t="shared" si="220"/>
        <v/>
      </c>
      <c r="HY59" s="69" t="str">
        <f t="shared" si="348"/>
        <v/>
      </c>
      <c r="HZ59" s="69" t="str">
        <f t="shared" si="349"/>
        <v/>
      </c>
      <c r="IA59" s="69" t="str">
        <f t="shared" si="221"/>
        <v/>
      </c>
      <c r="IB59" s="69" t="str">
        <f t="shared" si="350"/>
        <v/>
      </c>
      <c r="IC59" s="69" t="str">
        <f t="shared" si="351"/>
        <v/>
      </c>
      <c r="ID59" s="69" t="str">
        <f t="shared" si="222"/>
        <v/>
      </c>
      <c r="IE59" s="69" t="str">
        <f t="shared" si="352"/>
        <v/>
      </c>
      <c r="IF59" s="69" t="str">
        <f t="shared" si="353"/>
        <v/>
      </c>
      <c r="IG59" s="69" t="str">
        <f t="shared" si="223"/>
        <v/>
      </c>
      <c r="IH59" s="69" t="str">
        <f t="shared" si="354"/>
        <v/>
      </c>
      <c r="II59" s="69" t="str">
        <f t="shared" si="355"/>
        <v/>
      </c>
      <c r="IJ59" s="69" t="str">
        <f t="shared" si="224"/>
        <v/>
      </c>
      <c r="IK59" s="69" t="str">
        <f t="shared" si="356"/>
        <v/>
      </c>
      <c r="IL59" s="69" t="str">
        <f t="shared" si="357"/>
        <v/>
      </c>
      <c r="IM59" s="69" t="str">
        <f t="shared" si="225"/>
        <v/>
      </c>
      <c r="IN59" s="69" t="str">
        <f t="shared" si="226"/>
        <v/>
      </c>
      <c r="IO59" s="69" t="str">
        <f t="shared" si="227"/>
        <v/>
      </c>
      <c r="IP59" s="69" t="str">
        <f t="shared" si="228"/>
        <v/>
      </c>
      <c r="IQ59" s="69" t="str">
        <f t="shared" si="229"/>
        <v/>
      </c>
      <c r="IR59" s="69" t="str">
        <f t="shared" si="230"/>
        <v/>
      </c>
      <c r="IS59" s="69" t="str">
        <f t="shared" si="231"/>
        <v/>
      </c>
      <c r="IT59" s="69" t="str">
        <f t="shared" si="232"/>
        <v/>
      </c>
      <c r="IU59" s="69" t="str">
        <f t="shared" si="233"/>
        <v/>
      </c>
      <c r="IV59" s="69" t="str">
        <f t="shared" si="234"/>
        <v/>
      </c>
    </row>
    <row r="60" spans="1:256" x14ac:dyDescent="0.2">
      <c r="A60" s="57" t="s">
        <v>63</v>
      </c>
      <c r="B60" s="178"/>
      <c r="C60" s="180"/>
      <c r="D60" s="179"/>
      <c r="E60" s="179"/>
      <c r="F60" s="179"/>
      <c r="G60" s="180"/>
      <c r="H60" s="180"/>
      <c r="I60" s="181"/>
      <c r="J60" s="182"/>
      <c r="K60" s="183"/>
      <c r="L60" s="68">
        <f t="shared" si="237"/>
        <v>0</v>
      </c>
      <c r="M60" s="69" t="str">
        <f t="shared" si="238"/>
        <v/>
      </c>
      <c r="N60" s="69" t="str">
        <f t="shared" si="358"/>
        <v/>
      </c>
      <c r="O60" s="69" t="str">
        <f t="shared" si="122"/>
        <v/>
      </c>
      <c r="P60" s="69" t="str">
        <f t="shared" si="359"/>
        <v/>
      </c>
      <c r="Q60" s="70" t="str">
        <f t="shared" si="239"/>
        <v/>
      </c>
      <c r="R60" s="71" t="str">
        <f t="shared" si="124"/>
        <v/>
      </c>
      <c r="S60" s="71" t="str">
        <f t="shared" si="125"/>
        <v/>
      </c>
      <c r="T60" s="70" t="str">
        <f t="shared" si="240"/>
        <v/>
      </c>
      <c r="U60" s="71" t="str">
        <f t="shared" si="126"/>
        <v/>
      </c>
      <c r="V60" s="71" t="str">
        <f t="shared" si="127"/>
        <v/>
      </c>
      <c r="W60" s="70" t="str">
        <f t="shared" si="241"/>
        <v/>
      </c>
      <c r="X60" s="71" t="str">
        <f t="shared" si="128"/>
        <v/>
      </c>
      <c r="Y60" s="71" t="str">
        <f t="shared" si="129"/>
        <v/>
      </c>
      <c r="Z60" s="70" t="str">
        <f t="shared" si="242"/>
        <v/>
      </c>
      <c r="AA60" s="71" t="str">
        <f t="shared" si="130"/>
        <v/>
      </c>
      <c r="AB60" s="71" t="str">
        <f t="shared" si="131"/>
        <v/>
      </c>
      <c r="AC60" s="70" t="str">
        <f t="shared" si="243"/>
        <v/>
      </c>
      <c r="AD60" s="71" t="str">
        <f t="shared" si="132"/>
        <v/>
      </c>
      <c r="AE60" s="71" t="str">
        <f t="shared" si="133"/>
        <v/>
      </c>
      <c r="AF60" s="70" t="str">
        <f t="shared" si="244"/>
        <v/>
      </c>
      <c r="AG60" s="71" t="str">
        <f t="shared" si="134"/>
        <v/>
      </c>
      <c r="AH60" s="71" t="str">
        <f t="shared" si="135"/>
        <v/>
      </c>
      <c r="AI60" s="70" t="str">
        <f t="shared" si="245"/>
        <v/>
      </c>
      <c r="AJ60" s="71" t="str">
        <f t="shared" si="136"/>
        <v/>
      </c>
      <c r="AK60" s="71" t="str">
        <f t="shared" si="137"/>
        <v/>
      </c>
      <c r="AL60" s="70" t="str">
        <f t="shared" si="138"/>
        <v/>
      </c>
      <c r="AM60" s="71" t="str">
        <f t="shared" si="139"/>
        <v/>
      </c>
      <c r="AN60" s="71" t="str">
        <f t="shared" si="140"/>
        <v/>
      </c>
      <c r="AO60" s="70" t="str">
        <f t="shared" si="141"/>
        <v/>
      </c>
      <c r="AP60" s="71" t="str">
        <f t="shared" si="142"/>
        <v/>
      </c>
      <c r="AQ60" s="71" t="str">
        <f t="shared" si="143"/>
        <v/>
      </c>
      <c r="AR60" s="70" t="str">
        <f t="shared" si="144"/>
        <v/>
      </c>
      <c r="AS60" s="71" t="str">
        <f t="shared" si="145"/>
        <v/>
      </c>
      <c r="AT60" s="71" t="str">
        <f t="shared" si="146"/>
        <v/>
      </c>
      <c r="AU60" s="69" t="str">
        <f t="shared" si="147"/>
        <v/>
      </c>
      <c r="AV60" s="131" t="str">
        <f t="shared" si="148"/>
        <v/>
      </c>
      <c r="AW60" s="69" t="str">
        <f t="shared" si="236"/>
        <v/>
      </c>
      <c r="AX60" s="132" t="str">
        <f t="shared" si="150"/>
        <v/>
      </c>
      <c r="AY60" s="132" t="str">
        <f t="shared" si="151"/>
        <v/>
      </c>
      <c r="AZ60" s="69" t="str">
        <f t="shared" si="246"/>
        <v/>
      </c>
      <c r="BA60" s="69" t="str">
        <f t="shared" si="247"/>
        <v/>
      </c>
      <c r="BB60" s="69" t="str">
        <f t="shared" si="152"/>
        <v/>
      </c>
      <c r="BC60" s="69" t="str">
        <f t="shared" si="248"/>
        <v/>
      </c>
      <c r="BD60" s="69" t="str">
        <f t="shared" si="249"/>
        <v/>
      </c>
      <c r="BE60" s="69" t="str">
        <f t="shared" si="153"/>
        <v/>
      </c>
      <c r="BF60" s="69" t="str">
        <f t="shared" si="250"/>
        <v/>
      </c>
      <c r="BG60" s="69" t="str">
        <f t="shared" si="251"/>
        <v/>
      </c>
      <c r="BH60" s="69" t="str">
        <f t="shared" si="154"/>
        <v/>
      </c>
      <c r="BI60" s="69" t="str">
        <f t="shared" si="252"/>
        <v/>
      </c>
      <c r="BJ60" s="69" t="str">
        <f t="shared" si="253"/>
        <v/>
      </c>
      <c r="BK60" s="69" t="str">
        <f t="shared" si="155"/>
        <v/>
      </c>
      <c r="BL60" s="69" t="str">
        <f t="shared" si="254"/>
        <v/>
      </c>
      <c r="BM60" s="69" t="str">
        <f t="shared" si="255"/>
        <v/>
      </c>
      <c r="BN60" s="69" t="str">
        <f t="shared" si="156"/>
        <v/>
      </c>
      <c r="BO60" s="69" t="str">
        <f t="shared" si="256"/>
        <v/>
      </c>
      <c r="BP60" s="69" t="str">
        <f t="shared" si="257"/>
        <v/>
      </c>
      <c r="BQ60" s="69" t="str">
        <f t="shared" si="157"/>
        <v/>
      </c>
      <c r="BR60" s="69" t="str">
        <f t="shared" si="258"/>
        <v/>
      </c>
      <c r="BS60" s="69" t="str">
        <f t="shared" si="259"/>
        <v/>
      </c>
      <c r="BT60" s="69" t="str">
        <f t="shared" si="158"/>
        <v/>
      </c>
      <c r="BU60" s="69" t="str">
        <f t="shared" si="260"/>
        <v/>
      </c>
      <c r="BV60" s="69" t="str">
        <f t="shared" si="261"/>
        <v/>
      </c>
      <c r="BW60" s="69" t="str">
        <f t="shared" si="159"/>
        <v/>
      </c>
      <c r="BX60" s="69" t="str">
        <f t="shared" si="262"/>
        <v/>
      </c>
      <c r="BY60" s="69" t="str">
        <f t="shared" si="263"/>
        <v/>
      </c>
      <c r="BZ60" s="69" t="str">
        <f t="shared" si="160"/>
        <v/>
      </c>
      <c r="CA60" s="69" t="str">
        <f t="shared" si="264"/>
        <v/>
      </c>
      <c r="CB60" s="69" t="str">
        <f t="shared" si="265"/>
        <v/>
      </c>
      <c r="CC60" s="69" t="str">
        <f t="shared" si="161"/>
        <v/>
      </c>
      <c r="CE60" s="69" t="str">
        <f t="shared" si="266"/>
        <v/>
      </c>
      <c r="CF60" s="69" t="str">
        <f t="shared" si="267"/>
        <v/>
      </c>
      <c r="CG60" s="69" t="str">
        <f t="shared" si="162"/>
        <v/>
      </c>
      <c r="CH60" s="69" t="str">
        <f t="shared" si="268"/>
        <v/>
      </c>
      <c r="CI60" s="69" t="str">
        <f t="shared" si="269"/>
        <v/>
      </c>
      <c r="CJ60" s="69" t="str">
        <f t="shared" si="163"/>
        <v/>
      </c>
      <c r="CK60" s="69" t="str">
        <f t="shared" si="270"/>
        <v/>
      </c>
      <c r="CL60" s="69" t="str">
        <f t="shared" si="271"/>
        <v/>
      </c>
      <c r="CM60" s="69" t="str">
        <f t="shared" si="164"/>
        <v/>
      </c>
      <c r="CN60" s="69" t="str">
        <f t="shared" si="272"/>
        <v/>
      </c>
      <c r="CO60" s="69" t="str">
        <f t="shared" si="273"/>
        <v/>
      </c>
      <c r="CP60" s="69" t="str">
        <f t="shared" si="165"/>
        <v/>
      </c>
      <c r="CQ60" s="69" t="str">
        <f t="shared" si="274"/>
        <v/>
      </c>
      <c r="CR60" s="69" t="str">
        <f t="shared" si="275"/>
        <v/>
      </c>
      <c r="CS60" s="69" t="str">
        <f t="shared" si="166"/>
        <v/>
      </c>
      <c r="CT60" s="69" t="str">
        <f t="shared" si="276"/>
        <v/>
      </c>
      <c r="CU60" s="69" t="str">
        <f t="shared" si="277"/>
        <v/>
      </c>
      <c r="CV60" s="69" t="str">
        <f t="shared" si="167"/>
        <v/>
      </c>
      <c r="CW60" s="69" t="str">
        <f t="shared" si="278"/>
        <v/>
      </c>
      <c r="CX60" s="69" t="str">
        <f t="shared" si="279"/>
        <v/>
      </c>
      <c r="CY60" s="69" t="str">
        <f t="shared" si="168"/>
        <v/>
      </c>
      <c r="CZ60" s="69" t="str">
        <f t="shared" si="280"/>
        <v/>
      </c>
      <c r="DA60" s="69" t="str">
        <f t="shared" si="281"/>
        <v/>
      </c>
      <c r="DB60" s="69" t="str">
        <f t="shared" si="169"/>
        <v/>
      </c>
      <c r="DC60" s="69" t="str">
        <f t="shared" si="282"/>
        <v/>
      </c>
      <c r="DD60" s="69" t="str">
        <f t="shared" si="283"/>
        <v/>
      </c>
      <c r="DE60" s="69" t="str">
        <f t="shared" si="170"/>
        <v/>
      </c>
      <c r="DG60" s="69" t="str">
        <f t="shared" si="284"/>
        <v/>
      </c>
      <c r="DH60" s="69" t="str">
        <f t="shared" si="285"/>
        <v/>
      </c>
      <c r="DI60" s="69" t="str">
        <f t="shared" si="171"/>
        <v/>
      </c>
      <c r="DJ60" s="69" t="str">
        <f t="shared" si="286"/>
        <v/>
      </c>
      <c r="DK60" s="69" t="str">
        <f t="shared" si="287"/>
        <v/>
      </c>
      <c r="DL60" s="69" t="str">
        <f t="shared" si="172"/>
        <v/>
      </c>
      <c r="DM60" s="69" t="str">
        <f t="shared" si="288"/>
        <v/>
      </c>
      <c r="DN60" s="69" t="str">
        <f t="shared" si="289"/>
        <v/>
      </c>
      <c r="DO60" s="69" t="str">
        <f t="shared" si="173"/>
        <v/>
      </c>
      <c r="DP60" s="69" t="str">
        <f t="shared" si="290"/>
        <v/>
      </c>
      <c r="DQ60" s="69" t="str">
        <f t="shared" si="291"/>
        <v/>
      </c>
      <c r="DR60" s="69" t="str">
        <f t="shared" si="174"/>
        <v/>
      </c>
      <c r="DS60" s="69" t="str">
        <f t="shared" si="292"/>
        <v/>
      </c>
      <c r="DT60" s="69" t="str">
        <f t="shared" si="293"/>
        <v/>
      </c>
      <c r="DU60" s="69" t="str">
        <f t="shared" si="175"/>
        <v/>
      </c>
      <c r="DV60" s="69" t="str">
        <f t="shared" si="294"/>
        <v/>
      </c>
      <c r="DW60" s="69" t="str">
        <f t="shared" si="295"/>
        <v/>
      </c>
      <c r="DX60" s="69" t="str">
        <f t="shared" si="176"/>
        <v/>
      </c>
      <c r="DY60" s="69" t="str">
        <f t="shared" si="296"/>
        <v/>
      </c>
      <c r="DZ60" s="69" t="str">
        <f t="shared" si="297"/>
        <v/>
      </c>
      <c r="EA60" s="69" t="str">
        <f t="shared" si="177"/>
        <v/>
      </c>
      <c r="EB60" s="69" t="str">
        <f t="shared" si="298"/>
        <v/>
      </c>
      <c r="EC60" s="69" t="str">
        <f t="shared" si="299"/>
        <v/>
      </c>
      <c r="ED60" s="69" t="str">
        <f t="shared" si="178"/>
        <v/>
      </c>
      <c r="EF60" s="69" t="str">
        <f t="shared" si="300"/>
        <v/>
      </c>
      <c r="EG60" s="69" t="str">
        <f t="shared" si="301"/>
        <v/>
      </c>
      <c r="EH60" s="69" t="str">
        <f t="shared" si="179"/>
        <v/>
      </c>
      <c r="EI60" s="69" t="str">
        <f t="shared" si="302"/>
        <v/>
      </c>
      <c r="EJ60" s="69" t="str">
        <f t="shared" si="303"/>
        <v/>
      </c>
      <c r="EK60" s="69" t="str">
        <f t="shared" si="180"/>
        <v/>
      </c>
      <c r="EL60" s="69" t="str">
        <f t="shared" si="304"/>
        <v/>
      </c>
      <c r="EM60" s="69" t="str">
        <f t="shared" si="305"/>
        <v/>
      </c>
      <c r="EN60" s="69" t="str">
        <f t="shared" si="181"/>
        <v/>
      </c>
      <c r="EO60" s="69" t="str">
        <f t="shared" si="306"/>
        <v/>
      </c>
      <c r="EP60" s="69" t="str">
        <f t="shared" si="307"/>
        <v/>
      </c>
      <c r="EQ60" s="69" t="str">
        <f t="shared" si="182"/>
        <v/>
      </c>
      <c r="ER60" s="69" t="str">
        <f t="shared" si="308"/>
        <v/>
      </c>
      <c r="ES60" s="69" t="str">
        <f t="shared" si="309"/>
        <v/>
      </c>
      <c r="ET60" s="69" t="str">
        <f t="shared" si="183"/>
        <v/>
      </c>
      <c r="EU60" s="69" t="str">
        <f t="shared" si="310"/>
        <v/>
      </c>
      <c r="EV60" s="69" t="str">
        <f t="shared" si="311"/>
        <v/>
      </c>
      <c r="EW60" s="69" t="str">
        <f t="shared" si="184"/>
        <v/>
      </c>
      <c r="EX60" s="69" t="str">
        <f t="shared" si="312"/>
        <v/>
      </c>
      <c r="EY60" s="69" t="str">
        <f t="shared" si="313"/>
        <v/>
      </c>
      <c r="EZ60" s="69" t="str">
        <f t="shared" si="185"/>
        <v/>
      </c>
      <c r="FB60" s="69" t="str">
        <f t="shared" si="314"/>
        <v/>
      </c>
      <c r="FC60" s="69" t="str">
        <f t="shared" si="315"/>
        <v/>
      </c>
      <c r="FD60" s="69" t="str">
        <f t="shared" si="186"/>
        <v/>
      </c>
      <c r="FE60" s="69" t="str">
        <f t="shared" si="316"/>
        <v/>
      </c>
      <c r="FF60" s="69" t="str">
        <f t="shared" si="317"/>
        <v/>
      </c>
      <c r="FG60" s="69" t="str">
        <f t="shared" si="187"/>
        <v/>
      </c>
      <c r="FH60" s="69" t="str">
        <f t="shared" si="318"/>
        <v/>
      </c>
      <c r="FI60" s="69" t="str">
        <f t="shared" si="319"/>
        <v/>
      </c>
      <c r="FJ60" s="69" t="str">
        <f t="shared" si="188"/>
        <v/>
      </c>
      <c r="FK60" s="69" t="str">
        <f t="shared" si="320"/>
        <v/>
      </c>
      <c r="FL60" s="69" t="str">
        <f t="shared" si="321"/>
        <v/>
      </c>
      <c r="FM60" s="69" t="str">
        <f t="shared" si="189"/>
        <v/>
      </c>
      <c r="FN60" s="69" t="str">
        <f t="shared" si="322"/>
        <v/>
      </c>
      <c r="FO60" s="69" t="str">
        <f t="shared" si="323"/>
        <v/>
      </c>
      <c r="FP60" s="69" t="str">
        <f t="shared" si="190"/>
        <v/>
      </c>
      <c r="FQ60" s="69" t="str">
        <f t="shared" si="324"/>
        <v/>
      </c>
      <c r="FR60" s="69" t="str">
        <f t="shared" si="325"/>
        <v/>
      </c>
      <c r="FS60" s="69" t="str">
        <f t="shared" si="191"/>
        <v/>
      </c>
      <c r="FU60" s="69" t="str">
        <f t="shared" si="326"/>
        <v/>
      </c>
      <c r="FV60" s="69" t="str">
        <f t="shared" si="327"/>
        <v/>
      </c>
      <c r="FW60" s="69" t="str">
        <f t="shared" si="192"/>
        <v/>
      </c>
      <c r="FX60" s="69" t="str">
        <f t="shared" si="328"/>
        <v/>
      </c>
      <c r="FY60" s="69" t="str">
        <f t="shared" si="329"/>
        <v/>
      </c>
      <c r="FZ60" s="69" t="str">
        <f t="shared" si="193"/>
        <v/>
      </c>
      <c r="GA60" s="69" t="str">
        <f t="shared" si="330"/>
        <v/>
      </c>
      <c r="GB60" s="69" t="str">
        <f t="shared" si="331"/>
        <v/>
      </c>
      <c r="GC60" s="69" t="str">
        <f t="shared" si="194"/>
        <v/>
      </c>
      <c r="GD60" s="69" t="str">
        <f t="shared" si="332"/>
        <v/>
      </c>
      <c r="GE60" s="69" t="str">
        <f t="shared" si="333"/>
        <v/>
      </c>
      <c r="GF60" s="69" t="str">
        <f t="shared" si="195"/>
        <v/>
      </c>
      <c r="GG60" s="69" t="str">
        <f t="shared" si="334"/>
        <v/>
      </c>
      <c r="GH60" s="69" t="str">
        <f t="shared" si="335"/>
        <v/>
      </c>
      <c r="GI60" s="69" t="str">
        <f t="shared" si="196"/>
        <v/>
      </c>
      <c r="GK60" s="69" t="str">
        <f t="shared" si="336"/>
        <v/>
      </c>
      <c r="GL60" s="69" t="str">
        <f t="shared" si="337"/>
        <v/>
      </c>
      <c r="GM60" s="69" t="str">
        <f t="shared" si="197"/>
        <v/>
      </c>
      <c r="GN60" s="69" t="str">
        <f t="shared" si="338"/>
        <v/>
      </c>
      <c r="GO60" s="69" t="str">
        <f t="shared" si="339"/>
        <v/>
      </c>
      <c r="GP60" s="69" t="str">
        <f t="shared" si="198"/>
        <v/>
      </c>
      <c r="GQ60" s="69" t="str">
        <f t="shared" si="340"/>
        <v/>
      </c>
      <c r="GR60" s="69" t="str">
        <f t="shared" si="341"/>
        <v/>
      </c>
      <c r="GS60" s="69" t="str">
        <f t="shared" si="199"/>
        <v/>
      </c>
      <c r="GT60" s="69" t="str">
        <f t="shared" si="342"/>
        <v/>
      </c>
      <c r="GU60" s="69" t="str">
        <f t="shared" si="343"/>
        <v/>
      </c>
      <c r="GV60" s="69" t="str">
        <f t="shared" si="200"/>
        <v/>
      </c>
      <c r="GX60" s="69" t="str">
        <f t="shared" si="201"/>
        <v/>
      </c>
      <c r="GY60" s="69" t="str">
        <f t="shared" si="202"/>
        <v/>
      </c>
      <c r="GZ60" s="69" t="str">
        <f t="shared" si="203"/>
        <v/>
      </c>
      <c r="HA60" s="69" t="str">
        <f t="shared" si="204"/>
        <v/>
      </c>
      <c r="HB60" s="69" t="str">
        <f t="shared" si="205"/>
        <v/>
      </c>
      <c r="HC60" s="69" t="str">
        <f t="shared" si="206"/>
        <v/>
      </c>
      <c r="HD60" s="69" t="str">
        <f t="shared" si="207"/>
        <v/>
      </c>
      <c r="HE60" s="69" t="str">
        <f t="shared" si="208"/>
        <v/>
      </c>
      <c r="HF60" s="69" t="str">
        <f t="shared" si="209"/>
        <v/>
      </c>
      <c r="HH60" s="69" t="str">
        <f t="shared" si="210"/>
        <v/>
      </c>
      <c r="HI60" s="69" t="str">
        <f t="shared" si="211"/>
        <v/>
      </c>
      <c r="HJ60" s="69" t="str">
        <f t="shared" si="212"/>
        <v/>
      </c>
      <c r="HK60" s="69" t="str">
        <f t="shared" si="213"/>
        <v/>
      </c>
      <c r="HL60" s="69" t="str">
        <f t="shared" si="214"/>
        <v/>
      </c>
      <c r="HM60" s="69" t="str">
        <f t="shared" si="215"/>
        <v/>
      </c>
      <c r="HO60" s="69" t="str">
        <f t="shared" si="216"/>
        <v/>
      </c>
      <c r="HP60" s="69" t="str">
        <f t="shared" si="217"/>
        <v/>
      </c>
      <c r="HQ60" s="69" t="str">
        <f t="shared" si="218"/>
        <v/>
      </c>
      <c r="HS60" s="69" t="str">
        <f t="shared" si="344"/>
        <v/>
      </c>
      <c r="HT60" s="69" t="str">
        <f t="shared" si="345"/>
        <v/>
      </c>
      <c r="HU60" s="69" t="str">
        <f t="shared" si="219"/>
        <v/>
      </c>
      <c r="HV60" s="69" t="str">
        <f t="shared" si="346"/>
        <v/>
      </c>
      <c r="HW60" s="69" t="str">
        <f t="shared" si="347"/>
        <v/>
      </c>
      <c r="HX60" s="69" t="str">
        <f t="shared" si="220"/>
        <v/>
      </c>
      <c r="HY60" s="69" t="str">
        <f t="shared" si="348"/>
        <v/>
      </c>
      <c r="HZ60" s="69" t="str">
        <f t="shared" si="349"/>
        <v/>
      </c>
      <c r="IA60" s="69" t="str">
        <f t="shared" si="221"/>
        <v/>
      </c>
      <c r="IB60" s="69" t="str">
        <f t="shared" si="350"/>
        <v/>
      </c>
      <c r="IC60" s="69" t="str">
        <f t="shared" si="351"/>
        <v/>
      </c>
      <c r="ID60" s="69" t="str">
        <f t="shared" si="222"/>
        <v/>
      </c>
      <c r="IE60" s="69" t="str">
        <f t="shared" si="352"/>
        <v/>
      </c>
      <c r="IF60" s="69" t="str">
        <f t="shared" si="353"/>
        <v/>
      </c>
      <c r="IG60" s="69" t="str">
        <f t="shared" si="223"/>
        <v/>
      </c>
      <c r="IH60" s="69" t="str">
        <f t="shared" si="354"/>
        <v/>
      </c>
      <c r="II60" s="69" t="str">
        <f t="shared" si="355"/>
        <v/>
      </c>
      <c r="IJ60" s="69" t="str">
        <f t="shared" si="224"/>
        <v/>
      </c>
      <c r="IK60" s="69" t="str">
        <f t="shared" si="356"/>
        <v/>
      </c>
      <c r="IL60" s="69" t="str">
        <f t="shared" si="357"/>
        <v/>
      </c>
      <c r="IM60" s="69" t="str">
        <f t="shared" si="225"/>
        <v/>
      </c>
      <c r="IN60" s="69" t="str">
        <f t="shared" si="226"/>
        <v/>
      </c>
      <c r="IO60" s="69" t="str">
        <f t="shared" si="227"/>
        <v/>
      </c>
      <c r="IP60" s="69" t="str">
        <f t="shared" si="228"/>
        <v/>
      </c>
      <c r="IQ60" s="69" t="str">
        <f t="shared" si="229"/>
        <v/>
      </c>
      <c r="IR60" s="69" t="str">
        <f t="shared" si="230"/>
        <v/>
      </c>
      <c r="IS60" s="69" t="str">
        <f t="shared" si="231"/>
        <v/>
      </c>
      <c r="IT60" s="69" t="str">
        <f t="shared" si="232"/>
        <v/>
      </c>
      <c r="IU60" s="69" t="str">
        <f t="shared" si="233"/>
        <v/>
      </c>
      <c r="IV60" s="69" t="str">
        <f t="shared" si="234"/>
        <v/>
      </c>
    </row>
    <row r="61" spans="1:256" x14ac:dyDescent="0.2">
      <c r="A61" s="57" t="s">
        <v>64</v>
      </c>
      <c r="B61" s="178"/>
      <c r="C61" s="180"/>
      <c r="D61" s="179"/>
      <c r="E61" s="179"/>
      <c r="F61" s="179"/>
      <c r="G61" s="180"/>
      <c r="H61" s="180"/>
      <c r="I61" s="181"/>
      <c r="J61" s="182"/>
      <c r="K61" s="183"/>
      <c r="L61" s="68">
        <f t="shared" si="237"/>
        <v>0</v>
      </c>
      <c r="M61" s="69" t="str">
        <f t="shared" si="238"/>
        <v/>
      </c>
      <c r="N61" s="69" t="str">
        <f t="shared" si="358"/>
        <v/>
      </c>
      <c r="O61" s="69" t="str">
        <f t="shared" si="122"/>
        <v/>
      </c>
      <c r="P61" s="69" t="str">
        <f t="shared" si="359"/>
        <v/>
      </c>
      <c r="Q61" s="70" t="str">
        <f t="shared" si="239"/>
        <v/>
      </c>
      <c r="R61" s="71" t="str">
        <f t="shared" si="124"/>
        <v/>
      </c>
      <c r="S61" s="71" t="str">
        <f t="shared" si="125"/>
        <v/>
      </c>
      <c r="T61" s="70" t="str">
        <f t="shared" si="240"/>
        <v/>
      </c>
      <c r="U61" s="71" t="str">
        <f t="shared" si="126"/>
        <v/>
      </c>
      <c r="V61" s="71" t="str">
        <f t="shared" si="127"/>
        <v/>
      </c>
      <c r="W61" s="70" t="str">
        <f t="shared" si="241"/>
        <v/>
      </c>
      <c r="X61" s="71" t="str">
        <f t="shared" si="128"/>
        <v/>
      </c>
      <c r="Y61" s="71" t="str">
        <f t="shared" si="129"/>
        <v/>
      </c>
      <c r="Z61" s="70" t="str">
        <f t="shared" si="242"/>
        <v/>
      </c>
      <c r="AA61" s="71" t="str">
        <f t="shared" si="130"/>
        <v/>
      </c>
      <c r="AB61" s="71" t="str">
        <f t="shared" si="131"/>
        <v/>
      </c>
      <c r="AC61" s="70" t="str">
        <f t="shared" si="243"/>
        <v/>
      </c>
      <c r="AD61" s="71" t="str">
        <f t="shared" si="132"/>
        <v/>
      </c>
      <c r="AE61" s="71" t="str">
        <f t="shared" si="133"/>
        <v/>
      </c>
      <c r="AF61" s="70" t="str">
        <f t="shared" si="244"/>
        <v/>
      </c>
      <c r="AG61" s="71" t="str">
        <f t="shared" si="134"/>
        <v/>
      </c>
      <c r="AH61" s="71" t="str">
        <f t="shared" si="135"/>
        <v/>
      </c>
      <c r="AI61" s="70" t="str">
        <f t="shared" si="245"/>
        <v/>
      </c>
      <c r="AJ61" s="71" t="str">
        <f t="shared" si="136"/>
        <v/>
      </c>
      <c r="AK61" s="71" t="str">
        <f t="shared" si="137"/>
        <v/>
      </c>
      <c r="AL61" s="70" t="str">
        <f t="shared" si="138"/>
        <v/>
      </c>
      <c r="AM61" s="71" t="str">
        <f t="shared" si="139"/>
        <v/>
      </c>
      <c r="AN61" s="71" t="str">
        <f t="shared" si="140"/>
        <v/>
      </c>
      <c r="AO61" s="70" t="str">
        <f t="shared" si="141"/>
        <v/>
      </c>
      <c r="AP61" s="71" t="str">
        <f t="shared" si="142"/>
        <v/>
      </c>
      <c r="AQ61" s="71" t="str">
        <f t="shared" si="143"/>
        <v/>
      </c>
      <c r="AR61" s="70" t="str">
        <f t="shared" si="144"/>
        <v/>
      </c>
      <c r="AS61" s="71" t="str">
        <f t="shared" si="145"/>
        <v/>
      </c>
      <c r="AT61" s="71" t="str">
        <f t="shared" si="146"/>
        <v/>
      </c>
      <c r="AU61" s="69" t="str">
        <f t="shared" si="147"/>
        <v/>
      </c>
      <c r="AV61" s="131" t="str">
        <f t="shared" si="148"/>
        <v/>
      </c>
      <c r="AW61" s="69" t="str">
        <f t="shared" si="236"/>
        <v/>
      </c>
      <c r="AX61" s="132" t="str">
        <f t="shared" si="150"/>
        <v/>
      </c>
      <c r="AY61" s="132" t="str">
        <f t="shared" si="151"/>
        <v/>
      </c>
      <c r="AZ61" s="69" t="str">
        <f t="shared" si="246"/>
        <v/>
      </c>
      <c r="BA61" s="69" t="str">
        <f t="shared" si="247"/>
        <v/>
      </c>
      <c r="BB61" s="69" t="str">
        <f t="shared" si="152"/>
        <v/>
      </c>
      <c r="BC61" s="69" t="str">
        <f t="shared" si="248"/>
        <v/>
      </c>
      <c r="BD61" s="69" t="str">
        <f t="shared" si="249"/>
        <v/>
      </c>
      <c r="BE61" s="69" t="str">
        <f t="shared" si="153"/>
        <v/>
      </c>
      <c r="BF61" s="69" t="str">
        <f t="shared" si="250"/>
        <v/>
      </c>
      <c r="BG61" s="69" t="str">
        <f t="shared" si="251"/>
        <v/>
      </c>
      <c r="BH61" s="69" t="str">
        <f t="shared" si="154"/>
        <v/>
      </c>
      <c r="BI61" s="69" t="str">
        <f t="shared" si="252"/>
        <v/>
      </c>
      <c r="BJ61" s="69" t="str">
        <f t="shared" si="253"/>
        <v/>
      </c>
      <c r="BK61" s="69" t="str">
        <f t="shared" si="155"/>
        <v/>
      </c>
      <c r="BL61" s="69" t="str">
        <f t="shared" si="254"/>
        <v/>
      </c>
      <c r="BM61" s="69" t="str">
        <f t="shared" si="255"/>
        <v/>
      </c>
      <c r="BN61" s="69" t="str">
        <f t="shared" si="156"/>
        <v/>
      </c>
      <c r="BO61" s="69" t="str">
        <f t="shared" si="256"/>
        <v/>
      </c>
      <c r="BP61" s="69" t="str">
        <f t="shared" si="257"/>
        <v/>
      </c>
      <c r="BQ61" s="69" t="str">
        <f t="shared" si="157"/>
        <v/>
      </c>
      <c r="BR61" s="69" t="str">
        <f t="shared" si="258"/>
        <v/>
      </c>
      <c r="BS61" s="69" t="str">
        <f t="shared" si="259"/>
        <v/>
      </c>
      <c r="BT61" s="69" t="str">
        <f t="shared" si="158"/>
        <v/>
      </c>
      <c r="BU61" s="69" t="str">
        <f t="shared" si="260"/>
        <v/>
      </c>
      <c r="BV61" s="69" t="str">
        <f t="shared" si="261"/>
        <v/>
      </c>
      <c r="BW61" s="69" t="str">
        <f t="shared" si="159"/>
        <v/>
      </c>
      <c r="BX61" s="69" t="str">
        <f t="shared" si="262"/>
        <v/>
      </c>
      <c r="BY61" s="69" t="str">
        <f t="shared" si="263"/>
        <v/>
      </c>
      <c r="BZ61" s="69" t="str">
        <f t="shared" si="160"/>
        <v/>
      </c>
      <c r="CA61" s="69" t="str">
        <f t="shared" si="264"/>
        <v/>
      </c>
      <c r="CB61" s="69" t="str">
        <f t="shared" si="265"/>
        <v/>
      </c>
      <c r="CC61" s="69" t="str">
        <f t="shared" si="161"/>
        <v/>
      </c>
      <c r="CE61" s="69" t="str">
        <f t="shared" si="266"/>
        <v/>
      </c>
      <c r="CF61" s="69" t="str">
        <f t="shared" si="267"/>
        <v/>
      </c>
      <c r="CG61" s="69" t="str">
        <f t="shared" si="162"/>
        <v/>
      </c>
      <c r="CH61" s="69" t="str">
        <f t="shared" si="268"/>
        <v/>
      </c>
      <c r="CI61" s="69" t="str">
        <f t="shared" si="269"/>
        <v/>
      </c>
      <c r="CJ61" s="69" t="str">
        <f t="shared" si="163"/>
        <v/>
      </c>
      <c r="CK61" s="69" t="str">
        <f t="shared" si="270"/>
        <v/>
      </c>
      <c r="CL61" s="69" t="str">
        <f t="shared" si="271"/>
        <v/>
      </c>
      <c r="CM61" s="69" t="str">
        <f t="shared" si="164"/>
        <v/>
      </c>
      <c r="CN61" s="69" t="str">
        <f t="shared" si="272"/>
        <v/>
      </c>
      <c r="CO61" s="69" t="str">
        <f t="shared" si="273"/>
        <v/>
      </c>
      <c r="CP61" s="69" t="str">
        <f t="shared" si="165"/>
        <v/>
      </c>
      <c r="CQ61" s="69" t="str">
        <f t="shared" si="274"/>
        <v/>
      </c>
      <c r="CR61" s="69" t="str">
        <f t="shared" si="275"/>
        <v/>
      </c>
      <c r="CS61" s="69" t="str">
        <f t="shared" si="166"/>
        <v/>
      </c>
      <c r="CT61" s="69" t="str">
        <f t="shared" si="276"/>
        <v/>
      </c>
      <c r="CU61" s="69" t="str">
        <f t="shared" si="277"/>
        <v/>
      </c>
      <c r="CV61" s="69" t="str">
        <f t="shared" si="167"/>
        <v/>
      </c>
      <c r="CW61" s="69" t="str">
        <f t="shared" si="278"/>
        <v/>
      </c>
      <c r="CX61" s="69" t="str">
        <f t="shared" si="279"/>
        <v/>
      </c>
      <c r="CY61" s="69" t="str">
        <f t="shared" si="168"/>
        <v/>
      </c>
      <c r="CZ61" s="69" t="str">
        <f t="shared" si="280"/>
        <v/>
      </c>
      <c r="DA61" s="69" t="str">
        <f t="shared" si="281"/>
        <v/>
      </c>
      <c r="DB61" s="69" t="str">
        <f t="shared" si="169"/>
        <v/>
      </c>
      <c r="DC61" s="69" t="str">
        <f t="shared" si="282"/>
        <v/>
      </c>
      <c r="DD61" s="69" t="str">
        <f t="shared" si="283"/>
        <v/>
      </c>
      <c r="DE61" s="69" t="str">
        <f t="shared" si="170"/>
        <v/>
      </c>
      <c r="DG61" s="69" t="str">
        <f t="shared" si="284"/>
        <v/>
      </c>
      <c r="DH61" s="69" t="str">
        <f t="shared" si="285"/>
        <v/>
      </c>
      <c r="DI61" s="69" t="str">
        <f t="shared" si="171"/>
        <v/>
      </c>
      <c r="DJ61" s="69" t="str">
        <f t="shared" si="286"/>
        <v/>
      </c>
      <c r="DK61" s="69" t="str">
        <f t="shared" si="287"/>
        <v/>
      </c>
      <c r="DL61" s="69" t="str">
        <f t="shared" si="172"/>
        <v/>
      </c>
      <c r="DM61" s="69" t="str">
        <f t="shared" si="288"/>
        <v/>
      </c>
      <c r="DN61" s="69" t="str">
        <f t="shared" si="289"/>
        <v/>
      </c>
      <c r="DO61" s="69" t="str">
        <f t="shared" si="173"/>
        <v/>
      </c>
      <c r="DP61" s="69" t="str">
        <f t="shared" si="290"/>
        <v/>
      </c>
      <c r="DQ61" s="69" t="str">
        <f t="shared" si="291"/>
        <v/>
      </c>
      <c r="DR61" s="69" t="str">
        <f t="shared" si="174"/>
        <v/>
      </c>
      <c r="DS61" s="69" t="str">
        <f t="shared" si="292"/>
        <v/>
      </c>
      <c r="DT61" s="69" t="str">
        <f t="shared" si="293"/>
        <v/>
      </c>
      <c r="DU61" s="69" t="str">
        <f t="shared" si="175"/>
        <v/>
      </c>
      <c r="DV61" s="69" t="str">
        <f t="shared" si="294"/>
        <v/>
      </c>
      <c r="DW61" s="69" t="str">
        <f t="shared" si="295"/>
        <v/>
      </c>
      <c r="DX61" s="69" t="str">
        <f t="shared" si="176"/>
        <v/>
      </c>
      <c r="DY61" s="69" t="str">
        <f t="shared" si="296"/>
        <v/>
      </c>
      <c r="DZ61" s="69" t="str">
        <f t="shared" si="297"/>
        <v/>
      </c>
      <c r="EA61" s="69" t="str">
        <f t="shared" si="177"/>
        <v/>
      </c>
      <c r="EB61" s="69" t="str">
        <f t="shared" si="298"/>
        <v/>
      </c>
      <c r="EC61" s="69" t="str">
        <f t="shared" si="299"/>
        <v/>
      </c>
      <c r="ED61" s="69" t="str">
        <f t="shared" si="178"/>
        <v/>
      </c>
      <c r="EF61" s="69" t="str">
        <f t="shared" si="300"/>
        <v/>
      </c>
      <c r="EG61" s="69" t="str">
        <f t="shared" si="301"/>
        <v/>
      </c>
      <c r="EH61" s="69" t="str">
        <f t="shared" si="179"/>
        <v/>
      </c>
      <c r="EI61" s="69" t="str">
        <f t="shared" si="302"/>
        <v/>
      </c>
      <c r="EJ61" s="69" t="str">
        <f t="shared" si="303"/>
        <v/>
      </c>
      <c r="EK61" s="69" t="str">
        <f t="shared" si="180"/>
        <v/>
      </c>
      <c r="EL61" s="69" t="str">
        <f t="shared" si="304"/>
        <v/>
      </c>
      <c r="EM61" s="69" t="str">
        <f t="shared" si="305"/>
        <v/>
      </c>
      <c r="EN61" s="69" t="str">
        <f t="shared" si="181"/>
        <v/>
      </c>
      <c r="EO61" s="69" t="str">
        <f t="shared" si="306"/>
        <v/>
      </c>
      <c r="EP61" s="69" t="str">
        <f t="shared" si="307"/>
        <v/>
      </c>
      <c r="EQ61" s="69" t="str">
        <f t="shared" si="182"/>
        <v/>
      </c>
      <c r="ER61" s="69" t="str">
        <f t="shared" si="308"/>
        <v/>
      </c>
      <c r="ES61" s="69" t="str">
        <f t="shared" si="309"/>
        <v/>
      </c>
      <c r="ET61" s="69" t="str">
        <f t="shared" si="183"/>
        <v/>
      </c>
      <c r="EU61" s="69" t="str">
        <f t="shared" si="310"/>
        <v/>
      </c>
      <c r="EV61" s="69" t="str">
        <f t="shared" si="311"/>
        <v/>
      </c>
      <c r="EW61" s="69" t="str">
        <f t="shared" si="184"/>
        <v/>
      </c>
      <c r="EX61" s="69" t="str">
        <f t="shared" si="312"/>
        <v/>
      </c>
      <c r="EY61" s="69" t="str">
        <f t="shared" si="313"/>
        <v/>
      </c>
      <c r="EZ61" s="69" t="str">
        <f t="shared" si="185"/>
        <v/>
      </c>
      <c r="FB61" s="69" t="str">
        <f t="shared" si="314"/>
        <v/>
      </c>
      <c r="FC61" s="69" t="str">
        <f t="shared" si="315"/>
        <v/>
      </c>
      <c r="FD61" s="69" t="str">
        <f t="shared" si="186"/>
        <v/>
      </c>
      <c r="FE61" s="69" t="str">
        <f t="shared" si="316"/>
        <v/>
      </c>
      <c r="FF61" s="69" t="str">
        <f t="shared" si="317"/>
        <v/>
      </c>
      <c r="FG61" s="69" t="str">
        <f t="shared" si="187"/>
        <v/>
      </c>
      <c r="FH61" s="69" t="str">
        <f t="shared" si="318"/>
        <v/>
      </c>
      <c r="FI61" s="69" t="str">
        <f t="shared" si="319"/>
        <v/>
      </c>
      <c r="FJ61" s="69" t="str">
        <f t="shared" si="188"/>
        <v/>
      </c>
      <c r="FK61" s="69" t="str">
        <f t="shared" si="320"/>
        <v/>
      </c>
      <c r="FL61" s="69" t="str">
        <f t="shared" si="321"/>
        <v/>
      </c>
      <c r="FM61" s="69" t="str">
        <f t="shared" si="189"/>
        <v/>
      </c>
      <c r="FN61" s="69" t="str">
        <f t="shared" si="322"/>
        <v/>
      </c>
      <c r="FO61" s="69" t="str">
        <f t="shared" si="323"/>
        <v/>
      </c>
      <c r="FP61" s="69" t="str">
        <f t="shared" si="190"/>
        <v/>
      </c>
      <c r="FQ61" s="69" t="str">
        <f t="shared" si="324"/>
        <v/>
      </c>
      <c r="FR61" s="69" t="str">
        <f t="shared" si="325"/>
        <v/>
      </c>
      <c r="FS61" s="69" t="str">
        <f t="shared" si="191"/>
        <v/>
      </c>
      <c r="FU61" s="69" t="str">
        <f t="shared" si="326"/>
        <v/>
      </c>
      <c r="FV61" s="69" t="str">
        <f t="shared" si="327"/>
        <v/>
      </c>
      <c r="FW61" s="69" t="str">
        <f t="shared" si="192"/>
        <v/>
      </c>
      <c r="FX61" s="69" t="str">
        <f t="shared" si="328"/>
        <v/>
      </c>
      <c r="FY61" s="69" t="str">
        <f t="shared" si="329"/>
        <v/>
      </c>
      <c r="FZ61" s="69" t="str">
        <f t="shared" si="193"/>
        <v/>
      </c>
      <c r="GA61" s="69" t="str">
        <f t="shared" si="330"/>
        <v/>
      </c>
      <c r="GB61" s="69" t="str">
        <f t="shared" si="331"/>
        <v/>
      </c>
      <c r="GC61" s="69" t="str">
        <f t="shared" si="194"/>
        <v/>
      </c>
      <c r="GD61" s="69" t="str">
        <f t="shared" si="332"/>
        <v/>
      </c>
      <c r="GE61" s="69" t="str">
        <f t="shared" si="333"/>
        <v/>
      </c>
      <c r="GF61" s="69" t="str">
        <f t="shared" si="195"/>
        <v/>
      </c>
      <c r="GG61" s="69" t="str">
        <f t="shared" si="334"/>
        <v/>
      </c>
      <c r="GH61" s="69" t="str">
        <f t="shared" si="335"/>
        <v/>
      </c>
      <c r="GI61" s="69" t="str">
        <f t="shared" si="196"/>
        <v/>
      </c>
      <c r="GK61" s="69" t="str">
        <f t="shared" si="336"/>
        <v/>
      </c>
      <c r="GL61" s="69" t="str">
        <f t="shared" si="337"/>
        <v/>
      </c>
      <c r="GM61" s="69" t="str">
        <f t="shared" si="197"/>
        <v/>
      </c>
      <c r="GN61" s="69" t="str">
        <f t="shared" si="338"/>
        <v/>
      </c>
      <c r="GO61" s="69" t="str">
        <f t="shared" si="339"/>
        <v/>
      </c>
      <c r="GP61" s="69" t="str">
        <f t="shared" si="198"/>
        <v/>
      </c>
      <c r="GQ61" s="69" t="str">
        <f t="shared" si="340"/>
        <v/>
      </c>
      <c r="GR61" s="69" t="str">
        <f t="shared" si="341"/>
        <v/>
      </c>
      <c r="GS61" s="69" t="str">
        <f t="shared" si="199"/>
        <v/>
      </c>
      <c r="GT61" s="69" t="str">
        <f t="shared" si="342"/>
        <v/>
      </c>
      <c r="GU61" s="69" t="str">
        <f t="shared" si="343"/>
        <v/>
      </c>
      <c r="GV61" s="69" t="str">
        <f t="shared" si="200"/>
        <v/>
      </c>
      <c r="GX61" s="69" t="str">
        <f t="shared" si="201"/>
        <v/>
      </c>
      <c r="GY61" s="69" t="str">
        <f t="shared" si="202"/>
        <v/>
      </c>
      <c r="GZ61" s="69" t="str">
        <f t="shared" si="203"/>
        <v/>
      </c>
      <c r="HA61" s="69" t="str">
        <f t="shared" si="204"/>
        <v/>
      </c>
      <c r="HB61" s="69" t="str">
        <f t="shared" si="205"/>
        <v/>
      </c>
      <c r="HC61" s="69" t="str">
        <f t="shared" si="206"/>
        <v/>
      </c>
      <c r="HD61" s="69" t="str">
        <f t="shared" si="207"/>
        <v/>
      </c>
      <c r="HE61" s="69" t="str">
        <f t="shared" si="208"/>
        <v/>
      </c>
      <c r="HF61" s="69" t="str">
        <f t="shared" si="209"/>
        <v/>
      </c>
      <c r="HH61" s="69" t="str">
        <f t="shared" si="210"/>
        <v/>
      </c>
      <c r="HI61" s="69" t="str">
        <f t="shared" si="211"/>
        <v/>
      </c>
      <c r="HJ61" s="69" t="str">
        <f t="shared" si="212"/>
        <v/>
      </c>
      <c r="HK61" s="69" t="str">
        <f t="shared" si="213"/>
        <v/>
      </c>
      <c r="HL61" s="69" t="str">
        <f t="shared" si="214"/>
        <v/>
      </c>
      <c r="HM61" s="69" t="str">
        <f t="shared" si="215"/>
        <v/>
      </c>
      <c r="HO61" s="69" t="str">
        <f t="shared" si="216"/>
        <v/>
      </c>
      <c r="HP61" s="69" t="str">
        <f t="shared" si="217"/>
        <v/>
      </c>
      <c r="HQ61" s="69" t="str">
        <f t="shared" si="218"/>
        <v/>
      </c>
      <c r="HS61" s="69" t="str">
        <f t="shared" si="344"/>
        <v/>
      </c>
      <c r="HT61" s="69" t="str">
        <f t="shared" si="345"/>
        <v/>
      </c>
      <c r="HU61" s="69" t="str">
        <f t="shared" si="219"/>
        <v/>
      </c>
      <c r="HV61" s="69" t="str">
        <f t="shared" si="346"/>
        <v/>
      </c>
      <c r="HW61" s="69" t="str">
        <f t="shared" si="347"/>
        <v/>
      </c>
      <c r="HX61" s="69" t="str">
        <f t="shared" si="220"/>
        <v/>
      </c>
      <c r="HY61" s="69" t="str">
        <f t="shared" si="348"/>
        <v/>
      </c>
      <c r="HZ61" s="69" t="str">
        <f t="shared" si="349"/>
        <v/>
      </c>
      <c r="IA61" s="69" t="str">
        <f t="shared" si="221"/>
        <v/>
      </c>
      <c r="IB61" s="69" t="str">
        <f t="shared" si="350"/>
        <v/>
      </c>
      <c r="IC61" s="69" t="str">
        <f t="shared" si="351"/>
        <v/>
      </c>
      <c r="ID61" s="69" t="str">
        <f t="shared" si="222"/>
        <v/>
      </c>
      <c r="IE61" s="69" t="str">
        <f t="shared" si="352"/>
        <v/>
      </c>
      <c r="IF61" s="69" t="str">
        <f t="shared" si="353"/>
        <v/>
      </c>
      <c r="IG61" s="69" t="str">
        <f t="shared" si="223"/>
        <v/>
      </c>
      <c r="IH61" s="69" t="str">
        <f t="shared" si="354"/>
        <v/>
      </c>
      <c r="II61" s="69" t="str">
        <f t="shared" si="355"/>
        <v/>
      </c>
      <c r="IJ61" s="69" t="str">
        <f t="shared" si="224"/>
        <v/>
      </c>
      <c r="IK61" s="69" t="str">
        <f t="shared" si="356"/>
        <v/>
      </c>
      <c r="IL61" s="69" t="str">
        <f t="shared" si="357"/>
        <v/>
      </c>
      <c r="IM61" s="69" t="str">
        <f t="shared" si="225"/>
        <v/>
      </c>
      <c r="IN61" s="69" t="str">
        <f t="shared" si="226"/>
        <v/>
      </c>
      <c r="IO61" s="69" t="str">
        <f t="shared" si="227"/>
        <v/>
      </c>
      <c r="IP61" s="69" t="str">
        <f t="shared" si="228"/>
        <v/>
      </c>
      <c r="IQ61" s="69" t="str">
        <f t="shared" si="229"/>
        <v/>
      </c>
      <c r="IR61" s="69" t="str">
        <f t="shared" si="230"/>
        <v/>
      </c>
      <c r="IS61" s="69" t="str">
        <f t="shared" si="231"/>
        <v/>
      </c>
      <c r="IT61" s="69" t="str">
        <f t="shared" si="232"/>
        <v/>
      </c>
      <c r="IU61" s="69" t="str">
        <f t="shared" si="233"/>
        <v/>
      </c>
      <c r="IV61" s="69" t="str">
        <f t="shared" si="234"/>
        <v/>
      </c>
    </row>
    <row r="62" spans="1:256" x14ac:dyDescent="0.2">
      <c r="A62" s="57" t="s">
        <v>65</v>
      </c>
      <c r="B62" s="178"/>
      <c r="C62" s="180"/>
      <c r="D62" s="179"/>
      <c r="E62" s="179"/>
      <c r="F62" s="179"/>
      <c r="G62" s="180"/>
      <c r="H62" s="180"/>
      <c r="I62" s="181"/>
      <c r="J62" s="182"/>
      <c r="K62" s="183"/>
      <c r="L62" s="68">
        <f t="shared" si="237"/>
        <v>0</v>
      </c>
      <c r="M62" s="69" t="str">
        <f t="shared" si="238"/>
        <v/>
      </c>
      <c r="N62" s="69" t="str">
        <f t="shared" si="358"/>
        <v/>
      </c>
      <c r="O62" s="69" t="str">
        <f t="shared" si="122"/>
        <v/>
      </c>
      <c r="P62" s="69" t="str">
        <f t="shared" si="359"/>
        <v/>
      </c>
      <c r="Q62" s="70" t="str">
        <f t="shared" si="239"/>
        <v/>
      </c>
      <c r="R62" s="71" t="str">
        <f t="shared" si="124"/>
        <v/>
      </c>
      <c r="S62" s="71" t="str">
        <f t="shared" si="125"/>
        <v/>
      </c>
      <c r="T62" s="70" t="str">
        <f t="shared" si="240"/>
        <v/>
      </c>
      <c r="U62" s="71" t="str">
        <f t="shared" si="126"/>
        <v/>
      </c>
      <c r="V62" s="71" t="str">
        <f t="shared" si="127"/>
        <v/>
      </c>
      <c r="W62" s="70" t="str">
        <f t="shared" si="241"/>
        <v/>
      </c>
      <c r="X62" s="71" t="str">
        <f t="shared" si="128"/>
        <v/>
      </c>
      <c r="Y62" s="71" t="str">
        <f t="shared" si="129"/>
        <v/>
      </c>
      <c r="Z62" s="70" t="str">
        <f t="shared" si="242"/>
        <v/>
      </c>
      <c r="AA62" s="71" t="str">
        <f t="shared" si="130"/>
        <v/>
      </c>
      <c r="AB62" s="71" t="str">
        <f t="shared" si="131"/>
        <v/>
      </c>
      <c r="AC62" s="70" t="str">
        <f t="shared" si="243"/>
        <v/>
      </c>
      <c r="AD62" s="71" t="str">
        <f t="shared" si="132"/>
        <v/>
      </c>
      <c r="AE62" s="71" t="str">
        <f t="shared" si="133"/>
        <v/>
      </c>
      <c r="AF62" s="70" t="str">
        <f t="shared" si="244"/>
        <v/>
      </c>
      <c r="AG62" s="71" t="str">
        <f t="shared" si="134"/>
        <v/>
      </c>
      <c r="AH62" s="71" t="str">
        <f t="shared" si="135"/>
        <v/>
      </c>
      <c r="AI62" s="70" t="str">
        <f t="shared" si="245"/>
        <v/>
      </c>
      <c r="AJ62" s="71" t="str">
        <f t="shared" si="136"/>
        <v/>
      </c>
      <c r="AK62" s="71" t="str">
        <f t="shared" si="137"/>
        <v/>
      </c>
      <c r="AL62" s="70" t="str">
        <f t="shared" si="138"/>
        <v/>
      </c>
      <c r="AM62" s="71" t="str">
        <f t="shared" si="139"/>
        <v/>
      </c>
      <c r="AN62" s="71" t="str">
        <f t="shared" si="140"/>
        <v/>
      </c>
      <c r="AO62" s="70" t="str">
        <f t="shared" si="141"/>
        <v/>
      </c>
      <c r="AP62" s="71" t="str">
        <f t="shared" si="142"/>
        <v/>
      </c>
      <c r="AQ62" s="71" t="str">
        <f t="shared" si="143"/>
        <v/>
      </c>
      <c r="AR62" s="70" t="str">
        <f t="shared" si="144"/>
        <v/>
      </c>
      <c r="AS62" s="71" t="str">
        <f t="shared" si="145"/>
        <v/>
      </c>
      <c r="AT62" s="71" t="str">
        <f t="shared" si="146"/>
        <v/>
      </c>
      <c r="AU62" s="69" t="str">
        <f t="shared" si="147"/>
        <v/>
      </c>
      <c r="AV62" s="131" t="str">
        <f t="shared" si="148"/>
        <v/>
      </c>
      <c r="AW62" s="69" t="str">
        <f t="shared" si="236"/>
        <v/>
      </c>
      <c r="AX62" s="132" t="str">
        <f t="shared" si="150"/>
        <v/>
      </c>
      <c r="AY62" s="132" t="str">
        <f t="shared" si="151"/>
        <v/>
      </c>
      <c r="AZ62" s="69" t="str">
        <f t="shared" si="246"/>
        <v/>
      </c>
      <c r="BA62" s="69" t="str">
        <f t="shared" si="247"/>
        <v/>
      </c>
      <c r="BB62" s="69" t="str">
        <f t="shared" si="152"/>
        <v/>
      </c>
      <c r="BC62" s="69" t="str">
        <f t="shared" si="248"/>
        <v/>
      </c>
      <c r="BD62" s="69" t="str">
        <f t="shared" si="249"/>
        <v/>
      </c>
      <c r="BE62" s="69" t="str">
        <f t="shared" si="153"/>
        <v/>
      </c>
      <c r="BF62" s="69" t="str">
        <f t="shared" si="250"/>
        <v/>
      </c>
      <c r="BG62" s="69" t="str">
        <f t="shared" si="251"/>
        <v/>
      </c>
      <c r="BH62" s="69" t="str">
        <f t="shared" si="154"/>
        <v/>
      </c>
      <c r="BI62" s="69" t="str">
        <f t="shared" si="252"/>
        <v/>
      </c>
      <c r="BJ62" s="69" t="str">
        <f t="shared" si="253"/>
        <v/>
      </c>
      <c r="BK62" s="69" t="str">
        <f t="shared" si="155"/>
        <v/>
      </c>
      <c r="BL62" s="69" t="str">
        <f t="shared" si="254"/>
        <v/>
      </c>
      <c r="BM62" s="69" t="str">
        <f t="shared" si="255"/>
        <v/>
      </c>
      <c r="BN62" s="69" t="str">
        <f t="shared" si="156"/>
        <v/>
      </c>
      <c r="BO62" s="69" t="str">
        <f t="shared" si="256"/>
        <v/>
      </c>
      <c r="BP62" s="69" t="str">
        <f t="shared" si="257"/>
        <v/>
      </c>
      <c r="BQ62" s="69" t="str">
        <f t="shared" si="157"/>
        <v/>
      </c>
      <c r="BR62" s="69" t="str">
        <f t="shared" si="258"/>
        <v/>
      </c>
      <c r="BS62" s="69" t="str">
        <f t="shared" si="259"/>
        <v/>
      </c>
      <c r="BT62" s="69" t="str">
        <f t="shared" si="158"/>
        <v/>
      </c>
      <c r="BU62" s="69" t="str">
        <f t="shared" si="260"/>
        <v/>
      </c>
      <c r="BV62" s="69" t="str">
        <f t="shared" si="261"/>
        <v/>
      </c>
      <c r="BW62" s="69" t="str">
        <f t="shared" si="159"/>
        <v/>
      </c>
      <c r="BX62" s="69" t="str">
        <f t="shared" si="262"/>
        <v/>
      </c>
      <c r="BY62" s="69" t="str">
        <f t="shared" si="263"/>
        <v/>
      </c>
      <c r="BZ62" s="69" t="str">
        <f t="shared" si="160"/>
        <v/>
      </c>
      <c r="CA62" s="69" t="str">
        <f t="shared" si="264"/>
        <v/>
      </c>
      <c r="CB62" s="69" t="str">
        <f t="shared" si="265"/>
        <v/>
      </c>
      <c r="CC62" s="69" t="str">
        <f t="shared" si="161"/>
        <v/>
      </c>
      <c r="CE62" s="69" t="str">
        <f t="shared" si="266"/>
        <v/>
      </c>
      <c r="CF62" s="69" t="str">
        <f t="shared" si="267"/>
        <v/>
      </c>
      <c r="CG62" s="69" t="str">
        <f t="shared" si="162"/>
        <v/>
      </c>
      <c r="CH62" s="69" t="str">
        <f t="shared" si="268"/>
        <v/>
      </c>
      <c r="CI62" s="69" t="str">
        <f t="shared" si="269"/>
        <v/>
      </c>
      <c r="CJ62" s="69" t="str">
        <f t="shared" si="163"/>
        <v/>
      </c>
      <c r="CK62" s="69" t="str">
        <f t="shared" si="270"/>
        <v/>
      </c>
      <c r="CL62" s="69" t="str">
        <f t="shared" si="271"/>
        <v/>
      </c>
      <c r="CM62" s="69" t="str">
        <f t="shared" si="164"/>
        <v/>
      </c>
      <c r="CN62" s="69" t="str">
        <f t="shared" si="272"/>
        <v/>
      </c>
      <c r="CO62" s="69" t="str">
        <f t="shared" si="273"/>
        <v/>
      </c>
      <c r="CP62" s="69" t="str">
        <f t="shared" si="165"/>
        <v/>
      </c>
      <c r="CQ62" s="69" t="str">
        <f t="shared" si="274"/>
        <v/>
      </c>
      <c r="CR62" s="69" t="str">
        <f t="shared" si="275"/>
        <v/>
      </c>
      <c r="CS62" s="69" t="str">
        <f t="shared" si="166"/>
        <v/>
      </c>
      <c r="CT62" s="69" t="str">
        <f t="shared" si="276"/>
        <v/>
      </c>
      <c r="CU62" s="69" t="str">
        <f t="shared" si="277"/>
        <v/>
      </c>
      <c r="CV62" s="69" t="str">
        <f t="shared" si="167"/>
        <v/>
      </c>
      <c r="CW62" s="69" t="str">
        <f t="shared" si="278"/>
        <v/>
      </c>
      <c r="CX62" s="69" t="str">
        <f t="shared" si="279"/>
        <v/>
      </c>
      <c r="CY62" s="69" t="str">
        <f t="shared" si="168"/>
        <v/>
      </c>
      <c r="CZ62" s="69" t="str">
        <f t="shared" si="280"/>
        <v/>
      </c>
      <c r="DA62" s="69" t="str">
        <f t="shared" si="281"/>
        <v/>
      </c>
      <c r="DB62" s="69" t="str">
        <f t="shared" si="169"/>
        <v/>
      </c>
      <c r="DC62" s="69" t="str">
        <f t="shared" si="282"/>
        <v/>
      </c>
      <c r="DD62" s="69" t="str">
        <f t="shared" si="283"/>
        <v/>
      </c>
      <c r="DE62" s="69" t="str">
        <f t="shared" si="170"/>
        <v/>
      </c>
      <c r="DG62" s="69" t="str">
        <f t="shared" si="284"/>
        <v/>
      </c>
      <c r="DH62" s="69" t="str">
        <f t="shared" si="285"/>
        <v/>
      </c>
      <c r="DI62" s="69" t="str">
        <f t="shared" si="171"/>
        <v/>
      </c>
      <c r="DJ62" s="69" t="str">
        <f t="shared" si="286"/>
        <v/>
      </c>
      <c r="DK62" s="69" t="str">
        <f t="shared" si="287"/>
        <v/>
      </c>
      <c r="DL62" s="69" t="str">
        <f t="shared" si="172"/>
        <v/>
      </c>
      <c r="DM62" s="69" t="str">
        <f t="shared" si="288"/>
        <v/>
      </c>
      <c r="DN62" s="69" t="str">
        <f t="shared" si="289"/>
        <v/>
      </c>
      <c r="DO62" s="69" t="str">
        <f t="shared" si="173"/>
        <v/>
      </c>
      <c r="DP62" s="69" t="str">
        <f t="shared" si="290"/>
        <v/>
      </c>
      <c r="DQ62" s="69" t="str">
        <f t="shared" si="291"/>
        <v/>
      </c>
      <c r="DR62" s="69" t="str">
        <f t="shared" si="174"/>
        <v/>
      </c>
      <c r="DS62" s="69" t="str">
        <f t="shared" si="292"/>
        <v/>
      </c>
      <c r="DT62" s="69" t="str">
        <f t="shared" si="293"/>
        <v/>
      </c>
      <c r="DU62" s="69" t="str">
        <f t="shared" si="175"/>
        <v/>
      </c>
      <c r="DV62" s="69" t="str">
        <f t="shared" si="294"/>
        <v/>
      </c>
      <c r="DW62" s="69" t="str">
        <f t="shared" si="295"/>
        <v/>
      </c>
      <c r="DX62" s="69" t="str">
        <f t="shared" si="176"/>
        <v/>
      </c>
      <c r="DY62" s="69" t="str">
        <f t="shared" si="296"/>
        <v/>
      </c>
      <c r="DZ62" s="69" t="str">
        <f t="shared" si="297"/>
        <v/>
      </c>
      <c r="EA62" s="69" t="str">
        <f t="shared" si="177"/>
        <v/>
      </c>
      <c r="EB62" s="69" t="str">
        <f t="shared" si="298"/>
        <v/>
      </c>
      <c r="EC62" s="69" t="str">
        <f t="shared" si="299"/>
        <v/>
      </c>
      <c r="ED62" s="69" t="str">
        <f t="shared" si="178"/>
        <v/>
      </c>
      <c r="EF62" s="69" t="str">
        <f t="shared" si="300"/>
        <v/>
      </c>
      <c r="EG62" s="69" t="str">
        <f t="shared" si="301"/>
        <v/>
      </c>
      <c r="EH62" s="69" t="str">
        <f t="shared" si="179"/>
        <v/>
      </c>
      <c r="EI62" s="69" t="str">
        <f t="shared" si="302"/>
        <v/>
      </c>
      <c r="EJ62" s="69" t="str">
        <f t="shared" si="303"/>
        <v/>
      </c>
      <c r="EK62" s="69" t="str">
        <f t="shared" si="180"/>
        <v/>
      </c>
      <c r="EL62" s="69" t="str">
        <f t="shared" si="304"/>
        <v/>
      </c>
      <c r="EM62" s="69" t="str">
        <f t="shared" si="305"/>
        <v/>
      </c>
      <c r="EN62" s="69" t="str">
        <f t="shared" si="181"/>
        <v/>
      </c>
      <c r="EO62" s="69" t="str">
        <f t="shared" si="306"/>
        <v/>
      </c>
      <c r="EP62" s="69" t="str">
        <f t="shared" si="307"/>
        <v/>
      </c>
      <c r="EQ62" s="69" t="str">
        <f t="shared" si="182"/>
        <v/>
      </c>
      <c r="ER62" s="69" t="str">
        <f t="shared" si="308"/>
        <v/>
      </c>
      <c r="ES62" s="69" t="str">
        <f t="shared" si="309"/>
        <v/>
      </c>
      <c r="ET62" s="69" t="str">
        <f t="shared" si="183"/>
        <v/>
      </c>
      <c r="EU62" s="69" t="str">
        <f t="shared" si="310"/>
        <v/>
      </c>
      <c r="EV62" s="69" t="str">
        <f t="shared" si="311"/>
        <v/>
      </c>
      <c r="EW62" s="69" t="str">
        <f t="shared" si="184"/>
        <v/>
      </c>
      <c r="EX62" s="69" t="str">
        <f t="shared" si="312"/>
        <v/>
      </c>
      <c r="EY62" s="69" t="str">
        <f t="shared" si="313"/>
        <v/>
      </c>
      <c r="EZ62" s="69" t="str">
        <f t="shared" si="185"/>
        <v/>
      </c>
      <c r="FB62" s="69" t="str">
        <f t="shared" si="314"/>
        <v/>
      </c>
      <c r="FC62" s="69" t="str">
        <f t="shared" si="315"/>
        <v/>
      </c>
      <c r="FD62" s="69" t="str">
        <f t="shared" si="186"/>
        <v/>
      </c>
      <c r="FE62" s="69" t="str">
        <f t="shared" si="316"/>
        <v/>
      </c>
      <c r="FF62" s="69" t="str">
        <f t="shared" si="317"/>
        <v/>
      </c>
      <c r="FG62" s="69" t="str">
        <f t="shared" si="187"/>
        <v/>
      </c>
      <c r="FH62" s="69" t="str">
        <f t="shared" si="318"/>
        <v/>
      </c>
      <c r="FI62" s="69" t="str">
        <f t="shared" si="319"/>
        <v/>
      </c>
      <c r="FJ62" s="69" t="str">
        <f t="shared" si="188"/>
        <v/>
      </c>
      <c r="FK62" s="69" t="str">
        <f t="shared" si="320"/>
        <v/>
      </c>
      <c r="FL62" s="69" t="str">
        <f t="shared" si="321"/>
        <v/>
      </c>
      <c r="FM62" s="69" t="str">
        <f t="shared" si="189"/>
        <v/>
      </c>
      <c r="FN62" s="69" t="str">
        <f t="shared" si="322"/>
        <v/>
      </c>
      <c r="FO62" s="69" t="str">
        <f t="shared" si="323"/>
        <v/>
      </c>
      <c r="FP62" s="69" t="str">
        <f t="shared" si="190"/>
        <v/>
      </c>
      <c r="FQ62" s="69" t="str">
        <f t="shared" si="324"/>
        <v/>
      </c>
      <c r="FR62" s="69" t="str">
        <f t="shared" si="325"/>
        <v/>
      </c>
      <c r="FS62" s="69" t="str">
        <f t="shared" si="191"/>
        <v/>
      </c>
      <c r="FU62" s="69" t="str">
        <f t="shared" si="326"/>
        <v/>
      </c>
      <c r="FV62" s="69" t="str">
        <f t="shared" si="327"/>
        <v/>
      </c>
      <c r="FW62" s="69" t="str">
        <f t="shared" si="192"/>
        <v/>
      </c>
      <c r="FX62" s="69" t="str">
        <f t="shared" si="328"/>
        <v/>
      </c>
      <c r="FY62" s="69" t="str">
        <f t="shared" si="329"/>
        <v/>
      </c>
      <c r="FZ62" s="69" t="str">
        <f t="shared" si="193"/>
        <v/>
      </c>
      <c r="GA62" s="69" t="str">
        <f t="shared" si="330"/>
        <v/>
      </c>
      <c r="GB62" s="69" t="str">
        <f t="shared" si="331"/>
        <v/>
      </c>
      <c r="GC62" s="69" t="str">
        <f t="shared" si="194"/>
        <v/>
      </c>
      <c r="GD62" s="69" t="str">
        <f t="shared" si="332"/>
        <v/>
      </c>
      <c r="GE62" s="69" t="str">
        <f t="shared" si="333"/>
        <v/>
      </c>
      <c r="GF62" s="69" t="str">
        <f t="shared" si="195"/>
        <v/>
      </c>
      <c r="GG62" s="69" t="str">
        <f t="shared" si="334"/>
        <v/>
      </c>
      <c r="GH62" s="69" t="str">
        <f t="shared" si="335"/>
        <v/>
      </c>
      <c r="GI62" s="69" t="str">
        <f t="shared" si="196"/>
        <v/>
      </c>
      <c r="GK62" s="69" t="str">
        <f t="shared" si="336"/>
        <v/>
      </c>
      <c r="GL62" s="69" t="str">
        <f t="shared" si="337"/>
        <v/>
      </c>
      <c r="GM62" s="69" t="str">
        <f t="shared" si="197"/>
        <v/>
      </c>
      <c r="GN62" s="69" t="str">
        <f t="shared" si="338"/>
        <v/>
      </c>
      <c r="GO62" s="69" t="str">
        <f t="shared" si="339"/>
        <v/>
      </c>
      <c r="GP62" s="69" t="str">
        <f t="shared" si="198"/>
        <v/>
      </c>
      <c r="GQ62" s="69" t="str">
        <f t="shared" si="340"/>
        <v/>
      </c>
      <c r="GR62" s="69" t="str">
        <f t="shared" si="341"/>
        <v/>
      </c>
      <c r="GS62" s="69" t="str">
        <f t="shared" si="199"/>
        <v/>
      </c>
      <c r="GT62" s="69" t="str">
        <f t="shared" si="342"/>
        <v/>
      </c>
      <c r="GU62" s="69" t="str">
        <f t="shared" si="343"/>
        <v/>
      </c>
      <c r="GV62" s="69" t="str">
        <f t="shared" si="200"/>
        <v/>
      </c>
      <c r="GX62" s="69" t="str">
        <f t="shared" si="201"/>
        <v/>
      </c>
      <c r="GY62" s="69" t="str">
        <f t="shared" si="202"/>
        <v/>
      </c>
      <c r="GZ62" s="69" t="str">
        <f t="shared" si="203"/>
        <v/>
      </c>
      <c r="HA62" s="69" t="str">
        <f t="shared" si="204"/>
        <v/>
      </c>
      <c r="HB62" s="69" t="str">
        <f t="shared" si="205"/>
        <v/>
      </c>
      <c r="HC62" s="69" t="str">
        <f t="shared" si="206"/>
        <v/>
      </c>
      <c r="HD62" s="69" t="str">
        <f t="shared" si="207"/>
        <v/>
      </c>
      <c r="HE62" s="69" t="str">
        <f t="shared" si="208"/>
        <v/>
      </c>
      <c r="HF62" s="69" t="str">
        <f t="shared" si="209"/>
        <v/>
      </c>
      <c r="HH62" s="69" t="str">
        <f t="shared" si="210"/>
        <v/>
      </c>
      <c r="HI62" s="69" t="str">
        <f t="shared" si="211"/>
        <v/>
      </c>
      <c r="HJ62" s="69" t="str">
        <f t="shared" si="212"/>
        <v/>
      </c>
      <c r="HK62" s="69" t="str">
        <f t="shared" si="213"/>
        <v/>
      </c>
      <c r="HL62" s="69" t="str">
        <f t="shared" si="214"/>
        <v/>
      </c>
      <c r="HM62" s="69" t="str">
        <f t="shared" si="215"/>
        <v/>
      </c>
      <c r="HO62" s="69" t="str">
        <f t="shared" si="216"/>
        <v/>
      </c>
      <c r="HP62" s="69" t="str">
        <f t="shared" si="217"/>
        <v/>
      </c>
      <c r="HQ62" s="69" t="str">
        <f t="shared" si="218"/>
        <v/>
      </c>
      <c r="HS62" s="69" t="str">
        <f t="shared" si="344"/>
        <v/>
      </c>
      <c r="HT62" s="69" t="str">
        <f t="shared" si="345"/>
        <v/>
      </c>
      <c r="HU62" s="69" t="str">
        <f t="shared" si="219"/>
        <v/>
      </c>
      <c r="HV62" s="69" t="str">
        <f t="shared" si="346"/>
        <v/>
      </c>
      <c r="HW62" s="69" t="str">
        <f t="shared" si="347"/>
        <v/>
      </c>
      <c r="HX62" s="69" t="str">
        <f t="shared" si="220"/>
        <v/>
      </c>
      <c r="HY62" s="69" t="str">
        <f t="shared" si="348"/>
        <v/>
      </c>
      <c r="HZ62" s="69" t="str">
        <f t="shared" si="349"/>
        <v/>
      </c>
      <c r="IA62" s="69" t="str">
        <f t="shared" si="221"/>
        <v/>
      </c>
      <c r="IB62" s="69" t="str">
        <f t="shared" si="350"/>
        <v/>
      </c>
      <c r="IC62" s="69" t="str">
        <f t="shared" si="351"/>
        <v/>
      </c>
      <c r="ID62" s="69" t="str">
        <f t="shared" si="222"/>
        <v/>
      </c>
      <c r="IE62" s="69" t="str">
        <f t="shared" si="352"/>
        <v/>
      </c>
      <c r="IF62" s="69" t="str">
        <f t="shared" si="353"/>
        <v/>
      </c>
      <c r="IG62" s="69" t="str">
        <f t="shared" si="223"/>
        <v/>
      </c>
      <c r="IH62" s="69" t="str">
        <f t="shared" si="354"/>
        <v/>
      </c>
      <c r="II62" s="69" t="str">
        <f t="shared" si="355"/>
        <v/>
      </c>
      <c r="IJ62" s="69" t="str">
        <f t="shared" si="224"/>
        <v/>
      </c>
      <c r="IK62" s="69" t="str">
        <f t="shared" si="356"/>
        <v/>
      </c>
      <c r="IL62" s="69" t="str">
        <f t="shared" si="357"/>
        <v/>
      </c>
      <c r="IM62" s="69" t="str">
        <f t="shared" si="225"/>
        <v/>
      </c>
      <c r="IN62" s="69" t="str">
        <f t="shared" si="226"/>
        <v/>
      </c>
      <c r="IO62" s="69" t="str">
        <f t="shared" si="227"/>
        <v/>
      </c>
      <c r="IP62" s="69" t="str">
        <f t="shared" si="228"/>
        <v/>
      </c>
      <c r="IQ62" s="69" t="str">
        <f t="shared" si="229"/>
        <v/>
      </c>
      <c r="IR62" s="69" t="str">
        <f t="shared" si="230"/>
        <v/>
      </c>
      <c r="IS62" s="69" t="str">
        <f t="shared" si="231"/>
        <v/>
      </c>
      <c r="IT62" s="69" t="str">
        <f t="shared" si="232"/>
        <v/>
      </c>
      <c r="IU62" s="69" t="str">
        <f t="shared" si="233"/>
        <v/>
      </c>
      <c r="IV62" s="69" t="str">
        <f t="shared" si="234"/>
        <v/>
      </c>
    </row>
    <row r="63" spans="1:256" x14ac:dyDescent="0.2">
      <c r="A63" s="57" t="s">
        <v>66</v>
      </c>
      <c r="B63" s="178"/>
      <c r="C63" s="179"/>
      <c r="D63" s="179"/>
      <c r="E63" s="179"/>
      <c r="F63" s="179"/>
      <c r="G63" s="180"/>
      <c r="H63" s="180"/>
      <c r="I63" s="181"/>
      <c r="J63" s="182"/>
      <c r="K63" s="183"/>
      <c r="L63" s="68">
        <f t="shared" si="237"/>
        <v>0</v>
      </c>
      <c r="M63" s="69" t="str">
        <f t="shared" si="238"/>
        <v/>
      </c>
      <c r="N63" s="69" t="str">
        <f t="shared" si="358"/>
        <v/>
      </c>
      <c r="O63" s="69" t="str">
        <f t="shared" si="122"/>
        <v/>
      </c>
      <c r="P63" s="69" t="str">
        <f t="shared" si="359"/>
        <v/>
      </c>
      <c r="Q63" s="70" t="str">
        <f t="shared" si="239"/>
        <v/>
      </c>
      <c r="R63" s="71" t="str">
        <f t="shared" si="124"/>
        <v/>
      </c>
      <c r="S63" s="71" t="str">
        <f t="shared" si="125"/>
        <v/>
      </c>
      <c r="T63" s="70" t="str">
        <f t="shared" si="240"/>
        <v/>
      </c>
      <c r="U63" s="71" t="str">
        <f t="shared" si="126"/>
        <v/>
      </c>
      <c r="V63" s="71" t="str">
        <f t="shared" si="127"/>
        <v/>
      </c>
      <c r="W63" s="70" t="str">
        <f t="shared" si="241"/>
        <v/>
      </c>
      <c r="X63" s="71" t="str">
        <f t="shared" si="128"/>
        <v/>
      </c>
      <c r="Y63" s="71" t="str">
        <f t="shared" si="129"/>
        <v/>
      </c>
      <c r="Z63" s="70" t="str">
        <f t="shared" si="242"/>
        <v/>
      </c>
      <c r="AA63" s="71" t="str">
        <f t="shared" si="130"/>
        <v/>
      </c>
      <c r="AB63" s="71" t="str">
        <f t="shared" si="131"/>
        <v/>
      </c>
      <c r="AC63" s="70" t="str">
        <f t="shared" si="243"/>
        <v/>
      </c>
      <c r="AD63" s="71" t="str">
        <f t="shared" si="132"/>
        <v/>
      </c>
      <c r="AE63" s="71" t="str">
        <f t="shared" si="133"/>
        <v/>
      </c>
      <c r="AF63" s="70" t="str">
        <f t="shared" si="244"/>
        <v/>
      </c>
      <c r="AG63" s="71" t="str">
        <f t="shared" si="134"/>
        <v/>
      </c>
      <c r="AH63" s="71" t="str">
        <f t="shared" si="135"/>
        <v/>
      </c>
      <c r="AI63" s="70" t="str">
        <f t="shared" si="245"/>
        <v/>
      </c>
      <c r="AJ63" s="71" t="str">
        <f t="shared" si="136"/>
        <v/>
      </c>
      <c r="AK63" s="71" t="str">
        <f t="shared" si="137"/>
        <v/>
      </c>
      <c r="AL63" s="70" t="str">
        <f t="shared" si="138"/>
        <v/>
      </c>
      <c r="AM63" s="71" t="str">
        <f t="shared" si="139"/>
        <v/>
      </c>
      <c r="AN63" s="71" t="str">
        <f t="shared" si="140"/>
        <v/>
      </c>
      <c r="AO63" s="70" t="str">
        <f t="shared" si="141"/>
        <v/>
      </c>
      <c r="AP63" s="71" t="str">
        <f t="shared" si="142"/>
        <v/>
      </c>
      <c r="AQ63" s="71" t="str">
        <f t="shared" si="143"/>
        <v/>
      </c>
      <c r="AR63" s="70" t="str">
        <f t="shared" si="144"/>
        <v/>
      </c>
      <c r="AS63" s="71" t="str">
        <f t="shared" si="145"/>
        <v/>
      </c>
      <c r="AT63" s="71" t="str">
        <f t="shared" si="146"/>
        <v/>
      </c>
      <c r="AU63" s="69" t="str">
        <f t="shared" si="147"/>
        <v/>
      </c>
      <c r="AV63" s="131" t="str">
        <f t="shared" si="148"/>
        <v/>
      </c>
      <c r="AW63" s="69" t="str">
        <f t="shared" si="236"/>
        <v/>
      </c>
      <c r="AX63" s="132" t="str">
        <f t="shared" si="150"/>
        <v/>
      </c>
      <c r="AY63" s="132" t="str">
        <f t="shared" si="151"/>
        <v/>
      </c>
      <c r="AZ63" s="69" t="str">
        <f t="shared" si="246"/>
        <v/>
      </c>
      <c r="BA63" s="69" t="str">
        <f t="shared" si="247"/>
        <v/>
      </c>
      <c r="BB63" s="69" t="str">
        <f t="shared" si="152"/>
        <v/>
      </c>
      <c r="BC63" s="69" t="str">
        <f t="shared" si="248"/>
        <v/>
      </c>
      <c r="BD63" s="69" t="str">
        <f t="shared" si="249"/>
        <v/>
      </c>
      <c r="BE63" s="69" t="str">
        <f t="shared" si="153"/>
        <v/>
      </c>
      <c r="BF63" s="69" t="str">
        <f t="shared" si="250"/>
        <v/>
      </c>
      <c r="BG63" s="69" t="str">
        <f t="shared" si="251"/>
        <v/>
      </c>
      <c r="BH63" s="69" t="str">
        <f t="shared" si="154"/>
        <v/>
      </c>
      <c r="BI63" s="69" t="str">
        <f t="shared" si="252"/>
        <v/>
      </c>
      <c r="BJ63" s="69" t="str">
        <f t="shared" si="253"/>
        <v/>
      </c>
      <c r="BK63" s="69" t="str">
        <f t="shared" si="155"/>
        <v/>
      </c>
      <c r="BL63" s="69" t="str">
        <f t="shared" si="254"/>
        <v/>
      </c>
      <c r="BM63" s="69" t="str">
        <f t="shared" si="255"/>
        <v/>
      </c>
      <c r="BN63" s="69" t="str">
        <f t="shared" si="156"/>
        <v/>
      </c>
      <c r="BO63" s="69" t="str">
        <f t="shared" si="256"/>
        <v/>
      </c>
      <c r="BP63" s="69" t="str">
        <f t="shared" si="257"/>
        <v/>
      </c>
      <c r="BQ63" s="69" t="str">
        <f t="shared" si="157"/>
        <v/>
      </c>
      <c r="BR63" s="69" t="str">
        <f t="shared" si="258"/>
        <v/>
      </c>
      <c r="BS63" s="69" t="str">
        <f t="shared" si="259"/>
        <v/>
      </c>
      <c r="BT63" s="69" t="str">
        <f t="shared" si="158"/>
        <v/>
      </c>
      <c r="BU63" s="69" t="str">
        <f t="shared" si="260"/>
        <v/>
      </c>
      <c r="BV63" s="69" t="str">
        <f t="shared" si="261"/>
        <v/>
      </c>
      <c r="BW63" s="69" t="str">
        <f t="shared" si="159"/>
        <v/>
      </c>
      <c r="BX63" s="69" t="str">
        <f t="shared" si="262"/>
        <v/>
      </c>
      <c r="BY63" s="69" t="str">
        <f t="shared" si="263"/>
        <v/>
      </c>
      <c r="BZ63" s="69" t="str">
        <f t="shared" si="160"/>
        <v/>
      </c>
      <c r="CA63" s="69" t="str">
        <f t="shared" si="264"/>
        <v/>
      </c>
      <c r="CB63" s="69" t="str">
        <f t="shared" si="265"/>
        <v/>
      </c>
      <c r="CC63" s="69" t="str">
        <f t="shared" si="161"/>
        <v/>
      </c>
      <c r="CE63" s="69" t="str">
        <f t="shared" si="266"/>
        <v/>
      </c>
      <c r="CF63" s="69" t="str">
        <f t="shared" si="267"/>
        <v/>
      </c>
      <c r="CG63" s="69" t="str">
        <f t="shared" si="162"/>
        <v/>
      </c>
      <c r="CH63" s="69" t="str">
        <f t="shared" si="268"/>
        <v/>
      </c>
      <c r="CI63" s="69" t="str">
        <f t="shared" si="269"/>
        <v/>
      </c>
      <c r="CJ63" s="69" t="str">
        <f t="shared" si="163"/>
        <v/>
      </c>
      <c r="CK63" s="69" t="str">
        <f t="shared" si="270"/>
        <v/>
      </c>
      <c r="CL63" s="69" t="str">
        <f t="shared" si="271"/>
        <v/>
      </c>
      <c r="CM63" s="69" t="str">
        <f t="shared" si="164"/>
        <v/>
      </c>
      <c r="CN63" s="69" t="str">
        <f t="shared" si="272"/>
        <v/>
      </c>
      <c r="CO63" s="69" t="str">
        <f t="shared" si="273"/>
        <v/>
      </c>
      <c r="CP63" s="69" t="str">
        <f t="shared" si="165"/>
        <v/>
      </c>
      <c r="CQ63" s="69" t="str">
        <f t="shared" si="274"/>
        <v/>
      </c>
      <c r="CR63" s="69" t="str">
        <f t="shared" si="275"/>
        <v/>
      </c>
      <c r="CS63" s="69" t="str">
        <f t="shared" si="166"/>
        <v/>
      </c>
      <c r="CT63" s="69" t="str">
        <f t="shared" si="276"/>
        <v/>
      </c>
      <c r="CU63" s="69" t="str">
        <f t="shared" si="277"/>
        <v/>
      </c>
      <c r="CV63" s="69" t="str">
        <f t="shared" si="167"/>
        <v/>
      </c>
      <c r="CW63" s="69" t="str">
        <f t="shared" si="278"/>
        <v/>
      </c>
      <c r="CX63" s="69" t="str">
        <f t="shared" si="279"/>
        <v/>
      </c>
      <c r="CY63" s="69" t="str">
        <f t="shared" si="168"/>
        <v/>
      </c>
      <c r="CZ63" s="69" t="str">
        <f t="shared" si="280"/>
        <v/>
      </c>
      <c r="DA63" s="69" t="str">
        <f t="shared" si="281"/>
        <v/>
      </c>
      <c r="DB63" s="69" t="str">
        <f t="shared" si="169"/>
        <v/>
      </c>
      <c r="DC63" s="69" t="str">
        <f t="shared" si="282"/>
        <v/>
      </c>
      <c r="DD63" s="69" t="str">
        <f t="shared" si="283"/>
        <v/>
      </c>
      <c r="DE63" s="69" t="str">
        <f t="shared" si="170"/>
        <v/>
      </c>
      <c r="DG63" s="69" t="str">
        <f t="shared" si="284"/>
        <v/>
      </c>
      <c r="DH63" s="69" t="str">
        <f t="shared" si="285"/>
        <v/>
      </c>
      <c r="DI63" s="69" t="str">
        <f t="shared" si="171"/>
        <v/>
      </c>
      <c r="DJ63" s="69" t="str">
        <f t="shared" si="286"/>
        <v/>
      </c>
      <c r="DK63" s="69" t="str">
        <f t="shared" si="287"/>
        <v/>
      </c>
      <c r="DL63" s="69" t="str">
        <f t="shared" si="172"/>
        <v/>
      </c>
      <c r="DM63" s="69" t="str">
        <f t="shared" si="288"/>
        <v/>
      </c>
      <c r="DN63" s="69" t="str">
        <f t="shared" si="289"/>
        <v/>
      </c>
      <c r="DO63" s="69" t="str">
        <f t="shared" si="173"/>
        <v/>
      </c>
      <c r="DP63" s="69" t="str">
        <f t="shared" si="290"/>
        <v/>
      </c>
      <c r="DQ63" s="69" t="str">
        <f t="shared" si="291"/>
        <v/>
      </c>
      <c r="DR63" s="69" t="str">
        <f t="shared" si="174"/>
        <v/>
      </c>
      <c r="DS63" s="69" t="str">
        <f t="shared" si="292"/>
        <v/>
      </c>
      <c r="DT63" s="69" t="str">
        <f t="shared" si="293"/>
        <v/>
      </c>
      <c r="DU63" s="69" t="str">
        <f t="shared" si="175"/>
        <v/>
      </c>
      <c r="DV63" s="69" t="str">
        <f t="shared" si="294"/>
        <v/>
      </c>
      <c r="DW63" s="69" t="str">
        <f t="shared" si="295"/>
        <v/>
      </c>
      <c r="DX63" s="69" t="str">
        <f t="shared" si="176"/>
        <v/>
      </c>
      <c r="DY63" s="69" t="str">
        <f t="shared" si="296"/>
        <v/>
      </c>
      <c r="DZ63" s="69" t="str">
        <f t="shared" si="297"/>
        <v/>
      </c>
      <c r="EA63" s="69" t="str">
        <f t="shared" si="177"/>
        <v/>
      </c>
      <c r="EB63" s="69" t="str">
        <f t="shared" si="298"/>
        <v/>
      </c>
      <c r="EC63" s="69" t="str">
        <f t="shared" si="299"/>
        <v/>
      </c>
      <c r="ED63" s="69" t="str">
        <f t="shared" si="178"/>
        <v/>
      </c>
      <c r="EF63" s="69" t="str">
        <f t="shared" si="300"/>
        <v/>
      </c>
      <c r="EG63" s="69" t="str">
        <f t="shared" si="301"/>
        <v/>
      </c>
      <c r="EH63" s="69" t="str">
        <f t="shared" si="179"/>
        <v/>
      </c>
      <c r="EI63" s="69" t="str">
        <f t="shared" si="302"/>
        <v/>
      </c>
      <c r="EJ63" s="69" t="str">
        <f t="shared" si="303"/>
        <v/>
      </c>
      <c r="EK63" s="69" t="str">
        <f t="shared" si="180"/>
        <v/>
      </c>
      <c r="EL63" s="69" t="str">
        <f t="shared" si="304"/>
        <v/>
      </c>
      <c r="EM63" s="69" t="str">
        <f t="shared" si="305"/>
        <v/>
      </c>
      <c r="EN63" s="69" t="str">
        <f t="shared" si="181"/>
        <v/>
      </c>
      <c r="EO63" s="69" t="str">
        <f t="shared" si="306"/>
        <v/>
      </c>
      <c r="EP63" s="69" t="str">
        <f t="shared" si="307"/>
        <v/>
      </c>
      <c r="EQ63" s="69" t="str">
        <f t="shared" si="182"/>
        <v/>
      </c>
      <c r="ER63" s="69" t="str">
        <f t="shared" si="308"/>
        <v/>
      </c>
      <c r="ES63" s="69" t="str">
        <f t="shared" si="309"/>
        <v/>
      </c>
      <c r="ET63" s="69" t="str">
        <f t="shared" si="183"/>
        <v/>
      </c>
      <c r="EU63" s="69" t="str">
        <f t="shared" si="310"/>
        <v/>
      </c>
      <c r="EV63" s="69" t="str">
        <f t="shared" si="311"/>
        <v/>
      </c>
      <c r="EW63" s="69" t="str">
        <f t="shared" si="184"/>
        <v/>
      </c>
      <c r="EX63" s="69" t="str">
        <f t="shared" si="312"/>
        <v/>
      </c>
      <c r="EY63" s="69" t="str">
        <f t="shared" si="313"/>
        <v/>
      </c>
      <c r="EZ63" s="69" t="str">
        <f t="shared" si="185"/>
        <v/>
      </c>
      <c r="FB63" s="69" t="str">
        <f t="shared" si="314"/>
        <v/>
      </c>
      <c r="FC63" s="69" t="str">
        <f t="shared" si="315"/>
        <v/>
      </c>
      <c r="FD63" s="69" t="str">
        <f t="shared" si="186"/>
        <v/>
      </c>
      <c r="FE63" s="69" t="str">
        <f t="shared" si="316"/>
        <v/>
      </c>
      <c r="FF63" s="69" t="str">
        <f t="shared" si="317"/>
        <v/>
      </c>
      <c r="FG63" s="69" t="str">
        <f t="shared" si="187"/>
        <v/>
      </c>
      <c r="FH63" s="69" t="str">
        <f t="shared" si="318"/>
        <v/>
      </c>
      <c r="FI63" s="69" t="str">
        <f t="shared" si="319"/>
        <v/>
      </c>
      <c r="FJ63" s="69" t="str">
        <f t="shared" si="188"/>
        <v/>
      </c>
      <c r="FK63" s="69" t="str">
        <f t="shared" si="320"/>
        <v/>
      </c>
      <c r="FL63" s="69" t="str">
        <f t="shared" si="321"/>
        <v/>
      </c>
      <c r="FM63" s="69" t="str">
        <f t="shared" si="189"/>
        <v/>
      </c>
      <c r="FN63" s="69" t="str">
        <f t="shared" si="322"/>
        <v/>
      </c>
      <c r="FO63" s="69" t="str">
        <f t="shared" si="323"/>
        <v/>
      </c>
      <c r="FP63" s="69" t="str">
        <f t="shared" si="190"/>
        <v/>
      </c>
      <c r="FQ63" s="69" t="str">
        <f t="shared" si="324"/>
        <v/>
      </c>
      <c r="FR63" s="69" t="str">
        <f t="shared" si="325"/>
        <v/>
      </c>
      <c r="FS63" s="69" t="str">
        <f t="shared" si="191"/>
        <v/>
      </c>
      <c r="FU63" s="69" t="str">
        <f t="shared" si="326"/>
        <v/>
      </c>
      <c r="FV63" s="69" t="str">
        <f t="shared" si="327"/>
        <v/>
      </c>
      <c r="FW63" s="69" t="str">
        <f t="shared" si="192"/>
        <v/>
      </c>
      <c r="FX63" s="69" t="str">
        <f t="shared" si="328"/>
        <v/>
      </c>
      <c r="FY63" s="69" t="str">
        <f t="shared" si="329"/>
        <v/>
      </c>
      <c r="FZ63" s="69" t="str">
        <f t="shared" si="193"/>
        <v/>
      </c>
      <c r="GA63" s="69" t="str">
        <f t="shared" si="330"/>
        <v/>
      </c>
      <c r="GB63" s="69" t="str">
        <f t="shared" si="331"/>
        <v/>
      </c>
      <c r="GC63" s="69" t="str">
        <f t="shared" si="194"/>
        <v/>
      </c>
      <c r="GD63" s="69" t="str">
        <f t="shared" si="332"/>
        <v/>
      </c>
      <c r="GE63" s="69" t="str">
        <f t="shared" si="333"/>
        <v/>
      </c>
      <c r="GF63" s="69" t="str">
        <f t="shared" si="195"/>
        <v/>
      </c>
      <c r="GG63" s="69" t="str">
        <f t="shared" si="334"/>
        <v/>
      </c>
      <c r="GH63" s="69" t="str">
        <f t="shared" si="335"/>
        <v/>
      </c>
      <c r="GI63" s="69" t="str">
        <f t="shared" si="196"/>
        <v/>
      </c>
      <c r="GK63" s="69" t="str">
        <f t="shared" si="336"/>
        <v/>
      </c>
      <c r="GL63" s="69" t="str">
        <f t="shared" si="337"/>
        <v/>
      </c>
      <c r="GM63" s="69" t="str">
        <f t="shared" si="197"/>
        <v/>
      </c>
      <c r="GN63" s="69" t="str">
        <f t="shared" si="338"/>
        <v/>
      </c>
      <c r="GO63" s="69" t="str">
        <f t="shared" si="339"/>
        <v/>
      </c>
      <c r="GP63" s="69" t="str">
        <f t="shared" si="198"/>
        <v/>
      </c>
      <c r="GQ63" s="69" t="str">
        <f t="shared" si="340"/>
        <v/>
      </c>
      <c r="GR63" s="69" t="str">
        <f t="shared" si="341"/>
        <v/>
      </c>
      <c r="GS63" s="69" t="str">
        <f t="shared" si="199"/>
        <v/>
      </c>
      <c r="GT63" s="69" t="str">
        <f t="shared" si="342"/>
        <v/>
      </c>
      <c r="GU63" s="69" t="str">
        <f t="shared" si="343"/>
        <v/>
      </c>
      <c r="GV63" s="69" t="str">
        <f t="shared" si="200"/>
        <v/>
      </c>
      <c r="GX63" s="69" t="str">
        <f t="shared" si="201"/>
        <v/>
      </c>
      <c r="GY63" s="69" t="str">
        <f t="shared" si="202"/>
        <v/>
      </c>
      <c r="GZ63" s="69" t="str">
        <f t="shared" si="203"/>
        <v/>
      </c>
      <c r="HA63" s="69" t="str">
        <f t="shared" si="204"/>
        <v/>
      </c>
      <c r="HB63" s="69" t="str">
        <f t="shared" si="205"/>
        <v/>
      </c>
      <c r="HC63" s="69" t="str">
        <f t="shared" si="206"/>
        <v/>
      </c>
      <c r="HD63" s="69" t="str">
        <f t="shared" si="207"/>
        <v/>
      </c>
      <c r="HE63" s="69" t="str">
        <f t="shared" si="208"/>
        <v/>
      </c>
      <c r="HF63" s="69" t="str">
        <f t="shared" si="209"/>
        <v/>
      </c>
      <c r="HH63" s="69" t="str">
        <f t="shared" si="210"/>
        <v/>
      </c>
      <c r="HI63" s="69" t="str">
        <f t="shared" si="211"/>
        <v/>
      </c>
      <c r="HJ63" s="69" t="str">
        <f t="shared" si="212"/>
        <v/>
      </c>
      <c r="HK63" s="69" t="str">
        <f t="shared" si="213"/>
        <v/>
      </c>
      <c r="HL63" s="69" t="str">
        <f t="shared" si="214"/>
        <v/>
      </c>
      <c r="HM63" s="69" t="str">
        <f t="shared" si="215"/>
        <v/>
      </c>
      <c r="HO63" s="69" t="str">
        <f t="shared" si="216"/>
        <v/>
      </c>
      <c r="HP63" s="69" t="str">
        <f t="shared" si="217"/>
        <v/>
      </c>
      <c r="HQ63" s="69" t="str">
        <f t="shared" si="218"/>
        <v/>
      </c>
      <c r="HS63" s="69" t="str">
        <f t="shared" si="344"/>
        <v/>
      </c>
      <c r="HT63" s="69" t="str">
        <f t="shared" si="345"/>
        <v/>
      </c>
      <c r="HU63" s="69" t="str">
        <f t="shared" si="219"/>
        <v/>
      </c>
      <c r="HV63" s="69" t="str">
        <f t="shared" si="346"/>
        <v/>
      </c>
      <c r="HW63" s="69" t="str">
        <f t="shared" si="347"/>
        <v/>
      </c>
      <c r="HX63" s="69" t="str">
        <f t="shared" si="220"/>
        <v/>
      </c>
      <c r="HY63" s="69" t="str">
        <f t="shared" si="348"/>
        <v/>
      </c>
      <c r="HZ63" s="69" t="str">
        <f t="shared" si="349"/>
        <v/>
      </c>
      <c r="IA63" s="69" t="str">
        <f t="shared" si="221"/>
        <v/>
      </c>
      <c r="IB63" s="69" t="str">
        <f t="shared" si="350"/>
        <v/>
      </c>
      <c r="IC63" s="69" t="str">
        <f t="shared" si="351"/>
        <v/>
      </c>
      <c r="ID63" s="69" t="str">
        <f t="shared" si="222"/>
        <v/>
      </c>
      <c r="IE63" s="69" t="str">
        <f t="shared" si="352"/>
        <v/>
      </c>
      <c r="IF63" s="69" t="str">
        <f t="shared" si="353"/>
        <v/>
      </c>
      <c r="IG63" s="69" t="str">
        <f t="shared" si="223"/>
        <v/>
      </c>
      <c r="IH63" s="69" t="str">
        <f t="shared" si="354"/>
        <v/>
      </c>
      <c r="II63" s="69" t="str">
        <f t="shared" si="355"/>
        <v/>
      </c>
      <c r="IJ63" s="69" t="str">
        <f t="shared" si="224"/>
        <v/>
      </c>
      <c r="IK63" s="69" t="str">
        <f t="shared" si="356"/>
        <v/>
      </c>
      <c r="IL63" s="69" t="str">
        <f t="shared" si="357"/>
        <v/>
      </c>
      <c r="IM63" s="69" t="str">
        <f t="shared" si="225"/>
        <v/>
      </c>
      <c r="IN63" s="69" t="str">
        <f t="shared" si="226"/>
        <v/>
      </c>
      <c r="IO63" s="69" t="str">
        <f t="shared" si="227"/>
        <v/>
      </c>
      <c r="IP63" s="69" t="str">
        <f t="shared" si="228"/>
        <v/>
      </c>
      <c r="IQ63" s="69" t="str">
        <f t="shared" si="229"/>
        <v/>
      </c>
      <c r="IR63" s="69" t="str">
        <f t="shared" si="230"/>
        <v/>
      </c>
      <c r="IS63" s="69" t="str">
        <f t="shared" si="231"/>
        <v/>
      </c>
      <c r="IT63" s="69" t="str">
        <f t="shared" si="232"/>
        <v/>
      </c>
      <c r="IU63" s="69" t="str">
        <f t="shared" si="233"/>
        <v/>
      </c>
      <c r="IV63" s="69" t="str">
        <f t="shared" si="234"/>
        <v/>
      </c>
    </row>
    <row r="64" spans="1:256" x14ac:dyDescent="0.2">
      <c r="A64" s="57" t="s">
        <v>67</v>
      </c>
      <c r="B64" s="178"/>
      <c r="C64" s="179"/>
      <c r="D64" s="179"/>
      <c r="E64" s="179"/>
      <c r="F64" s="179"/>
      <c r="G64" s="180"/>
      <c r="H64" s="180"/>
      <c r="I64" s="181"/>
      <c r="J64" s="182"/>
      <c r="K64" s="183"/>
      <c r="L64" s="68">
        <f t="shared" si="237"/>
        <v>0</v>
      </c>
      <c r="M64" s="69" t="str">
        <f t="shared" si="238"/>
        <v/>
      </c>
      <c r="N64" s="69" t="str">
        <f t="shared" si="358"/>
        <v/>
      </c>
      <c r="O64" s="69" t="str">
        <f t="shared" si="122"/>
        <v/>
      </c>
      <c r="P64" s="69" t="str">
        <f t="shared" si="359"/>
        <v/>
      </c>
      <c r="Q64" s="70" t="str">
        <f t="shared" si="239"/>
        <v/>
      </c>
      <c r="R64" s="71" t="str">
        <f t="shared" si="124"/>
        <v/>
      </c>
      <c r="S64" s="71" t="str">
        <f t="shared" si="125"/>
        <v/>
      </c>
      <c r="T64" s="70" t="str">
        <f t="shared" si="240"/>
        <v/>
      </c>
      <c r="U64" s="71" t="str">
        <f t="shared" si="126"/>
        <v/>
      </c>
      <c r="V64" s="71" t="str">
        <f t="shared" si="127"/>
        <v/>
      </c>
      <c r="W64" s="70" t="str">
        <f t="shared" si="241"/>
        <v/>
      </c>
      <c r="X64" s="71" t="str">
        <f t="shared" si="128"/>
        <v/>
      </c>
      <c r="Y64" s="71" t="str">
        <f t="shared" si="129"/>
        <v/>
      </c>
      <c r="Z64" s="70" t="str">
        <f t="shared" si="242"/>
        <v/>
      </c>
      <c r="AA64" s="71" t="str">
        <f t="shared" si="130"/>
        <v/>
      </c>
      <c r="AB64" s="71" t="str">
        <f t="shared" si="131"/>
        <v/>
      </c>
      <c r="AC64" s="70" t="str">
        <f t="shared" si="243"/>
        <v/>
      </c>
      <c r="AD64" s="71" t="str">
        <f t="shared" si="132"/>
        <v/>
      </c>
      <c r="AE64" s="71" t="str">
        <f t="shared" si="133"/>
        <v/>
      </c>
      <c r="AF64" s="70" t="str">
        <f t="shared" si="244"/>
        <v/>
      </c>
      <c r="AG64" s="71" t="str">
        <f t="shared" si="134"/>
        <v/>
      </c>
      <c r="AH64" s="71" t="str">
        <f t="shared" si="135"/>
        <v/>
      </c>
      <c r="AI64" s="70" t="str">
        <f t="shared" si="245"/>
        <v/>
      </c>
      <c r="AJ64" s="71" t="str">
        <f t="shared" si="136"/>
        <v/>
      </c>
      <c r="AK64" s="71" t="str">
        <f t="shared" si="137"/>
        <v/>
      </c>
      <c r="AL64" s="70" t="str">
        <f t="shared" si="138"/>
        <v/>
      </c>
      <c r="AM64" s="71" t="str">
        <f t="shared" si="139"/>
        <v/>
      </c>
      <c r="AN64" s="71" t="str">
        <f t="shared" si="140"/>
        <v/>
      </c>
      <c r="AO64" s="70" t="str">
        <f t="shared" si="141"/>
        <v/>
      </c>
      <c r="AP64" s="71" t="str">
        <f t="shared" si="142"/>
        <v/>
      </c>
      <c r="AQ64" s="71" t="str">
        <f t="shared" si="143"/>
        <v/>
      </c>
      <c r="AR64" s="70" t="str">
        <f t="shared" si="144"/>
        <v/>
      </c>
      <c r="AS64" s="71" t="str">
        <f t="shared" si="145"/>
        <v/>
      </c>
      <c r="AT64" s="71" t="str">
        <f t="shared" si="146"/>
        <v/>
      </c>
      <c r="AU64" s="69" t="str">
        <f t="shared" si="147"/>
        <v/>
      </c>
      <c r="AV64" s="131" t="str">
        <f t="shared" si="148"/>
        <v/>
      </c>
      <c r="AW64" s="69" t="str">
        <f t="shared" si="236"/>
        <v/>
      </c>
      <c r="AX64" s="132" t="str">
        <f t="shared" si="150"/>
        <v/>
      </c>
      <c r="AY64" s="132" t="str">
        <f t="shared" si="151"/>
        <v/>
      </c>
      <c r="AZ64" s="69" t="str">
        <f t="shared" si="246"/>
        <v/>
      </c>
      <c r="BA64" s="69" t="str">
        <f t="shared" si="247"/>
        <v/>
      </c>
      <c r="BB64" s="69" t="str">
        <f t="shared" si="152"/>
        <v/>
      </c>
      <c r="BC64" s="69" t="str">
        <f t="shared" si="248"/>
        <v/>
      </c>
      <c r="BD64" s="69" t="str">
        <f t="shared" si="249"/>
        <v/>
      </c>
      <c r="BE64" s="69" t="str">
        <f t="shared" si="153"/>
        <v/>
      </c>
      <c r="BF64" s="69" t="str">
        <f t="shared" si="250"/>
        <v/>
      </c>
      <c r="BG64" s="69" t="str">
        <f t="shared" si="251"/>
        <v/>
      </c>
      <c r="BH64" s="69" t="str">
        <f t="shared" si="154"/>
        <v/>
      </c>
      <c r="BI64" s="69" t="str">
        <f t="shared" si="252"/>
        <v/>
      </c>
      <c r="BJ64" s="69" t="str">
        <f t="shared" si="253"/>
        <v/>
      </c>
      <c r="BK64" s="69" t="str">
        <f t="shared" si="155"/>
        <v/>
      </c>
      <c r="BL64" s="69" t="str">
        <f t="shared" si="254"/>
        <v/>
      </c>
      <c r="BM64" s="69" t="str">
        <f t="shared" si="255"/>
        <v/>
      </c>
      <c r="BN64" s="69" t="str">
        <f t="shared" si="156"/>
        <v/>
      </c>
      <c r="BO64" s="69" t="str">
        <f t="shared" si="256"/>
        <v/>
      </c>
      <c r="BP64" s="69" t="str">
        <f t="shared" si="257"/>
        <v/>
      </c>
      <c r="BQ64" s="69" t="str">
        <f t="shared" si="157"/>
        <v/>
      </c>
      <c r="BR64" s="69" t="str">
        <f t="shared" si="258"/>
        <v/>
      </c>
      <c r="BS64" s="69" t="str">
        <f t="shared" si="259"/>
        <v/>
      </c>
      <c r="BT64" s="69" t="str">
        <f t="shared" si="158"/>
        <v/>
      </c>
      <c r="BU64" s="69" t="str">
        <f t="shared" si="260"/>
        <v/>
      </c>
      <c r="BV64" s="69" t="str">
        <f t="shared" si="261"/>
        <v/>
      </c>
      <c r="BW64" s="69" t="str">
        <f t="shared" si="159"/>
        <v/>
      </c>
      <c r="BX64" s="69" t="str">
        <f t="shared" si="262"/>
        <v/>
      </c>
      <c r="BY64" s="69" t="str">
        <f t="shared" si="263"/>
        <v/>
      </c>
      <c r="BZ64" s="69" t="str">
        <f t="shared" si="160"/>
        <v/>
      </c>
      <c r="CA64" s="69" t="str">
        <f t="shared" si="264"/>
        <v/>
      </c>
      <c r="CB64" s="69" t="str">
        <f t="shared" si="265"/>
        <v/>
      </c>
      <c r="CC64" s="69" t="str">
        <f t="shared" si="161"/>
        <v/>
      </c>
      <c r="CE64" s="69" t="str">
        <f t="shared" si="266"/>
        <v/>
      </c>
      <c r="CF64" s="69" t="str">
        <f t="shared" si="267"/>
        <v/>
      </c>
      <c r="CG64" s="69" t="str">
        <f t="shared" si="162"/>
        <v/>
      </c>
      <c r="CH64" s="69" t="str">
        <f t="shared" si="268"/>
        <v/>
      </c>
      <c r="CI64" s="69" t="str">
        <f t="shared" si="269"/>
        <v/>
      </c>
      <c r="CJ64" s="69" t="str">
        <f t="shared" si="163"/>
        <v/>
      </c>
      <c r="CK64" s="69" t="str">
        <f t="shared" si="270"/>
        <v/>
      </c>
      <c r="CL64" s="69" t="str">
        <f t="shared" si="271"/>
        <v/>
      </c>
      <c r="CM64" s="69" t="str">
        <f t="shared" si="164"/>
        <v/>
      </c>
      <c r="CN64" s="69" t="str">
        <f t="shared" si="272"/>
        <v/>
      </c>
      <c r="CO64" s="69" t="str">
        <f t="shared" si="273"/>
        <v/>
      </c>
      <c r="CP64" s="69" t="str">
        <f t="shared" si="165"/>
        <v/>
      </c>
      <c r="CQ64" s="69" t="str">
        <f t="shared" si="274"/>
        <v/>
      </c>
      <c r="CR64" s="69" t="str">
        <f t="shared" si="275"/>
        <v/>
      </c>
      <c r="CS64" s="69" t="str">
        <f t="shared" si="166"/>
        <v/>
      </c>
      <c r="CT64" s="69" t="str">
        <f t="shared" si="276"/>
        <v/>
      </c>
      <c r="CU64" s="69" t="str">
        <f t="shared" si="277"/>
        <v/>
      </c>
      <c r="CV64" s="69" t="str">
        <f t="shared" si="167"/>
        <v/>
      </c>
      <c r="CW64" s="69" t="str">
        <f t="shared" si="278"/>
        <v/>
      </c>
      <c r="CX64" s="69" t="str">
        <f t="shared" si="279"/>
        <v/>
      </c>
      <c r="CY64" s="69" t="str">
        <f t="shared" si="168"/>
        <v/>
      </c>
      <c r="CZ64" s="69" t="str">
        <f t="shared" si="280"/>
        <v/>
      </c>
      <c r="DA64" s="69" t="str">
        <f t="shared" si="281"/>
        <v/>
      </c>
      <c r="DB64" s="69" t="str">
        <f t="shared" si="169"/>
        <v/>
      </c>
      <c r="DC64" s="69" t="str">
        <f t="shared" si="282"/>
        <v/>
      </c>
      <c r="DD64" s="69" t="str">
        <f t="shared" si="283"/>
        <v/>
      </c>
      <c r="DE64" s="69" t="str">
        <f t="shared" si="170"/>
        <v/>
      </c>
      <c r="DG64" s="69" t="str">
        <f t="shared" si="284"/>
        <v/>
      </c>
      <c r="DH64" s="69" t="str">
        <f t="shared" si="285"/>
        <v/>
      </c>
      <c r="DI64" s="69" t="str">
        <f t="shared" si="171"/>
        <v/>
      </c>
      <c r="DJ64" s="69" t="str">
        <f t="shared" si="286"/>
        <v/>
      </c>
      <c r="DK64" s="69" t="str">
        <f t="shared" si="287"/>
        <v/>
      </c>
      <c r="DL64" s="69" t="str">
        <f t="shared" si="172"/>
        <v/>
      </c>
      <c r="DM64" s="69" t="str">
        <f t="shared" si="288"/>
        <v/>
      </c>
      <c r="DN64" s="69" t="str">
        <f t="shared" si="289"/>
        <v/>
      </c>
      <c r="DO64" s="69" t="str">
        <f t="shared" si="173"/>
        <v/>
      </c>
      <c r="DP64" s="69" t="str">
        <f t="shared" si="290"/>
        <v/>
      </c>
      <c r="DQ64" s="69" t="str">
        <f t="shared" si="291"/>
        <v/>
      </c>
      <c r="DR64" s="69" t="str">
        <f t="shared" si="174"/>
        <v/>
      </c>
      <c r="DS64" s="69" t="str">
        <f t="shared" si="292"/>
        <v/>
      </c>
      <c r="DT64" s="69" t="str">
        <f t="shared" si="293"/>
        <v/>
      </c>
      <c r="DU64" s="69" t="str">
        <f t="shared" si="175"/>
        <v/>
      </c>
      <c r="DV64" s="69" t="str">
        <f t="shared" si="294"/>
        <v/>
      </c>
      <c r="DW64" s="69" t="str">
        <f t="shared" si="295"/>
        <v/>
      </c>
      <c r="DX64" s="69" t="str">
        <f t="shared" si="176"/>
        <v/>
      </c>
      <c r="DY64" s="69" t="str">
        <f t="shared" si="296"/>
        <v/>
      </c>
      <c r="DZ64" s="69" t="str">
        <f t="shared" si="297"/>
        <v/>
      </c>
      <c r="EA64" s="69" t="str">
        <f t="shared" si="177"/>
        <v/>
      </c>
      <c r="EB64" s="69" t="str">
        <f t="shared" si="298"/>
        <v/>
      </c>
      <c r="EC64" s="69" t="str">
        <f t="shared" si="299"/>
        <v/>
      </c>
      <c r="ED64" s="69" t="str">
        <f t="shared" si="178"/>
        <v/>
      </c>
      <c r="EF64" s="69" t="str">
        <f t="shared" si="300"/>
        <v/>
      </c>
      <c r="EG64" s="69" t="str">
        <f t="shared" si="301"/>
        <v/>
      </c>
      <c r="EH64" s="69" t="str">
        <f t="shared" si="179"/>
        <v/>
      </c>
      <c r="EI64" s="69" t="str">
        <f t="shared" si="302"/>
        <v/>
      </c>
      <c r="EJ64" s="69" t="str">
        <f t="shared" si="303"/>
        <v/>
      </c>
      <c r="EK64" s="69" t="str">
        <f t="shared" si="180"/>
        <v/>
      </c>
      <c r="EL64" s="69" t="str">
        <f t="shared" si="304"/>
        <v/>
      </c>
      <c r="EM64" s="69" t="str">
        <f t="shared" si="305"/>
        <v/>
      </c>
      <c r="EN64" s="69" t="str">
        <f t="shared" si="181"/>
        <v/>
      </c>
      <c r="EO64" s="69" t="str">
        <f t="shared" si="306"/>
        <v/>
      </c>
      <c r="EP64" s="69" t="str">
        <f t="shared" si="307"/>
        <v/>
      </c>
      <c r="EQ64" s="69" t="str">
        <f t="shared" si="182"/>
        <v/>
      </c>
      <c r="ER64" s="69" t="str">
        <f t="shared" si="308"/>
        <v/>
      </c>
      <c r="ES64" s="69" t="str">
        <f t="shared" si="309"/>
        <v/>
      </c>
      <c r="ET64" s="69" t="str">
        <f t="shared" si="183"/>
        <v/>
      </c>
      <c r="EU64" s="69" t="str">
        <f t="shared" si="310"/>
        <v/>
      </c>
      <c r="EV64" s="69" t="str">
        <f t="shared" si="311"/>
        <v/>
      </c>
      <c r="EW64" s="69" t="str">
        <f t="shared" si="184"/>
        <v/>
      </c>
      <c r="EX64" s="69" t="str">
        <f t="shared" si="312"/>
        <v/>
      </c>
      <c r="EY64" s="69" t="str">
        <f t="shared" si="313"/>
        <v/>
      </c>
      <c r="EZ64" s="69" t="str">
        <f t="shared" si="185"/>
        <v/>
      </c>
      <c r="FB64" s="69" t="str">
        <f t="shared" si="314"/>
        <v/>
      </c>
      <c r="FC64" s="69" t="str">
        <f t="shared" si="315"/>
        <v/>
      </c>
      <c r="FD64" s="69" t="str">
        <f t="shared" si="186"/>
        <v/>
      </c>
      <c r="FE64" s="69" t="str">
        <f t="shared" si="316"/>
        <v/>
      </c>
      <c r="FF64" s="69" t="str">
        <f t="shared" si="317"/>
        <v/>
      </c>
      <c r="FG64" s="69" t="str">
        <f t="shared" si="187"/>
        <v/>
      </c>
      <c r="FH64" s="69" t="str">
        <f t="shared" si="318"/>
        <v/>
      </c>
      <c r="FI64" s="69" t="str">
        <f t="shared" si="319"/>
        <v/>
      </c>
      <c r="FJ64" s="69" t="str">
        <f t="shared" si="188"/>
        <v/>
      </c>
      <c r="FK64" s="69" t="str">
        <f t="shared" si="320"/>
        <v/>
      </c>
      <c r="FL64" s="69" t="str">
        <f t="shared" si="321"/>
        <v/>
      </c>
      <c r="FM64" s="69" t="str">
        <f t="shared" si="189"/>
        <v/>
      </c>
      <c r="FN64" s="69" t="str">
        <f t="shared" si="322"/>
        <v/>
      </c>
      <c r="FO64" s="69" t="str">
        <f t="shared" si="323"/>
        <v/>
      </c>
      <c r="FP64" s="69" t="str">
        <f t="shared" si="190"/>
        <v/>
      </c>
      <c r="FQ64" s="69" t="str">
        <f t="shared" si="324"/>
        <v/>
      </c>
      <c r="FR64" s="69" t="str">
        <f t="shared" si="325"/>
        <v/>
      </c>
      <c r="FS64" s="69" t="str">
        <f t="shared" si="191"/>
        <v/>
      </c>
      <c r="FU64" s="69" t="str">
        <f t="shared" si="326"/>
        <v/>
      </c>
      <c r="FV64" s="69" t="str">
        <f t="shared" si="327"/>
        <v/>
      </c>
      <c r="FW64" s="69" t="str">
        <f t="shared" si="192"/>
        <v/>
      </c>
      <c r="FX64" s="69" t="str">
        <f t="shared" si="328"/>
        <v/>
      </c>
      <c r="FY64" s="69" t="str">
        <f t="shared" si="329"/>
        <v/>
      </c>
      <c r="FZ64" s="69" t="str">
        <f t="shared" si="193"/>
        <v/>
      </c>
      <c r="GA64" s="69" t="str">
        <f t="shared" si="330"/>
        <v/>
      </c>
      <c r="GB64" s="69" t="str">
        <f t="shared" si="331"/>
        <v/>
      </c>
      <c r="GC64" s="69" t="str">
        <f t="shared" si="194"/>
        <v/>
      </c>
      <c r="GD64" s="69" t="str">
        <f t="shared" si="332"/>
        <v/>
      </c>
      <c r="GE64" s="69" t="str">
        <f t="shared" si="333"/>
        <v/>
      </c>
      <c r="GF64" s="69" t="str">
        <f t="shared" si="195"/>
        <v/>
      </c>
      <c r="GG64" s="69" t="str">
        <f t="shared" si="334"/>
        <v/>
      </c>
      <c r="GH64" s="69" t="str">
        <f t="shared" si="335"/>
        <v/>
      </c>
      <c r="GI64" s="69" t="str">
        <f t="shared" si="196"/>
        <v/>
      </c>
      <c r="GK64" s="69" t="str">
        <f t="shared" si="336"/>
        <v/>
      </c>
      <c r="GL64" s="69" t="str">
        <f t="shared" si="337"/>
        <v/>
      </c>
      <c r="GM64" s="69" t="str">
        <f t="shared" si="197"/>
        <v/>
      </c>
      <c r="GN64" s="69" t="str">
        <f t="shared" si="338"/>
        <v/>
      </c>
      <c r="GO64" s="69" t="str">
        <f t="shared" si="339"/>
        <v/>
      </c>
      <c r="GP64" s="69" t="str">
        <f t="shared" si="198"/>
        <v/>
      </c>
      <c r="GQ64" s="69" t="str">
        <f t="shared" si="340"/>
        <v/>
      </c>
      <c r="GR64" s="69" t="str">
        <f t="shared" si="341"/>
        <v/>
      </c>
      <c r="GS64" s="69" t="str">
        <f t="shared" si="199"/>
        <v/>
      </c>
      <c r="GT64" s="69" t="str">
        <f t="shared" si="342"/>
        <v/>
      </c>
      <c r="GU64" s="69" t="str">
        <f t="shared" si="343"/>
        <v/>
      </c>
      <c r="GV64" s="69" t="str">
        <f t="shared" si="200"/>
        <v/>
      </c>
      <c r="GX64" s="69" t="str">
        <f t="shared" si="201"/>
        <v/>
      </c>
      <c r="GY64" s="69" t="str">
        <f t="shared" si="202"/>
        <v/>
      </c>
      <c r="GZ64" s="69" t="str">
        <f t="shared" si="203"/>
        <v/>
      </c>
      <c r="HA64" s="69" t="str">
        <f t="shared" si="204"/>
        <v/>
      </c>
      <c r="HB64" s="69" t="str">
        <f t="shared" si="205"/>
        <v/>
      </c>
      <c r="HC64" s="69" t="str">
        <f t="shared" si="206"/>
        <v/>
      </c>
      <c r="HD64" s="69" t="str">
        <f t="shared" si="207"/>
        <v/>
      </c>
      <c r="HE64" s="69" t="str">
        <f t="shared" si="208"/>
        <v/>
      </c>
      <c r="HF64" s="69" t="str">
        <f t="shared" si="209"/>
        <v/>
      </c>
      <c r="HH64" s="69" t="str">
        <f t="shared" si="210"/>
        <v/>
      </c>
      <c r="HI64" s="69" t="str">
        <f t="shared" si="211"/>
        <v/>
      </c>
      <c r="HJ64" s="69" t="str">
        <f t="shared" si="212"/>
        <v/>
      </c>
      <c r="HK64" s="69" t="str">
        <f t="shared" si="213"/>
        <v/>
      </c>
      <c r="HL64" s="69" t="str">
        <f t="shared" si="214"/>
        <v/>
      </c>
      <c r="HM64" s="69" t="str">
        <f t="shared" si="215"/>
        <v/>
      </c>
      <c r="HO64" s="69" t="str">
        <f t="shared" si="216"/>
        <v/>
      </c>
      <c r="HP64" s="69" t="str">
        <f t="shared" si="217"/>
        <v/>
      </c>
      <c r="HQ64" s="69" t="str">
        <f t="shared" si="218"/>
        <v/>
      </c>
      <c r="HS64" s="69" t="str">
        <f t="shared" si="344"/>
        <v/>
      </c>
      <c r="HT64" s="69" t="str">
        <f t="shared" si="345"/>
        <v/>
      </c>
      <c r="HU64" s="69" t="str">
        <f t="shared" si="219"/>
        <v/>
      </c>
      <c r="HV64" s="69" t="str">
        <f t="shared" si="346"/>
        <v/>
      </c>
      <c r="HW64" s="69" t="str">
        <f t="shared" si="347"/>
        <v/>
      </c>
      <c r="HX64" s="69" t="str">
        <f t="shared" si="220"/>
        <v/>
      </c>
      <c r="HY64" s="69" t="str">
        <f t="shared" si="348"/>
        <v/>
      </c>
      <c r="HZ64" s="69" t="str">
        <f t="shared" si="349"/>
        <v/>
      </c>
      <c r="IA64" s="69" t="str">
        <f t="shared" si="221"/>
        <v/>
      </c>
      <c r="IB64" s="69" t="str">
        <f t="shared" si="350"/>
        <v/>
      </c>
      <c r="IC64" s="69" t="str">
        <f t="shared" si="351"/>
        <v/>
      </c>
      <c r="ID64" s="69" t="str">
        <f t="shared" si="222"/>
        <v/>
      </c>
      <c r="IE64" s="69" t="str">
        <f t="shared" si="352"/>
        <v/>
      </c>
      <c r="IF64" s="69" t="str">
        <f t="shared" si="353"/>
        <v/>
      </c>
      <c r="IG64" s="69" t="str">
        <f t="shared" si="223"/>
        <v/>
      </c>
      <c r="IH64" s="69" t="str">
        <f t="shared" si="354"/>
        <v/>
      </c>
      <c r="II64" s="69" t="str">
        <f t="shared" si="355"/>
        <v/>
      </c>
      <c r="IJ64" s="69" t="str">
        <f t="shared" si="224"/>
        <v/>
      </c>
      <c r="IK64" s="69" t="str">
        <f t="shared" si="356"/>
        <v/>
      </c>
      <c r="IL64" s="69" t="str">
        <f t="shared" si="357"/>
        <v/>
      </c>
      <c r="IM64" s="69" t="str">
        <f t="shared" si="225"/>
        <v/>
      </c>
      <c r="IN64" s="69" t="str">
        <f t="shared" si="226"/>
        <v/>
      </c>
      <c r="IO64" s="69" t="str">
        <f t="shared" si="227"/>
        <v/>
      </c>
      <c r="IP64" s="69" t="str">
        <f t="shared" si="228"/>
        <v/>
      </c>
      <c r="IQ64" s="69" t="str">
        <f t="shared" si="229"/>
        <v/>
      </c>
      <c r="IR64" s="69" t="str">
        <f t="shared" si="230"/>
        <v/>
      </c>
      <c r="IS64" s="69" t="str">
        <f t="shared" si="231"/>
        <v/>
      </c>
      <c r="IT64" s="69" t="str">
        <f t="shared" si="232"/>
        <v/>
      </c>
      <c r="IU64" s="69" t="str">
        <f t="shared" si="233"/>
        <v/>
      </c>
      <c r="IV64" s="69" t="str">
        <f t="shared" si="234"/>
        <v/>
      </c>
    </row>
    <row r="65" spans="1:256" x14ac:dyDescent="0.2">
      <c r="A65" s="57" t="s">
        <v>68</v>
      </c>
      <c r="B65" s="178"/>
      <c r="C65" s="179"/>
      <c r="D65" s="179"/>
      <c r="E65" s="179"/>
      <c r="F65" s="179"/>
      <c r="G65" s="180"/>
      <c r="H65" s="180"/>
      <c r="I65" s="181"/>
      <c r="J65" s="182"/>
      <c r="K65" s="183"/>
      <c r="L65" s="68">
        <f t="shared" si="237"/>
        <v>0</v>
      </c>
      <c r="M65" s="69" t="str">
        <f t="shared" si="238"/>
        <v/>
      </c>
      <c r="N65" s="69" t="str">
        <f t="shared" si="358"/>
        <v/>
      </c>
      <c r="O65" s="69" t="str">
        <f t="shared" si="122"/>
        <v/>
      </c>
      <c r="P65" s="69" t="str">
        <f t="shared" si="359"/>
        <v/>
      </c>
      <c r="Q65" s="70" t="str">
        <f t="shared" si="239"/>
        <v/>
      </c>
      <c r="R65" s="71" t="str">
        <f t="shared" si="124"/>
        <v/>
      </c>
      <c r="S65" s="71" t="str">
        <f t="shared" si="125"/>
        <v/>
      </c>
      <c r="T65" s="70" t="str">
        <f t="shared" si="240"/>
        <v/>
      </c>
      <c r="U65" s="71" t="str">
        <f t="shared" si="126"/>
        <v/>
      </c>
      <c r="V65" s="71" t="str">
        <f t="shared" si="127"/>
        <v/>
      </c>
      <c r="W65" s="70" t="str">
        <f t="shared" si="241"/>
        <v/>
      </c>
      <c r="X65" s="71" t="str">
        <f t="shared" si="128"/>
        <v/>
      </c>
      <c r="Y65" s="71" t="str">
        <f t="shared" si="129"/>
        <v/>
      </c>
      <c r="Z65" s="70" t="str">
        <f t="shared" si="242"/>
        <v/>
      </c>
      <c r="AA65" s="71" t="str">
        <f t="shared" si="130"/>
        <v/>
      </c>
      <c r="AB65" s="71" t="str">
        <f t="shared" si="131"/>
        <v/>
      </c>
      <c r="AC65" s="70" t="str">
        <f t="shared" si="243"/>
        <v/>
      </c>
      <c r="AD65" s="71" t="str">
        <f t="shared" si="132"/>
        <v/>
      </c>
      <c r="AE65" s="71" t="str">
        <f t="shared" si="133"/>
        <v/>
      </c>
      <c r="AF65" s="70" t="str">
        <f t="shared" si="244"/>
        <v/>
      </c>
      <c r="AG65" s="71" t="str">
        <f t="shared" si="134"/>
        <v/>
      </c>
      <c r="AH65" s="71" t="str">
        <f t="shared" si="135"/>
        <v/>
      </c>
      <c r="AI65" s="70" t="str">
        <f t="shared" si="245"/>
        <v/>
      </c>
      <c r="AJ65" s="71" t="str">
        <f t="shared" si="136"/>
        <v/>
      </c>
      <c r="AK65" s="71" t="str">
        <f t="shared" si="137"/>
        <v/>
      </c>
      <c r="AL65" s="70" t="str">
        <f t="shared" si="138"/>
        <v/>
      </c>
      <c r="AM65" s="71" t="str">
        <f t="shared" si="139"/>
        <v/>
      </c>
      <c r="AN65" s="71" t="str">
        <f t="shared" si="140"/>
        <v/>
      </c>
      <c r="AO65" s="70" t="str">
        <f t="shared" si="141"/>
        <v/>
      </c>
      <c r="AP65" s="71" t="str">
        <f t="shared" si="142"/>
        <v/>
      </c>
      <c r="AQ65" s="71" t="str">
        <f t="shared" si="143"/>
        <v/>
      </c>
      <c r="AR65" s="70" t="str">
        <f t="shared" si="144"/>
        <v/>
      </c>
      <c r="AS65" s="71" t="str">
        <f t="shared" si="145"/>
        <v/>
      </c>
      <c r="AT65" s="71" t="str">
        <f t="shared" si="146"/>
        <v/>
      </c>
      <c r="AU65" s="69" t="str">
        <f t="shared" si="147"/>
        <v/>
      </c>
      <c r="AV65" s="131" t="str">
        <f t="shared" si="148"/>
        <v/>
      </c>
      <c r="AW65" s="69" t="str">
        <f t="shared" si="236"/>
        <v/>
      </c>
      <c r="AX65" s="132" t="str">
        <f t="shared" si="150"/>
        <v/>
      </c>
      <c r="AY65" s="132" t="str">
        <f t="shared" si="151"/>
        <v/>
      </c>
      <c r="AZ65" s="69" t="str">
        <f t="shared" si="246"/>
        <v/>
      </c>
      <c r="BA65" s="69" t="str">
        <f t="shared" si="247"/>
        <v/>
      </c>
      <c r="BB65" s="69" t="str">
        <f t="shared" si="152"/>
        <v/>
      </c>
      <c r="BC65" s="69" t="str">
        <f t="shared" si="248"/>
        <v/>
      </c>
      <c r="BD65" s="69" t="str">
        <f t="shared" si="249"/>
        <v/>
      </c>
      <c r="BE65" s="69" t="str">
        <f t="shared" si="153"/>
        <v/>
      </c>
      <c r="BF65" s="69" t="str">
        <f t="shared" si="250"/>
        <v/>
      </c>
      <c r="BG65" s="69" t="str">
        <f t="shared" si="251"/>
        <v/>
      </c>
      <c r="BH65" s="69" t="str">
        <f t="shared" si="154"/>
        <v/>
      </c>
      <c r="BI65" s="69" t="str">
        <f t="shared" si="252"/>
        <v/>
      </c>
      <c r="BJ65" s="69" t="str">
        <f t="shared" si="253"/>
        <v/>
      </c>
      <c r="BK65" s="69" t="str">
        <f t="shared" si="155"/>
        <v/>
      </c>
      <c r="BL65" s="69" t="str">
        <f t="shared" si="254"/>
        <v/>
      </c>
      <c r="BM65" s="69" t="str">
        <f t="shared" si="255"/>
        <v/>
      </c>
      <c r="BN65" s="69" t="str">
        <f t="shared" si="156"/>
        <v/>
      </c>
      <c r="BO65" s="69" t="str">
        <f t="shared" si="256"/>
        <v/>
      </c>
      <c r="BP65" s="69" t="str">
        <f t="shared" si="257"/>
        <v/>
      </c>
      <c r="BQ65" s="69" t="str">
        <f t="shared" si="157"/>
        <v/>
      </c>
      <c r="BR65" s="69" t="str">
        <f t="shared" si="258"/>
        <v/>
      </c>
      <c r="BS65" s="69" t="str">
        <f t="shared" si="259"/>
        <v/>
      </c>
      <c r="BT65" s="69" t="str">
        <f t="shared" si="158"/>
        <v/>
      </c>
      <c r="BU65" s="69" t="str">
        <f t="shared" si="260"/>
        <v/>
      </c>
      <c r="BV65" s="69" t="str">
        <f t="shared" si="261"/>
        <v/>
      </c>
      <c r="BW65" s="69" t="str">
        <f t="shared" si="159"/>
        <v/>
      </c>
      <c r="BX65" s="69" t="str">
        <f t="shared" si="262"/>
        <v/>
      </c>
      <c r="BY65" s="69" t="str">
        <f t="shared" si="263"/>
        <v/>
      </c>
      <c r="BZ65" s="69" t="str">
        <f t="shared" si="160"/>
        <v/>
      </c>
      <c r="CA65" s="69" t="str">
        <f t="shared" si="264"/>
        <v/>
      </c>
      <c r="CB65" s="69" t="str">
        <f t="shared" si="265"/>
        <v/>
      </c>
      <c r="CC65" s="69" t="str">
        <f t="shared" si="161"/>
        <v/>
      </c>
      <c r="CE65" s="69" t="str">
        <f t="shared" si="266"/>
        <v/>
      </c>
      <c r="CF65" s="69" t="str">
        <f t="shared" si="267"/>
        <v/>
      </c>
      <c r="CG65" s="69" t="str">
        <f t="shared" si="162"/>
        <v/>
      </c>
      <c r="CH65" s="69" t="str">
        <f t="shared" si="268"/>
        <v/>
      </c>
      <c r="CI65" s="69" t="str">
        <f t="shared" si="269"/>
        <v/>
      </c>
      <c r="CJ65" s="69" t="str">
        <f t="shared" si="163"/>
        <v/>
      </c>
      <c r="CK65" s="69" t="str">
        <f t="shared" si="270"/>
        <v/>
      </c>
      <c r="CL65" s="69" t="str">
        <f t="shared" si="271"/>
        <v/>
      </c>
      <c r="CM65" s="69" t="str">
        <f t="shared" si="164"/>
        <v/>
      </c>
      <c r="CN65" s="69" t="str">
        <f t="shared" si="272"/>
        <v/>
      </c>
      <c r="CO65" s="69" t="str">
        <f t="shared" si="273"/>
        <v/>
      </c>
      <c r="CP65" s="69" t="str">
        <f t="shared" si="165"/>
        <v/>
      </c>
      <c r="CQ65" s="69" t="str">
        <f t="shared" si="274"/>
        <v/>
      </c>
      <c r="CR65" s="69" t="str">
        <f t="shared" si="275"/>
        <v/>
      </c>
      <c r="CS65" s="69" t="str">
        <f t="shared" si="166"/>
        <v/>
      </c>
      <c r="CT65" s="69" t="str">
        <f t="shared" si="276"/>
        <v/>
      </c>
      <c r="CU65" s="69" t="str">
        <f t="shared" si="277"/>
        <v/>
      </c>
      <c r="CV65" s="69" t="str">
        <f t="shared" si="167"/>
        <v/>
      </c>
      <c r="CW65" s="69" t="str">
        <f t="shared" si="278"/>
        <v/>
      </c>
      <c r="CX65" s="69" t="str">
        <f t="shared" si="279"/>
        <v/>
      </c>
      <c r="CY65" s="69" t="str">
        <f t="shared" si="168"/>
        <v/>
      </c>
      <c r="CZ65" s="69" t="str">
        <f t="shared" si="280"/>
        <v/>
      </c>
      <c r="DA65" s="69" t="str">
        <f t="shared" si="281"/>
        <v/>
      </c>
      <c r="DB65" s="69" t="str">
        <f t="shared" si="169"/>
        <v/>
      </c>
      <c r="DC65" s="69" t="str">
        <f t="shared" si="282"/>
        <v/>
      </c>
      <c r="DD65" s="69" t="str">
        <f t="shared" si="283"/>
        <v/>
      </c>
      <c r="DE65" s="69" t="str">
        <f t="shared" si="170"/>
        <v/>
      </c>
      <c r="DG65" s="69" t="str">
        <f t="shared" si="284"/>
        <v/>
      </c>
      <c r="DH65" s="69" t="str">
        <f t="shared" si="285"/>
        <v/>
      </c>
      <c r="DI65" s="69" t="str">
        <f t="shared" si="171"/>
        <v/>
      </c>
      <c r="DJ65" s="69" t="str">
        <f t="shared" si="286"/>
        <v/>
      </c>
      <c r="DK65" s="69" t="str">
        <f t="shared" si="287"/>
        <v/>
      </c>
      <c r="DL65" s="69" t="str">
        <f t="shared" si="172"/>
        <v/>
      </c>
      <c r="DM65" s="69" t="str">
        <f t="shared" si="288"/>
        <v/>
      </c>
      <c r="DN65" s="69" t="str">
        <f t="shared" si="289"/>
        <v/>
      </c>
      <c r="DO65" s="69" t="str">
        <f t="shared" si="173"/>
        <v/>
      </c>
      <c r="DP65" s="69" t="str">
        <f t="shared" si="290"/>
        <v/>
      </c>
      <c r="DQ65" s="69" t="str">
        <f t="shared" si="291"/>
        <v/>
      </c>
      <c r="DR65" s="69" t="str">
        <f t="shared" si="174"/>
        <v/>
      </c>
      <c r="DS65" s="69" t="str">
        <f t="shared" si="292"/>
        <v/>
      </c>
      <c r="DT65" s="69" t="str">
        <f t="shared" si="293"/>
        <v/>
      </c>
      <c r="DU65" s="69" t="str">
        <f t="shared" si="175"/>
        <v/>
      </c>
      <c r="DV65" s="69" t="str">
        <f t="shared" si="294"/>
        <v/>
      </c>
      <c r="DW65" s="69" t="str">
        <f t="shared" si="295"/>
        <v/>
      </c>
      <c r="DX65" s="69" t="str">
        <f t="shared" si="176"/>
        <v/>
      </c>
      <c r="DY65" s="69" t="str">
        <f t="shared" si="296"/>
        <v/>
      </c>
      <c r="DZ65" s="69" t="str">
        <f t="shared" si="297"/>
        <v/>
      </c>
      <c r="EA65" s="69" t="str">
        <f t="shared" si="177"/>
        <v/>
      </c>
      <c r="EB65" s="69" t="str">
        <f t="shared" si="298"/>
        <v/>
      </c>
      <c r="EC65" s="69" t="str">
        <f t="shared" si="299"/>
        <v/>
      </c>
      <c r="ED65" s="69" t="str">
        <f t="shared" si="178"/>
        <v/>
      </c>
      <c r="EF65" s="69" t="str">
        <f t="shared" si="300"/>
        <v/>
      </c>
      <c r="EG65" s="69" t="str">
        <f t="shared" si="301"/>
        <v/>
      </c>
      <c r="EH65" s="69" t="str">
        <f t="shared" si="179"/>
        <v/>
      </c>
      <c r="EI65" s="69" t="str">
        <f t="shared" si="302"/>
        <v/>
      </c>
      <c r="EJ65" s="69" t="str">
        <f t="shared" si="303"/>
        <v/>
      </c>
      <c r="EK65" s="69" t="str">
        <f t="shared" si="180"/>
        <v/>
      </c>
      <c r="EL65" s="69" t="str">
        <f t="shared" si="304"/>
        <v/>
      </c>
      <c r="EM65" s="69" t="str">
        <f t="shared" si="305"/>
        <v/>
      </c>
      <c r="EN65" s="69" t="str">
        <f t="shared" si="181"/>
        <v/>
      </c>
      <c r="EO65" s="69" t="str">
        <f t="shared" si="306"/>
        <v/>
      </c>
      <c r="EP65" s="69" t="str">
        <f t="shared" si="307"/>
        <v/>
      </c>
      <c r="EQ65" s="69" t="str">
        <f t="shared" si="182"/>
        <v/>
      </c>
      <c r="ER65" s="69" t="str">
        <f t="shared" si="308"/>
        <v/>
      </c>
      <c r="ES65" s="69" t="str">
        <f t="shared" si="309"/>
        <v/>
      </c>
      <c r="ET65" s="69" t="str">
        <f t="shared" si="183"/>
        <v/>
      </c>
      <c r="EU65" s="69" t="str">
        <f t="shared" si="310"/>
        <v/>
      </c>
      <c r="EV65" s="69" t="str">
        <f t="shared" si="311"/>
        <v/>
      </c>
      <c r="EW65" s="69" t="str">
        <f t="shared" si="184"/>
        <v/>
      </c>
      <c r="EX65" s="69" t="str">
        <f t="shared" si="312"/>
        <v/>
      </c>
      <c r="EY65" s="69" t="str">
        <f t="shared" si="313"/>
        <v/>
      </c>
      <c r="EZ65" s="69" t="str">
        <f t="shared" si="185"/>
        <v/>
      </c>
      <c r="FB65" s="69" t="str">
        <f t="shared" si="314"/>
        <v/>
      </c>
      <c r="FC65" s="69" t="str">
        <f t="shared" si="315"/>
        <v/>
      </c>
      <c r="FD65" s="69" t="str">
        <f t="shared" si="186"/>
        <v/>
      </c>
      <c r="FE65" s="69" t="str">
        <f t="shared" si="316"/>
        <v/>
      </c>
      <c r="FF65" s="69" t="str">
        <f t="shared" si="317"/>
        <v/>
      </c>
      <c r="FG65" s="69" t="str">
        <f t="shared" si="187"/>
        <v/>
      </c>
      <c r="FH65" s="69" t="str">
        <f t="shared" si="318"/>
        <v/>
      </c>
      <c r="FI65" s="69" t="str">
        <f t="shared" si="319"/>
        <v/>
      </c>
      <c r="FJ65" s="69" t="str">
        <f t="shared" si="188"/>
        <v/>
      </c>
      <c r="FK65" s="69" t="str">
        <f t="shared" si="320"/>
        <v/>
      </c>
      <c r="FL65" s="69" t="str">
        <f t="shared" si="321"/>
        <v/>
      </c>
      <c r="FM65" s="69" t="str">
        <f t="shared" si="189"/>
        <v/>
      </c>
      <c r="FN65" s="69" t="str">
        <f t="shared" si="322"/>
        <v/>
      </c>
      <c r="FO65" s="69" t="str">
        <f t="shared" si="323"/>
        <v/>
      </c>
      <c r="FP65" s="69" t="str">
        <f t="shared" si="190"/>
        <v/>
      </c>
      <c r="FQ65" s="69" t="str">
        <f t="shared" si="324"/>
        <v/>
      </c>
      <c r="FR65" s="69" t="str">
        <f t="shared" si="325"/>
        <v/>
      </c>
      <c r="FS65" s="69" t="str">
        <f t="shared" si="191"/>
        <v/>
      </c>
      <c r="FU65" s="69" t="str">
        <f t="shared" si="326"/>
        <v/>
      </c>
      <c r="FV65" s="69" t="str">
        <f t="shared" si="327"/>
        <v/>
      </c>
      <c r="FW65" s="69" t="str">
        <f t="shared" si="192"/>
        <v/>
      </c>
      <c r="FX65" s="69" t="str">
        <f t="shared" si="328"/>
        <v/>
      </c>
      <c r="FY65" s="69" t="str">
        <f t="shared" si="329"/>
        <v/>
      </c>
      <c r="FZ65" s="69" t="str">
        <f t="shared" si="193"/>
        <v/>
      </c>
      <c r="GA65" s="69" t="str">
        <f t="shared" si="330"/>
        <v/>
      </c>
      <c r="GB65" s="69" t="str">
        <f t="shared" si="331"/>
        <v/>
      </c>
      <c r="GC65" s="69" t="str">
        <f t="shared" si="194"/>
        <v/>
      </c>
      <c r="GD65" s="69" t="str">
        <f t="shared" si="332"/>
        <v/>
      </c>
      <c r="GE65" s="69" t="str">
        <f t="shared" si="333"/>
        <v/>
      </c>
      <c r="GF65" s="69" t="str">
        <f t="shared" si="195"/>
        <v/>
      </c>
      <c r="GG65" s="69" t="str">
        <f t="shared" si="334"/>
        <v/>
      </c>
      <c r="GH65" s="69" t="str">
        <f t="shared" si="335"/>
        <v/>
      </c>
      <c r="GI65" s="69" t="str">
        <f t="shared" si="196"/>
        <v/>
      </c>
      <c r="GK65" s="69" t="str">
        <f t="shared" si="336"/>
        <v/>
      </c>
      <c r="GL65" s="69" t="str">
        <f t="shared" si="337"/>
        <v/>
      </c>
      <c r="GM65" s="69" t="str">
        <f t="shared" si="197"/>
        <v/>
      </c>
      <c r="GN65" s="69" t="str">
        <f t="shared" si="338"/>
        <v/>
      </c>
      <c r="GO65" s="69" t="str">
        <f t="shared" si="339"/>
        <v/>
      </c>
      <c r="GP65" s="69" t="str">
        <f t="shared" si="198"/>
        <v/>
      </c>
      <c r="GQ65" s="69" t="str">
        <f t="shared" si="340"/>
        <v/>
      </c>
      <c r="GR65" s="69" t="str">
        <f t="shared" si="341"/>
        <v/>
      </c>
      <c r="GS65" s="69" t="str">
        <f t="shared" si="199"/>
        <v/>
      </c>
      <c r="GT65" s="69" t="str">
        <f t="shared" si="342"/>
        <v/>
      </c>
      <c r="GU65" s="69" t="str">
        <f t="shared" si="343"/>
        <v/>
      </c>
      <c r="GV65" s="69" t="str">
        <f t="shared" si="200"/>
        <v/>
      </c>
      <c r="GX65" s="69" t="str">
        <f t="shared" si="201"/>
        <v/>
      </c>
      <c r="GY65" s="69" t="str">
        <f t="shared" si="202"/>
        <v/>
      </c>
      <c r="GZ65" s="69" t="str">
        <f t="shared" si="203"/>
        <v/>
      </c>
      <c r="HA65" s="69" t="str">
        <f t="shared" si="204"/>
        <v/>
      </c>
      <c r="HB65" s="69" t="str">
        <f t="shared" si="205"/>
        <v/>
      </c>
      <c r="HC65" s="69" t="str">
        <f t="shared" si="206"/>
        <v/>
      </c>
      <c r="HD65" s="69" t="str">
        <f t="shared" si="207"/>
        <v/>
      </c>
      <c r="HE65" s="69" t="str">
        <f t="shared" si="208"/>
        <v/>
      </c>
      <c r="HF65" s="69" t="str">
        <f t="shared" si="209"/>
        <v/>
      </c>
      <c r="HH65" s="69" t="str">
        <f t="shared" si="210"/>
        <v/>
      </c>
      <c r="HI65" s="69" t="str">
        <f t="shared" si="211"/>
        <v/>
      </c>
      <c r="HJ65" s="69" t="str">
        <f t="shared" si="212"/>
        <v/>
      </c>
      <c r="HK65" s="69" t="str">
        <f t="shared" si="213"/>
        <v/>
      </c>
      <c r="HL65" s="69" t="str">
        <f t="shared" si="214"/>
        <v/>
      </c>
      <c r="HM65" s="69" t="str">
        <f t="shared" si="215"/>
        <v/>
      </c>
      <c r="HO65" s="69" t="str">
        <f t="shared" si="216"/>
        <v/>
      </c>
      <c r="HP65" s="69" t="str">
        <f t="shared" si="217"/>
        <v/>
      </c>
      <c r="HQ65" s="69" t="str">
        <f t="shared" si="218"/>
        <v/>
      </c>
      <c r="HS65" s="69" t="str">
        <f t="shared" si="344"/>
        <v/>
      </c>
      <c r="HT65" s="69" t="str">
        <f t="shared" si="345"/>
        <v/>
      </c>
      <c r="HU65" s="69" t="str">
        <f t="shared" si="219"/>
        <v/>
      </c>
      <c r="HV65" s="69" t="str">
        <f t="shared" si="346"/>
        <v/>
      </c>
      <c r="HW65" s="69" t="str">
        <f t="shared" si="347"/>
        <v/>
      </c>
      <c r="HX65" s="69" t="str">
        <f t="shared" si="220"/>
        <v/>
      </c>
      <c r="HY65" s="69" t="str">
        <f t="shared" si="348"/>
        <v/>
      </c>
      <c r="HZ65" s="69" t="str">
        <f t="shared" si="349"/>
        <v/>
      </c>
      <c r="IA65" s="69" t="str">
        <f t="shared" si="221"/>
        <v/>
      </c>
      <c r="IB65" s="69" t="str">
        <f t="shared" si="350"/>
        <v/>
      </c>
      <c r="IC65" s="69" t="str">
        <f t="shared" si="351"/>
        <v/>
      </c>
      <c r="ID65" s="69" t="str">
        <f t="shared" si="222"/>
        <v/>
      </c>
      <c r="IE65" s="69" t="str">
        <f t="shared" si="352"/>
        <v/>
      </c>
      <c r="IF65" s="69" t="str">
        <f t="shared" si="353"/>
        <v/>
      </c>
      <c r="IG65" s="69" t="str">
        <f t="shared" si="223"/>
        <v/>
      </c>
      <c r="IH65" s="69" t="str">
        <f t="shared" si="354"/>
        <v/>
      </c>
      <c r="II65" s="69" t="str">
        <f t="shared" si="355"/>
        <v/>
      </c>
      <c r="IJ65" s="69" t="str">
        <f t="shared" si="224"/>
        <v/>
      </c>
      <c r="IK65" s="69" t="str">
        <f t="shared" si="356"/>
        <v/>
      </c>
      <c r="IL65" s="69" t="str">
        <f t="shared" si="357"/>
        <v/>
      </c>
      <c r="IM65" s="69" t="str">
        <f t="shared" si="225"/>
        <v/>
      </c>
      <c r="IN65" s="69" t="str">
        <f t="shared" si="226"/>
        <v/>
      </c>
      <c r="IO65" s="69" t="str">
        <f t="shared" si="227"/>
        <v/>
      </c>
      <c r="IP65" s="69" t="str">
        <f t="shared" si="228"/>
        <v/>
      </c>
      <c r="IQ65" s="69" t="str">
        <f t="shared" si="229"/>
        <v/>
      </c>
      <c r="IR65" s="69" t="str">
        <f t="shared" si="230"/>
        <v/>
      </c>
      <c r="IS65" s="69" t="str">
        <f t="shared" si="231"/>
        <v/>
      </c>
      <c r="IT65" s="69" t="str">
        <f t="shared" si="232"/>
        <v/>
      </c>
      <c r="IU65" s="69" t="str">
        <f t="shared" si="233"/>
        <v/>
      </c>
      <c r="IV65" s="69" t="str">
        <f t="shared" si="234"/>
        <v/>
      </c>
    </row>
    <row r="66" spans="1:256" x14ac:dyDescent="0.2">
      <c r="A66" s="57" t="s">
        <v>69</v>
      </c>
      <c r="B66" s="178"/>
      <c r="C66" s="179"/>
      <c r="D66" s="179"/>
      <c r="E66" s="179"/>
      <c r="F66" s="179"/>
      <c r="G66" s="180"/>
      <c r="H66" s="180"/>
      <c r="I66" s="181"/>
      <c r="J66" s="182"/>
      <c r="K66" s="183"/>
      <c r="L66" s="68">
        <f t="shared" si="237"/>
        <v>0</v>
      </c>
      <c r="M66" s="69" t="str">
        <f t="shared" si="238"/>
        <v/>
      </c>
      <c r="N66" s="69" t="str">
        <f t="shared" si="358"/>
        <v/>
      </c>
      <c r="O66" s="69" t="str">
        <f t="shared" si="122"/>
        <v/>
      </c>
      <c r="P66" s="69" t="str">
        <f t="shared" si="359"/>
        <v/>
      </c>
      <c r="Q66" s="70" t="str">
        <f t="shared" si="239"/>
        <v/>
      </c>
      <c r="R66" s="71" t="str">
        <f t="shared" si="124"/>
        <v/>
      </c>
      <c r="S66" s="71" t="str">
        <f t="shared" si="125"/>
        <v/>
      </c>
      <c r="T66" s="70" t="str">
        <f t="shared" si="240"/>
        <v/>
      </c>
      <c r="U66" s="71" t="str">
        <f t="shared" si="126"/>
        <v/>
      </c>
      <c r="V66" s="71" t="str">
        <f t="shared" si="127"/>
        <v/>
      </c>
      <c r="W66" s="70" t="str">
        <f t="shared" si="241"/>
        <v/>
      </c>
      <c r="X66" s="71" t="str">
        <f t="shared" si="128"/>
        <v/>
      </c>
      <c r="Y66" s="71" t="str">
        <f t="shared" si="129"/>
        <v/>
      </c>
      <c r="Z66" s="70" t="str">
        <f t="shared" si="242"/>
        <v/>
      </c>
      <c r="AA66" s="71" t="str">
        <f t="shared" si="130"/>
        <v/>
      </c>
      <c r="AB66" s="71" t="str">
        <f t="shared" si="131"/>
        <v/>
      </c>
      <c r="AC66" s="70" t="str">
        <f t="shared" si="243"/>
        <v/>
      </c>
      <c r="AD66" s="71" t="str">
        <f t="shared" si="132"/>
        <v/>
      </c>
      <c r="AE66" s="71" t="str">
        <f t="shared" si="133"/>
        <v/>
      </c>
      <c r="AF66" s="70" t="str">
        <f t="shared" si="244"/>
        <v/>
      </c>
      <c r="AG66" s="71" t="str">
        <f t="shared" si="134"/>
        <v/>
      </c>
      <c r="AH66" s="71" t="str">
        <f t="shared" si="135"/>
        <v/>
      </c>
      <c r="AI66" s="70" t="str">
        <f t="shared" si="245"/>
        <v/>
      </c>
      <c r="AJ66" s="71" t="str">
        <f t="shared" si="136"/>
        <v/>
      </c>
      <c r="AK66" s="71" t="str">
        <f t="shared" si="137"/>
        <v/>
      </c>
      <c r="AL66" s="70" t="str">
        <f t="shared" si="138"/>
        <v/>
      </c>
      <c r="AM66" s="71" t="str">
        <f t="shared" si="139"/>
        <v/>
      </c>
      <c r="AN66" s="71" t="str">
        <f t="shared" si="140"/>
        <v/>
      </c>
      <c r="AO66" s="70" t="str">
        <f t="shared" si="141"/>
        <v/>
      </c>
      <c r="AP66" s="71" t="str">
        <f t="shared" si="142"/>
        <v/>
      </c>
      <c r="AQ66" s="71" t="str">
        <f t="shared" si="143"/>
        <v/>
      </c>
      <c r="AR66" s="70" t="str">
        <f t="shared" si="144"/>
        <v/>
      </c>
      <c r="AS66" s="71" t="str">
        <f t="shared" si="145"/>
        <v/>
      </c>
      <c r="AT66" s="71" t="str">
        <f t="shared" si="146"/>
        <v/>
      </c>
      <c r="AU66" s="69" t="str">
        <f t="shared" si="147"/>
        <v/>
      </c>
      <c r="AV66" s="131" t="str">
        <f t="shared" si="148"/>
        <v/>
      </c>
      <c r="AW66" s="69" t="str">
        <f t="shared" si="236"/>
        <v/>
      </c>
      <c r="AX66" s="132" t="str">
        <f t="shared" si="150"/>
        <v/>
      </c>
      <c r="AY66" s="132" t="str">
        <f t="shared" si="151"/>
        <v/>
      </c>
      <c r="AZ66" s="69" t="str">
        <f t="shared" si="246"/>
        <v/>
      </c>
      <c r="BA66" s="69" t="str">
        <f t="shared" si="247"/>
        <v/>
      </c>
      <c r="BB66" s="69" t="str">
        <f t="shared" si="152"/>
        <v/>
      </c>
      <c r="BC66" s="69" t="str">
        <f t="shared" si="248"/>
        <v/>
      </c>
      <c r="BD66" s="69" t="str">
        <f t="shared" si="249"/>
        <v/>
      </c>
      <c r="BE66" s="69" t="str">
        <f t="shared" si="153"/>
        <v/>
      </c>
      <c r="BF66" s="69" t="str">
        <f t="shared" si="250"/>
        <v/>
      </c>
      <c r="BG66" s="69" t="str">
        <f t="shared" si="251"/>
        <v/>
      </c>
      <c r="BH66" s="69" t="str">
        <f t="shared" si="154"/>
        <v/>
      </c>
      <c r="BI66" s="69" t="str">
        <f t="shared" si="252"/>
        <v/>
      </c>
      <c r="BJ66" s="69" t="str">
        <f t="shared" si="253"/>
        <v/>
      </c>
      <c r="BK66" s="69" t="str">
        <f t="shared" si="155"/>
        <v/>
      </c>
      <c r="BL66" s="69" t="str">
        <f t="shared" si="254"/>
        <v/>
      </c>
      <c r="BM66" s="69" t="str">
        <f t="shared" si="255"/>
        <v/>
      </c>
      <c r="BN66" s="69" t="str">
        <f t="shared" si="156"/>
        <v/>
      </c>
      <c r="BO66" s="69" t="str">
        <f t="shared" si="256"/>
        <v/>
      </c>
      <c r="BP66" s="69" t="str">
        <f t="shared" si="257"/>
        <v/>
      </c>
      <c r="BQ66" s="69" t="str">
        <f t="shared" si="157"/>
        <v/>
      </c>
      <c r="BR66" s="69" t="str">
        <f t="shared" si="258"/>
        <v/>
      </c>
      <c r="BS66" s="69" t="str">
        <f t="shared" si="259"/>
        <v/>
      </c>
      <c r="BT66" s="69" t="str">
        <f t="shared" si="158"/>
        <v/>
      </c>
      <c r="BU66" s="69" t="str">
        <f t="shared" si="260"/>
        <v/>
      </c>
      <c r="BV66" s="69" t="str">
        <f t="shared" si="261"/>
        <v/>
      </c>
      <c r="BW66" s="69" t="str">
        <f t="shared" si="159"/>
        <v/>
      </c>
      <c r="BX66" s="69" t="str">
        <f t="shared" si="262"/>
        <v/>
      </c>
      <c r="BY66" s="69" t="str">
        <f t="shared" si="263"/>
        <v/>
      </c>
      <c r="BZ66" s="69" t="str">
        <f t="shared" si="160"/>
        <v/>
      </c>
      <c r="CA66" s="69" t="str">
        <f t="shared" si="264"/>
        <v/>
      </c>
      <c r="CB66" s="69" t="str">
        <f t="shared" si="265"/>
        <v/>
      </c>
      <c r="CC66" s="69" t="str">
        <f t="shared" si="161"/>
        <v/>
      </c>
      <c r="CE66" s="69" t="str">
        <f t="shared" si="266"/>
        <v/>
      </c>
      <c r="CF66" s="69" t="str">
        <f t="shared" si="267"/>
        <v/>
      </c>
      <c r="CG66" s="69" t="str">
        <f t="shared" si="162"/>
        <v/>
      </c>
      <c r="CH66" s="69" t="str">
        <f t="shared" si="268"/>
        <v/>
      </c>
      <c r="CI66" s="69" t="str">
        <f t="shared" si="269"/>
        <v/>
      </c>
      <c r="CJ66" s="69" t="str">
        <f t="shared" si="163"/>
        <v/>
      </c>
      <c r="CK66" s="69" t="str">
        <f t="shared" si="270"/>
        <v/>
      </c>
      <c r="CL66" s="69" t="str">
        <f t="shared" si="271"/>
        <v/>
      </c>
      <c r="CM66" s="69" t="str">
        <f t="shared" si="164"/>
        <v/>
      </c>
      <c r="CN66" s="69" t="str">
        <f t="shared" si="272"/>
        <v/>
      </c>
      <c r="CO66" s="69" t="str">
        <f t="shared" si="273"/>
        <v/>
      </c>
      <c r="CP66" s="69" t="str">
        <f t="shared" si="165"/>
        <v/>
      </c>
      <c r="CQ66" s="69" t="str">
        <f t="shared" si="274"/>
        <v/>
      </c>
      <c r="CR66" s="69" t="str">
        <f t="shared" si="275"/>
        <v/>
      </c>
      <c r="CS66" s="69" t="str">
        <f t="shared" si="166"/>
        <v/>
      </c>
      <c r="CT66" s="69" t="str">
        <f t="shared" si="276"/>
        <v/>
      </c>
      <c r="CU66" s="69" t="str">
        <f t="shared" si="277"/>
        <v/>
      </c>
      <c r="CV66" s="69" t="str">
        <f t="shared" si="167"/>
        <v/>
      </c>
      <c r="CW66" s="69" t="str">
        <f t="shared" si="278"/>
        <v/>
      </c>
      <c r="CX66" s="69" t="str">
        <f t="shared" si="279"/>
        <v/>
      </c>
      <c r="CY66" s="69" t="str">
        <f t="shared" si="168"/>
        <v/>
      </c>
      <c r="CZ66" s="69" t="str">
        <f t="shared" si="280"/>
        <v/>
      </c>
      <c r="DA66" s="69" t="str">
        <f t="shared" si="281"/>
        <v/>
      </c>
      <c r="DB66" s="69" t="str">
        <f t="shared" si="169"/>
        <v/>
      </c>
      <c r="DC66" s="69" t="str">
        <f t="shared" si="282"/>
        <v/>
      </c>
      <c r="DD66" s="69" t="str">
        <f t="shared" si="283"/>
        <v/>
      </c>
      <c r="DE66" s="69" t="str">
        <f t="shared" si="170"/>
        <v/>
      </c>
      <c r="DG66" s="69" t="str">
        <f t="shared" si="284"/>
        <v/>
      </c>
      <c r="DH66" s="69" t="str">
        <f t="shared" si="285"/>
        <v/>
      </c>
      <c r="DI66" s="69" t="str">
        <f t="shared" si="171"/>
        <v/>
      </c>
      <c r="DJ66" s="69" t="str">
        <f t="shared" si="286"/>
        <v/>
      </c>
      <c r="DK66" s="69" t="str">
        <f t="shared" si="287"/>
        <v/>
      </c>
      <c r="DL66" s="69" t="str">
        <f t="shared" si="172"/>
        <v/>
      </c>
      <c r="DM66" s="69" t="str">
        <f t="shared" si="288"/>
        <v/>
      </c>
      <c r="DN66" s="69" t="str">
        <f t="shared" si="289"/>
        <v/>
      </c>
      <c r="DO66" s="69" t="str">
        <f t="shared" si="173"/>
        <v/>
      </c>
      <c r="DP66" s="69" t="str">
        <f t="shared" si="290"/>
        <v/>
      </c>
      <c r="DQ66" s="69" t="str">
        <f t="shared" si="291"/>
        <v/>
      </c>
      <c r="DR66" s="69" t="str">
        <f t="shared" si="174"/>
        <v/>
      </c>
      <c r="DS66" s="69" t="str">
        <f t="shared" si="292"/>
        <v/>
      </c>
      <c r="DT66" s="69" t="str">
        <f t="shared" si="293"/>
        <v/>
      </c>
      <c r="DU66" s="69" t="str">
        <f t="shared" si="175"/>
        <v/>
      </c>
      <c r="DV66" s="69" t="str">
        <f t="shared" si="294"/>
        <v/>
      </c>
      <c r="DW66" s="69" t="str">
        <f t="shared" si="295"/>
        <v/>
      </c>
      <c r="DX66" s="69" t="str">
        <f t="shared" si="176"/>
        <v/>
      </c>
      <c r="DY66" s="69" t="str">
        <f t="shared" si="296"/>
        <v/>
      </c>
      <c r="DZ66" s="69" t="str">
        <f t="shared" si="297"/>
        <v/>
      </c>
      <c r="EA66" s="69" t="str">
        <f t="shared" si="177"/>
        <v/>
      </c>
      <c r="EB66" s="69" t="str">
        <f t="shared" si="298"/>
        <v/>
      </c>
      <c r="EC66" s="69" t="str">
        <f t="shared" si="299"/>
        <v/>
      </c>
      <c r="ED66" s="69" t="str">
        <f t="shared" si="178"/>
        <v/>
      </c>
      <c r="EF66" s="69" t="str">
        <f t="shared" si="300"/>
        <v/>
      </c>
      <c r="EG66" s="69" t="str">
        <f t="shared" si="301"/>
        <v/>
      </c>
      <c r="EH66" s="69" t="str">
        <f t="shared" si="179"/>
        <v/>
      </c>
      <c r="EI66" s="69" t="str">
        <f t="shared" si="302"/>
        <v/>
      </c>
      <c r="EJ66" s="69" t="str">
        <f t="shared" si="303"/>
        <v/>
      </c>
      <c r="EK66" s="69" t="str">
        <f t="shared" si="180"/>
        <v/>
      </c>
      <c r="EL66" s="69" t="str">
        <f t="shared" si="304"/>
        <v/>
      </c>
      <c r="EM66" s="69" t="str">
        <f t="shared" si="305"/>
        <v/>
      </c>
      <c r="EN66" s="69" t="str">
        <f t="shared" si="181"/>
        <v/>
      </c>
      <c r="EO66" s="69" t="str">
        <f t="shared" si="306"/>
        <v/>
      </c>
      <c r="EP66" s="69" t="str">
        <f t="shared" si="307"/>
        <v/>
      </c>
      <c r="EQ66" s="69" t="str">
        <f t="shared" si="182"/>
        <v/>
      </c>
      <c r="ER66" s="69" t="str">
        <f t="shared" si="308"/>
        <v/>
      </c>
      <c r="ES66" s="69" t="str">
        <f t="shared" si="309"/>
        <v/>
      </c>
      <c r="ET66" s="69" t="str">
        <f t="shared" si="183"/>
        <v/>
      </c>
      <c r="EU66" s="69" t="str">
        <f t="shared" si="310"/>
        <v/>
      </c>
      <c r="EV66" s="69" t="str">
        <f t="shared" si="311"/>
        <v/>
      </c>
      <c r="EW66" s="69" t="str">
        <f t="shared" si="184"/>
        <v/>
      </c>
      <c r="EX66" s="69" t="str">
        <f t="shared" si="312"/>
        <v/>
      </c>
      <c r="EY66" s="69" t="str">
        <f t="shared" si="313"/>
        <v/>
      </c>
      <c r="EZ66" s="69" t="str">
        <f t="shared" si="185"/>
        <v/>
      </c>
      <c r="FB66" s="69" t="str">
        <f t="shared" si="314"/>
        <v/>
      </c>
      <c r="FC66" s="69" t="str">
        <f t="shared" si="315"/>
        <v/>
      </c>
      <c r="FD66" s="69" t="str">
        <f t="shared" si="186"/>
        <v/>
      </c>
      <c r="FE66" s="69" t="str">
        <f t="shared" si="316"/>
        <v/>
      </c>
      <c r="FF66" s="69" t="str">
        <f t="shared" si="317"/>
        <v/>
      </c>
      <c r="FG66" s="69" t="str">
        <f t="shared" si="187"/>
        <v/>
      </c>
      <c r="FH66" s="69" t="str">
        <f t="shared" si="318"/>
        <v/>
      </c>
      <c r="FI66" s="69" t="str">
        <f t="shared" si="319"/>
        <v/>
      </c>
      <c r="FJ66" s="69" t="str">
        <f t="shared" si="188"/>
        <v/>
      </c>
      <c r="FK66" s="69" t="str">
        <f t="shared" si="320"/>
        <v/>
      </c>
      <c r="FL66" s="69" t="str">
        <f t="shared" si="321"/>
        <v/>
      </c>
      <c r="FM66" s="69" t="str">
        <f t="shared" si="189"/>
        <v/>
      </c>
      <c r="FN66" s="69" t="str">
        <f t="shared" si="322"/>
        <v/>
      </c>
      <c r="FO66" s="69" t="str">
        <f t="shared" si="323"/>
        <v/>
      </c>
      <c r="FP66" s="69" t="str">
        <f t="shared" si="190"/>
        <v/>
      </c>
      <c r="FQ66" s="69" t="str">
        <f t="shared" si="324"/>
        <v/>
      </c>
      <c r="FR66" s="69" t="str">
        <f t="shared" si="325"/>
        <v/>
      </c>
      <c r="FS66" s="69" t="str">
        <f t="shared" si="191"/>
        <v/>
      </c>
      <c r="FU66" s="69" t="str">
        <f t="shared" si="326"/>
        <v/>
      </c>
      <c r="FV66" s="69" t="str">
        <f t="shared" si="327"/>
        <v/>
      </c>
      <c r="FW66" s="69" t="str">
        <f t="shared" si="192"/>
        <v/>
      </c>
      <c r="FX66" s="69" t="str">
        <f t="shared" si="328"/>
        <v/>
      </c>
      <c r="FY66" s="69" t="str">
        <f t="shared" si="329"/>
        <v/>
      </c>
      <c r="FZ66" s="69" t="str">
        <f t="shared" si="193"/>
        <v/>
      </c>
      <c r="GA66" s="69" t="str">
        <f t="shared" si="330"/>
        <v/>
      </c>
      <c r="GB66" s="69" t="str">
        <f t="shared" si="331"/>
        <v/>
      </c>
      <c r="GC66" s="69" t="str">
        <f t="shared" si="194"/>
        <v/>
      </c>
      <c r="GD66" s="69" t="str">
        <f t="shared" si="332"/>
        <v/>
      </c>
      <c r="GE66" s="69" t="str">
        <f t="shared" si="333"/>
        <v/>
      </c>
      <c r="GF66" s="69" t="str">
        <f t="shared" si="195"/>
        <v/>
      </c>
      <c r="GG66" s="69" t="str">
        <f t="shared" si="334"/>
        <v/>
      </c>
      <c r="GH66" s="69" t="str">
        <f t="shared" si="335"/>
        <v/>
      </c>
      <c r="GI66" s="69" t="str">
        <f t="shared" si="196"/>
        <v/>
      </c>
      <c r="GK66" s="69" t="str">
        <f t="shared" si="336"/>
        <v/>
      </c>
      <c r="GL66" s="69" t="str">
        <f t="shared" si="337"/>
        <v/>
      </c>
      <c r="GM66" s="69" t="str">
        <f t="shared" si="197"/>
        <v/>
      </c>
      <c r="GN66" s="69" t="str">
        <f t="shared" si="338"/>
        <v/>
      </c>
      <c r="GO66" s="69" t="str">
        <f t="shared" si="339"/>
        <v/>
      </c>
      <c r="GP66" s="69" t="str">
        <f t="shared" si="198"/>
        <v/>
      </c>
      <c r="GQ66" s="69" t="str">
        <f t="shared" si="340"/>
        <v/>
      </c>
      <c r="GR66" s="69" t="str">
        <f t="shared" si="341"/>
        <v/>
      </c>
      <c r="GS66" s="69" t="str">
        <f t="shared" si="199"/>
        <v/>
      </c>
      <c r="GT66" s="69" t="str">
        <f t="shared" si="342"/>
        <v/>
      </c>
      <c r="GU66" s="69" t="str">
        <f t="shared" si="343"/>
        <v/>
      </c>
      <c r="GV66" s="69" t="str">
        <f t="shared" si="200"/>
        <v/>
      </c>
      <c r="GX66" s="69" t="str">
        <f t="shared" si="201"/>
        <v/>
      </c>
      <c r="GY66" s="69" t="str">
        <f t="shared" si="202"/>
        <v/>
      </c>
      <c r="GZ66" s="69" t="str">
        <f t="shared" si="203"/>
        <v/>
      </c>
      <c r="HA66" s="69" t="str">
        <f t="shared" si="204"/>
        <v/>
      </c>
      <c r="HB66" s="69" t="str">
        <f t="shared" si="205"/>
        <v/>
      </c>
      <c r="HC66" s="69" t="str">
        <f t="shared" si="206"/>
        <v/>
      </c>
      <c r="HD66" s="69" t="str">
        <f t="shared" si="207"/>
        <v/>
      </c>
      <c r="HE66" s="69" t="str">
        <f t="shared" si="208"/>
        <v/>
      </c>
      <c r="HF66" s="69" t="str">
        <f t="shared" si="209"/>
        <v/>
      </c>
      <c r="HH66" s="69" t="str">
        <f t="shared" si="210"/>
        <v/>
      </c>
      <c r="HI66" s="69" t="str">
        <f t="shared" si="211"/>
        <v/>
      </c>
      <c r="HJ66" s="69" t="str">
        <f t="shared" si="212"/>
        <v/>
      </c>
      <c r="HK66" s="69" t="str">
        <f t="shared" si="213"/>
        <v/>
      </c>
      <c r="HL66" s="69" t="str">
        <f t="shared" si="214"/>
        <v/>
      </c>
      <c r="HM66" s="69" t="str">
        <f t="shared" si="215"/>
        <v/>
      </c>
      <c r="HO66" s="69" t="str">
        <f t="shared" si="216"/>
        <v/>
      </c>
      <c r="HP66" s="69" t="str">
        <f t="shared" si="217"/>
        <v/>
      </c>
      <c r="HQ66" s="69" t="str">
        <f t="shared" si="218"/>
        <v/>
      </c>
      <c r="HS66" s="69" t="str">
        <f t="shared" si="344"/>
        <v/>
      </c>
      <c r="HT66" s="69" t="str">
        <f t="shared" si="345"/>
        <v/>
      </c>
      <c r="HU66" s="69" t="str">
        <f t="shared" si="219"/>
        <v/>
      </c>
      <c r="HV66" s="69" t="str">
        <f t="shared" si="346"/>
        <v/>
      </c>
      <c r="HW66" s="69" t="str">
        <f t="shared" si="347"/>
        <v/>
      </c>
      <c r="HX66" s="69" t="str">
        <f t="shared" si="220"/>
        <v/>
      </c>
      <c r="HY66" s="69" t="str">
        <f t="shared" si="348"/>
        <v/>
      </c>
      <c r="HZ66" s="69" t="str">
        <f t="shared" si="349"/>
        <v/>
      </c>
      <c r="IA66" s="69" t="str">
        <f t="shared" si="221"/>
        <v/>
      </c>
      <c r="IB66" s="69" t="str">
        <f t="shared" si="350"/>
        <v/>
      </c>
      <c r="IC66" s="69" t="str">
        <f t="shared" si="351"/>
        <v/>
      </c>
      <c r="ID66" s="69" t="str">
        <f t="shared" si="222"/>
        <v/>
      </c>
      <c r="IE66" s="69" t="str">
        <f t="shared" si="352"/>
        <v/>
      </c>
      <c r="IF66" s="69" t="str">
        <f t="shared" si="353"/>
        <v/>
      </c>
      <c r="IG66" s="69" t="str">
        <f t="shared" si="223"/>
        <v/>
      </c>
      <c r="IH66" s="69" t="str">
        <f t="shared" si="354"/>
        <v/>
      </c>
      <c r="II66" s="69" t="str">
        <f t="shared" si="355"/>
        <v/>
      </c>
      <c r="IJ66" s="69" t="str">
        <f t="shared" si="224"/>
        <v/>
      </c>
      <c r="IK66" s="69" t="str">
        <f t="shared" si="356"/>
        <v/>
      </c>
      <c r="IL66" s="69" t="str">
        <f t="shared" si="357"/>
        <v/>
      </c>
      <c r="IM66" s="69" t="str">
        <f t="shared" si="225"/>
        <v/>
      </c>
      <c r="IN66" s="69" t="str">
        <f t="shared" si="226"/>
        <v/>
      </c>
      <c r="IO66" s="69" t="str">
        <f t="shared" si="227"/>
        <v/>
      </c>
      <c r="IP66" s="69" t="str">
        <f t="shared" si="228"/>
        <v/>
      </c>
      <c r="IQ66" s="69" t="str">
        <f t="shared" si="229"/>
        <v/>
      </c>
      <c r="IR66" s="69" t="str">
        <f t="shared" si="230"/>
        <v/>
      </c>
      <c r="IS66" s="69" t="str">
        <f t="shared" si="231"/>
        <v/>
      </c>
      <c r="IT66" s="69" t="str">
        <f t="shared" si="232"/>
        <v/>
      </c>
      <c r="IU66" s="69" t="str">
        <f t="shared" si="233"/>
        <v/>
      </c>
      <c r="IV66" s="69" t="str">
        <f t="shared" si="234"/>
        <v/>
      </c>
    </row>
    <row r="67" spans="1:256" x14ac:dyDescent="0.2">
      <c r="A67" s="57" t="s">
        <v>70</v>
      </c>
      <c r="B67" s="178"/>
      <c r="C67" s="179"/>
      <c r="D67" s="179"/>
      <c r="E67" s="179"/>
      <c r="F67" s="179"/>
      <c r="G67" s="180"/>
      <c r="H67" s="180"/>
      <c r="I67" s="181"/>
      <c r="J67" s="182"/>
      <c r="K67" s="183"/>
      <c r="L67" s="68">
        <f t="shared" si="237"/>
        <v>0</v>
      </c>
      <c r="M67" s="69" t="str">
        <f t="shared" si="238"/>
        <v/>
      </c>
      <c r="N67" s="69" t="str">
        <f t="shared" si="358"/>
        <v/>
      </c>
      <c r="O67" s="69" t="str">
        <f t="shared" si="122"/>
        <v/>
      </c>
      <c r="P67" s="69" t="str">
        <f t="shared" si="359"/>
        <v/>
      </c>
      <c r="Q67" s="70" t="str">
        <f t="shared" si="239"/>
        <v/>
      </c>
      <c r="R67" s="71" t="str">
        <f t="shared" si="124"/>
        <v/>
      </c>
      <c r="S67" s="71" t="str">
        <f t="shared" si="125"/>
        <v/>
      </c>
      <c r="T67" s="70" t="str">
        <f t="shared" si="240"/>
        <v/>
      </c>
      <c r="U67" s="71" t="str">
        <f t="shared" si="126"/>
        <v/>
      </c>
      <c r="V67" s="71" t="str">
        <f t="shared" si="127"/>
        <v/>
      </c>
      <c r="W67" s="70" t="str">
        <f t="shared" si="241"/>
        <v/>
      </c>
      <c r="X67" s="71" t="str">
        <f t="shared" si="128"/>
        <v/>
      </c>
      <c r="Y67" s="71" t="str">
        <f t="shared" si="129"/>
        <v/>
      </c>
      <c r="Z67" s="70" t="str">
        <f t="shared" si="242"/>
        <v/>
      </c>
      <c r="AA67" s="71" t="str">
        <f t="shared" si="130"/>
        <v/>
      </c>
      <c r="AB67" s="71" t="str">
        <f t="shared" si="131"/>
        <v/>
      </c>
      <c r="AC67" s="70" t="str">
        <f t="shared" si="243"/>
        <v/>
      </c>
      <c r="AD67" s="71" t="str">
        <f t="shared" si="132"/>
        <v/>
      </c>
      <c r="AE67" s="71" t="str">
        <f t="shared" si="133"/>
        <v/>
      </c>
      <c r="AF67" s="70" t="str">
        <f t="shared" si="244"/>
        <v/>
      </c>
      <c r="AG67" s="71" t="str">
        <f t="shared" si="134"/>
        <v/>
      </c>
      <c r="AH67" s="71" t="str">
        <f t="shared" si="135"/>
        <v/>
      </c>
      <c r="AI67" s="70" t="str">
        <f t="shared" si="245"/>
        <v/>
      </c>
      <c r="AJ67" s="71" t="str">
        <f t="shared" si="136"/>
        <v/>
      </c>
      <c r="AK67" s="71" t="str">
        <f t="shared" si="137"/>
        <v/>
      </c>
      <c r="AL67" s="70" t="str">
        <f t="shared" si="138"/>
        <v/>
      </c>
      <c r="AM67" s="71" t="str">
        <f t="shared" si="139"/>
        <v/>
      </c>
      <c r="AN67" s="71" t="str">
        <f t="shared" si="140"/>
        <v/>
      </c>
      <c r="AO67" s="70" t="str">
        <f t="shared" si="141"/>
        <v/>
      </c>
      <c r="AP67" s="71" t="str">
        <f t="shared" si="142"/>
        <v/>
      </c>
      <c r="AQ67" s="71" t="str">
        <f t="shared" si="143"/>
        <v/>
      </c>
      <c r="AR67" s="70" t="str">
        <f t="shared" si="144"/>
        <v/>
      </c>
      <c r="AS67" s="71" t="str">
        <f t="shared" si="145"/>
        <v/>
      </c>
      <c r="AT67" s="71" t="str">
        <f t="shared" si="146"/>
        <v/>
      </c>
      <c r="AU67" s="69" t="str">
        <f t="shared" si="147"/>
        <v/>
      </c>
      <c r="AV67" s="131" t="str">
        <f t="shared" si="148"/>
        <v/>
      </c>
      <c r="AW67" s="69" t="str">
        <f t="shared" si="236"/>
        <v/>
      </c>
      <c r="AX67" s="132" t="str">
        <f t="shared" si="150"/>
        <v/>
      </c>
      <c r="AY67" s="132" t="str">
        <f t="shared" si="151"/>
        <v/>
      </c>
      <c r="AZ67" s="69" t="str">
        <f t="shared" si="246"/>
        <v/>
      </c>
      <c r="BA67" s="69" t="str">
        <f t="shared" si="247"/>
        <v/>
      </c>
      <c r="BB67" s="69" t="str">
        <f t="shared" si="152"/>
        <v/>
      </c>
      <c r="BC67" s="69" t="str">
        <f t="shared" si="248"/>
        <v/>
      </c>
      <c r="BD67" s="69" t="str">
        <f t="shared" si="249"/>
        <v/>
      </c>
      <c r="BE67" s="69" t="str">
        <f t="shared" si="153"/>
        <v/>
      </c>
      <c r="BF67" s="69" t="str">
        <f t="shared" si="250"/>
        <v/>
      </c>
      <c r="BG67" s="69" t="str">
        <f t="shared" si="251"/>
        <v/>
      </c>
      <c r="BH67" s="69" t="str">
        <f t="shared" si="154"/>
        <v/>
      </c>
      <c r="BI67" s="69" t="str">
        <f t="shared" si="252"/>
        <v/>
      </c>
      <c r="BJ67" s="69" t="str">
        <f t="shared" si="253"/>
        <v/>
      </c>
      <c r="BK67" s="69" t="str">
        <f t="shared" si="155"/>
        <v/>
      </c>
      <c r="BL67" s="69" t="str">
        <f t="shared" si="254"/>
        <v/>
      </c>
      <c r="BM67" s="69" t="str">
        <f t="shared" si="255"/>
        <v/>
      </c>
      <c r="BN67" s="69" t="str">
        <f t="shared" si="156"/>
        <v/>
      </c>
      <c r="BO67" s="69" t="str">
        <f t="shared" si="256"/>
        <v/>
      </c>
      <c r="BP67" s="69" t="str">
        <f t="shared" si="257"/>
        <v/>
      </c>
      <c r="BQ67" s="69" t="str">
        <f t="shared" si="157"/>
        <v/>
      </c>
      <c r="BR67" s="69" t="str">
        <f t="shared" si="258"/>
        <v/>
      </c>
      <c r="BS67" s="69" t="str">
        <f t="shared" si="259"/>
        <v/>
      </c>
      <c r="BT67" s="69" t="str">
        <f t="shared" si="158"/>
        <v/>
      </c>
      <c r="BU67" s="69" t="str">
        <f t="shared" si="260"/>
        <v/>
      </c>
      <c r="BV67" s="69" t="str">
        <f t="shared" si="261"/>
        <v/>
      </c>
      <c r="BW67" s="69" t="str">
        <f t="shared" si="159"/>
        <v/>
      </c>
      <c r="BX67" s="69" t="str">
        <f t="shared" si="262"/>
        <v/>
      </c>
      <c r="BY67" s="69" t="str">
        <f t="shared" si="263"/>
        <v/>
      </c>
      <c r="BZ67" s="69" t="str">
        <f t="shared" si="160"/>
        <v/>
      </c>
      <c r="CA67" s="69" t="str">
        <f t="shared" si="264"/>
        <v/>
      </c>
      <c r="CB67" s="69" t="str">
        <f t="shared" si="265"/>
        <v/>
      </c>
      <c r="CC67" s="69" t="str">
        <f t="shared" si="161"/>
        <v/>
      </c>
      <c r="CE67" s="69" t="str">
        <f t="shared" si="266"/>
        <v/>
      </c>
      <c r="CF67" s="69" t="str">
        <f t="shared" si="267"/>
        <v/>
      </c>
      <c r="CG67" s="69" t="str">
        <f t="shared" si="162"/>
        <v/>
      </c>
      <c r="CH67" s="69" t="str">
        <f t="shared" si="268"/>
        <v/>
      </c>
      <c r="CI67" s="69" t="str">
        <f t="shared" si="269"/>
        <v/>
      </c>
      <c r="CJ67" s="69" t="str">
        <f t="shared" si="163"/>
        <v/>
      </c>
      <c r="CK67" s="69" t="str">
        <f t="shared" si="270"/>
        <v/>
      </c>
      <c r="CL67" s="69" t="str">
        <f t="shared" si="271"/>
        <v/>
      </c>
      <c r="CM67" s="69" t="str">
        <f t="shared" si="164"/>
        <v/>
      </c>
      <c r="CN67" s="69" t="str">
        <f t="shared" si="272"/>
        <v/>
      </c>
      <c r="CO67" s="69" t="str">
        <f t="shared" si="273"/>
        <v/>
      </c>
      <c r="CP67" s="69" t="str">
        <f t="shared" si="165"/>
        <v/>
      </c>
      <c r="CQ67" s="69" t="str">
        <f t="shared" si="274"/>
        <v/>
      </c>
      <c r="CR67" s="69" t="str">
        <f t="shared" si="275"/>
        <v/>
      </c>
      <c r="CS67" s="69" t="str">
        <f t="shared" si="166"/>
        <v/>
      </c>
      <c r="CT67" s="69" t="str">
        <f t="shared" si="276"/>
        <v/>
      </c>
      <c r="CU67" s="69" t="str">
        <f t="shared" si="277"/>
        <v/>
      </c>
      <c r="CV67" s="69" t="str">
        <f t="shared" si="167"/>
        <v/>
      </c>
      <c r="CW67" s="69" t="str">
        <f t="shared" si="278"/>
        <v/>
      </c>
      <c r="CX67" s="69" t="str">
        <f t="shared" si="279"/>
        <v/>
      </c>
      <c r="CY67" s="69" t="str">
        <f t="shared" si="168"/>
        <v/>
      </c>
      <c r="CZ67" s="69" t="str">
        <f t="shared" si="280"/>
        <v/>
      </c>
      <c r="DA67" s="69" t="str">
        <f t="shared" si="281"/>
        <v/>
      </c>
      <c r="DB67" s="69" t="str">
        <f t="shared" si="169"/>
        <v/>
      </c>
      <c r="DC67" s="69" t="str">
        <f t="shared" si="282"/>
        <v/>
      </c>
      <c r="DD67" s="69" t="str">
        <f t="shared" si="283"/>
        <v/>
      </c>
      <c r="DE67" s="69" t="str">
        <f t="shared" si="170"/>
        <v/>
      </c>
      <c r="DG67" s="69" t="str">
        <f t="shared" si="284"/>
        <v/>
      </c>
      <c r="DH67" s="69" t="str">
        <f t="shared" si="285"/>
        <v/>
      </c>
      <c r="DI67" s="69" t="str">
        <f t="shared" si="171"/>
        <v/>
      </c>
      <c r="DJ67" s="69" t="str">
        <f t="shared" si="286"/>
        <v/>
      </c>
      <c r="DK67" s="69" t="str">
        <f t="shared" si="287"/>
        <v/>
      </c>
      <c r="DL67" s="69" t="str">
        <f t="shared" si="172"/>
        <v/>
      </c>
      <c r="DM67" s="69" t="str">
        <f t="shared" si="288"/>
        <v/>
      </c>
      <c r="DN67" s="69" t="str">
        <f t="shared" si="289"/>
        <v/>
      </c>
      <c r="DO67" s="69" t="str">
        <f t="shared" si="173"/>
        <v/>
      </c>
      <c r="DP67" s="69" t="str">
        <f t="shared" si="290"/>
        <v/>
      </c>
      <c r="DQ67" s="69" t="str">
        <f t="shared" si="291"/>
        <v/>
      </c>
      <c r="DR67" s="69" t="str">
        <f t="shared" si="174"/>
        <v/>
      </c>
      <c r="DS67" s="69" t="str">
        <f t="shared" si="292"/>
        <v/>
      </c>
      <c r="DT67" s="69" t="str">
        <f t="shared" si="293"/>
        <v/>
      </c>
      <c r="DU67" s="69" t="str">
        <f t="shared" si="175"/>
        <v/>
      </c>
      <c r="DV67" s="69" t="str">
        <f t="shared" si="294"/>
        <v/>
      </c>
      <c r="DW67" s="69" t="str">
        <f t="shared" si="295"/>
        <v/>
      </c>
      <c r="DX67" s="69" t="str">
        <f t="shared" si="176"/>
        <v/>
      </c>
      <c r="DY67" s="69" t="str">
        <f t="shared" si="296"/>
        <v/>
      </c>
      <c r="DZ67" s="69" t="str">
        <f t="shared" si="297"/>
        <v/>
      </c>
      <c r="EA67" s="69" t="str">
        <f t="shared" si="177"/>
        <v/>
      </c>
      <c r="EB67" s="69" t="str">
        <f t="shared" si="298"/>
        <v/>
      </c>
      <c r="EC67" s="69" t="str">
        <f t="shared" si="299"/>
        <v/>
      </c>
      <c r="ED67" s="69" t="str">
        <f t="shared" si="178"/>
        <v/>
      </c>
      <c r="EF67" s="69" t="str">
        <f t="shared" si="300"/>
        <v/>
      </c>
      <c r="EG67" s="69" t="str">
        <f t="shared" si="301"/>
        <v/>
      </c>
      <c r="EH67" s="69" t="str">
        <f t="shared" si="179"/>
        <v/>
      </c>
      <c r="EI67" s="69" t="str">
        <f t="shared" si="302"/>
        <v/>
      </c>
      <c r="EJ67" s="69" t="str">
        <f t="shared" si="303"/>
        <v/>
      </c>
      <c r="EK67" s="69" t="str">
        <f t="shared" si="180"/>
        <v/>
      </c>
      <c r="EL67" s="69" t="str">
        <f t="shared" si="304"/>
        <v/>
      </c>
      <c r="EM67" s="69" t="str">
        <f t="shared" si="305"/>
        <v/>
      </c>
      <c r="EN67" s="69" t="str">
        <f t="shared" si="181"/>
        <v/>
      </c>
      <c r="EO67" s="69" t="str">
        <f t="shared" si="306"/>
        <v/>
      </c>
      <c r="EP67" s="69" t="str">
        <f t="shared" si="307"/>
        <v/>
      </c>
      <c r="EQ67" s="69" t="str">
        <f t="shared" si="182"/>
        <v/>
      </c>
      <c r="ER67" s="69" t="str">
        <f t="shared" si="308"/>
        <v/>
      </c>
      <c r="ES67" s="69" t="str">
        <f t="shared" si="309"/>
        <v/>
      </c>
      <c r="ET67" s="69" t="str">
        <f t="shared" si="183"/>
        <v/>
      </c>
      <c r="EU67" s="69" t="str">
        <f t="shared" si="310"/>
        <v/>
      </c>
      <c r="EV67" s="69" t="str">
        <f t="shared" si="311"/>
        <v/>
      </c>
      <c r="EW67" s="69" t="str">
        <f t="shared" si="184"/>
        <v/>
      </c>
      <c r="EX67" s="69" t="str">
        <f t="shared" si="312"/>
        <v/>
      </c>
      <c r="EY67" s="69" t="str">
        <f t="shared" si="313"/>
        <v/>
      </c>
      <c r="EZ67" s="69" t="str">
        <f t="shared" si="185"/>
        <v/>
      </c>
      <c r="FB67" s="69" t="str">
        <f t="shared" si="314"/>
        <v/>
      </c>
      <c r="FC67" s="69" t="str">
        <f t="shared" si="315"/>
        <v/>
      </c>
      <c r="FD67" s="69" t="str">
        <f t="shared" si="186"/>
        <v/>
      </c>
      <c r="FE67" s="69" t="str">
        <f t="shared" si="316"/>
        <v/>
      </c>
      <c r="FF67" s="69" t="str">
        <f t="shared" si="317"/>
        <v/>
      </c>
      <c r="FG67" s="69" t="str">
        <f t="shared" si="187"/>
        <v/>
      </c>
      <c r="FH67" s="69" t="str">
        <f t="shared" si="318"/>
        <v/>
      </c>
      <c r="FI67" s="69" t="str">
        <f t="shared" si="319"/>
        <v/>
      </c>
      <c r="FJ67" s="69" t="str">
        <f t="shared" si="188"/>
        <v/>
      </c>
      <c r="FK67" s="69" t="str">
        <f t="shared" si="320"/>
        <v/>
      </c>
      <c r="FL67" s="69" t="str">
        <f t="shared" si="321"/>
        <v/>
      </c>
      <c r="FM67" s="69" t="str">
        <f t="shared" si="189"/>
        <v/>
      </c>
      <c r="FN67" s="69" t="str">
        <f t="shared" si="322"/>
        <v/>
      </c>
      <c r="FO67" s="69" t="str">
        <f t="shared" si="323"/>
        <v/>
      </c>
      <c r="FP67" s="69" t="str">
        <f t="shared" si="190"/>
        <v/>
      </c>
      <c r="FQ67" s="69" t="str">
        <f t="shared" si="324"/>
        <v/>
      </c>
      <c r="FR67" s="69" t="str">
        <f t="shared" si="325"/>
        <v/>
      </c>
      <c r="FS67" s="69" t="str">
        <f t="shared" si="191"/>
        <v/>
      </c>
      <c r="FU67" s="69" t="str">
        <f t="shared" si="326"/>
        <v/>
      </c>
      <c r="FV67" s="69" t="str">
        <f t="shared" si="327"/>
        <v/>
      </c>
      <c r="FW67" s="69" t="str">
        <f t="shared" si="192"/>
        <v/>
      </c>
      <c r="FX67" s="69" t="str">
        <f t="shared" si="328"/>
        <v/>
      </c>
      <c r="FY67" s="69" t="str">
        <f t="shared" si="329"/>
        <v/>
      </c>
      <c r="FZ67" s="69" t="str">
        <f t="shared" si="193"/>
        <v/>
      </c>
      <c r="GA67" s="69" t="str">
        <f t="shared" si="330"/>
        <v/>
      </c>
      <c r="GB67" s="69" t="str">
        <f t="shared" si="331"/>
        <v/>
      </c>
      <c r="GC67" s="69" t="str">
        <f t="shared" si="194"/>
        <v/>
      </c>
      <c r="GD67" s="69" t="str">
        <f t="shared" si="332"/>
        <v/>
      </c>
      <c r="GE67" s="69" t="str">
        <f t="shared" si="333"/>
        <v/>
      </c>
      <c r="GF67" s="69" t="str">
        <f t="shared" si="195"/>
        <v/>
      </c>
      <c r="GG67" s="69" t="str">
        <f t="shared" si="334"/>
        <v/>
      </c>
      <c r="GH67" s="69" t="str">
        <f t="shared" si="335"/>
        <v/>
      </c>
      <c r="GI67" s="69" t="str">
        <f t="shared" si="196"/>
        <v/>
      </c>
      <c r="GK67" s="69" t="str">
        <f t="shared" si="336"/>
        <v/>
      </c>
      <c r="GL67" s="69" t="str">
        <f t="shared" si="337"/>
        <v/>
      </c>
      <c r="GM67" s="69" t="str">
        <f t="shared" si="197"/>
        <v/>
      </c>
      <c r="GN67" s="69" t="str">
        <f t="shared" si="338"/>
        <v/>
      </c>
      <c r="GO67" s="69" t="str">
        <f t="shared" si="339"/>
        <v/>
      </c>
      <c r="GP67" s="69" t="str">
        <f t="shared" si="198"/>
        <v/>
      </c>
      <c r="GQ67" s="69" t="str">
        <f t="shared" si="340"/>
        <v/>
      </c>
      <c r="GR67" s="69" t="str">
        <f t="shared" si="341"/>
        <v/>
      </c>
      <c r="GS67" s="69" t="str">
        <f t="shared" si="199"/>
        <v/>
      </c>
      <c r="GT67" s="69" t="str">
        <f t="shared" si="342"/>
        <v/>
      </c>
      <c r="GU67" s="69" t="str">
        <f t="shared" si="343"/>
        <v/>
      </c>
      <c r="GV67" s="69" t="str">
        <f t="shared" si="200"/>
        <v/>
      </c>
      <c r="GX67" s="69" t="str">
        <f t="shared" si="201"/>
        <v/>
      </c>
      <c r="GY67" s="69" t="str">
        <f t="shared" si="202"/>
        <v/>
      </c>
      <c r="GZ67" s="69" t="str">
        <f t="shared" si="203"/>
        <v/>
      </c>
      <c r="HA67" s="69" t="str">
        <f t="shared" si="204"/>
        <v/>
      </c>
      <c r="HB67" s="69" t="str">
        <f t="shared" si="205"/>
        <v/>
      </c>
      <c r="HC67" s="69" t="str">
        <f t="shared" si="206"/>
        <v/>
      </c>
      <c r="HD67" s="69" t="str">
        <f t="shared" si="207"/>
        <v/>
      </c>
      <c r="HE67" s="69" t="str">
        <f t="shared" si="208"/>
        <v/>
      </c>
      <c r="HF67" s="69" t="str">
        <f t="shared" si="209"/>
        <v/>
      </c>
      <c r="HH67" s="69" t="str">
        <f t="shared" si="210"/>
        <v/>
      </c>
      <c r="HI67" s="69" t="str">
        <f t="shared" si="211"/>
        <v/>
      </c>
      <c r="HJ67" s="69" t="str">
        <f t="shared" si="212"/>
        <v/>
      </c>
      <c r="HK67" s="69" t="str">
        <f t="shared" si="213"/>
        <v/>
      </c>
      <c r="HL67" s="69" t="str">
        <f t="shared" si="214"/>
        <v/>
      </c>
      <c r="HM67" s="69" t="str">
        <f t="shared" si="215"/>
        <v/>
      </c>
      <c r="HO67" s="69" t="str">
        <f t="shared" si="216"/>
        <v/>
      </c>
      <c r="HP67" s="69" t="str">
        <f t="shared" si="217"/>
        <v/>
      </c>
      <c r="HQ67" s="69" t="str">
        <f t="shared" si="218"/>
        <v/>
      </c>
      <c r="HS67" s="69" t="str">
        <f t="shared" si="344"/>
        <v/>
      </c>
      <c r="HT67" s="69" t="str">
        <f t="shared" si="345"/>
        <v/>
      </c>
      <c r="HU67" s="69" t="str">
        <f t="shared" si="219"/>
        <v/>
      </c>
      <c r="HV67" s="69" t="str">
        <f t="shared" si="346"/>
        <v/>
      </c>
      <c r="HW67" s="69" t="str">
        <f t="shared" si="347"/>
        <v/>
      </c>
      <c r="HX67" s="69" t="str">
        <f t="shared" si="220"/>
        <v/>
      </c>
      <c r="HY67" s="69" t="str">
        <f t="shared" si="348"/>
        <v/>
      </c>
      <c r="HZ67" s="69" t="str">
        <f t="shared" si="349"/>
        <v/>
      </c>
      <c r="IA67" s="69" t="str">
        <f t="shared" si="221"/>
        <v/>
      </c>
      <c r="IB67" s="69" t="str">
        <f t="shared" si="350"/>
        <v/>
      </c>
      <c r="IC67" s="69" t="str">
        <f t="shared" si="351"/>
        <v/>
      </c>
      <c r="ID67" s="69" t="str">
        <f t="shared" si="222"/>
        <v/>
      </c>
      <c r="IE67" s="69" t="str">
        <f t="shared" si="352"/>
        <v/>
      </c>
      <c r="IF67" s="69" t="str">
        <f t="shared" si="353"/>
        <v/>
      </c>
      <c r="IG67" s="69" t="str">
        <f t="shared" si="223"/>
        <v/>
      </c>
      <c r="IH67" s="69" t="str">
        <f t="shared" si="354"/>
        <v/>
      </c>
      <c r="II67" s="69" t="str">
        <f t="shared" si="355"/>
        <v/>
      </c>
      <c r="IJ67" s="69" t="str">
        <f t="shared" si="224"/>
        <v/>
      </c>
      <c r="IK67" s="69" t="str">
        <f t="shared" si="356"/>
        <v/>
      </c>
      <c r="IL67" s="69" t="str">
        <f t="shared" si="357"/>
        <v/>
      </c>
      <c r="IM67" s="69" t="str">
        <f t="shared" si="225"/>
        <v/>
      </c>
      <c r="IN67" s="69" t="str">
        <f t="shared" si="226"/>
        <v/>
      </c>
      <c r="IO67" s="69" t="str">
        <f t="shared" si="227"/>
        <v/>
      </c>
      <c r="IP67" s="69" t="str">
        <f t="shared" si="228"/>
        <v/>
      </c>
      <c r="IQ67" s="69" t="str">
        <f t="shared" si="229"/>
        <v/>
      </c>
      <c r="IR67" s="69" t="str">
        <f t="shared" si="230"/>
        <v/>
      </c>
      <c r="IS67" s="69" t="str">
        <f t="shared" si="231"/>
        <v/>
      </c>
      <c r="IT67" s="69" t="str">
        <f t="shared" si="232"/>
        <v/>
      </c>
      <c r="IU67" s="69" t="str">
        <f t="shared" si="233"/>
        <v/>
      </c>
      <c r="IV67" s="69" t="str">
        <f t="shared" si="234"/>
        <v/>
      </c>
    </row>
    <row r="68" spans="1:256" x14ac:dyDescent="0.2">
      <c r="A68" s="57" t="s">
        <v>71</v>
      </c>
      <c r="B68" s="178"/>
      <c r="C68" s="179"/>
      <c r="D68" s="179"/>
      <c r="E68" s="179"/>
      <c r="F68" s="179"/>
      <c r="G68" s="180"/>
      <c r="H68" s="180"/>
      <c r="I68" s="181"/>
      <c r="J68" s="182"/>
      <c r="K68" s="183"/>
      <c r="L68" s="68">
        <f t="shared" si="237"/>
        <v>0</v>
      </c>
      <c r="M68" s="69" t="str">
        <f t="shared" si="238"/>
        <v/>
      </c>
      <c r="N68" s="69" t="str">
        <f t="shared" si="358"/>
        <v/>
      </c>
      <c r="O68" s="69" t="str">
        <f t="shared" si="122"/>
        <v/>
      </c>
      <c r="P68" s="69" t="str">
        <f t="shared" si="359"/>
        <v/>
      </c>
      <c r="Q68" s="70" t="str">
        <f t="shared" si="239"/>
        <v/>
      </c>
      <c r="R68" s="71" t="str">
        <f t="shared" si="124"/>
        <v/>
      </c>
      <c r="S68" s="71" t="str">
        <f t="shared" si="125"/>
        <v/>
      </c>
      <c r="T68" s="70" t="str">
        <f t="shared" si="240"/>
        <v/>
      </c>
      <c r="U68" s="71" t="str">
        <f t="shared" si="126"/>
        <v/>
      </c>
      <c r="V68" s="71" t="str">
        <f t="shared" si="127"/>
        <v/>
      </c>
      <c r="W68" s="70" t="str">
        <f t="shared" si="241"/>
        <v/>
      </c>
      <c r="X68" s="71" t="str">
        <f t="shared" si="128"/>
        <v/>
      </c>
      <c r="Y68" s="71" t="str">
        <f t="shared" si="129"/>
        <v/>
      </c>
      <c r="Z68" s="70" t="str">
        <f t="shared" si="242"/>
        <v/>
      </c>
      <c r="AA68" s="71" t="str">
        <f t="shared" si="130"/>
        <v/>
      </c>
      <c r="AB68" s="71" t="str">
        <f t="shared" si="131"/>
        <v/>
      </c>
      <c r="AC68" s="70" t="str">
        <f t="shared" si="243"/>
        <v/>
      </c>
      <c r="AD68" s="71" t="str">
        <f t="shared" si="132"/>
        <v/>
      </c>
      <c r="AE68" s="71" t="str">
        <f t="shared" si="133"/>
        <v/>
      </c>
      <c r="AF68" s="70" t="str">
        <f t="shared" si="244"/>
        <v/>
      </c>
      <c r="AG68" s="71" t="str">
        <f t="shared" si="134"/>
        <v/>
      </c>
      <c r="AH68" s="71" t="str">
        <f t="shared" si="135"/>
        <v/>
      </c>
      <c r="AI68" s="70" t="str">
        <f t="shared" si="245"/>
        <v/>
      </c>
      <c r="AJ68" s="71" t="str">
        <f t="shared" si="136"/>
        <v/>
      </c>
      <c r="AK68" s="71" t="str">
        <f t="shared" si="137"/>
        <v/>
      </c>
      <c r="AL68" s="70" t="str">
        <f t="shared" si="138"/>
        <v/>
      </c>
      <c r="AM68" s="71" t="str">
        <f t="shared" si="139"/>
        <v/>
      </c>
      <c r="AN68" s="71" t="str">
        <f t="shared" si="140"/>
        <v/>
      </c>
      <c r="AO68" s="70" t="str">
        <f t="shared" si="141"/>
        <v/>
      </c>
      <c r="AP68" s="71" t="str">
        <f t="shared" si="142"/>
        <v/>
      </c>
      <c r="AQ68" s="71" t="str">
        <f t="shared" si="143"/>
        <v/>
      </c>
      <c r="AR68" s="70" t="str">
        <f t="shared" si="144"/>
        <v/>
      </c>
      <c r="AS68" s="71" t="str">
        <f t="shared" si="145"/>
        <v/>
      </c>
      <c r="AT68" s="71" t="str">
        <f t="shared" si="146"/>
        <v/>
      </c>
      <c r="AU68" s="69" t="str">
        <f t="shared" si="147"/>
        <v/>
      </c>
      <c r="AV68" s="131" t="str">
        <f t="shared" si="148"/>
        <v/>
      </c>
      <c r="AW68" s="69" t="str">
        <f t="shared" si="236"/>
        <v/>
      </c>
      <c r="AX68" s="132" t="str">
        <f t="shared" si="150"/>
        <v/>
      </c>
      <c r="AY68" s="132" t="str">
        <f t="shared" si="151"/>
        <v/>
      </c>
      <c r="AZ68" s="69" t="str">
        <f t="shared" si="246"/>
        <v/>
      </c>
      <c r="BA68" s="69" t="str">
        <f t="shared" si="247"/>
        <v/>
      </c>
      <c r="BB68" s="69" t="str">
        <f t="shared" si="152"/>
        <v/>
      </c>
      <c r="BC68" s="69" t="str">
        <f t="shared" si="248"/>
        <v/>
      </c>
      <c r="BD68" s="69" t="str">
        <f t="shared" si="249"/>
        <v/>
      </c>
      <c r="BE68" s="69" t="str">
        <f t="shared" si="153"/>
        <v/>
      </c>
      <c r="BF68" s="69" t="str">
        <f t="shared" si="250"/>
        <v/>
      </c>
      <c r="BG68" s="69" t="str">
        <f t="shared" si="251"/>
        <v/>
      </c>
      <c r="BH68" s="69" t="str">
        <f t="shared" si="154"/>
        <v/>
      </c>
      <c r="BI68" s="69" t="str">
        <f t="shared" si="252"/>
        <v/>
      </c>
      <c r="BJ68" s="69" t="str">
        <f t="shared" si="253"/>
        <v/>
      </c>
      <c r="BK68" s="69" t="str">
        <f t="shared" si="155"/>
        <v/>
      </c>
      <c r="BL68" s="69" t="str">
        <f t="shared" si="254"/>
        <v/>
      </c>
      <c r="BM68" s="69" t="str">
        <f t="shared" si="255"/>
        <v/>
      </c>
      <c r="BN68" s="69" t="str">
        <f t="shared" si="156"/>
        <v/>
      </c>
      <c r="BO68" s="69" t="str">
        <f t="shared" si="256"/>
        <v/>
      </c>
      <c r="BP68" s="69" t="str">
        <f t="shared" si="257"/>
        <v/>
      </c>
      <c r="BQ68" s="69" t="str">
        <f t="shared" si="157"/>
        <v/>
      </c>
      <c r="BR68" s="69" t="str">
        <f t="shared" si="258"/>
        <v/>
      </c>
      <c r="BS68" s="69" t="str">
        <f t="shared" si="259"/>
        <v/>
      </c>
      <c r="BT68" s="69" t="str">
        <f t="shared" si="158"/>
        <v/>
      </c>
      <c r="BU68" s="69" t="str">
        <f t="shared" si="260"/>
        <v/>
      </c>
      <c r="BV68" s="69" t="str">
        <f t="shared" si="261"/>
        <v/>
      </c>
      <c r="BW68" s="69" t="str">
        <f t="shared" si="159"/>
        <v/>
      </c>
      <c r="BX68" s="69" t="str">
        <f t="shared" si="262"/>
        <v/>
      </c>
      <c r="BY68" s="69" t="str">
        <f t="shared" si="263"/>
        <v/>
      </c>
      <c r="BZ68" s="69" t="str">
        <f t="shared" si="160"/>
        <v/>
      </c>
      <c r="CA68" s="69" t="str">
        <f t="shared" si="264"/>
        <v/>
      </c>
      <c r="CB68" s="69" t="str">
        <f t="shared" si="265"/>
        <v/>
      </c>
      <c r="CC68" s="69" t="str">
        <f t="shared" si="161"/>
        <v/>
      </c>
      <c r="CE68" s="69" t="str">
        <f t="shared" si="266"/>
        <v/>
      </c>
      <c r="CF68" s="69" t="str">
        <f t="shared" si="267"/>
        <v/>
      </c>
      <c r="CG68" s="69" t="str">
        <f t="shared" si="162"/>
        <v/>
      </c>
      <c r="CH68" s="69" t="str">
        <f t="shared" si="268"/>
        <v/>
      </c>
      <c r="CI68" s="69" t="str">
        <f t="shared" si="269"/>
        <v/>
      </c>
      <c r="CJ68" s="69" t="str">
        <f t="shared" si="163"/>
        <v/>
      </c>
      <c r="CK68" s="69" t="str">
        <f t="shared" si="270"/>
        <v/>
      </c>
      <c r="CL68" s="69" t="str">
        <f t="shared" si="271"/>
        <v/>
      </c>
      <c r="CM68" s="69" t="str">
        <f t="shared" si="164"/>
        <v/>
      </c>
      <c r="CN68" s="69" t="str">
        <f t="shared" si="272"/>
        <v/>
      </c>
      <c r="CO68" s="69" t="str">
        <f t="shared" si="273"/>
        <v/>
      </c>
      <c r="CP68" s="69" t="str">
        <f t="shared" si="165"/>
        <v/>
      </c>
      <c r="CQ68" s="69" t="str">
        <f t="shared" si="274"/>
        <v/>
      </c>
      <c r="CR68" s="69" t="str">
        <f t="shared" si="275"/>
        <v/>
      </c>
      <c r="CS68" s="69" t="str">
        <f t="shared" si="166"/>
        <v/>
      </c>
      <c r="CT68" s="69" t="str">
        <f t="shared" si="276"/>
        <v/>
      </c>
      <c r="CU68" s="69" t="str">
        <f t="shared" si="277"/>
        <v/>
      </c>
      <c r="CV68" s="69" t="str">
        <f t="shared" si="167"/>
        <v/>
      </c>
      <c r="CW68" s="69" t="str">
        <f t="shared" si="278"/>
        <v/>
      </c>
      <c r="CX68" s="69" t="str">
        <f t="shared" si="279"/>
        <v/>
      </c>
      <c r="CY68" s="69" t="str">
        <f t="shared" si="168"/>
        <v/>
      </c>
      <c r="CZ68" s="69" t="str">
        <f t="shared" si="280"/>
        <v/>
      </c>
      <c r="DA68" s="69" t="str">
        <f t="shared" si="281"/>
        <v/>
      </c>
      <c r="DB68" s="69" t="str">
        <f t="shared" si="169"/>
        <v/>
      </c>
      <c r="DC68" s="69" t="str">
        <f t="shared" si="282"/>
        <v/>
      </c>
      <c r="DD68" s="69" t="str">
        <f t="shared" si="283"/>
        <v/>
      </c>
      <c r="DE68" s="69" t="str">
        <f t="shared" si="170"/>
        <v/>
      </c>
      <c r="DG68" s="69" t="str">
        <f t="shared" si="284"/>
        <v/>
      </c>
      <c r="DH68" s="69" t="str">
        <f t="shared" si="285"/>
        <v/>
      </c>
      <c r="DI68" s="69" t="str">
        <f t="shared" si="171"/>
        <v/>
      </c>
      <c r="DJ68" s="69" t="str">
        <f t="shared" si="286"/>
        <v/>
      </c>
      <c r="DK68" s="69" t="str">
        <f t="shared" si="287"/>
        <v/>
      </c>
      <c r="DL68" s="69" t="str">
        <f t="shared" si="172"/>
        <v/>
      </c>
      <c r="DM68" s="69" t="str">
        <f t="shared" si="288"/>
        <v/>
      </c>
      <c r="DN68" s="69" t="str">
        <f t="shared" si="289"/>
        <v/>
      </c>
      <c r="DO68" s="69" t="str">
        <f t="shared" si="173"/>
        <v/>
      </c>
      <c r="DP68" s="69" t="str">
        <f t="shared" si="290"/>
        <v/>
      </c>
      <c r="DQ68" s="69" t="str">
        <f t="shared" si="291"/>
        <v/>
      </c>
      <c r="DR68" s="69" t="str">
        <f t="shared" si="174"/>
        <v/>
      </c>
      <c r="DS68" s="69" t="str">
        <f t="shared" si="292"/>
        <v/>
      </c>
      <c r="DT68" s="69" t="str">
        <f t="shared" si="293"/>
        <v/>
      </c>
      <c r="DU68" s="69" t="str">
        <f t="shared" si="175"/>
        <v/>
      </c>
      <c r="DV68" s="69" t="str">
        <f t="shared" si="294"/>
        <v/>
      </c>
      <c r="DW68" s="69" t="str">
        <f t="shared" si="295"/>
        <v/>
      </c>
      <c r="DX68" s="69" t="str">
        <f t="shared" si="176"/>
        <v/>
      </c>
      <c r="DY68" s="69" t="str">
        <f t="shared" si="296"/>
        <v/>
      </c>
      <c r="DZ68" s="69" t="str">
        <f t="shared" si="297"/>
        <v/>
      </c>
      <c r="EA68" s="69" t="str">
        <f t="shared" si="177"/>
        <v/>
      </c>
      <c r="EB68" s="69" t="str">
        <f t="shared" si="298"/>
        <v/>
      </c>
      <c r="EC68" s="69" t="str">
        <f t="shared" si="299"/>
        <v/>
      </c>
      <c r="ED68" s="69" t="str">
        <f t="shared" si="178"/>
        <v/>
      </c>
      <c r="EF68" s="69" t="str">
        <f t="shared" si="300"/>
        <v/>
      </c>
      <c r="EG68" s="69" t="str">
        <f t="shared" si="301"/>
        <v/>
      </c>
      <c r="EH68" s="69" t="str">
        <f t="shared" si="179"/>
        <v/>
      </c>
      <c r="EI68" s="69" t="str">
        <f t="shared" si="302"/>
        <v/>
      </c>
      <c r="EJ68" s="69" t="str">
        <f t="shared" si="303"/>
        <v/>
      </c>
      <c r="EK68" s="69" t="str">
        <f t="shared" si="180"/>
        <v/>
      </c>
      <c r="EL68" s="69" t="str">
        <f t="shared" si="304"/>
        <v/>
      </c>
      <c r="EM68" s="69" t="str">
        <f t="shared" si="305"/>
        <v/>
      </c>
      <c r="EN68" s="69" t="str">
        <f t="shared" si="181"/>
        <v/>
      </c>
      <c r="EO68" s="69" t="str">
        <f t="shared" si="306"/>
        <v/>
      </c>
      <c r="EP68" s="69" t="str">
        <f t="shared" si="307"/>
        <v/>
      </c>
      <c r="EQ68" s="69" t="str">
        <f t="shared" si="182"/>
        <v/>
      </c>
      <c r="ER68" s="69" t="str">
        <f t="shared" si="308"/>
        <v/>
      </c>
      <c r="ES68" s="69" t="str">
        <f t="shared" si="309"/>
        <v/>
      </c>
      <c r="ET68" s="69" t="str">
        <f t="shared" si="183"/>
        <v/>
      </c>
      <c r="EU68" s="69" t="str">
        <f t="shared" si="310"/>
        <v/>
      </c>
      <c r="EV68" s="69" t="str">
        <f t="shared" si="311"/>
        <v/>
      </c>
      <c r="EW68" s="69" t="str">
        <f t="shared" si="184"/>
        <v/>
      </c>
      <c r="EX68" s="69" t="str">
        <f t="shared" si="312"/>
        <v/>
      </c>
      <c r="EY68" s="69" t="str">
        <f t="shared" si="313"/>
        <v/>
      </c>
      <c r="EZ68" s="69" t="str">
        <f t="shared" si="185"/>
        <v/>
      </c>
      <c r="FB68" s="69" t="str">
        <f t="shared" si="314"/>
        <v/>
      </c>
      <c r="FC68" s="69" t="str">
        <f t="shared" si="315"/>
        <v/>
      </c>
      <c r="FD68" s="69" t="str">
        <f t="shared" si="186"/>
        <v/>
      </c>
      <c r="FE68" s="69" t="str">
        <f t="shared" si="316"/>
        <v/>
      </c>
      <c r="FF68" s="69" t="str">
        <f t="shared" si="317"/>
        <v/>
      </c>
      <c r="FG68" s="69" t="str">
        <f t="shared" si="187"/>
        <v/>
      </c>
      <c r="FH68" s="69" t="str">
        <f t="shared" si="318"/>
        <v/>
      </c>
      <c r="FI68" s="69" t="str">
        <f t="shared" si="319"/>
        <v/>
      </c>
      <c r="FJ68" s="69" t="str">
        <f t="shared" si="188"/>
        <v/>
      </c>
      <c r="FK68" s="69" t="str">
        <f t="shared" si="320"/>
        <v/>
      </c>
      <c r="FL68" s="69" t="str">
        <f t="shared" si="321"/>
        <v/>
      </c>
      <c r="FM68" s="69" t="str">
        <f t="shared" si="189"/>
        <v/>
      </c>
      <c r="FN68" s="69" t="str">
        <f t="shared" si="322"/>
        <v/>
      </c>
      <c r="FO68" s="69" t="str">
        <f t="shared" si="323"/>
        <v/>
      </c>
      <c r="FP68" s="69" t="str">
        <f t="shared" si="190"/>
        <v/>
      </c>
      <c r="FQ68" s="69" t="str">
        <f t="shared" si="324"/>
        <v/>
      </c>
      <c r="FR68" s="69" t="str">
        <f t="shared" si="325"/>
        <v/>
      </c>
      <c r="FS68" s="69" t="str">
        <f t="shared" si="191"/>
        <v/>
      </c>
      <c r="FU68" s="69" t="str">
        <f t="shared" si="326"/>
        <v/>
      </c>
      <c r="FV68" s="69" t="str">
        <f t="shared" si="327"/>
        <v/>
      </c>
      <c r="FW68" s="69" t="str">
        <f t="shared" si="192"/>
        <v/>
      </c>
      <c r="FX68" s="69" t="str">
        <f t="shared" si="328"/>
        <v/>
      </c>
      <c r="FY68" s="69" t="str">
        <f t="shared" si="329"/>
        <v/>
      </c>
      <c r="FZ68" s="69" t="str">
        <f t="shared" si="193"/>
        <v/>
      </c>
      <c r="GA68" s="69" t="str">
        <f t="shared" si="330"/>
        <v/>
      </c>
      <c r="GB68" s="69" t="str">
        <f t="shared" si="331"/>
        <v/>
      </c>
      <c r="GC68" s="69" t="str">
        <f t="shared" si="194"/>
        <v/>
      </c>
      <c r="GD68" s="69" t="str">
        <f t="shared" si="332"/>
        <v/>
      </c>
      <c r="GE68" s="69" t="str">
        <f t="shared" si="333"/>
        <v/>
      </c>
      <c r="GF68" s="69" t="str">
        <f t="shared" si="195"/>
        <v/>
      </c>
      <c r="GG68" s="69" t="str">
        <f t="shared" si="334"/>
        <v/>
      </c>
      <c r="GH68" s="69" t="str">
        <f t="shared" si="335"/>
        <v/>
      </c>
      <c r="GI68" s="69" t="str">
        <f t="shared" si="196"/>
        <v/>
      </c>
      <c r="GK68" s="69" t="str">
        <f t="shared" si="336"/>
        <v/>
      </c>
      <c r="GL68" s="69" t="str">
        <f t="shared" si="337"/>
        <v/>
      </c>
      <c r="GM68" s="69" t="str">
        <f t="shared" si="197"/>
        <v/>
      </c>
      <c r="GN68" s="69" t="str">
        <f t="shared" si="338"/>
        <v/>
      </c>
      <c r="GO68" s="69" t="str">
        <f t="shared" si="339"/>
        <v/>
      </c>
      <c r="GP68" s="69" t="str">
        <f t="shared" si="198"/>
        <v/>
      </c>
      <c r="GQ68" s="69" t="str">
        <f t="shared" si="340"/>
        <v/>
      </c>
      <c r="GR68" s="69" t="str">
        <f t="shared" si="341"/>
        <v/>
      </c>
      <c r="GS68" s="69" t="str">
        <f t="shared" si="199"/>
        <v/>
      </c>
      <c r="GT68" s="69" t="str">
        <f t="shared" si="342"/>
        <v/>
      </c>
      <c r="GU68" s="69" t="str">
        <f t="shared" si="343"/>
        <v/>
      </c>
      <c r="GV68" s="69" t="str">
        <f t="shared" si="200"/>
        <v/>
      </c>
      <c r="GX68" s="69" t="str">
        <f t="shared" si="201"/>
        <v/>
      </c>
      <c r="GY68" s="69" t="str">
        <f t="shared" si="202"/>
        <v/>
      </c>
      <c r="GZ68" s="69" t="str">
        <f t="shared" si="203"/>
        <v/>
      </c>
      <c r="HA68" s="69" t="str">
        <f t="shared" si="204"/>
        <v/>
      </c>
      <c r="HB68" s="69" t="str">
        <f t="shared" si="205"/>
        <v/>
      </c>
      <c r="HC68" s="69" t="str">
        <f t="shared" si="206"/>
        <v/>
      </c>
      <c r="HD68" s="69" t="str">
        <f t="shared" si="207"/>
        <v/>
      </c>
      <c r="HE68" s="69" t="str">
        <f t="shared" si="208"/>
        <v/>
      </c>
      <c r="HF68" s="69" t="str">
        <f t="shared" si="209"/>
        <v/>
      </c>
      <c r="HH68" s="69" t="str">
        <f t="shared" si="210"/>
        <v/>
      </c>
      <c r="HI68" s="69" t="str">
        <f t="shared" si="211"/>
        <v/>
      </c>
      <c r="HJ68" s="69" t="str">
        <f t="shared" si="212"/>
        <v/>
      </c>
      <c r="HK68" s="69" t="str">
        <f t="shared" si="213"/>
        <v/>
      </c>
      <c r="HL68" s="69" t="str">
        <f t="shared" si="214"/>
        <v/>
      </c>
      <c r="HM68" s="69" t="str">
        <f t="shared" si="215"/>
        <v/>
      </c>
      <c r="HO68" s="69" t="str">
        <f t="shared" si="216"/>
        <v/>
      </c>
      <c r="HP68" s="69" t="str">
        <f t="shared" si="217"/>
        <v/>
      </c>
      <c r="HQ68" s="69" t="str">
        <f t="shared" si="218"/>
        <v/>
      </c>
      <c r="HS68" s="69" t="str">
        <f t="shared" si="344"/>
        <v/>
      </c>
      <c r="HT68" s="69" t="str">
        <f t="shared" si="345"/>
        <v/>
      </c>
      <c r="HU68" s="69" t="str">
        <f t="shared" si="219"/>
        <v/>
      </c>
      <c r="HV68" s="69" t="str">
        <f t="shared" si="346"/>
        <v/>
      </c>
      <c r="HW68" s="69" t="str">
        <f t="shared" si="347"/>
        <v/>
      </c>
      <c r="HX68" s="69" t="str">
        <f t="shared" si="220"/>
        <v/>
      </c>
      <c r="HY68" s="69" t="str">
        <f t="shared" si="348"/>
        <v/>
      </c>
      <c r="HZ68" s="69" t="str">
        <f t="shared" si="349"/>
        <v/>
      </c>
      <c r="IA68" s="69" t="str">
        <f t="shared" si="221"/>
        <v/>
      </c>
      <c r="IB68" s="69" t="str">
        <f t="shared" si="350"/>
        <v/>
      </c>
      <c r="IC68" s="69" t="str">
        <f t="shared" si="351"/>
        <v/>
      </c>
      <c r="ID68" s="69" t="str">
        <f t="shared" si="222"/>
        <v/>
      </c>
      <c r="IE68" s="69" t="str">
        <f t="shared" si="352"/>
        <v/>
      </c>
      <c r="IF68" s="69" t="str">
        <f t="shared" si="353"/>
        <v/>
      </c>
      <c r="IG68" s="69" t="str">
        <f t="shared" si="223"/>
        <v/>
      </c>
      <c r="IH68" s="69" t="str">
        <f t="shared" si="354"/>
        <v/>
      </c>
      <c r="II68" s="69" t="str">
        <f t="shared" si="355"/>
        <v/>
      </c>
      <c r="IJ68" s="69" t="str">
        <f t="shared" si="224"/>
        <v/>
      </c>
      <c r="IK68" s="69" t="str">
        <f t="shared" si="356"/>
        <v/>
      </c>
      <c r="IL68" s="69" t="str">
        <f t="shared" si="357"/>
        <v/>
      </c>
      <c r="IM68" s="69" t="str">
        <f t="shared" si="225"/>
        <v/>
      </c>
      <c r="IN68" s="69" t="str">
        <f t="shared" si="226"/>
        <v/>
      </c>
      <c r="IO68" s="69" t="str">
        <f t="shared" si="227"/>
        <v/>
      </c>
      <c r="IP68" s="69" t="str">
        <f t="shared" si="228"/>
        <v/>
      </c>
      <c r="IQ68" s="69" t="str">
        <f t="shared" si="229"/>
        <v/>
      </c>
      <c r="IR68" s="69" t="str">
        <f t="shared" si="230"/>
        <v/>
      </c>
      <c r="IS68" s="69" t="str">
        <f t="shared" si="231"/>
        <v/>
      </c>
      <c r="IT68" s="69" t="str">
        <f t="shared" si="232"/>
        <v/>
      </c>
      <c r="IU68" s="69" t="str">
        <f t="shared" si="233"/>
        <v/>
      </c>
      <c r="IV68" s="69" t="str">
        <f t="shared" si="234"/>
        <v/>
      </c>
    </row>
    <row r="69" spans="1:256" x14ac:dyDescent="0.2">
      <c r="A69" s="57" t="s">
        <v>72</v>
      </c>
      <c r="B69" s="184"/>
      <c r="C69" s="179"/>
      <c r="D69" s="179"/>
      <c r="E69" s="179"/>
      <c r="F69" s="179"/>
      <c r="G69" s="180"/>
      <c r="H69" s="180"/>
      <c r="I69" s="181"/>
      <c r="J69" s="182"/>
      <c r="K69" s="183"/>
      <c r="L69" s="68">
        <f t="shared" si="237"/>
        <v>0</v>
      </c>
      <c r="M69" s="69" t="str">
        <f t="shared" si="238"/>
        <v/>
      </c>
      <c r="N69" s="69" t="str">
        <f t="shared" si="358"/>
        <v/>
      </c>
      <c r="O69" s="69" t="str">
        <f t="shared" si="122"/>
        <v/>
      </c>
      <c r="P69" s="69" t="str">
        <f t="shared" si="359"/>
        <v/>
      </c>
      <c r="Q69" s="70" t="str">
        <f t="shared" si="239"/>
        <v/>
      </c>
      <c r="R69" s="71" t="str">
        <f t="shared" si="124"/>
        <v/>
      </c>
      <c r="S69" s="71" t="str">
        <f t="shared" si="125"/>
        <v/>
      </c>
      <c r="T69" s="70" t="str">
        <f t="shared" si="240"/>
        <v/>
      </c>
      <c r="U69" s="71" t="str">
        <f t="shared" si="126"/>
        <v/>
      </c>
      <c r="V69" s="71" t="str">
        <f t="shared" si="127"/>
        <v/>
      </c>
      <c r="W69" s="70" t="str">
        <f t="shared" si="241"/>
        <v/>
      </c>
      <c r="X69" s="71" t="str">
        <f t="shared" si="128"/>
        <v/>
      </c>
      <c r="Y69" s="71" t="str">
        <f t="shared" si="129"/>
        <v/>
      </c>
      <c r="Z69" s="70" t="str">
        <f t="shared" si="242"/>
        <v/>
      </c>
      <c r="AA69" s="71" t="str">
        <f t="shared" si="130"/>
        <v/>
      </c>
      <c r="AB69" s="71" t="str">
        <f t="shared" si="131"/>
        <v/>
      </c>
      <c r="AC69" s="70" t="str">
        <f t="shared" si="243"/>
        <v/>
      </c>
      <c r="AD69" s="71" t="str">
        <f t="shared" si="132"/>
        <v/>
      </c>
      <c r="AE69" s="71" t="str">
        <f t="shared" si="133"/>
        <v/>
      </c>
      <c r="AF69" s="70" t="str">
        <f t="shared" si="244"/>
        <v/>
      </c>
      <c r="AG69" s="71" t="str">
        <f t="shared" si="134"/>
        <v/>
      </c>
      <c r="AH69" s="71" t="str">
        <f t="shared" si="135"/>
        <v/>
      </c>
      <c r="AI69" s="70" t="str">
        <f t="shared" si="245"/>
        <v/>
      </c>
      <c r="AJ69" s="71" t="str">
        <f t="shared" si="136"/>
        <v/>
      </c>
      <c r="AK69" s="71" t="str">
        <f t="shared" si="137"/>
        <v/>
      </c>
      <c r="AL69" s="70" t="str">
        <f t="shared" si="138"/>
        <v/>
      </c>
      <c r="AM69" s="71" t="str">
        <f t="shared" si="139"/>
        <v/>
      </c>
      <c r="AN69" s="71" t="str">
        <f t="shared" si="140"/>
        <v/>
      </c>
      <c r="AO69" s="70" t="str">
        <f t="shared" si="141"/>
        <v/>
      </c>
      <c r="AP69" s="71" t="str">
        <f t="shared" si="142"/>
        <v/>
      </c>
      <c r="AQ69" s="71" t="str">
        <f t="shared" si="143"/>
        <v/>
      </c>
      <c r="AR69" s="70" t="str">
        <f t="shared" si="144"/>
        <v/>
      </c>
      <c r="AS69" s="71" t="str">
        <f t="shared" si="145"/>
        <v/>
      </c>
      <c r="AT69" s="71" t="str">
        <f t="shared" si="146"/>
        <v/>
      </c>
      <c r="AU69" s="69" t="str">
        <f t="shared" si="147"/>
        <v/>
      </c>
      <c r="AV69" s="131" t="str">
        <f t="shared" si="148"/>
        <v/>
      </c>
      <c r="AW69" s="69" t="str">
        <f t="shared" si="236"/>
        <v/>
      </c>
      <c r="AX69" s="132" t="str">
        <f t="shared" si="150"/>
        <v/>
      </c>
      <c r="AY69" s="132" t="str">
        <f t="shared" si="151"/>
        <v/>
      </c>
      <c r="AZ69" s="69" t="str">
        <f t="shared" si="246"/>
        <v/>
      </c>
      <c r="BA69" s="69" t="str">
        <f t="shared" si="247"/>
        <v/>
      </c>
      <c r="BB69" s="69" t="str">
        <f t="shared" si="152"/>
        <v/>
      </c>
      <c r="BC69" s="69" t="str">
        <f t="shared" si="248"/>
        <v/>
      </c>
      <c r="BD69" s="69" t="str">
        <f t="shared" si="249"/>
        <v/>
      </c>
      <c r="BE69" s="69" t="str">
        <f t="shared" si="153"/>
        <v/>
      </c>
      <c r="BF69" s="69" t="str">
        <f t="shared" si="250"/>
        <v/>
      </c>
      <c r="BG69" s="69" t="str">
        <f t="shared" si="251"/>
        <v/>
      </c>
      <c r="BH69" s="69" t="str">
        <f t="shared" si="154"/>
        <v/>
      </c>
      <c r="BI69" s="69" t="str">
        <f t="shared" si="252"/>
        <v/>
      </c>
      <c r="BJ69" s="69" t="str">
        <f t="shared" si="253"/>
        <v/>
      </c>
      <c r="BK69" s="69" t="str">
        <f t="shared" si="155"/>
        <v/>
      </c>
      <c r="BL69" s="69" t="str">
        <f t="shared" si="254"/>
        <v/>
      </c>
      <c r="BM69" s="69" t="str">
        <f t="shared" si="255"/>
        <v/>
      </c>
      <c r="BN69" s="69" t="str">
        <f t="shared" si="156"/>
        <v/>
      </c>
      <c r="BO69" s="69" t="str">
        <f t="shared" si="256"/>
        <v/>
      </c>
      <c r="BP69" s="69" t="str">
        <f t="shared" si="257"/>
        <v/>
      </c>
      <c r="BQ69" s="69" t="str">
        <f t="shared" si="157"/>
        <v/>
      </c>
      <c r="BR69" s="69" t="str">
        <f t="shared" si="258"/>
        <v/>
      </c>
      <c r="BS69" s="69" t="str">
        <f t="shared" si="259"/>
        <v/>
      </c>
      <c r="BT69" s="69" t="str">
        <f t="shared" si="158"/>
        <v/>
      </c>
      <c r="BU69" s="69" t="str">
        <f t="shared" si="260"/>
        <v/>
      </c>
      <c r="BV69" s="69" t="str">
        <f t="shared" si="261"/>
        <v/>
      </c>
      <c r="BW69" s="69" t="str">
        <f t="shared" si="159"/>
        <v/>
      </c>
      <c r="BX69" s="69" t="str">
        <f t="shared" si="262"/>
        <v/>
      </c>
      <c r="BY69" s="69" t="str">
        <f t="shared" si="263"/>
        <v/>
      </c>
      <c r="BZ69" s="69" t="str">
        <f t="shared" si="160"/>
        <v/>
      </c>
      <c r="CA69" s="69" t="str">
        <f t="shared" si="264"/>
        <v/>
      </c>
      <c r="CB69" s="69" t="str">
        <f t="shared" si="265"/>
        <v/>
      </c>
      <c r="CC69" s="69" t="str">
        <f t="shared" si="161"/>
        <v/>
      </c>
      <c r="CE69" s="69" t="str">
        <f t="shared" si="266"/>
        <v/>
      </c>
      <c r="CF69" s="69" t="str">
        <f t="shared" si="267"/>
        <v/>
      </c>
      <c r="CG69" s="69" t="str">
        <f t="shared" si="162"/>
        <v/>
      </c>
      <c r="CH69" s="69" t="str">
        <f t="shared" si="268"/>
        <v/>
      </c>
      <c r="CI69" s="69" t="str">
        <f t="shared" si="269"/>
        <v/>
      </c>
      <c r="CJ69" s="69" t="str">
        <f t="shared" si="163"/>
        <v/>
      </c>
      <c r="CK69" s="69" t="str">
        <f t="shared" si="270"/>
        <v/>
      </c>
      <c r="CL69" s="69" t="str">
        <f t="shared" si="271"/>
        <v/>
      </c>
      <c r="CM69" s="69" t="str">
        <f t="shared" si="164"/>
        <v/>
      </c>
      <c r="CN69" s="69" t="str">
        <f t="shared" si="272"/>
        <v/>
      </c>
      <c r="CO69" s="69" t="str">
        <f t="shared" si="273"/>
        <v/>
      </c>
      <c r="CP69" s="69" t="str">
        <f t="shared" si="165"/>
        <v/>
      </c>
      <c r="CQ69" s="69" t="str">
        <f t="shared" si="274"/>
        <v/>
      </c>
      <c r="CR69" s="69" t="str">
        <f t="shared" si="275"/>
        <v/>
      </c>
      <c r="CS69" s="69" t="str">
        <f t="shared" si="166"/>
        <v/>
      </c>
      <c r="CT69" s="69" t="str">
        <f t="shared" si="276"/>
        <v/>
      </c>
      <c r="CU69" s="69" t="str">
        <f t="shared" si="277"/>
        <v/>
      </c>
      <c r="CV69" s="69" t="str">
        <f t="shared" si="167"/>
        <v/>
      </c>
      <c r="CW69" s="69" t="str">
        <f t="shared" si="278"/>
        <v/>
      </c>
      <c r="CX69" s="69" t="str">
        <f t="shared" si="279"/>
        <v/>
      </c>
      <c r="CY69" s="69" t="str">
        <f t="shared" si="168"/>
        <v/>
      </c>
      <c r="CZ69" s="69" t="str">
        <f t="shared" si="280"/>
        <v/>
      </c>
      <c r="DA69" s="69" t="str">
        <f t="shared" si="281"/>
        <v/>
      </c>
      <c r="DB69" s="69" t="str">
        <f t="shared" si="169"/>
        <v/>
      </c>
      <c r="DC69" s="69" t="str">
        <f t="shared" si="282"/>
        <v/>
      </c>
      <c r="DD69" s="69" t="str">
        <f t="shared" si="283"/>
        <v/>
      </c>
      <c r="DE69" s="69" t="str">
        <f t="shared" si="170"/>
        <v/>
      </c>
      <c r="DG69" s="69" t="str">
        <f t="shared" si="284"/>
        <v/>
      </c>
      <c r="DH69" s="69" t="str">
        <f t="shared" si="285"/>
        <v/>
      </c>
      <c r="DI69" s="69" t="str">
        <f t="shared" si="171"/>
        <v/>
      </c>
      <c r="DJ69" s="69" t="str">
        <f t="shared" si="286"/>
        <v/>
      </c>
      <c r="DK69" s="69" t="str">
        <f t="shared" si="287"/>
        <v/>
      </c>
      <c r="DL69" s="69" t="str">
        <f t="shared" si="172"/>
        <v/>
      </c>
      <c r="DM69" s="69" t="str">
        <f t="shared" si="288"/>
        <v/>
      </c>
      <c r="DN69" s="69" t="str">
        <f t="shared" si="289"/>
        <v/>
      </c>
      <c r="DO69" s="69" t="str">
        <f t="shared" si="173"/>
        <v/>
      </c>
      <c r="DP69" s="69" t="str">
        <f t="shared" si="290"/>
        <v/>
      </c>
      <c r="DQ69" s="69" t="str">
        <f t="shared" si="291"/>
        <v/>
      </c>
      <c r="DR69" s="69" t="str">
        <f t="shared" si="174"/>
        <v/>
      </c>
      <c r="DS69" s="69" t="str">
        <f t="shared" si="292"/>
        <v/>
      </c>
      <c r="DT69" s="69" t="str">
        <f t="shared" si="293"/>
        <v/>
      </c>
      <c r="DU69" s="69" t="str">
        <f t="shared" si="175"/>
        <v/>
      </c>
      <c r="DV69" s="69" t="str">
        <f t="shared" si="294"/>
        <v/>
      </c>
      <c r="DW69" s="69" t="str">
        <f t="shared" si="295"/>
        <v/>
      </c>
      <c r="DX69" s="69" t="str">
        <f t="shared" si="176"/>
        <v/>
      </c>
      <c r="DY69" s="69" t="str">
        <f t="shared" si="296"/>
        <v/>
      </c>
      <c r="DZ69" s="69" t="str">
        <f t="shared" si="297"/>
        <v/>
      </c>
      <c r="EA69" s="69" t="str">
        <f t="shared" si="177"/>
        <v/>
      </c>
      <c r="EB69" s="69" t="str">
        <f t="shared" si="298"/>
        <v/>
      </c>
      <c r="EC69" s="69" t="str">
        <f t="shared" si="299"/>
        <v/>
      </c>
      <c r="ED69" s="69" t="str">
        <f t="shared" si="178"/>
        <v/>
      </c>
      <c r="EF69" s="69" t="str">
        <f t="shared" si="300"/>
        <v/>
      </c>
      <c r="EG69" s="69" t="str">
        <f t="shared" si="301"/>
        <v/>
      </c>
      <c r="EH69" s="69" t="str">
        <f t="shared" si="179"/>
        <v/>
      </c>
      <c r="EI69" s="69" t="str">
        <f t="shared" si="302"/>
        <v/>
      </c>
      <c r="EJ69" s="69" t="str">
        <f t="shared" si="303"/>
        <v/>
      </c>
      <c r="EK69" s="69" t="str">
        <f t="shared" si="180"/>
        <v/>
      </c>
      <c r="EL69" s="69" t="str">
        <f t="shared" si="304"/>
        <v/>
      </c>
      <c r="EM69" s="69" t="str">
        <f t="shared" si="305"/>
        <v/>
      </c>
      <c r="EN69" s="69" t="str">
        <f t="shared" si="181"/>
        <v/>
      </c>
      <c r="EO69" s="69" t="str">
        <f t="shared" si="306"/>
        <v/>
      </c>
      <c r="EP69" s="69" t="str">
        <f t="shared" si="307"/>
        <v/>
      </c>
      <c r="EQ69" s="69" t="str">
        <f t="shared" si="182"/>
        <v/>
      </c>
      <c r="ER69" s="69" t="str">
        <f t="shared" si="308"/>
        <v/>
      </c>
      <c r="ES69" s="69" t="str">
        <f t="shared" si="309"/>
        <v/>
      </c>
      <c r="ET69" s="69" t="str">
        <f t="shared" si="183"/>
        <v/>
      </c>
      <c r="EU69" s="69" t="str">
        <f t="shared" si="310"/>
        <v/>
      </c>
      <c r="EV69" s="69" t="str">
        <f t="shared" si="311"/>
        <v/>
      </c>
      <c r="EW69" s="69" t="str">
        <f t="shared" si="184"/>
        <v/>
      </c>
      <c r="EX69" s="69" t="str">
        <f t="shared" si="312"/>
        <v/>
      </c>
      <c r="EY69" s="69" t="str">
        <f t="shared" si="313"/>
        <v/>
      </c>
      <c r="EZ69" s="69" t="str">
        <f t="shared" si="185"/>
        <v/>
      </c>
      <c r="FB69" s="69" t="str">
        <f t="shared" si="314"/>
        <v/>
      </c>
      <c r="FC69" s="69" t="str">
        <f t="shared" si="315"/>
        <v/>
      </c>
      <c r="FD69" s="69" t="str">
        <f t="shared" si="186"/>
        <v/>
      </c>
      <c r="FE69" s="69" t="str">
        <f t="shared" si="316"/>
        <v/>
      </c>
      <c r="FF69" s="69" t="str">
        <f t="shared" si="317"/>
        <v/>
      </c>
      <c r="FG69" s="69" t="str">
        <f t="shared" si="187"/>
        <v/>
      </c>
      <c r="FH69" s="69" t="str">
        <f t="shared" si="318"/>
        <v/>
      </c>
      <c r="FI69" s="69" t="str">
        <f t="shared" si="319"/>
        <v/>
      </c>
      <c r="FJ69" s="69" t="str">
        <f t="shared" si="188"/>
        <v/>
      </c>
      <c r="FK69" s="69" t="str">
        <f t="shared" si="320"/>
        <v/>
      </c>
      <c r="FL69" s="69" t="str">
        <f t="shared" si="321"/>
        <v/>
      </c>
      <c r="FM69" s="69" t="str">
        <f t="shared" si="189"/>
        <v/>
      </c>
      <c r="FN69" s="69" t="str">
        <f t="shared" si="322"/>
        <v/>
      </c>
      <c r="FO69" s="69" t="str">
        <f t="shared" si="323"/>
        <v/>
      </c>
      <c r="FP69" s="69" t="str">
        <f t="shared" si="190"/>
        <v/>
      </c>
      <c r="FQ69" s="69" t="str">
        <f t="shared" si="324"/>
        <v/>
      </c>
      <c r="FR69" s="69" t="str">
        <f t="shared" si="325"/>
        <v/>
      </c>
      <c r="FS69" s="69" t="str">
        <f t="shared" si="191"/>
        <v/>
      </c>
      <c r="FU69" s="69" t="str">
        <f t="shared" si="326"/>
        <v/>
      </c>
      <c r="FV69" s="69" t="str">
        <f t="shared" si="327"/>
        <v/>
      </c>
      <c r="FW69" s="69" t="str">
        <f t="shared" si="192"/>
        <v/>
      </c>
      <c r="FX69" s="69" t="str">
        <f t="shared" si="328"/>
        <v/>
      </c>
      <c r="FY69" s="69" t="str">
        <f t="shared" si="329"/>
        <v/>
      </c>
      <c r="FZ69" s="69" t="str">
        <f t="shared" si="193"/>
        <v/>
      </c>
      <c r="GA69" s="69" t="str">
        <f t="shared" si="330"/>
        <v/>
      </c>
      <c r="GB69" s="69" t="str">
        <f t="shared" si="331"/>
        <v/>
      </c>
      <c r="GC69" s="69" t="str">
        <f t="shared" si="194"/>
        <v/>
      </c>
      <c r="GD69" s="69" t="str">
        <f t="shared" si="332"/>
        <v/>
      </c>
      <c r="GE69" s="69" t="str">
        <f t="shared" si="333"/>
        <v/>
      </c>
      <c r="GF69" s="69" t="str">
        <f t="shared" si="195"/>
        <v/>
      </c>
      <c r="GG69" s="69" t="str">
        <f t="shared" si="334"/>
        <v/>
      </c>
      <c r="GH69" s="69" t="str">
        <f t="shared" si="335"/>
        <v/>
      </c>
      <c r="GI69" s="69" t="str">
        <f t="shared" si="196"/>
        <v/>
      </c>
      <c r="GK69" s="69" t="str">
        <f t="shared" si="336"/>
        <v/>
      </c>
      <c r="GL69" s="69" t="str">
        <f t="shared" si="337"/>
        <v/>
      </c>
      <c r="GM69" s="69" t="str">
        <f t="shared" si="197"/>
        <v/>
      </c>
      <c r="GN69" s="69" t="str">
        <f t="shared" si="338"/>
        <v/>
      </c>
      <c r="GO69" s="69" t="str">
        <f t="shared" si="339"/>
        <v/>
      </c>
      <c r="GP69" s="69" t="str">
        <f t="shared" si="198"/>
        <v/>
      </c>
      <c r="GQ69" s="69" t="str">
        <f t="shared" si="340"/>
        <v/>
      </c>
      <c r="GR69" s="69" t="str">
        <f t="shared" si="341"/>
        <v/>
      </c>
      <c r="GS69" s="69" t="str">
        <f t="shared" si="199"/>
        <v/>
      </c>
      <c r="GT69" s="69" t="str">
        <f t="shared" si="342"/>
        <v/>
      </c>
      <c r="GU69" s="69" t="str">
        <f t="shared" si="343"/>
        <v/>
      </c>
      <c r="GV69" s="69" t="str">
        <f t="shared" si="200"/>
        <v/>
      </c>
      <c r="GX69" s="69" t="str">
        <f t="shared" si="201"/>
        <v/>
      </c>
      <c r="GY69" s="69" t="str">
        <f t="shared" si="202"/>
        <v/>
      </c>
      <c r="GZ69" s="69" t="str">
        <f t="shared" si="203"/>
        <v/>
      </c>
      <c r="HA69" s="69" t="str">
        <f t="shared" si="204"/>
        <v/>
      </c>
      <c r="HB69" s="69" t="str">
        <f t="shared" si="205"/>
        <v/>
      </c>
      <c r="HC69" s="69" t="str">
        <f t="shared" si="206"/>
        <v/>
      </c>
      <c r="HD69" s="69" t="str">
        <f t="shared" si="207"/>
        <v/>
      </c>
      <c r="HE69" s="69" t="str">
        <f t="shared" si="208"/>
        <v/>
      </c>
      <c r="HF69" s="69" t="str">
        <f t="shared" si="209"/>
        <v/>
      </c>
      <c r="HH69" s="69" t="str">
        <f t="shared" si="210"/>
        <v/>
      </c>
      <c r="HI69" s="69" t="str">
        <f t="shared" si="211"/>
        <v/>
      </c>
      <c r="HJ69" s="69" t="str">
        <f t="shared" si="212"/>
        <v/>
      </c>
      <c r="HK69" s="69" t="str">
        <f t="shared" si="213"/>
        <v/>
      </c>
      <c r="HL69" s="69" t="str">
        <f t="shared" si="214"/>
        <v/>
      </c>
      <c r="HM69" s="69" t="str">
        <f t="shared" si="215"/>
        <v/>
      </c>
      <c r="HO69" s="69" t="str">
        <f t="shared" si="216"/>
        <v/>
      </c>
      <c r="HP69" s="69" t="str">
        <f t="shared" si="217"/>
        <v/>
      </c>
      <c r="HQ69" s="69" t="str">
        <f t="shared" si="218"/>
        <v/>
      </c>
      <c r="HS69" s="69" t="str">
        <f t="shared" si="344"/>
        <v/>
      </c>
      <c r="HT69" s="69" t="str">
        <f t="shared" si="345"/>
        <v/>
      </c>
      <c r="HU69" s="69" t="str">
        <f t="shared" si="219"/>
        <v/>
      </c>
      <c r="HV69" s="69" t="str">
        <f t="shared" si="346"/>
        <v/>
      </c>
      <c r="HW69" s="69" t="str">
        <f t="shared" si="347"/>
        <v/>
      </c>
      <c r="HX69" s="69" t="str">
        <f t="shared" si="220"/>
        <v/>
      </c>
      <c r="HY69" s="69" t="str">
        <f t="shared" si="348"/>
        <v/>
      </c>
      <c r="HZ69" s="69" t="str">
        <f t="shared" si="349"/>
        <v/>
      </c>
      <c r="IA69" s="69" t="str">
        <f t="shared" si="221"/>
        <v/>
      </c>
      <c r="IB69" s="69" t="str">
        <f t="shared" si="350"/>
        <v/>
      </c>
      <c r="IC69" s="69" t="str">
        <f t="shared" si="351"/>
        <v/>
      </c>
      <c r="ID69" s="69" t="str">
        <f t="shared" si="222"/>
        <v/>
      </c>
      <c r="IE69" s="69" t="str">
        <f t="shared" si="352"/>
        <v/>
      </c>
      <c r="IF69" s="69" t="str">
        <f t="shared" si="353"/>
        <v/>
      </c>
      <c r="IG69" s="69" t="str">
        <f t="shared" si="223"/>
        <v/>
      </c>
      <c r="IH69" s="69" t="str">
        <f t="shared" si="354"/>
        <v/>
      </c>
      <c r="II69" s="69" t="str">
        <f t="shared" si="355"/>
        <v/>
      </c>
      <c r="IJ69" s="69" t="str">
        <f t="shared" si="224"/>
        <v/>
      </c>
      <c r="IK69" s="69" t="str">
        <f t="shared" si="356"/>
        <v/>
      </c>
      <c r="IL69" s="69" t="str">
        <f t="shared" si="357"/>
        <v/>
      </c>
      <c r="IM69" s="69" t="str">
        <f t="shared" si="225"/>
        <v/>
      </c>
      <c r="IN69" s="69" t="str">
        <f t="shared" si="226"/>
        <v/>
      </c>
      <c r="IO69" s="69" t="str">
        <f t="shared" si="227"/>
        <v/>
      </c>
      <c r="IP69" s="69" t="str">
        <f t="shared" si="228"/>
        <v/>
      </c>
      <c r="IQ69" s="69" t="str">
        <f t="shared" si="229"/>
        <v/>
      </c>
      <c r="IR69" s="69" t="str">
        <f t="shared" si="230"/>
        <v/>
      </c>
      <c r="IS69" s="69" t="str">
        <f t="shared" si="231"/>
        <v/>
      </c>
      <c r="IT69" s="69" t="str">
        <f t="shared" si="232"/>
        <v/>
      </c>
      <c r="IU69" s="69" t="str">
        <f t="shared" si="233"/>
        <v/>
      </c>
      <c r="IV69" s="69" t="str">
        <f t="shared" si="234"/>
        <v/>
      </c>
    </row>
    <row r="70" spans="1:256" x14ac:dyDescent="0.2">
      <c r="A70" s="57" t="s">
        <v>73</v>
      </c>
      <c r="B70" s="184"/>
      <c r="C70" s="179"/>
      <c r="D70" s="179"/>
      <c r="E70" s="179"/>
      <c r="F70" s="179"/>
      <c r="G70" s="180"/>
      <c r="H70" s="180"/>
      <c r="I70" s="181"/>
      <c r="J70" s="182"/>
      <c r="K70" s="183"/>
      <c r="L70" s="68">
        <f t="shared" ref="L70:L89" si="360">COUNT(B70:K70)</f>
        <v>0</v>
      </c>
      <c r="M70" s="69" t="str">
        <f t="shared" ref="M70:M89" si="361">IF(L70&gt;0,GEOMEAN(B70:K70),"")</f>
        <v/>
      </c>
      <c r="N70" s="69" t="str">
        <f t="shared" si="358"/>
        <v/>
      </c>
      <c r="O70" s="69" t="str">
        <f t="shared" si="122"/>
        <v/>
      </c>
      <c r="P70" s="69" t="str">
        <f t="shared" si="359"/>
        <v/>
      </c>
      <c r="Q70" s="70" t="str">
        <f t="shared" ref="Q70:Q89" si="362">IF((L70&gt;0)*AND(B$109&gt;0),B70,"")</f>
        <v/>
      </c>
      <c r="R70" s="71" t="str">
        <f t="shared" si="124"/>
        <v/>
      </c>
      <c r="S70" s="71" t="str">
        <f t="shared" si="125"/>
        <v/>
      </c>
      <c r="T70" s="70" t="str">
        <f t="shared" ref="T70:T89" si="363">IF((L70&gt;0)*AND(C$109&gt;0),C70,"")</f>
        <v/>
      </c>
      <c r="U70" s="71" t="str">
        <f t="shared" si="126"/>
        <v/>
      </c>
      <c r="V70" s="71" t="str">
        <f t="shared" si="127"/>
        <v/>
      </c>
      <c r="W70" s="70" t="str">
        <f t="shared" ref="W70:W89" si="364">IF((L70&gt;0)*AND(D$109&gt;0),D70,"")</f>
        <v/>
      </c>
      <c r="X70" s="71" t="str">
        <f t="shared" si="128"/>
        <v/>
      </c>
      <c r="Y70" s="71" t="str">
        <f t="shared" si="129"/>
        <v/>
      </c>
      <c r="Z70" s="70" t="str">
        <f t="shared" ref="Z70:Z89" si="365">IF((L70&gt;0)*AND(E$109&gt;0),E70,"")</f>
        <v/>
      </c>
      <c r="AA70" s="71" t="str">
        <f t="shared" si="130"/>
        <v/>
      </c>
      <c r="AB70" s="71" t="str">
        <f t="shared" si="131"/>
        <v/>
      </c>
      <c r="AC70" s="70" t="str">
        <f t="shared" ref="AC70:AC89" si="366">IF((L70&gt;0)*AND(F$109&gt;0),F70,"")</f>
        <v/>
      </c>
      <c r="AD70" s="71" t="str">
        <f t="shared" si="132"/>
        <v/>
      </c>
      <c r="AE70" s="71" t="str">
        <f t="shared" si="133"/>
        <v/>
      </c>
      <c r="AF70" s="70" t="str">
        <f t="shared" ref="AF70:AF105" si="367">IF((L70&gt;0)*AND(G$109&gt;0),G70,"")</f>
        <v/>
      </c>
      <c r="AG70" s="71" t="str">
        <f t="shared" si="134"/>
        <v/>
      </c>
      <c r="AH70" s="71" t="str">
        <f t="shared" si="135"/>
        <v/>
      </c>
      <c r="AI70" s="70" t="str">
        <f t="shared" ref="AI70:AI105" si="368">IF((L70&gt;0)*AND(H$109&gt;0),H70,"")</f>
        <v/>
      </c>
      <c r="AJ70" s="71" t="str">
        <f t="shared" si="136"/>
        <v/>
      </c>
      <c r="AK70" s="71" t="str">
        <f t="shared" si="137"/>
        <v/>
      </c>
      <c r="AL70" s="70" t="str">
        <f t="shared" si="138"/>
        <v/>
      </c>
      <c r="AM70" s="71" t="str">
        <f t="shared" si="139"/>
        <v/>
      </c>
      <c r="AN70" s="71" t="str">
        <f t="shared" si="140"/>
        <v/>
      </c>
      <c r="AO70" s="70" t="str">
        <f t="shared" si="141"/>
        <v/>
      </c>
      <c r="AP70" s="71" t="str">
        <f t="shared" si="142"/>
        <v/>
      </c>
      <c r="AQ70" s="71" t="str">
        <f t="shared" si="143"/>
        <v/>
      </c>
      <c r="AR70" s="70" t="str">
        <f t="shared" si="144"/>
        <v/>
      </c>
      <c r="AS70" s="71" t="str">
        <f t="shared" si="145"/>
        <v/>
      </c>
      <c r="AT70" s="71" t="str">
        <f t="shared" si="146"/>
        <v/>
      </c>
      <c r="AU70" s="69" t="str">
        <f t="shared" si="147"/>
        <v/>
      </c>
      <c r="AV70" s="131" t="str">
        <f t="shared" si="148"/>
        <v/>
      </c>
      <c r="AW70" s="69" t="str">
        <f t="shared" si="236"/>
        <v/>
      </c>
      <c r="AX70" s="132" t="str">
        <f t="shared" si="150"/>
        <v/>
      </c>
      <c r="AY70" s="132" t="str">
        <f t="shared" si="151"/>
        <v/>
      </c>
      <c r="AZ70" s="69" t="str">
        <f t="shared" ref="AZ70:AZ89" si="369">IF(AND(NOT($B70=""),NOT(C70="")),$B70,"")</f>
        <v/>
      </c>
      <c r="BA70" s="69" t="str">
        <f t="shared" ref="BA70:BA89" si="370">IF(AND(NOT($C70=""),NOT(B70="")),$C70,"")</f>
        <v/>
      </c>
      <c r="BB70" s="69" t="str">
        <f t="shared" si="152"/>
        <v/>
      </c>
      <c r="BC70" s="69" t="str">
        <f t="shared" ref="BC70:BC89" si="371">IF(AND(NOT($B70=""),NOT(D70="")),$B70,"")</f>
        <v/>
      </c>
      <c r="BD70" s="69" t="str">
        <f t="shared" ref="BD70:BD89" si="372">IF(AND(NOT($D70=""),NOT(B70="")),$D70,"")</f>
        <v/>
      </c>
      <c r="BE70" s="69" t="str">
        <f t="shared" si="153"/>
        <v/>
      </c>
      <c r="BF70" s="69" t="str">
        <f t="shared" ref="BF70:BF89" si="373">IF(AND(NOT($B70=""),NOT(E70="")),$B70,"")</f>
        <v/>
      </c>
      <c r="BG70" s="69" t="str">
        <f t="shared" ref="BG70:BG89" si="374">IF(AND(NOT($E70=""),NOT(B70="")),$E70,"")</f>
        <v/>
      </c>
      <c r="BH70" s="69" t="str">
        <f t="shared" si="154"/>
        <v/>
      </c>
      <c r="BI70" s="69" t="str">
        <f t="shared" ref="BI70:BI89" si="375">IF(AND(NOT($B70=""),NOT(F70="")),$B70,"")</f>
        <v/>
      </c>
      <c r="BJ70" s="69" t="str">
        <f t="shared" ref="BJ70:BJ89" si="376">IF(AND(NOT($F70=""),NOT(B70="")),$F70,"")</f>
        <v/>
      </c>
      <c r="BK70" s="69" t="str">
        <f t="shared" si="155"/>
        <v/>
      </c>
      <c r="BL70" s="69" t="str">
        <f t="shared" ref="BL70:BL89" si="377">IF(AND(NOT($B70=""),NOT(G70="")),$B70,"")</f>
        <v/>
      </c>
      <c r="BM70" s="69" t="str">
        <f t="shared" ref="BM70:BM89" si="378">IF(AND(NOT($G70=""),NOT(B70="")),$G70,"")</f>
        <v/>
      </c>
      <c r="BN70" s="69" t="str">
        <f t="shared" si="156"/>
        <v/>
      </c>
      <c r="BO70" s="69" t="str">
        <f t="shared" ref="BO70:BO89" si="379">IF(AND(NOT($B70=""),NOT(H70="")),$B70,"")</f>
        <v/>
      </c>
      <c r="BP70" s="69" t="str">
        <f t="shared" ref="BP70:BP89" si="380">IF(AND(NOT($H70=""),NOT(B70="")),$H70,"")</f>
        <v/>
      </c>
      <c r="BQ70" s="69" t="str">
        <f t="shared" si="157"/>
        <v/>
      </c>
      <c r="BR70" s="69" t="str">
        <f t="shared" ref="BR70:BR89" si="381">IF(AND(NOT($B70=""),NOT(I70="")),$B70,"")</f>
        <v/>
      </c>
      <c r="BS70" s="69" t="str">
        <f t="shared" ref="BS70:BS89" si="382">IF(AND(NOT($I70=""),NOT(B70="")),$I70,"")</f>
        <v/>
      </c>
      <c r="BT70" s="69" t="str">
        <f t="shared" si="158"/>
        <v/>
      </c>
      <c r="BU70" s="69" t="str">
        <f t="shared" ref="BU70:BU89" si="383">IF(AND(NOT($B70=""),NOT(J70="")),$B70,"")</f>
        <v/>
      </c>
      <c r="BV70" s="69" t="str">
        <f t="shared" ref="BV70:BV89" si="384">IF(AND(NOT($J70=""),NOT(B70="")),$J70,"")</f>
        <v/>
      </c>
      <c r="BW70" s="69" t="str">
        <f t="shared" si="159"/>
        <v/>
      </c>
      <c r="BX70" s="69" t="str">
        <f t="shared" ref="BX70:BX89" si="385">IF(AND(NOT($B70=""),NOT(K70="")),$B70,"")</f>
        <v/>
      </c>
      <c r="BY70" s="69" t="str">
        <f t="shared" ref="BY70:BY89" si="386">IF(AND(NOT($K70=""),NOT(B70="")),$K70,"")</f>
        <v/>
      </c>
      <c r="BZ70" s="69" t="str">
        <f t="shared" si="160"/>
        <v/>
      </c>
      <c r="CA70" s="69" t="str">
        <f t="shared" ref="CA70:CA89" si="387">IF(AND(NOT($B70=""),NOT(M70="")),$B70,"")</f>
        <v/>
      </c>
      <c r="CB70" s="69" t="str">
        <f t="shared" ref="CB70:CB89" si="388">IF(AND(NOT($M70=""),NOT(B70="")),$M70,"")</f>
        <v/>
      </c>
      <c r="CC70" s="69" t="str">
        <f t="shared" si="161"/>
        <v/>
      </c>
      <c r="CE70" s="69" t="str">
        <f t="shared" ref="CE70:CE89" si="389">IF(AND(NOT($C70=""),NOT(D70="")),$C70,"")</f>
        <v/>
      </c>
      <c r="CF70" s="69" t="str">
        <f t="shared" ref="CF70:CF89" si="390">IF(AND(NOT($D70=""),NOT(C70="")),$D70,"")</f>
        <v/>
      </c>
      <c r="CG70" s="69" t="str">
        <f t="shared" si="162"/>
        <v/>
      </c>
      <c r="CH70" s="69" t="str">
        <f t="shared" ref="CH70:CH89" si="391">IF(AND(NOT($C70=""),NOT(E70="")),$C70,"")</f>
        <v/>
      </c>
      <c r="CI70" s="69" t="str">
        <f t="shared" ref="CI70:CI89" si="392">IF(AND(NOT($E70=""),NOT(C70="")),$E70,"")</f>
        <v/>
      </c>
      <c r="CJ70" s="69" t="str">
        <f t="shared" si="163"/>
        <v/>
      </c>
      <c r="CK70" s="69" t="str">
        <f t="shared" ref="CK70:CK89" si="393">IF(AND(NOT($C70=""),NOT(F70="")),$C70,"")</f>
        <v/>
      </c>
      <c r="CL70" s="69" t="str">
        <f t="shared" ref="CL70:CL89" si="394">IF(AND(NOT($F70=""),NOT(C70="")),$F70,"")</f>
        <v/>
      </c>
      <c r="CM70" s="69" t="str">
        <f t="shared" si="164"/>
        <v/>
      </c>
      <c r="CN70" s="69" t="str">
        <f t="shared" ref="CN70:CN89" si="395">IF(AND(NOT($C70=""),NOT(G70="")),$C70,"")</f>
        <v/>
      </c>
      <c r="CO70" s="69" t="str">
        <f t="shared" ref="CO70:CO89" si="396">IF(AND(NOT($G70=""),NOT(C70="")),$G70,"")</f>
        <v/>
      </c>
      <c r="CP70" s="69" t="str">
        <f t="shared" si="165"/>
        <v/>
      </c>
      <c r="CQ70" s="69" t="str">
        <f t="shared" ref="CQ70:CQ89" si="397">IF(AND(NOT($C70=""),NOT(H70="")),$C70,"")</f>
        <v/>
      </c>
      <c r="CR70" s="69" t="str">
        <f t="shared" ref="CR70:CR89" si="398">IF(AND(NOT($H70=""),NOT(C70="")),$H70,"")</f>
        <v/>
      </c>
      <c r="CS70" s="69" t="str">
        <f t="shared" si="166"/>
        <v/>
      </c>
      <c r="CT70" s="69" t="str">
        <f t="shared" ref="CT70:CT89" si="399">IF(AND(NOT($C70=""),NOT(I70="")),$C70,"")</f>
        <v/>
      </c>
      <c r="CU70" s="69" t="str">
        <f t="shared" ref="CU70:CU89" si="400">IF(AND(NOT($I70=""),NOT(C70="")),$I70,"")</f>
        <v/>
      </c>
      <c r="CV70" s="69" t="str">
        <f t="shared" si="167"/>
        <v/>
      </c>
      <c r="CW70" s="69" t="str">
        <f t="shared" ref="CW70:CW89" si="401">IF(AND(NOT($C70=""),NOT(J70="")),$C70,"")</f>
        <v/>
      </c>
      <c r="CX70" s="69" t="str">
        <f t="shared" ref="CX70:CX89" si="402">IF(AND(NOT($J70=""),NOT(C70="")),$J70,"")</f>
        <v/>
      </c>
      <c r="CY70" s="69" t="str">
        <f t="shared" si="168"/>
        <v/>
      </c>
      <c r="CZ70" s="69" t="str">
        <f t="shared" ref="CZ70:CZ89" si="403">IF(AND(NOT($C70=""),NOT(K70="")),$C70,"")</f>
        <v/>
      </c>
      <c r="DA70" s="69" t="str">
        <f t="shared" ref="DA70:DA89" si="404">IF(AND(NOT($K70=""),NOT(C70="")),$K70,"")</f>
        <v/>
      </c>
      <c r="DB70" s="69" t="str">
        <f t="shared" si="169"/>
        <v/>
      </c>
      <c r="DC70" s="69" t="str">
        <f t="shared" ref="DC70:DC89" si="405">IF(AND(NOT($C70=""),NOT($M70="")),$C70,"")</f>
        <v/>
      </c>
      <c r="DD70" s="69" t="str">
        <f t="shared" ref="DD70:DD89" si="406">IF(AND(NOT($M70=""),NOT(C70="")),$M70,"")</f>
        <v/>
      </c>
      <c r="DE70" s="69" t="str">
        <f t="shared" si="170"/>
        <v/>
      </c>
      <c r="DG70" s="69" t="str">
        <f t="shared" ref="DG70:DG89" si="407">IF(AND(NOT($D70=""),NOT(E70="")),$D70,"")</f>
        <v/>
      </c>
      <c r="DH70" s="69" t="str">
        <f t="shared" ref="DH70:DH89" si="408">IF(AND(NOT($E70=""),NOT(D70="")),$E70,"")</f>
        <v/>
      </c>
      <c r="DI70" s="69" t="str">
        <f t="shared" si="171"/>
        <v/>
      </c>
      <c r="DJ70" s="69" t="str">
        <f t="shared" ref="DJ70:DJ89" si="409">IF(AND(NOT($D70=""),NOT(F70="")),$D70,"")</f>
        <v/>
      </c>
      <c r="DK70" s="69" t="str">
        <f t="shared" ref="DK70:DK89" si="410">IF(AND(NOT($F70=""),NOT(E70="")),$F70,"")</f>
        <v/>
      </c>
      <c r="DL70" s="69" t="str">
        <f t="shared" si="172"/>
        <v/>
      </c>
      <c r="DM70" s="69" t="str">
        <f t="shared" ref="DM70:DM89" si="411">IF(AND(NOT($D70=""),NOT(G70="")),$D70,"")</f>
        <v/>
      </c>
      <c r="DN70" s="69" t="str">
        <f t="shared" ref="DN70:DN89" si="412">IF(AND(NOT($G70=""),NOT(D70="")),$G70,"")</f>
        <v/>
      </c>
      <c r="DO70" s="69" t="str">
        <f t="shared" si="173"/>
        <v/>
      </c>
      <c r="DP70" s="69" t="str">
        <f t="shared" ref="DP70:DP89" si="413">IF(AND(NOT($D70=""),NOT(H70="")),$D70,"")</f>
        <v/>
      </c>
      <c r="DQ70" s="69" t="str">
        <f t="shared" ref="DQ70:DQ89" si="414">IF(AND(NOT($H70=""),NOT(D70="")),$H70,"")</f>
        <v/>
      </c>
      <c r="DR70" s="69" t="str">
        <f t="shared" si="174"/>
        <v/>
      </c>
      <c r="DS70" s="69" t="str">
        <f t="shared" ref="DS70:DS89" si="415">IF(AND(NOT($D70=""),NOT(I70="")),$D70,"")</f>
        <v/>
      </c>
      <c r="DT70" s="69" t="str">
        <f t="shared" ref="DT70:DT89" si="416">IF(AND(NOT($I70=""),NOT(D70="")),$I70,"")</f>
        <v/>
      </c>
      <c r="DU70" s="69" t="str">
        <f t="shared" si="175"/>
        <v/>
      </c>
      <c r="DV70" s="69" t="str">
        <f t="shared" ref="DV70:DV89" si="417">IF(AND(NOT($D70=""),NOT(J70="")),$D70,"")</f>
        <v/>
      </c>
      <c r="DW70" s="69" t="str">
        <f t="shared" ref="DW70:DW89" si="418">IF(AND(NOT($J70=""),NOT(D70="")),$J70,"")</f>
        <v/>
      </c>
      <c r="DX70" s="69" t="str">
        <f t="shared" si="176"/>
        <v/>
      </c>
      <c r="DY70" s="69" t="str">
        <f t="shared" ref="DY70:DY89" si="419">IF(AND(NOT($D70=""),NOT(K70="")),$D70,"")</f>
        <v/>
      </c>
      <c r="DZ70" s="69" t="str">
        <f t="shared" ref="DZ70:DZ89" si="420">IF(AND(NOT($K70=""),NOT(D70="")),$K70,"")</f>
        <v/>
      </c>
      <c r="EA70" s="69" t="str">
        <f t="shared" si="177"/>
        <v/>
      </c>
      <c r="EB70" s="69" t="str">
        <f t="shared" ref="EB70:EB89" si="421">IF(AND(NOT($D70=""),NOT(M70="")),$D70,"")</f>
        <v/>
      </c>
      <c r="EC70" s="69" t="str">
        <f t="shared" ref="EC70:EC89" si="422">IF(AND(NOT($M70=""),NOT(D70="")),$M70,"")</f>
        <v/>
      </c>
      <c r="ED70" s="69" t="str">
        <f t="shared" si="178"/>
        <v/>
      </c>
      <c r="EF70" s="69" t="str">
        <f t="shared" ref="EF70:EF89" si="423">IF(AND(NOT($E70=""),NOT(F70="")),$E70,"")</f>
        <v/>
      </c>
      <c r="EG70" s="69" t="str">
        <f t="shared" ref="EG70:EG89" si="424">IF(AND(NOT($F70=""),NOT(E70="")),$F70,"")</f>
        <v/>
      </c>
      <c r="EH70" s="69" t="str">
        <f t="shared" si="179"/>
        <v/>
      </c>
      <c r="EI70" s="69" t="str">
        <f t="shared" ref="EI70:EI89" si="425">IF(AND(NOT($E70=""),NOT(G70="")),$E70,"")</f>
        <v/>
      </c>
      <c r="EJ70" s="69" t="str">
        <f t="shared" ref="EJ70:EJ89" si="426">IF(AND(NOT($G70=""),NOT(E70="")),$G70,"")</f>
        <v/>
      </c>
      <c r="EK70" s="69" t="str">
        <f t="shared" si="180"/>
        <v/>
      </c>
      <c r="EL70" s="69" t="str">
        <f t="shared" ref="EL70:EL89" si="427">IF(AND(NOT($E70=""),NOT(H70="")),$E70,"")</f>
        <v/>
      </c>
      <c r="EM70" s="69" t="str">
        <f t="shared" ref="EM70:EM89" si="428">IF(AND(NOT($H70=""),NOT(E70="")),$H70,"")</f>
        <v/>
      </c>
      <c r="EN70" s="69" t="str">
        <f t="shared" si="181"/>
        <v/>
      </c>
      <c r="EO70" s="69" t="str">
        <f t="shared" ref="EO70:EO89" si="429">IF(AND(NOT($E70=""),NOT(I70="")),$E70,"")</f>
        <v/>
      </c>
      <c r="EP70" s="69" t="str">
        <f t="shared" ref="EP70:EP89" si="430">IF(AND(NOT($I70=""),NOT(E70="")),$I70,"")</f>
        <v/>
      </c>
      <c r="EQ70" s="69" t="str">
        <f t="shared" si="182"/>
        <v/>
      </c>
      <c r="ER70" s="69" t="str">
        <f t="shared" ref="ER70:ER89" si="431">IF(AND(NOT($E70=""),NOT(J70="")),$E70,"")</f>
        <v/>
      </c>
      <c r="ES70" s="69" t="str">
        <f t="shared" ref="ES70:ES89" si="432">IF(AND(NOT($J70=""),NOT(E70="")),$J70,"")</f>
        <v/>
      </c>
      <c r="ET70" s="69" t="str">
        <f t="shared" si="183"/>
        <v/>
      </c>
      <c r="EU70" s="69" t="str">
        <f t="shared" ref="EU70:EU89" si="433">IF(AND(NOT($E70=""),NOT(K70="")),$E70,"")</f>
        <v/>
      </c>
      <c r="EV70" s="69" t="str">
        <f t="shared" ref="EV70:EV89" si="434">IF(AND(NOT($K70=""),NOT(E70="")),$K70,"")</f>
        <v/>
      </c>
      <c r="EW70" s="69" t="str">
        <f t="shared" si="184"/>
        <v/>
      </c>
      <c r="EX70" s="69" t="str">
        <f t="shared" ref="EX70:EX89" si="435">IF(AND(NOT($E70=""),NOT(M70="")),$E70,"")</f>
        <v/>
      </c>
      <c r="EY70" s="69" t="str">
        <f t="shared" ref="EY70:EY89" si="436">IF(AND(NOT($M70=""),NOT(E70="")),$M70,"")</f>
        <v/>
      </c>
      <c r="EZ70" s="69" t="str">
        <f t="shared" si="185"/>
        <v/>
      </c>
      <c r="FB70" s="69" t="str">
        <f t="shared" ref="FB70:FB89" si="437">IF(AND(NOT($F70=""),NOT(G70="")),$F70,"")</f>
        <v/>
      </c>
      <c r="FC70" s="69" t="str">
        <f t="shared" ref="FC70:FC89" si="438">IF(AND(NOT($G70=""),NOT(F70="")),$G70,"")</f>
        <v/>
      </c>
      <c r="FD70" s="69" t="str">
        <f t="shared" si="186"/>
        <v/>
      </c>
      <c r="FE70" s="69" t="str">
        <f t="shared" ref="FE70:FE89" si="439">IF(AND(NOT($F70=""),NOT(H70="")),$F70,"")</f>
        <v/>
      </c>
      <c r="FF70" s="69" t="str">
        <f t="shared" ref="FF70:FF89" si="440">IF(AND(NOT($H70=""),NOT(F70="")),$H70,"")</f>
        <v/>
      </c>
      <c r="FG70" s="69" t="str">
        <f t="shared" si="187"/>
        <v/>
      </c>
      <c r="FH70" s="69" t="str">
        <f t="shared" ref="FH70:FH89" si="441">IF(AND(NOT($F70=""),NOT(I70="")),$F70,"")</f>
        <v/>
      </c>
      <c r="FI70" s="69" t="str">
        <f t="shared" ref="FI70:FI89" si="442">IF(AND(NOT($I70=""),NOT(F70="")),$I70,"")</f>
        <v/>
      </c>
      <c r="FJ70" s="69" t="str">
        <f t="shared" si="188"/>
        <v/>
      </c>
      <c r="FK70" s="69" t="str">
        <f t="shared" ref="FK70:FK89" si="443">IF(AND(NOT($F70=""),NOT(J70="")),$F70,"")</f>
        <v/>
      </c>
      <c r="FL70" s="69" t="str">
        <f t="shared" ref="FL70:FL89" si="444">IF(AND(NOT($J70=""),NOT(F70="")),$J70,"")</f>
        <v/>
      </c>
      <c r="FM70" s="69" t="str">
        <f t="shared" si="189"/>
        <v/>
      </c>
      <c r="FN70" s="69" t="str">
        <f t="shared" ref="FN70:FN89" si="445">IF(AND(NOT($F70=""),NOT(K70="")),$F70,"")</f>
        <v/>
      </c>
      <c r="FO70" s="69" t="str">
        <f t="shared" ref="FO70:FO89" si="446">IF(AND(NOT($K70=""),NOT(F70="")),$K70,"")</f>
        <v/>
      </c>
      <c r="FP70" s="69" t="str">
        <f t="shared" si="190"/>
        <v/>
      </c>
      <c r="FQ70" s="69" t="str">
        <f t="shared" ref="FQ70:FQ89" si="447">IF(AND(NOT($F70=""),NOT(M70="")),$F70,"")</f>
        <v/>
      </c>
      <c r="FR70" s="69" t="str">
        <f t="shared" ref="FR70:FR89" si="448">IF(AND(NOT($M70=""),NOT(F70="")),$M70,"")</f>
        <v/>
      </c>
      <c r="FS70" s="69" t="str">
        <f t="shared" si="191"/>
        <v/>
      </c>
      <c r="FU70" s="69" t="str">
        <f t="shared" ref="FU70:FU105" si="449">IF(AND(NOT($G70=""),NOT(H70="")),$G70,"")</f>
        <v/>
      </c>
      <c r="FV70" s="69" t="str">
        <f t="shared" ref="FV70:FV105" si="450">IF(AND(NOT($H70=""),NOT(G70="")),$H70,"")</f>
        <v/>
      </c>
      <c r="FW70" s="69" t="str">
        <f t="shared" si="192"/>
        <v/>
      </c>
      <c r="FX70" s="69" t="str">
        <f t="shared" ref="FX70:FX105" si="451">IF(AND(NOT($G70=""),NOT(I70="")),$G70,"")</f>
        <v/>
      </c>
      <c r="FY70" s="69" t="str">
        <f t="shared" ref="FY70:FY105" si="452">IF(AND(NOT($I70=""),NOT(G70="")),$I70,"")</f>
        <v/>
      </c>
      <c r="FZ70" s="69" t="str">
        <f t="shared" si="193"/>
        <v/>
      </c>
      <c r="GA70" s="69" t="str">
        <f t="shared" ref="GA70:GA105" si="453">IF(AND(NOT($G70=""),NOT(J70="")),$G70,"")</f>
        <v/>
      </c>
      <c r="GB70" s="69" t="str">
        <f t="shared" ref="GB70:GB105" si="454">IF(AND(NOT($J70=""),NOT(G70="")),$J70,"")</f>
        <v/>
      </c>
      <c r="GC70" s="69" t="str">
        <f t="shared" si="194"/>
        <v/>
      </c>
      <c r="GD70" s="69" t="str">
        <f t="shared" ref="GD70:GD105" si="455">IF(AND(NOT($G70=""),NOT(K70="")),$G70,"")</f>
        <v/>
      </c>
      <c r="GE70" s="69" t="str">
        <f t="shared" ref="GE70:GE105" si="456">IF(AND(NOT($K70=""),NOT(G70="")),$K70,"")</f>
        <v/>
      </c>
      <c r="GF70" s="69" t="str">
        <f t="shared" si="195"/>
        <v/>
      </c>
      <c r="GG70" s="69" t="str">
        <f t="shared" ref="GG70:GG105" si="457">IF(AND(NOT($G70=""),NOT(M70="")),$G70,"")</f>
        <v/>
      </c>
      <c r="GH70" s="69" t="str">
        <f t="shared" ref="GH70:GH105" si="458">IF(AND(NOT($M70=""),NOT(G70="")),$M70,"")</f>
        <v/>
      </c>
      <c r="GI70" s="69" t="str">
        <f t="shared" si="196"/>
        <v/>
      </c>
      <c r="GK70" s="69" t="str">
        <f t="shared" ref="GK70:GK105" si="459">IF(AND(NOT($H70=""),NOT(I70="")),$H70,"")</f>
        <v/>
      </c>
      <c r="GL70" s="69" t="str">
        <f t="shared" ref="GL70:GL105" si="460">IF(AND(NOT($I70=""),NOT(H70="")),$I70,"")</f>
        <v/>
      </c>
      <c r="GM70" s="69" t="str">
        <f t="shared" si="197"/>
        <v/>
      </c>
      <c r="GN70" s="69" t="str">
        <f t="shared" ref="GN70:GN105" si="461">IF(AND(NOT($H70=""),NOT(J70="")),$H70,"")</f>
        <v/>
      </c>
      <c r="GO70" s="69" t="str">
        <f t="shared" ref="GO70:GO105" si="462">IF(AND(NOT($J70=""),NOT(H70="")),$J70,"")</f>
        <v/>
      </c>
      <c r="GP70" s="69" t="str">
        <f t="shared" si="198"/>
        <v/>
      </c>
      <c r="GQ70" s="69" t="str">
        <f t="shared" ref="GQ70:GQ105" si="463">IF(AND(NOT($H70=""),NOT(K70="")),$H70,"")</f>
        <v/>
      </c>
      <c r="GR70" s="69" t="str">
        <f t="shared" ref="GR70:GR105" si="464">IF(AND(NOT($K70=""),NOT(H70="")),$K70,"")</f>
        <v/>
      </c>
      <c r="GS70" s="69" t="str">
        <f t="shared" si="199"/>
        <v/>
      </c>
      <c r="GT70" s="69" t="str">
        <f t="shared" ref="GT70:GT105" si="465">IF(AND(NOT($H70=""),NOT(M70="")),$H70,"")</f>
        <v/>
      </c>
      <c r="GU70" s="69" t="str">
        <f t="shared" ref="GU70:GU105" si="466">IF(AND(NOT($M70=""),NOT(H70="")),$M70,"")</f>
        <v/>
      </c>
      <c r="GV70" s="69" t="str">
        <f t="shared" si="200"/>
        <v/>
      </c>
      <c r="GX70" s="69" t="str">
        <f t="shared" si="201"/>
        <v/>
      </c>
      <c r="GY70" s="69" t="str">
        <f t="shared" si="202"/>
        <v/>
      </c>
      <c r="GZ70" s="69" t="str">
        <f t="shared" si="203"/>
        <v/>
      </c>
      <c r="HA70" s="69" t="str">
        <f t="shared" si="204"/>
        <v/>
      </c>
      <c r="HB70" s="69" t="str">
        <f t="shared" si="205"/>
        <v/>
      </c>
      <c r="HC70" s="69" t="str">
        <f t="shared" si="206"/>
        <v/>
      </c>
      <c r="HD70" s="69" t="str">
        <f t="shared" si="207"/>
        <v/>
      </c>
      <c r="HE70" s="69" t="str">
        <f t="shared" si="208"/>
        <v/>
      </c>
      <c r="HF70" s="69" t="str">
        <f t="shared" si="209"/>
        <v/>
      </c>
      <c r="HH70" s="69" t="str">
        <f t="shared" si="210"/>
        <v/>
      </c>
      <c r="HI70" s="69" t="str">
        <f t="shared" si="211"/>
        <v/>
      </c>
      <c r="HJ70" s="69" t="str">
        <f t="shared" si="212"/>
        <v/>
      </c>
      <c r="HK70" s="69" t="str">
        <f t="shared" si="213"/>
        <v/>
      </c>
      <c r="HL70" s="69" t="str">
        <f t="shared" si="214"/>
        <v/>
      </c>
      <c r="HM70" s="69" t="str">
        <f t="shared" si="215"/>
        <v/>
      </c>
      <c r="HO70" s="69" t="str">
        <f t="shared" si="216"/>
        <v/>
      </c>
      <c r="HP70" s="69" t="str">
        <f t="shared" si="217"/>
        <v/>
      </c>
      <c r="HQ70" s="69" t="str">
        <f t="shared" si="218"/>
        <v/>
      </c>
      <c r="HS70" s="69" t="str">
        <f t="shared" ref="HS70:HS89" si="467">IF(AND(NOT($M70=""),NOT(B70="")),$M70,"")</f>
        <v/>
      </c>
      <c r="HT70" s="69" t="str">
        <f t="shared" ref="HT70:HT89" si="468">IF(AND(NOT($B70=""),NOT($M70="")),$B70,"")</f>
        <v/>
      </c>
      <c r="HU70" s="69" t="str">
        <f t="shared" si="219"/>
        <v/>
      </c>
      <c r="HV70" s="69" t="str">
        <f t="shared" ref="HV70:HV89" si="469">IF(AND(NOT($M70=""),NOT($C70="")),$M70,"")</f>
        <v/>
      </c>
      <c r="HW70" s="69" t="str">
        <f t="shared" ref="HW70:HW89" si="470">IF(AND(NOT($C70=""),NOT(M70="")),$C70,"")</f>
        <v/>
      </c>
      <c r="HX70" s="69" t="str">
        <f t="shared" si="220"/>
        <v/>
      </c>
      <c r="HY70" s="69" t="str">
        <f t="shared" ref="HY70:HY89" si="471">IF(AND(NOT($M70=""),NOT(D70="")),$M70,"")</f>
        <v/>
      </c>
      <c r="HZ70" s="69" t="str">
        <f t="shared" ref="HZ70:HZ89" si="472">IF(AND(NOT($D70=""),NOT($M70="")),$D70,"")</f>
        <v/>
      </c>
      <c r="IA70" s="69" t="str">
        <f t="shared" si="221"/>
        <v/>
      </c>
      <c r="IB70" s="69" t="str">
        <f t="shared" ref="IB70:IB89" si="473">IF(AND(NOT($M70=""),NOT(E70="")),$M70,"")</f>
        <v/>
      </c>
      <c r="IC70" s="69" t="str">
        <f t="shared" ref="IC70:IC89" si="474">IF(AND(NOT($E70=""),NOT($M70="")),$E70,"")</f>
        <v/>
      </c>
      <c r="ID70" s="69" t="str">
        <f t="shared" si="222"/>
        <v/>
      </c>
      <c r="IE70" s="69" t="str">
        <f t="shared" ref="IE70:IE89" si="475">IF(AND(NOT($M70=""),NOT(F70="")),$M70,"")</f>
        <v/>
      </c>
      <c r="IF70" s="69" t="str">
        <f t="shared" ref="IF70:IF89" si="476">IF(AND(NOT($F70=""),NOT($M70="")),$F70,"")</f>
        <v/>
      </c>
      <c r="IG70" s="69" t="str">
        <f t="shared" si="223"/>
        <v/>
      </c>
      <c r="IH70" s="69" t="str">
        <f t="shared" ref="IH70:IH105" si="477">IF(AND(NOT($M70=""),NOT(G70="")),$M70,"")</f>
        <v/>
      </c>
      <c r="II70" s="69" t="str">
        <f t="shared" ref="II70:II105" si="478">IF(AND(NOT($G70=""),NOT($M70="")),$G70,"")</f>
        <v/>
      </c>
      <c r="IJ70" s="69" t="str">
        <f t="shared" si="224"/>
        <v/>
      </c>
      <c r="IK70" s="69" t="str">
        <f t="shared" ref="IK70:IK105" si="479">IF(AND(NOT($M70=""),NOT(H70="")),$M70,"")</f>
        <v/>
      </c>
      <c r="IL70" s="69" t="str">
        <f t="shared" ref="IL70:IL105" si="480">IF(AND(NOT($H70=""),NOT($M70="")),$H70,"")</f>
        <v/>
      </c>
      <c r="IM70" s="69" t="str">
        <f t="shared" si="225"/>
        <v/>
      </c>
      <c r="IN70" s="69" t="str">
        <f t="shared" si="226"/>
        <v/>
      </c>
      <c r="IO70" s="69" t="str">
        <f t="shared" si="227"/>
        <v/>
      </c>
      <c r="IP70" s="69" t="str">
        <f t="shared" si="228"/>
        <v/>
      </c>
      <c r="IQ70" s="69" t="str">
        <f t="shared" si="229"/>
        <v/>
      </c>
      <c r="IR70" s="69" t="str">
        <f t="shared" si="230"/>
        <v/>
      </c>
      <c r="IS70" s="69" t="str">
        <f t="shared" si="231"/>
        <v/>
      </c>
      <c r="IT70" s="69" t="str">
        <f t="shared" si="232"/>
        <v/>
      </c>
      <c r="IU70" s="69" t="str">
        <f t="shared" si="233"/>
        <v/>
      </c>
      <c r="IV70" s="69" t="str">
        <f t="shared" si="234"/>
        <v/>
      </c>
    </row>
    <row r="71" spans="1:256" x14ac:dyDescent="0.2">
      <c r="A71" s="57" t="s">
        <v>74</v>
      </c>
      <c r="B71" s="184"/>
      <c r="C71" s="179"/>
      <c r="D71" s="179"/>
      <c r="E71" s="179"/>
      <c r="F71" s="179"/>
      <c r="G71" s="180"/>
      <c r="H71" s="180"/>
      <c r="I71" s="181"/>
      <c r="J71" s="182"/>
      <c r="K71" s="183"/>
      <c r="L71" s="68">
        <f t="shared" si="360"/>
        <v>0</v>
      </c>
      <c r="M71" s="69" t="str">
        <f t="shared" si="361"/>
        <v/>
      </c>
      <c r="N71" s="69" t="str">
        <f t="shared" ref="N71:N105" si="481">AV71</f>
        <v/>
      </c>
      <c r="O71" s="69" t="str">
        <f t="shared" ref="O71:O105" si="482">AW71</f>
        <v/>
      </c>
      <c r="P71" s="69" t="str">
        <f t="shared" ref="P71:P105" si="483">AV173</f>
        <v/>
      </c>
      <c r="Q71" s="70" t="str">
        <f t="shared" si="362"/>
        <v/>
      </c>
      <c r="R71" s="71" t="str">
        <f t="shared" ref="R71:R105" si="484">IF(($L71&gt;0)*AND(B$109&gt;0),(Q71-B$110),"")</f>
        <v/>
      </c>
      <c r="S71" s="71" t="str">
        <f t="shared" ref="S71:S105" si="485">IF(($L71&gt;0)*AND(B$109&gt;0),(Q71/B$110-1)*100,"")</f>
        <v/>
      </c>
      <c r="T71" s="70" t="str">
        <f t="shared" si="363"/>
        <v/>
      </c>
      <c r="U71" s="71" t="str">
        <f t="shared" ref="U71:U105" si="486">IF((L71&gt;0)*AND(C$109&gt;0),(T71-C$110),"")</f>
        <v/>
      </c>
      <c r="V71" s="71" t="str">
        <f t="shared" ref="V71:V105" si="487">IF((L71&gt;0)*AND(C$109&gt;0),(T71/C$110-1)*100,"")</f>
        <v/>
      </c>
      <c r="W71" s="70" t="str">
        <f t="shared" si="364"/>
        <v/>
      </c>
      <c r="X71" s="71" t="str">
        <f t="shared" ref="X71:X105" si="488">IF((L71&gt;0)*AND(D$109&gt;0),(W71-D$110),"")</f>
        <v/>
      </c>
      <c r="Y71" s="71" t="str">
        <f t="shared" ref="Y71:Y105" si="489">IF((L71&gt;0)*AND(D$109&gt;0),(W71/D$110-1)*100,"")</f>
        <v/>
      </c>
      <c r="Z71" s="70" t="str">
        <f t="shared" si="365"/>
        <v/>
      </c>
      <c r="AA71" s="71" t="str">
        <f t="shared" ref="AA71:AA105" si="490">IF((L71&gt;0)*AND(E$109&gt;0),(Z71-E$110),"")</f>
        <v/>
      </c>
      <c r="AB71" s="71" t="str">
        <f t="shared" ref="AB71:AB105" si="491">IF((L71&gt;0)*AND(E$109&gt;0),(Z71/E$110-1)*100,"")</f>
        <v/>
      </c>
      <c r="AC71" s="70" t="str">
        <f t="shared" si="366"/>
        <v/>
      </c>
      <c r="AD71" s="71" t="str">
        <f t="shared" ref="AD71:AD105" si="492">IF((L71&gt;0)*AND(F$109&gt;0),(AC71-F$110),"")</f>
        <v/>
      </c>
      <c r="AE71" s="71" t="str">
        <f t="shared" ref="AE71:AE105" si="493">IF((L71&gt;0)*AND(F$109&gt;0),(AC71/F$110-1)*100,"")</f>
        <v/>
      </c>
      <c r="AF71" s="70" t="str">
        <f t="shared" si="367"/>
        <v/>
      </c>
      <c r="AG71" s="71" t="str">
        <f t="shared" ref="AG71:AG105" si="494">IF(($L71&gt;0)*AND(G$109&gt;0),(AF71-G$110),"")</f>
        <v/>
      </c>
      <c r="AH71" s="71" t="str">
        <f t="shared" ref="AH71:AH105" si="495">IF(($L71&gt;0)*AND(G$109&gt;0),(AF71/G$110-1)*100,"")</f>
        <v/>
      </c>
      <c r="AI71" s="70" t="str">
        <f t="shared" si="368"/>
        <v/>
      </c>
      <c r="AJ71" s="71" t="str">
        <f t="shared" ref="AJ71:AJ105" si="496">IF(($L71&gt;0)*AND(H$109&gt;0),(AI71-H$110),"")</f>
        <v/>
      </c>
      <c r="AK71" s="71" t="str">
        <f t="shared" ref="AK71:AK105" si="497">IF(($L71&gt;0)*AND(H$109&gt;0),(AI71/H$110-1)*100,"")</f>
        <v/>
      </c>
      <c r="AL71" s="70" t="str">
        <f t="shared" ref="AL71:AL105" si="498">IF((L71&gt;0)*AND(I$109&gt;0),I71,"")</f>
        <v/>
      </c>
      <c r="AM71" s="71" t="str">
        <f t="shared" ref="AM71:AM105" si="499">IF(($L71&gt;0)*AND(I$109&gt;0),(AL71-I$110),"")</f>
        <v/>
      </c>
      <c r="AN71" s="71" t="str">
        <f t="shared" ref="AN71:AN105" si="500">IF(($L71&gt;0)*AND(I$109&gt;0),(AL71/I$110-1)*100,"")</f>
        <v/>
      </c>
      <c r="AO71" s="70" t="str">
        <f t="shared" ref="AO71:AO105" si="501">IF((L71&gt;0)*AND(J$109&gt;0),J71,"")</f>
        <v/>
      </c>
      <c r="AP71" s="71" t="str">
        <f t="shared" ref="AP71:AP105" si="502">IF(($L71&gt;0)*AND(J$109&gt;0),(AO71-J$110),"")</f>
        <v/>
      </c>
      <c r="AQ71" s="71" t="str">
        <f t="shared" ref="AQ71:AQ105" si="503">IF(($L71&gt;0)*AND(J$109&gt;0),(AO71/J$110-1)*100,"")</f>
        <v/>
      </c>
      <c r="AR71" s="70" t="str">
        <f t="shared" ref="AR71:AR105" si="504">IF((L71&gt;0)*AND(K$109&gt;0),K71,"")</f>
        <v/>
      </c>
      <c r="AS71" s="71" t="str">
        <f t="shared" ref="AS71:AS105" si="505">IF(($L71&gt;0)*AND(K$109&gt;0),(AR71-K$110),"")</f>
        <v/>
      </c>
      <c r="AT71" s="71" t="str">
        <f t="shared" ref="AT71:AT105" si="506">IF(($L71&gt;0)*AND(K$109&gt;0),(AR71/K$110-1)*100,"")</f>
        <v/>
      </c>
      <c r="AU71" s="69" t="str">
        <f t="shared" ref="AU71:AU105" si="507">M71</f>
        <v/>
      </c>
      <c r="AV71" s="131" t="str">
        <f t="shared" ref="AV71:AV105" si="508">IF(L71&gt;0,"±"&amp;ROUND(STDEV(R71,U71,X71,AA71,AD71,AG71,AJ71,AM71,AP71,AS71),2),"")</f>
        <v/>
      </c>
      <c r="AW71" s="69" t="str">
        <f t="shared" si="236"/>
        <v/>
      </c>
      <c r="AX71" s="132" t="str">
        <f t="shared" ref="AX71:AX105" si="509">IF(L71&gt;0,ROUND(STDEV(R71,U71,X71,AA71,AD71,AG71,AJ71,AM71,AP71,AS71),2),"")</f>
        <v/>
      </c>
      <c r="AY71" s="132" t="str">
        <f t="shared" ref="AY71:AY105" si="510">IF(L71&gt;0,ROUND(STDEV(S71,V71,Y71,AB71,AE71,AH71,AK71,AN71,AQ71,AT71),2),"")</f>
        <v/>
      </c>
      <c r="AZ71" s="69" t="str">
        <f t="shared" si="369"/>
        <v/>
      </c>
      <c r="BA71" s="69" t="str">
        <f t="shared" si="370"/>
        <v/>
      </c>
      <c r="BB71" s="69" t="str">
        <f t="shared" ref="BB71:BB105" si="511">IF(AND(NOT(AZ71=""),NOT(BA71="")),AZ71*BA71,"")</f>
        <v/>
      </c>
      <c r="BC71" s="69" t="str">
        <f t="shared" si="371"/>
        <v/>
      </c>
      <c r="BD71" s="69" t="str">
        <f t="shared" si="372"/>
        <v/>
      </c>
      <c r="BE71" s="69" t="str">
        <f t="shared" ref="BE71:BE105" si="512">IF(AND(NOT(BC71=""),NOT(BD71="")),BC71*BD71,"")</f>
        <v/>
      </c>
      <c r="BF71" s="69" t="str">
        <f t="shared" si="373"/>
        <v/>
      </c>
      <c r="BG71" s="69" t="str">
        <f t="shared" si="374"/>
        <v/>
      </c>
      <c r="BH71" s="69" t="str">
        <f t="shared" ref="BH71:BH105" si="513">IF(AND(NOT(BF71=""),NOT(BG71="")),BF71*BG71,"")</f>
        <v/>
      </c>
      <c r="BI71" s="69" t="str">
        <f t="shared" si="375"/>
        <v/>
      </c>
      <c r="BJ71" s="69" t="str">
        <f t="shared" si="376"/>
        <v/>
      </c>
      <c r="BK71" s="69" t="str">
        <f t="shared" ref="BK71:BK105" si="514">IF(AND(NOT(BI71=""),NOT(BJ71="")),BI71*BJ71,"")</f>
        <v/>
      </c>
      <c r="BL71" s="69" t="str">
        <f t="shared" si="377"/>
        <v/>
      </c>
      <c r="BM71" s="69" t="str">
        <f t="shared" si="378"/>
        <v/>
      </c>
      <c r="BN71" s="69" t="str">
        <f t="shared" ref="BN71:BN105" si="515">IF(AND(NOT(BL71=""),NOT(BM71="")),BL71*BM71,"")</f>
        <v/>
      </c>
      <c r="BO71" s="69" t="str">
        <f t="shared" si="379"/>
        <v/>
      </c>
      <c r="BP71" s="69" t="str">
        <f t="shared" si="380"/>
        <v/>
      </c>
      <c r="BQ71" s="69" t="str">
        <f t="shared" ref="BQ71:BQ105" si="516">IF(AND(NOT(BO71=""),NOT(BP71="")),BO71*BP71,"")</f>
        <v/>
      </c>
      <c r="BR71" s="69" t="str">
        <f t="shared" si="381"/>
        <v/>
      </c>
      <c r="BS71" s="69" t="str">
        <f t="shared" si="382"/>
        <v/>
      </c>
      <c r="BT71" s="69" t="str">
        <f t="shared" ref="BT71:BT105" si="517">IF(AND(NOT(BR71=""),NOT(BS71="")),BR71*BS71,"")</f>
        <v/>
      </c>
      <c r="BU71" s="69" t="str">
        <f t="shared" si="383"/>
        <v/>
      </c>
      <c r="BV71" s="69" t="str">
        <f t="shared" si="384"/>
        <v/>
      </c>
      <c r="BW71" s="69" t="str">
        <f t="shared" ref="BW71:BW105" si="518">IF(AND(NOT(BU71=""),NOT(BV71="")),BU71*BV71,"")</f>
        <v/>
      </c>
      <c r="BX71" s="69" t="str">
        <f t="shared" si="385"/>
        <v/>
      </c>
      <c r="BY71" s="69" t="str">
        <f t="shared" si="386"/>
        <v/>
      </c>
      <c r="BZ71" s="69" t="str">
        <f t="shared" ref="BZ71:BZ105" si="519">IF(AND(NOT(BX71=""),NOT(BY71="")),BX71*BY71,"")</f>
        <v/>
      </c>
      <c r="CA71" s="69" t="str">
        <f t="shared" si="387"/>
        <v/>
      </c>
      <c r="CB71" s="69" t="str">
        <f t="shared" si="388"/>
        <v/>
      </c>
      <c r="CC71" s="69" t="str">
        <f t="shared" ref="CC71:CC105" si="520">IF(AND(NOT(CA71=""),NOT(CB71="")),CA71*CB71,"")</f>
        <v/>
      </c>
      <c r="CE71" s="69" t="str">
        <f t="shared" si="389"/>
        <v/>
      </c>
      <c r="CF71" s="69" t="str">
        <f t="shared" si="390"/>
        <v/>
      </c>
      <c r="CG71" s="69" t="str">
        <f t="shared" ref="CG71:CG105" si="521">IF(AND(NOT(CE71=""),NOT(CF71="")),CE71*CF71,"")</f>
        <v/>
      </c>
      <c r="CH71" s="69" t="str">
        <f t="shared" si="391"/>
        <v/>
      </c>
      <c r="CI71" s="69" t="str">
        <f t="shared" si="392"/>
        <v/>
      </c>
      <c r="CJ71" s="69" t="str">
        <f t="shared" ref="CJ71:CJ105" si="522">IF(AND(NOT(CH71=""),NOT(CI71="")),CH71*CI71,"")</f>
        <v/>
      </c>
      <c r="CK71" s="69" t="str">
        <f t="shared" si="393"/>
        <v/>
      </c>
      <c r="CL71" s="69" t="str">
        <f t="shared" si="394"/>
        <v/>
      </c>
      <c r="CM71" s="69" t="str">
        <f t="shared" ref="CM71:CM105" si="523">IF(AND(NOT(CK71=""),NOT(CL71="")),CK71*CL71,"")</f>
        <v/>
      </c>
      <c r="CN71" s="69" t="str">
        <f t="shared" si="395"/>
        <v/>
      </c>
      <c r="CO71" s="69" t="str">
        <f t="shared" si="396"/>
        <v/>
      </c>
      <c r="CP71" s="69" t="str">
        <f t="shared" ref="CP71:CP105" si="524">IF(AND(NOT(CN71=""),NOT(CO71="")),CN71*CO71,"")</f>
        <v/>
      </c>
      <c r="CQ71" s="69" t="str">
        <f t="shared" si="397"/>
        <v/>
      </c>
      <c r="CR71" s="69" t="str">
        <f t="shared" si="398"/>
        <v/>
      </c>
      <c r="CS71" s="69" t="str">
        <f t="shared" ref="CS71:CS105" si="525">IF(AND(NOT(CQ71=""),NOT(CR71="")),CQ71*CR71,"")</f>
        <v/>
      </c>
      <c r="CT71" s="69" t="str">
        <f t="shared" si="399"/>
        <v/>
      </c>
      <c r="CU71" s="69" t="str">
        <f t="shared" si="400"/>
        <v/>
      </c>
      <c r="CV71" s="69" t="str">
        <f t="shared" ref="CV71:CV105" si="526">IF(AND(NOT(CT71=""),NOT(CU71="")),CT71*CU71,"")</f>
        <v/>
      </c>
      <c r="CW71" s="69" t="str">
        <f t="shared" si="401"/>
        <v/>
      </c>
      <c r="CX71" s="69" t="str">
        <f t="shared" si="402"/>
        <v/>
      </c>
      <c r="CY71" s="69" t="str">
        <f t="shared" ref="CY71:CY105" si="527">IF(AND(NOT(CW71=""),NOT(CX71="")),CW71*CX71,"")</f>
        <v/>
      </c>
      <c r="CZ71" s="69" t="str">
        <f t="shared" si="403"/>
        <v/>
      </c>
      <c r="DA71" s="69" t="str">
        <f t="shared" si="404"/>
        <v/>
      </c>
      <c r="DB71" s="69" t="str">
        <f t="shared" ref="DB71:DB105" si="528">IF(AND(NOT(CZ71=""),NOT(DA71="")),CZ71*DA71,"")</f>
        <v/>
      </c>
      <c r="DC71" s="69" t="str">
        <f t="shared" si="405"/>
        <v/>
      </c>
      <c r="DD71" s="69" t="str">
        <f t="shared" si="406"/>
        <v/>
      </c>
      <c r="DE71" s="69" t="str">
        <f t="shared" ref="DE71:DE105" si="529">IF(AND(NOT(DC71=""),NOT(DD71="")),DC71*DD71,"")</f>
        <v/>
      </c>
      <c r="DG71" s="69" t="str">
        <f t="shared" si="407"/>
        <v/>
      </c>
      <c r="DH71" s="69" t="str">
        <f t="shared" si="408"/>
        <v/>
      </c>
      <c r="DI71" s="69" t="str">
        <f t="shared" ref="DI71:DI105" si="530">IF(AND(NOT(DG71=""),NOT(DH71="")),DG71*DH71,"")</f>
        <v/>
      </c>
      <c r="DJ71" s="69" t="str">
        <f t="shared" si="409"/>
        <v/>
      </c>
      <c r="DK71" s="69" t="str">
        <f t="shared" si="410"/>
        <v/>
      </c>
      <c r="DL71" s="69" t="str">
        <f t="shared" ref="DL71:DL105" si="531">IF(AND(NOT(DJ71=""),NOT(DK71="")),DJ71*DK71,"")</f>
        <v/>
      </c>
      <c r="DM71" s="69" t="str">
        <f t="shared" si="411"/>
        <v/>
      </c>
      <c r="DN71" s="69" t="str">
        <f t="shared" si="412"/>
        <v/>
      </c>
      <c r="DO71" s="69" t="str">
        <f t="shared" ref="DO71:DO105" si="532">IF(AND(NOT(DM71=""),NOT(DN71="")),DM71*DN71,"")</f>
        <v/>
      </c>
      <c r="DP71" s="69" t="str">
        <f t="shared" si="413"/>
        <v/>
      </c>
      <c r="DQ71" s="69" t="str">
        <f t="shared" si="414"/>
        <v/>
      </c>
      <c r="DR71" s="69" t="str">
        <f t="shared" ref="DR71:DR105" si="533">IF(AND(NOT(DP71=""),NOT(DQ71="")),DP71*DQ71,"")</f>
        <v/>
      </c>
      <c r="DS71" s="69" t="str">
        <f t="shared" si="415"/>
        <v/>
      </c>
      <c r="DT71" s="69" t="str">
        <f t="shared" si="416"/>
        <v/>
      </c>
      <c r="DU71" s="69" t="str">
        <f t="shared" ref="DU71:DU105" si="534">IF(AND(NOT(DS71=""),NOT(DT71="")),DS71*DT71,"")</f>
        <v/>
      </c>
      <c r="DV71" s="69" t="str">
        <f t="shared" si="417"/>
        <v/>
      </c>
      <c r="DW71" s="69" t="str">
        <f t="shared" si="418"/>
        <v/>
      </c>
      <c r="DX71" s="69" t="str">
        <f t="shared" ref="DX71:DX105" si="535">IF(AND(NOT(DV71=""),NOT(DW71="")),DV71*DW71,"")</f>
        <v/>
      </c>
      <c r="DY71" s="69" t="str">
        <f t="shared" si="419"/>
        <v/>
      </c>
      <c r="DZ71" s="69" t="str">
        <f t="shared" si="420"/>
        <v/>
      </c>
      <c r="EA71" s="69" t="str">
        <f t="shared" ref="EA71:EA105" si="536">IF(AND(NOT(DY71=""),NOT(DZ71="")),DY71*DZ71,"")</f>
        <v/>
      </c>
      <c r="EB71" s="69" t="str">
        <f t="shared" si="421"/>
        <v/>
      </c>
      <c r="EC71" s="69" t="str">
        <f t="shared" si="422"/>
        <v/>
      </c>
      <c r="ED71" s="69" t="str">
        <f t="shared" ref="ED71:ED105" si="537">IF(AND(NOT(EB71=""),NOT(EC71="")),EB71*EC71,"")</f>
        <v/>
      </c>
      <c r="EF71" s="69" t="str">
        <f t="shared" si="423"/>
        <v/>
      </c>
      <c r="EG71" s="69" t="str">
        <f t="shared" si="424"/>
        <v/>
      </c>
      <c r="EH71" s="69" t="str">
        <f t="shared" ref="EH71:EH105" si="538">IF(AND(NOT(EF71=""),NOT(EG71="")),EF71*EG71,"")</f>
        <v/>
      </c>
      <c r="EI71" s="69" t="str">
        <f t="shared" si="425"/>
        <v/>
      </c>
      <c r="EJ71" s="69" t="str">
        <f t="shared" si="426"/>
        <v/>
      </c>
      <c r="EK71" s="69" t="str">
        <f t="shared" ref="EK71:EK105" si="539">IF(AND(NOT(EI71=""),NOT(EJ71="")),EI71*EJ71,"")</f>
        <v/>
      </c>
      <c r="EL71" s="69" t="str">
        <f t="shared" si="427"/>
        <v/>
      </c>
      <c r="EM71" s="69" t="str">
        <f t="shared" si="428"/>
        <v/>
      </c>
      <c r="EN71" s="69" t="str">
        <f t="shared" ref="EN71:EN105" si="540">IF(AND(NOT(EL71=""),NOT(EM71="")),EL71*EM71,"")</f>
        <v/>
      </c>
      <c r="EO71" s="69" t="str">
        <f t="shared" si="429"/>
        <v/>
      </c>
      <c r="EP71" s="69" t="str">
        <f t="shared" si="430"/>
        <v/>
      </c>
      <c r="EQ71" s="69" t="str">
        <f t="shared" ref="EQ71:EQ105" si="541">IF(AND(NOT(EO71=""),NOT(EP71="")),EO71*EP71,"")</f>
        <v/>
      </c>
      <c r="ER71" s="69" t="str">
        <f t="shared" si="431"/>
        <v/>
      </c>
      <c r="ES71" s="69" t="str">
        <f t="shared" si="432"/>
        <v/>
      </c>
      <c r="ET71" s="69" t="str">
        <f t="shared" ref="ET71:ET105" si="542">IF(AND(NOT(ER71=""),NOT(ES71="")),ER71*ES71,"")</f>
        <v/>
      </c>
      <c r="EU71" s="69" t="str">
        <f t="shared" si="433"/>
        <v/>
      </c>
      <c r="EV71" s="69" t="str">
        <f t="shared" si="434"/>
        <v/>
      </c>
      <c r="EW71" s="69" t="str">
        <f t="shared" ref="EW71:EW105" si="543">IF(AND(NOT(EU71=""),NOT(EV71="")),EU71*EV71,"")</f>
        <v/>
      </c>
      <c r="EX71" s="69" t="str">
        <f t="shared" si="435"/>
        <v/>
      </c>
      <c r="EY71" s="69" t="str">
        <f t="shared" si="436"/>
        <v/>
      </c>
      <c r="EZ71" s="69" t="str">
        <f t="shared" ref="EZ71:EZ105" si="544">IF(AND(NOT(EX71=""),NOT(EY71="")),EX71*EY71,"")</f>
        <v/>
      </c>
      <c r="FB71" s="69" t="str">
        <f t="shared" si="437"/>
        <v/>
      </c>
      <c r="FC71" s="69" t="str">
        <f t="shared" si="438"/>
        <v/>
      </c>
      <c r="FD71" s="69" t="str">
        <f t="shared" ref="FD71:FD105" si="545">IF(AND(NOT(FB71=""),NOT(FC71="")),FB71*FC71,"")</f>
        <v/>
      </c>
      <c r="FE71" s="69" t="str">
        <f t="shared" si="439"/>
        <v/>
      </c>
      <c r="FF71" s="69" t="str">
        <f t="shared" si="440"/>
        <v/>
      </c>
      <c r="FG71" s="69" t="str">
        <f t="shared" ref="FG71:FG105" si="546">IF(AND(NOT(FE71=""),NOT(FF71="")),FE71*FF71,"")</f>
        <v/>
      </c>
      <c r="FH71" s="69" t="str">
        <f t="shared" si="441"/>
        <v/>
      </c>
      <c r="FI71" s="69" t="str">
        <f t="shared" si="442"/>
        <v/>
      </c>
      <c r="FJ71" s="69" t="str">
        <f t="shared" ref="FJ71:FJ105" si="547">IF(AND(NOT(FH71=""),NOT(FI71="")),FH71*FI71,"")</f>
        <v/>
      </c>
      <c r="FK71" s="69" t="str">
        <f t="shared" si="443"/>
        <v/>
      </c>
      <c r="FL71" s="69" t="str">
        <f t="shared" si="444"/>
        <v/>
      </c>
      <c r="FM71" s="69" t="str">
        <f t="shared" ref="FM71:FM105" si="548">IF(AND(NOT(FK71=""),NOT(FL71="")),FK71*FL71,"")</f>
        <v/>
      </c>
      <c r="FN71" s="69" t="str">
        <f t="shared" si="445"/>
        <v/>
      </c>
      <c r="FO71" s="69" t="str">
        <f t="shared" si="446"/>
        <v/>
      </c>
      <c r="FP71" s="69" t="str">
        <f t="shared" ref="FP71:FP105" si="549">IF(AND(NOT(FN71=""),NOT(FO71="")),FN71*FO71,"")</f>
        <v/>
      </c>
      <c r="FQ71" s="69" t="str">
        <f t="shared" si="447"/>
        <v/>
      </c>
      <c r="FR71" s="69" t="str">
        <f t="shared" si="448"/>
        <v/>
      </c>
      <c r="FS71" s="69" t="str">
        <f t="shared" ref="FS71:FS105" si="550">IF(AND(NOT(FQ71=""),NOT(FR71="")),FQ71*FR71,"")</f>
        <v/>
      </c>
      <c r="FU71" s="69" t="str">
        <f t="shared" si="449"/>
        <v/>
      </c>
      <c r="FV71" s="69" t="str">
        <f t="shared" si="450"/>
        <v/>
      </c>
      <c r="FW71" s="69" t="str">
        <f t="shared" ref="FW71:FW105" si="551">IF(AND(NOT(FU71=""),NOT(FV71="")),FU71*FV71,"")</f>
        <v/>
      </c>
      <c r="FX71" s="69" t="str">
        <f t="shared" si="451"/>
        <v/>
      </c>
      <c r="FY71" s="69" t="str">
        <f t="shared" si="452"/>
        <v/>
      </c>
      <c r="FZ71" s="69" t="str">
        <f t="shared" ref="FZ71:FZ105" si="552">IF(AND(NOT(FX71=""),NOT(FY71="")),FX71*FY71,"")</f>
        <v/>
      </c>
      <c r="GA71" s="69" t="str">
        <f t="shared" si="453"/>
        <v/>
      </c>
      <c r="GB71" s="69" t="str">
        <f t="shared" si="454"/>
        <v/>
      </c>
      <c r="GC71" s="69" t="str">
        <f t="shared" ref="GC71:GC105" si="553">IF(AND(NOT(GA71=""),NOT(GB71="")),GA71*GB71,"")</f>
        <v/>
      </c>
      <c r="GD71" s="69" t="str">
        <f t="shared" si="455"/>
        <v/>
      </c>
      <c r="GE71" s="69" t="str">
        <f t="shared" si="456"/>
        <v/>
      </c>
      <c r="GF71" s="69" t="str">
        <f t="shared" ref="GF71:GF105" si="554">IF(AND(NOT(GD71=""),NOT(GE71="")),GD71*GE71,"")</f>
        <v/>
      </c>
      <c r="GG71" s="69" t="str">
        <f t="shared" si="457"/>
        <v/>
      </c>
      <c r="GH71" s="69" t="str">
        <f t="shared" si="458"/>
        <v/>
      </c>
      <c r="GI71" s="69" t="str">
        <f t="shared" ref="GI71:GI105" si="555">IF(AND(NOT(GG71=""),NOT(GH71="")),GG71*GH71,"")</f>
        <v/>
      </c>
      <c r="GK71" s="69" t="str">
        <f t="shared" si="459"/>
        <v/>
      </c>
      <c r="GL71" s="69" t="str">
        <f t="shared" si="460"/>
        <v/>
      </c>
      <c r="GM71" s="69" t="str">
        <f t="shared" ref="GM71:GM105" si="556">IF(AND(NOT(GK71=""),NOT(GL71="")),GK71*GL71,"")</f>
        <v/>
      </c>
      <c r="GN71" s="69" t="str">
        <f t="shared" si="461"/>
        <v/>
      </c>
      <c r="GO71" s="69" t="str">
        <f t="shared" si="462"/>
        <v/>
      </c>
      <c r="GP71" s="69" t="str">
        <f t="shared" ref="GP71:GP105" si="557">IF(AND(NOT(GN71=""),NOT(GO71="")),GN71*GO71,"")</f>
        <v/>
      </c>
      <c r="GQ71" s="69" t="str">
        <f t="shared" si="463"/>
        <v/>
      </c>
      <c r="GR71" s="69" t="str">
        <f t="shared" si="464"/>
        <v/>
      </c>
      <c r="GS71" s="69" t="str">
        <f t="shared" ref="GS71:GS105" si="558">IF(AND(NOT(GQ71=""),NOT(GR71="")),GQ71*GR71,"")</f>
        <v/>
      </c>
      <c r="GT71" s="69" t="str">
        <f t="shared" si="465"/>
        <v/>
      </c>
      <c r="GU71" s="69" t="str">
        <f t="shared" si="466"/>
        <v/>
      </c>
      <c r="GV71" s="69" t="str">
        <f t="shared" ref="GV71:GV105" si="559">IF(AND(NOT(GT71=""),NOT(GU71="")),GT71*GU71,"")</f>
        <v/>
      </c>
      <c r="GX71" s="69" t="str">
        <f t="shared" ref="GX71:GX105" si="560">IF(AND(NOT($I71=""),NOT(J71="")),$I71,"")</f>
        <v/>
      </c>
      <c r="GY71" s="69" t="str">
        <f t="shared" ref="GY71:GY105" si="561">IF(AND(NOT($J71=""),NOT(I71="")),$J71,"")</f>
        <v/>
      </c>
      <c r="GZ71" s="69" t="str">
        <f t="shared" ref="GZ71:GZ105" si="562">IF(AND(NOT(GX71=""),NOT(GY71="")),GX71*GY71,"")</f>
        <v/>
      </c>
      <c r="HA71" s="69" t="str">
        <f t="shared" ref="HA71:HA105" si="563">IF(AND(NOT($I71=""),NOT(K71="")),$I71,"")</f>
        <v/>
      </c>
      <c r="HB71" s="69" t="str">
        <f t="shared" ref="HB71:HB105" si="564">IF(AND(NOT($K71=""),NOT(I71="")),$K71,"")</f>
        <v/>
      </c>
      <c r="HC71" s="69" t="str">
        <f t="shared" ref="HC71:HC105" si="565">IF(AND(NOT(HA71=""),NOT(HB71="")),HA71*HB71,"")</f>
        <v/>
      </c>
      <c r="HD71" s="69" t="str">
        <f t="shared" ref="HD71:HD105" si="566">IF(AND(NOT($I71=""),NOT(M71="")),$I71,"")</f>
        <v/>
      </c>
      <c r="HE71" s="69" t="str">
        <f t="shared" ref="HE71:HE105" si="567">IF(AND(NOT($M71=""),NOT(I71="")),$M71,"")</f>
        <v/>
      </c>
      <c r="HF71" s="69" t="str">
        <f t="shared" ref="HF71:HF105" si="568">IF(AND(NOT(HD71=""),NOT(HE71="")),HD71*HE71,"")</f>
        <v/>
      </c>
      <c r="HH71" s="69" t="str">
        <f t="shared" ref="HH71:HH105" si="569">IF(AND(NOT($J71=""),NOT(K71="")),$J71,"")</f>
        <v/>
      </c>
      <c r="HI71" s="69" t="str">
        <f t="shared" ref="HI71:HI105" si="570">IF(AND(NOT($K71=""),NOT(J71="")),$K71,"")</f>
        <v/>
      </c>
      <c r="HJ71" s="69" t="str">
        <f t="shared" ref="HJ71:HJ105" si="571">IF(AND(NOT(HH71=""),NOT(HI71="")),HH71*HI71,"")</f>
        <v/>
      </c>
      <c r="HK71" s="69" t="str">
        <f t="shared" ref="HK71:HK105" si="572">IF(AND(NOT($J71=""),NOT(M71="")),$J71,"")</f>
        <v/>
      </c>
      <c r="HL71" s="69" t="str">
        <f t="shared" ref="HL71:HL105" si="573">IF(AND(NOT($M71=""),NOT(J71="")),$M71,"")</f>
        <v/>
      </c>
      <c r="HM71" s="69" t="str">
        <f t="shared" ref="HM71:HM105" si="574">IF(AND(NOT(HK71=""),NOT(HL71="")),HK71*HL71,"")</f>
        <v/>
      </c>
      <c r="HO71" s="69" t="str">
        <f t="shared" ref="HO71:HO105" si="575">IF(AND(NOT($K71=""),NOT(M71="")),$K71,"")</f>
        <v/>
      </c>
      <c r="HP71" s="69" t="str">
        <f t="shared" ref="HP71:HP105" si="576">IF(AND(NOT($M71=""),NOT(K71="")),$M71,"")</f>
        <v/>
      </c>
      <c r="HQ71" s="69" t="str">
        <f t="shared" ref="HQ71:HQ105" si="577">IF(AND(NOT(HO71=""),NOT(HP71="")),HO71*HP71,"")</f>
        <v/>
      </c>
      <c r="HS71" s="69" t="str">
        <f t="shared" si="467"/>
        <v/>
      </c>
      <c r="HT71" s="69" t="str">
        <f t="shared" si="468"/>
        <v/>
      </c>
      <c r="HU71" s="69" t="str">
        <f t="shared" ref="HU71:HU105" si="578">IF(AND(NOT(HS71=""),NOT(HT71="")),HS71*HT71,"")</f>
        <v/>
      </c>
      <c r="HV71" s="69" t="str">
        <f t="shared" si="469"/>
        <v/>
      </c>
      <c r="HW71" s="69" t="str">
        <f t="shared" si="470"/>
        <v/>
      </c>
      <c r="HX71" s="69" t="str">
        <f t="shared" ref="HX71:HX105" si="579">IF(AND(NOT(HV71=""),NOT(HW71="")),HV71*HW71,"")</f>
        <v/>
      </c>
      <c r="HY71" s="69" t="str">
        <f t="shared" si="471"/>
        <v/>
      </c>
      <c r="HZ71" s="69" t="str">
        <f t="shared" si="472"/>
        <v/>
      </c>
      <c r="IA71" s="69" t="str">
        <f t="shared" ref="IA71:IA105" si="580">IF(AND(NOT(HY71=""),NOT(HZ71="")),HY71*HZ71,"")</f>
        <v/>
      </c>
      <c r="IB71" s="69" t="str">
        <f t="shared" si="473"/>
        <v/>
      </c>
      <c r="IC71" s="69" t="str">
        <f t="shared" si="474"/>
        <v/>
      </c>
      <c r="ID71" s="69" t="str">
        <f t="shared" ref="ID71:ID105" si="581">IF(AND(NOT(IB71=""),NOT(IC71="")),IB71*IC71,"")</f>
        <v/>
      </c>
      <c r="IE71" s="69" t="str">
        <f t="shared" si="475"/>
        <v/>
      </c>
      <c r="IF71" s="69" t="str">
        <f t="shared" si="476"/>
        <v/>
      </c>
      <c r="IG71" s="69" t="str">
        <f t="shared" ref="IG71:IG105" si="582">IF(AND(NOT(IE71=""),NOT(IF71="")),IE71*IF71,"")</f>
        <v/>
      </c>
      <c r="IH71" s="69" t="str">
        <f t="shared" si="477"/>
        <v/>
      </c>
      <c r="II71" s="69" t="str">
        <f t="shared" si="478"/>
        <v/>
      </c>
      <c r="IJ71" s="69" t="str">
        <f t="shared" ref="IJ71:IJ105" si="583">IF(AND(NOT(IH71=""),NOT(II71="")),IH71*II71,"")</f>
        <v/>
      </c>
      <c r="IK71" s="69" t="str">
        <f t="shared" si="479"/>
        <v/>
      </c>
      <c r="IL71" s="69" t="str">
        <f t="shared" si="480"/>
        <v/>
      </c>
      <c r="IM71" s="69" t="str">
        <f t="shared" ref="IM71:IM105" si="584">IF(AND(NOT(IK71=""),NOT(IL71="")),IK71*IL71,"")</f>
        <v/>
      </c>
      <c r="IN71" s="69" t="str">
        <f t="shared" ref="IN71:IN105" si="585">IF(AND(NOT($M71=""),NOT(I71="")),$M71,"")</f>
        <v/>
      </c>
      <c r="IO71" s="69" t="str">
        <f t="shared" ref="IO71:IO105" si="586">IF(AND(NOT($I71=""),NOT($M71="")),$I71,"")</f>
        <v/>
      </c>
      <c r="IP71" s="69" t="str">
        <f t="shared" ref="IP71:IP105" si="587">IF(AND(NOT(IN71=""),NOT(IO71="")),IN71*IO71,"")</f>
        <v/>
      </c>
      <c r="IQ71" s="69" t="str">
        <f t="shared" ref="IQ71:IQ105" si="588">IF(AND(NOT($M71=""),NOT(J71="")),$M71,"")</f>
        <v/>
      </c>
      <c r="IR71" s="69" t="str">
        <f t="shared" ref="IR71:IR105" si="589">IF(AND(NOT($J71=""),NOT($M71="")),$J71,"")</f>
        <v/>
      </c>
      <c r="IS71" s="69" t="str">
        <f t="shared" ref="IS71:IS105" si="590">IF(AND(NOT(IQ71=""),NOT(IR71="")),IQ71*IR71,"")</f>
        <v/>
      </c>
      <c r="IT71" s="69" t="str">
        <f t="shared" ref="IT71:IT105" si="591">IF(AND(NOT($M71=""),NOT(K71="")),$M71,"")</f>
        <v/>
      </c>
      <c r="IU71" s="69" t="str">
        <f t="shared" ref="IU71:IU105" si="592">IF(AND(NOT($K71=""),NOT($M71="")),$K71,"")</f>
        <v/>
      </c>
      <c r="IV71" s="69" t="str">
        <f t="shared" ref="IV71:IV105" si="593">IF(AND(NOT(IT71=""),NOT(IU71="")),IT71*IU71,"")</f>
        <v/>
      </c>
    </row>
    <row r="72" spans="1:256" x14ac:dyDescent="0.2">
      <c r="A72" s="57" t="s">
        <v>75</v>
      </c>
      <c r="B72" s="178"/>
      <c r="C72" s="180"/>
      <c r="D72" s="179"/>
      <c r="E72" s="179"/>
      <c r="F72" s="179"/>
      <c r="G72" s="180"/>
      <c r="H72" s="180"/>
      <c r="I72" s="181"/>
      <c r="J72" s="182"/>
      <c r="K72" s="183"/>
      <c r="L72" s="68">
        <f t="shared" si="360"/>
        <v>0</v>
      </c>
      <c r="M72" s="69" t="str">
        <f t="shared" si="361"/>
        <v/>
      </c>
      <c r="N72" s="69" t="str">
        <f t="shared" si="481"/>
        <v/>
      </c>
      <c r="O72" s="69" t="str">
        <f t="shared" si="482"/>
        <v/>
      </c>
      <c r="P72" s="69" t="str">
        <f t="shared" si="483"/>
        <v/>
      </c>
      <c r="Q72" s="70" t="str">
        <f t="shared" si="362"/>
        <v/>
      </c>
      <c r="R72" s="71" t="str">
        <f t="shared" si="484"/>
        <v/>
      </c>
      <c r="S72" s="71" t="str">
        <f t="shared" si="485"/>
        <v/>
      </c>
      <c r="T72" s="70" t="str">
        <f t="shared" si="363"/>
        <v/>
      </c>
      <c r="U72" s="71" t="str">
        <f t="shared" si="486"/>
        <v/>
      </c>
      <c r="V72" s="71" t="str">
        <f t="shared" si="487"/>
        <v/>
      </c>
      <c r="W72" s="70" t="str">
        <f t="shared" si="364"/>
        <v/>
      </c>
      <c r="X72" s="71" t="str">
        <f t="shared" si="488"/>
        <v/>
      </c>
      <c r="Y72" s="71" t="str">
        <f t="shared" si="489"/>
        <v/>
      </c>
      <c r="Z72" s="70" t="str">
        <f t="shared" si="365"/>
        <v/>
      </c>
      <c r="AA72" s="71" t="str">
        <f t="shared" si="490"/>
        <v/>
      </c>
      <c r="AB72" s="71" t="str">
        <f t="shared" si="491"/>
        <v/>
      </c>
      <c r="AC72" s="70" t="str">
        <f t="shared" si="366"/>
        <v/>
      </c>
      <c r="AD72" s="71" t="str">
        <f t="shared" si="492"/>
        <v/>
      </c>
      <c r="AE72" s="71" t="str">
        <f t="shared" si="493"/>
        <v/>
      </c>
      <c r="AF72" s="70" t="str">
        <f t="shared" si="367"/>
        <v/>
      </c>
      <c r="AG72" s="71" t="str">
        <f t="shared" si="494"/>
        <v/>
      </c>
      <c r="AH72" s="71" t="str">
        <f t="shared" si="495"/>
        <v/>
      </c>
      <c r="AI72" s="70" t="str">
        <f t="shared" si="368"/>
        <v/>
      </c>
      <c r="AJ72" s="71" t="str">
        <f t="shared" si="496"/>
        <v/>
      </c>
      <c r="AK72" s="71" t="str">
        <f t="shared" si="497"/>
        <v/>
      </c>
      <c r="AL72" s="70" t="str">
        <f t="shared" si="498"/>
        <v/>
      </c>
      <c r="AM72" s="71" t="str">
        <f t="shared" si="499"/>
        <v/>
      </c>
      <c r="AN72" s="71" t="str">
        <f t="shared" si="500"/>
        <v/>
      </c>
      <c r="AO72" s="70" t="str">
        <f t="shared" si="501"/>
        <v/>
      </c>
      <c r="AP72" s="71" t="str">
        <f t="shared" si="502"/>
        <v/>
      </c>
      <c r="AQ72" s="71" t="str">
        <f t="shared" si="503"/>
        <v/>
      </c>
      <c r="AR72" s="70" t="str">
        <f t="shared" si="504"/>
        <v/>
      </c>
      <c r="AS72" s="71" t="str">
        <f t="shared" si="505"/>
        <v/>
      </c>
      <c r="AT72" s="71" t="str">
        <f t="shared" si="506"/>
        <v/>
      </c>
      <c r="AU72" s="69" t="str">
        <f t="shared" si="507"/>
        <v/>
      </c>
      <c r="AV72" s="131" t="str">
        <f t="shared" si="508"/>
        <v/>
      </c>
      <c r="AW72" s="69" t="str">
        <f t="shared" ref="AW72:AW105" si="594">IF(L72&gt;0,"±"&amp;ROUND(STDEV(S72,V72,Y72,AB72,AE72,AH72,AK72,AN72,AQ72,AT72),2),"")</f>
        <v/>
      </c>
      <c r="AX72" s="132" t="str">
        <f t="shared" si="509"/>
        <v/>
      </c>
      <c r="AY72" s="132" t="str">
        <f t="shared" si="510"/>
        <v/>
      </c>
      <c r="AZ72" s="69" t="str">
        <f t="shared" si="369"/>
        <v/>
      </c>
      <c r="BA72" s="69" t="str">
        <f t="shared" si="370"/>
        <v/>
      </c>
      <c r="BB72" s="69" t="str">
        <f t="shared" si="511"/>
        <v/>
      </c>
      <c r="BC72" s="69" t="str">
        <f t="shared" si="371"/>
        <v/>
      </c>
      <c r="BD72" s="69" t="str">
        <f t="shared" si="372"/>
        <v/>
      </c>
      <c r="BE72" s="69" t="str">
        <f t="shared" si="512"/>
        <v/>
      </c>
      <c r="BF72" s="69" t="str">
        <f t="shared" si="373"/>
        <v/>
      </c>
      <c r="BG72" s="69" t="str">
        <f t="shared" si="374"/>
        <v/>
      </c>
      <c r="BH72" s="69" t="str">
        <f t="shared" si="513"/>
        <v/>
      </c>
      <c r="BI72" s="69" t="str">
        <f t="shared" si="375"/>
        <v/>
      </c>
      <c r="BJ72" s="69" t="str">
        <f t="shared" si="376"/>
        <v/>
      </c>
      <c r="BK72" s="69" t="str">
        <f t="shared" si="514"/>
        <v/>
      </c>
      <c r="BL72" s="69" t="str">
        <f t="shared" si="377"/>
        <v/>
      </c>
      <c r="BM72" s="69" t="str">
        <f t="shared" si="378"/>
        <v/>
      </c>
      <c r="BN72" s="69" t="str">
        <f t="shared" si="515"/>
        <v/>
      </c>
      <c r="BO72" s="69" t="str">
        <f t="shared" si="379"/>
        <v/>
      </c>
      <c r="BP72" s="69" t="str">
        <f t="shared" si="380"/>
        <v/>
      </c>
      <c r="BQ72" s="69" t="str">
        <f t="shared" si="516"/>
        <v/>
      </c>
      <c r="BR72" s="69" t="str">
        <f t="shared" si="381"/>
        <v/>
      </c>
      <c r="BS72" s="69" t="str">
        <f t="shared" si="382"/>
        <v/>
      </c>
      <c r="BT72" s="69" t="str">
        <f t="shared" si="517"/>
        <v/>
      </c>
      <c r="BU72" s="69" t="str">
        <f t="shared" si="383"/>
        <v/>
      </c>
      <c r="BV72" s="69" t="str">
        <f t="shared" si="384"/>
        <v/>
      </c>
      <c r="BW72" s="69" t="str">
        <f t="shared" si="518"/>
        <v/>
      </c>
      <c r="BX72" s="69" t="str">
        <f t="shared" si="385"/>
        <v/>
      </c>
      <c r="BY72" s="69" t="str">
        <f t="shared" si="386"/>
        <v/>
      </c>
      <c r="BZ72" s="69" t="str">
        <f t="shared" si="519"/>
        <v/>
      </c>
      <c r="CA72" s="69" t="str">
        <f t="shared" si="387"/>
        <v/>
      </c>
      <c r="CB72" s="69" t="str">
        <f t="shared" si="388"/>
        <v/>
      </c>
      <c r="CC72" s="69" t="str">
        <f t="shared" si="520"/>
        <v/>
      </c>
      <c r="CE72" s="69" t="str">
        <f t="shared" si="389"/>
        <v/>
      </c>
      <c r="CF72" s="69" t="str">
        <f t="shared" si="390"/>
        <v/>
      </c>
      <c r="CG72" s="69" t="str">
        <f t="shared" si="521"/>
        <v/>
      </c>
      <c r="CH72" s="69" t="str">
        <f t="shared" si="391"/>
        <v/>
      </c>
      <c r="CI72" s="69" t="str">
        <f t="shared" si="392"/>
        <v/>
      </c>
      <c r="CJ72" s="69" t="str">
        <f t="shared" si="522"/>
        <v/>
      </c>
      <c r="CK72" s="69" t="str">
        <f t="shared" si="393"/>
        <v/>
      </c>
      <c r="CL72" s="69" t="str">
        <f t="shared" si="394"/>
        <v/>
      </c>
      <c r="CM72" s="69" t="str">
        <f t="shared" si="523"/>
        <v/>
      </c>
      <c r="CN72" s="69" t="str">
        <f t="shared" si="395"/>
        <v/>
      </c>
      <c r="CO72" s="69" t="str">
        <f t="shared" si="396"/>
        <v/>
      </c>
      <c r="CP72" s="69" t="str">
        <f t="shared" si="524"/>
        <v/>
      </c>
      <c r="CQ72" s="69" t="str">
        <f t="shared" si="397"/>
        <v/>
      </c>
      <c r="CR72" s="69" t="str">
        <f t="shared" si="398"/>
        <v/>
      </c>
      <c r="CS72" s="69" t="str">
        <f t="shared" si="525"/>
        <v/>
      </c>
      <c r="CT72" s="69" t="str">
        <f t="shared" si="399"/>
        <v/>
      </c>
      <c r="CU72" s="69" t="str">
        <f t="shared" si="400"/>
        <v/>
      </c>
      <c r="CV72" s="69" t="str">
        <f t="shared" si="526"/>
        <v/>
      </c>
      <c r="CW72" s="69" t="str">
        <f t="shared" si="401"/>
        <v/>
      </c>
      <c r="CX72" s="69" t="str">
        <f t="shared" si="402"/>
        <v/>
      </c>
      <c r="CY72" s="69" t="str">
        <f t="shared" si="527"/>
        <v/>
      </c>
      <c r="CZ72" s="69" t="str">
        <f t="shared" si="403"/>
        <v/>
      </c>
      <c r="DA72" s="69" t="str">
        <f t="shared" si="404"/>
        <v/>
      </c>
      <c r="DB72" s="69" t="str">
        <f t="shared" si="528"/>
        <v/>
      </c>
      <c r="DC72" s="69" t="str">
        <f t="shared" si="405"/>
        <v/>
      </c>
      <c r="DD72" s="69" t="str">
        <f t="shared" si="406"/>
        <v/>
      </c>
      <c r="DE72" s="69" t="str">
        <f t="shared" si="529"/>
        <v/>
      </c>
      <c r="DG72" s="69" t="str">
        <f t="shared" si="407"/>
        <v/>
      </c>
      <c r="DH72" s="69" t="str">
        <f t="shared" si="408"/>
        <v/>
      </c>
      <c r="DI72" s="69" t="str">
        <f t="shared" si="530"/>
        <v/>
      </c>
      <c r="DJ72" s="69" t="str">
        <f t="shared" si="409"/>
        <v/>
      </c>
      <c r="DK72" s="69" t="str">
        <f t="shared" si="410"/>
        <v/>
      </c>
      <c r="DL72" s="69" t="str">
        <f t="shared" si="531"/>
        <v/>
      </c>
      <c r="DM72" s="69" t="str">
        <f t="shared" si="411"/>
        <v/>
      </c>
      <c r="DN72" s="69" t="str">
        <f t="shared" si="412"/>
        <v/>
      </c>
      <c r="DO72" s="69" t="str">
        <f t="shared" si="532"/>
        <v/>
      </c>
      <c r="DP72" s="69" t="str">
        <f t="shared" si="413"/>
        <v/>
      </c>
      <c r="DQ72" s="69" t="str">
        <f t="shared" si="414"/>
        <v/>
      </c>
      <c r="DR72" s="69" t="str">
        <f t="shared" si="533"/>
        <v/>
      </c>
      <c r="DS72" s="69" t="str">
        <f t="shared" si="415"/>
        <v/>
      </c>
      <c r="DT72" s="69" t="str">
        <f t="shared" si="416"/>
        <v/>
      </c>
      <c r="DU72" s="69" t="str">
        <f t="shared" si="534"/>
        <v/>
      </c>
      <c r="DV72" s="69" t="str">
        <f t="shared" si="417"/>
        <v/>
      </c>
      <c r="DW72" s="69" t="str">
        <f t="shared" si="418"/>
        <v/>
      </c>
      <c r="DX72" s="69" t="str">
        <f t="shared" si="535"/>
        <v/>
      </c>
      <c r="DY72" s="69" t="str">
        <f t="shared" si="419"/>
        <v/>
      </c>
      <c r="DZ72" s="69" t="str">
        <f t="shared" si="420"/>
        <v/>
      </c>
      <c r="EA72" s="69" t="str">
        <f t="shared" si="536"/>
        <v/>
      </c>
      <c r="EB72" s="69" t="str">
        <f t="shared" si="421"/>
        <v/>
      </c>
      <c r="EC72" s="69" t="str">
        <f t="shared" si="422"/>
        <v/>
      </c>
      <c r="ED72" s="69" t="str">
        <f t="shared" si="537"/>
        <v/>
      </c>
      <c r="EF72" s="69" t="str">
        <f t="shared" si="423"/>
        <v/>
      </c>
      <c r="EG72" s="69" t="str">
        <f t="shared" si="424"/>
        <v/>
      </c>
      <c r="EH72" s="69" t="str">
        <f t="shared" si="538"/>
        <v/>
      </c>
      <c r="EI72" s="69" t="str">
        <f t="shared" si="425"/>
        <v/>
      </c>
      <c r="EJ72" s="69" t="str">
        <f t="shared" si="426"/>
        <v/>
      </c>
      <c r="EK72" s="69" t="str">
        <f t="shared" si="539"/>
        <v/>
      </c>
      <c r="EL72" s="69" t="str">
        <f t="shared" si="427"/>
        <v/>
      </c>
      <c r="EM72" s="69" t="str">
        <f t="shared" si="428"/>
        <v/>
      </c>
      <c r="EN72" s="69" t="str">
        <f t="shared" si="540"/>
        <v/>
      </c>
      <c r="EO72" s="69" t="str">
        <f t="shared" si="429"/>
        <v/>
      </c>
      <c r="EP72" s="69" t="str">
        <f t="shared" si="430"/>
        <v/>
      </c>
      <c r="EQ72" s="69" t="str">
        <f t="shared" si="541"/>
        <v/>
      </c>
      <c r="ER72" s="69" t="str">
        <f t="shared" si="431"/>
        <v/>
      </c>
      <c r="ES72" s="69" t="str">
        <f t="shared" si="432"/>
        <v/>
      </c>
      <c r="ET72" s="69" t="str">
        <f t="shared" si="542"/>
        <v/>
      </c>
      <c r="EU72" s="69" t="str">
        <f t="shared" si="433"/>
        <v/>
      </c>
      <c r="EV72" s="69" t="str">
        <f t="shared" si="434"/>
        <v/>
      </c>
      <c r="EW72" s="69" t="str">
        <f t="shared" si="543"/>
        <v/>
      </c>
      <c r="EX72" s="69" t="str">
        <f t="shared" si="435"/>
        <v/>
      </c>
      <c r="EY72" s="69" t="str">
        <f t="shared" si="436"/>
        <v/>
      </c>
      <c r="EZ72" s="69" t="str">
        <f t="shared" si="544"/>
        <v/>
      </c>
      <c r="FB72" s="69" t="str">
        <f t="shared" si="437"/>
        <v/>
      </c>
      <c r="FC72" s="69" t="str">
        <f t="shared" si="438"/>
        <v/>
      </c>
      <c r="FD72" s="69" t="str">
        <f t="shared" si="545"/>
        <v/>
      </c>
      <c r="FE72" s="69" t="str">
        <f t="shared" si="439"/>
        <v/>
      </c>
      <c r="FF72" s="69" t="str">
        <f t="shared" si="440"/>
        <v/>
      </c>
      <c r="FG72" s="69" t="str">
        <f t="shared" si="546"/>
        <v/>
      </c>
      <c r="FH72" s="69" t="str">
        <f t="shared" si="441"/>
        <v/>
      </c>
      <c r="FI72" s="69" t="str">
        <f t="shared" si="442"/>
        <v/>
      </c>
      <c r="FJ72" s="69" t="str">
        <f t="shared" si="547"/>
        <v/>
      </c>
      <c r="FK72" s="69" t="str">
        <f t="shared" si="443"/>
        <v/>
      </c>
      <c r="FL72" s="69" t="str">
        <f t="shared" si="444"/>
        <v/>
      </c>
      <c r="FM72" s="69" t="str">
        <f t="shared" si="548"/>
        <v/>
      </c>
      <c r="FN72" s="69" t="str">
        <f t="shared" si="445"/>
        <v/>
      </c>
      <c r="FO72" s="69" t="str">
        <f t="shared" si="446"/>
        <v/>
      </c>
      <c r="FP72" s="69" t="str">
        <f t="shared" si="549"/>
        <v/>
      </c>
      <c r="FQ72" s="69" t="str">
        <f t="shared" si="447"/>
        <v/>
      </c>
      <c r="FR72" s="69" t="str">
        <f t="shared" si="448"/>
        <v/>
      </c>
      <c r="FS72" s="69" t="str">
        <f t="shared" si="550"/>
        <v/>
      </c>
      <c r="FU72" s="69" t="str">
        <f t="shared" si="449"/>
        <v/>
      </c>
      <c r="FV72" s="69" t="str">
        <f t="shared" si="450"/>
        <v/>
      </c>
      <c r="FW72" s="69" t="str">
        <f t="shared" si="551"/>
        <v/>
      </c>
      <c r="FX72" s="69" t="str">
        <f t="shared" si="451"/>
        <v/>
      </c>
      <c r="FY72" s="69" t="str">
        <f t="shared" si="452"/>
        <v/>
      </c>
      <c r="FZ72" s="69" t="str">
        <f t="shared" si="552"/>
        <v/>
      </c>
      <c r="GA72" s="69" t="str">
        <f t="shared" si="453"/>
        <v/>
      </c>
      <c r="GB72" s="69" t="str">
        <f t="shared" si="454"/>
        <v/>
      </c>
      <c r="GC72" s="69" t="str">
        <f t="shared" si="553"/>
        <v/>
      </c>
      <c r="GD72" s="69" t="str">
        <f t="shared" si="455"/>
        <v/>
      </c>
      <c r="GE72" s="69" t="str">
        <f t="shared" si="456"/>
        <v/>
      </c>
      <c r="GF72" s="69" t="str">
        <f t="shared" si="554"/>
        <v/>
      </c>
      <c r="GG72" s="69" t="str">
        <f t="shared" si="457"/>
        <v/>
      </c>
      <c r="GH72" s="69" t="str">
        <f t="shared" si="458"/>
        <v/>
      </c>
      <c r="GI72" s="69" t="str">
        <f t="shared" si="555"/>
        <v/>
      </c>
      <c r="GK72" s="69" t="str">
        <f t="shared" si="459"/>
        <v/>
      </c>
      <c r="GL72" s="69" t="str">
        <f t="shared" si="460"/>
        <v/>
      </c>
      <c r="GM72" s="69" t="str">
        <f t="shared" si="556"/>
        <v/>
      </c>
      <c r="GN72" s="69" t="str">
        <f t="shared" si="461"/>
        <v/>
      </c>
      <c r="GO72" s="69" t="str">
        <f t="shared" si="462"/>
        <v/>
      </c>
      <c r="GP72" s="69" t="str">
        <f t="shared" si="557"/>
        <v/>
      </c>
      <c r="GQ72" s="69" t="str">
        <f t="shared" si="463"/>
        <v/>
      </c>
      <c r="GR72" s="69" t="str">
        <f t="shared" si="464"/>
        <v/>
      </c>
      <c r="GS72" s="69" t="str">
        <f t="shared" si="558"/>
        <v/>
      </c>
      <c r="GT72" s="69" t="str">
        <f t="shared" si="465"/>
        <v/>
      </c>
      <c r="GU72" s="69" t="str">
        <f t="shared" si="466"/>
        <v/>
      </c>
      <c r="GV72" s="69" t="str">
        <f t="shared" si="559"/>
        <v/>
      </c>
      <c r="GX72" s="69" t="str">
        <f t="shared" si="560"/>
        <v/>
      </c>
      <c r="GY72" s="69" t="str">
        <f t="shared" si="561"/>
        <v/>
      </c>
      <c r="GZ72" s="69" t="str">
        <f t="shared" si="562"/>
        <v/>
      </c>
      <c r="HA72" s="69" t="str">
        <f t="shared" si="563"/>
        <v/>
      </c>
      <c r="HB72" s="69" t="str">
        <f t="shared" si="564"/>
        <v/>
      </c>
      <c r="HC72" s="69" t="str">
        <f t="shared" si="565"/>
        <v/>
      </c>
      <c r="HD72" s="69" t="str">
        <f t="shared" si="566"/>
        <v/>
      </c>
      <c r="HE72" s="69" t="str">
        <f t="shared" si="567"/>
        <v/>
      </c>
      <c r="HF72" s="69" t="str">
        <f t="shared" si="568"/>
        <v/>
      </c>
      <c r="HH72" s="69" t="str">
        <f t="shared" si="569"/>
        <v/>
      </c>
      <c r="HI72" s="69" t="str">
        <f t="shared" si="570"/>
        <v/>
      </c>
      <c r="HJ72" s="69" t="str">
        <f t="shared" si="571"/>
        <v/>
      </c>
      <c r="HK72" s="69" t="str">
        <f t="shared" si="572"/>
        <v/>
      </c>
      <c r="HL72" s="69" t="str">
        <f t="shared" si="573"/>
        <v/>
      </c>
      <c r="HM72" s="69" t="str">
        <f t="shared" si="574"/>
        <v/>
      </c>
      <c r="HO72" s="69" t="str">
        <f t="shared" si="575"/>
        <v/>
      </c>
      <c r="HP72" s="69" t="str">
        <f t="shared" si="576"/>
        <v/>
      </c>
      <c r="HQ72" s="69" t="str">
        <f t="shared" si="577"/>
        <v/>
      </c>
      <c r="HS72" s="69" t="str">
        <f t="shared" si="467"/>
        <v/>
      </c>
      <c r="HT72" s="69" t="str">
        <f t="shared" si="468"/>
        <v/>
      </c>
      <c r="HU72" s="69" t="str">
        <f t="shared" si="578"/>
        <v/>
      </c>
      <c r="HV72" s="69" t="str">
        <f t="shared" si="469"/>
        <v/>
      </c>
      <c r="HW72" s="69" t="str">
        <f t="shared" si="470"/>
        <v/>
      </c>
      <c r="HX72" s="69" t="str">
        <f t="shared" si="579"/>
        <v/>
      </c>
      <c r="HY72" s="69" t="str">
        <f t="shared" si="471"/>
        <v/>
      </c>
      <c r="HZ72" s="69" t="str">
        <f t="shared" si="472"/>
        <v/>
      </c>
      <c r="IA72" s="69" t="str">
        <f t="shared" si="580"/>
        <v/>
      </c>
      <c r="IB72" s="69" t="str">
        <f t="shared" si="473"/>
        <v/>
      </c>
      <c r="IC72" s="69" t="str">
        <f t="shared" si="474"/>
        <v/>
      </c>
      <c r="ID72" s="69" t="str">
        <f t="shared" si="581"/>
        <v/>
      </c>
      <c r="IE72" s="69" t="str">
        <f t="shared" si="475"/>
        <v/>
      </c>
      <c r="IF72" s="69" t="str">
        <f t="shared" si="476"/>
        <v/>
      </c>
      <c r="IG72" s="69" t="str">
        <f t="shared" si="582"/>
        <v/>
      </c>
      <c r="IH72" s="69" t="str">
        <f t="shared" si="477"/>
        <v/>
      </c>
      <c r="II72" s="69" t="str">
        <f t="shared" si="478"/>
        <v/>
      </c>
      <c r="IJ72" s="69" t="str">
        <f t="shared" si="583"/>
        <v/>
      </c>
      <c r="IK72" s="69" t="str">
        <f t="shared" si="479"/>
        <v/>
      </c>
      <c r="IL72" s="69" t="str">
        <f t="shared" si="480"/>
        <v/>
      </c>
      <c r="IM72" s="69" t="str">
        <f t="shared" si="584"/>
        <v/>
      </c>
      <c r="IN72" s="69" t="str">
        <f t="shared" si="585"/>
        <v/>
      </c>
      <c r="IO72" s="69" t="str">
        <f t="shared" si="586"/>
        <v/>
      </c>
      <c r="IP72" s="69" t="str">
        <f t="shared" si="587"/>
        <v/>
      </c>
      <c r="IQ72" s="69" t="str">
        <f t="shared" si="588"/>
        <v/>
      </c>
      <c r="IR72" s="69" t="str">
        <f t="shared" si="589"/>
        <v/>
      </c>
      <c r="IS72" s="69" t="str">
        <f t="shared" si="590"/>
        <v/>
      </c>
      <c r="IT72" s="69" t="str">
        <f t="shared" si="591"/>
        <v/>
      </c>
      <c r="IU72" s="69" t="str">
        <f t="shared" si="592"/>
        <v/>
      </c>
      <c r="IV72" s="69" t="str">
        <f t="shared" si="593"/>
        <v/>
      </c>
    </row>
    <row r="73" spans="1:256" x14ac:dyDescent="0.2">
      <c r="A73" s="57" t="s">
        <v>76</v>
      </c>
      <c r="B73" s="178"/>
      <c r="C73" s="180"/>
      <c r="D73" s="179"/>
      <c r="E73" s="179"/>
      <c r="F73" s="179"/>
      <c r="G73" s="180"/>
      <c r="H73" s="180"/>
      <c r="I73" s="181"/>
      <c r="J73" s="182"/>
      <c r="K73" s="183"/>
      <c r="L73" s="68">
        <f t="shared" si="360"/>
        <v>0</v>
      </c>
      <c r="M73" s="69" t="str">
        <f t="shared" si="361"/>
        <v/>
      </c>
      <c r="N73" s="69" t="str">
        <f t="shared" si="481"/>
        <v/>
      </c>
      <c r="O73" s="69" t="str">
        <f t="shared" si="482"/>
        <v/>
      </c>
      <c r="P73" s="69" t="str">
        <f t="shared" si="483"/>
        <v/>
      </c>
      <c r="Q73" s="70" t="str">
        <f t="shared" si="362"/>
        <v/>
      </c>
      <c r="R73" s="71" t="str">
        <f t="shared" si="484"/>
        <v/>
      </c>
      <c r="S73" s="71" t="str">
        <f t="shared" si="485"/>
        <v/>
      </c>
      <c r="T73" s="70" t="str">
        <f t="shared" si="363"/>
        <v/>
      </c>
      <c r="U73" s="71" t="str">
        <f t="shared" si="486"/>
        <v/>
      </c>
      <c r="V73" s="71" t="str">
        <f t="shared" si="487"/>
        <v/>
      </c>
      <c r="W73" s="70" t="str">
        <f t="shared" si="364"/>
        <v/>
      </c>
      <c r="X73" s="71" t="str">
        <f t="shared" si="488"/>
        <v/>
      </c>
      <c r="Y73" s="71" t="str">
        <f t="shared" si="489"/>
        <v/>
      </c>
      <c r="Z73" s="70" t="str">
        <f t="shared" si="365"/>
        <v/>
      </c>
      <c r="AA73" s="71" t="str">
        <f t="shared" si="490"/>
        <v/>
      </c>
      <c r="AB73" s="71" t="str">
        <f t="shared" si="491"/>
        <v/>
      </c>
      <c r="AC73" s="70" t="str">
        <f t="shared" si="366"/>
        <v/>
      </c>
      <c r="AD73" s="71" t="str">
        <f t="shared" si="492"/>
        <v/>
      </c>
      <c r="AE73" s="71" t="str">
        <f t="shared" si="493"/>
        <v/>
      </c>
      <c r="AF73" s="70" t="str">
        <f t="shared" si="367"/>
        <v/>
      </c>
      <c r="AG73" s="71" t="str">
        <f t="shared" si="494"/>
        <v/>
      </c>
      <c r="AH73" s="71" t="str">
        <f t="shared" si="495"/>
        <v/>
      </c>
      <c r="AI73" s="70" t="str">
        <f t="shared" si="368"/>
        <v/>
      </c>
      <c r="AJ73" s="71" t="str">
        <f t="shared" si="496"/>
        <v/>
      </c>
      <c r="AK73" s="71" t="str">
        <f t="shared" si="497"/>
        <v/>
      </c>
      <c r="AL73" s="70" t="str">
        <f t="shared" si="498"/>
        <v/>
      </c>
      <c r="AM73" s="71" t="str">
        <f t="shared" si="499"/>
        <v/>
      </c>
      <c r="AN73" s="71" t="str">
        <f t="shared" si="500"/>
        <v/>
      </c>
      <c r="AO73" s="70" t="str">
        <f t="shared" si="501"/>
        <v/>
      </c>
      <c r="AP73" s="71" t="str">
        <f t="shared" si="502"/>
        <v/>
      </c>
      <c r="AQ73" s="71" t="str">
        <f t="shared" si="503"/>
        <v/>
      </c>
      <c r="AR73" s="70" t="str">
        <f t="shared" si="504"/>
        <v/>
      </c>
      <c r="AS73" s="71" t="str">
        <f t="shared" si="505"/>
        <v/>
      </c>
      <c r="AT73" s="71" t="str">
        <f t="shared" si="506"/>
        <v/>
      </c>
      <c r="AU73" s="69" t="str">
        <f t="shared" si="507"/>
        <v/>
      </c>
      <c r="AV73" s="131" t="str">
        <f t="shared" si="508"/>
        <v/>
      </c>
      <c r="AW73" s="69" t="str">
        <f t="shared" si="594"/>
        <v/>
      </c>
      <c r="AX73" s="132" t="str">
        <f t="shared" si="509"/>
        <v/>
      </c>
      <c r="AY73" s="132" t="str">
        <f t="shared" si="510"/>
        <v/>
      </c>
      <c r="AZ73" s="69" t="str">
        <f t="shared" si="369"/>
        <v/>
      </c>
      <c r="BA73" s="69" t="str">
        <f t="shared" si="370"/>
        <v/>
      </c>
      <c r="BB73" s="69" t="str">
        <f t="shared" si="511"/>
        <v/>
      </c>
      <c r="BC73" s="69" t="str">
        <f t="shared" si="371"/>
        <v/>
      </c>
      <c r="BD73" s="69" t="str">
        <f t="shared" si="372"/>
        <v/>
      </c>
      <c r="BE73" s="69" t="str">
        <f t="shared" si="512"/>
        <v/>
      </c>
      <c r="BF73" s="69" t="str">
        <f t="shared" si="373"/>
        <v/>
      </c>
      <c r="BG73" s="69" t="str">
        <f t="shared" si="374"/>
        <v/>
      </c>
      <c r="BH73" s="69" t="str">
        <f t="shared" si="513"/>
        <v/>
      </c>
      <c r="BI73" s="69" t="str">
        <f t="shared" si="375"/>
        <v/>
      </c>
      <c r="BJ73" s="69" t="str">
        <f t="shared" si="376"/>
        <v/>
      </c>
      <c r="BK73" s="69" t="str">
        <f t="shared" si="514"/>
        <v/>
      </c>
      <c r="BL73" s="69" t="str">
        <f t="shared" si="377"/>
        <v/>
      </c>
      <c r="BM73" s="69" t="str">
        <f t="shared" si="378"/>
        <v/>
      </c>
      <c r="BN73" s="69" t="str">
        <f t="shared" si="515"/>
        <v/>
      </c>
      <c r="BO73" s="69" t="str">
        <f t="shared" si="379"/>
        <v/>
      </c>
      <c r="BP73" s="69" t="str">
        <f t="shared" si="380"/>
        <v/>
      </c>
      <c r="BQ73" s="69" t="str">
        <f t="shared" si="516"/>
        <v/>
      </c>
      <c r="BR73" s="69" t="str">
        <f t="shared" si="381"/>
        <v/>
      </c>
      <c r="BS73" s="69" t="str">
        <f t="shared" si="382"/>
        <v/>
      </c>
      <c r="BT73" s="69" t="str">
        <f t="shared" si="517"/>
        <v/>
      </c>
      <c r="BU73" s="69" t="str">
        <f t="shared" si="383"/>
        <v/>
      </c>
      <c r="BV73" s="69" t="str">
        <f t="shared" si="384"/>
        <v/>
      </c>
      <c r="BW73" s="69" t="str">
        <f t="shared" si="518"/>
        <v/>
      </c>
      <c r="BX73" s="69" t="str">
        <f t="shared" si="385"/>
        <v/>
      </c>
      <c r="BY73" s="69" t="str">
        <f t="shared" si="386"/>
        <v/>
      </c>
      <c r="BZ73" s="69" t="str">
        <f t="shared" si="519"/>
        <v/>
      </c>
      <c r="CA73" s="69" t="str">
        <f t="shared" si="387"/>
        <v/>
      </c>
      <c r="CB73" s="69" t="str">
        <f t="shared" si="388"/>
        <v/>
      </c>
      <c r="CC73" s="69" t="str">
        <f t="shared" si="520"/>
        <v/>
      </c>
      <c r="CE73" s="69" t="str">
        <f t="shared" si="389"/>
        <v/>
      </c>
      <c r="CF73" s="69" t="str">
        <f t="shared" si="390"/>
        <v/>
      </c>
      <c r="CG73" s="69" t="str">
        <f t="shared" si="521"/>
        <v/>
      </c>
      <c r="CH73" s="69" t="str">
        <f t="shared" si="391"/>
        <v/>
      </c>
      <c r="CI73" s="69" t="str">
        <f t="shared" si="392"/>
        <v/>
      </c>
      <c r="CJ73" s="69" t="str">
        <f t="shared" si="522"/>
        <v/>
      </c>
      <c r="CK73" s="69" t="str">
        <f t="shared" si="393"/>
        <v/>
      </c>
      <c r="CL73" s="69" t="str">
        <f t="shared" si="394"/>
        <v/>
      </c>
      <c r="CM73" s="69" t="str">
        <f t="shared" si="523"/>
        <v/>
      </c>
      <c r="CN73" s="69" t="str">
        <f t="shared" si="395"/>
        <v/>
      </c>
      <c r="CO73" s="69" t="str">
        <f t="shared" si="396"/>
        <v/>
      </c>
      <c r="CP73" s="69" t="str">
        <f t="shared" si="524"/>
        <v/>
      </c>
      <c r="CQ73" s="69" t="str">
        <f t="shared" si="397"/>
        <v/>
      </c>
      <c r="CR73" s="69" t="str">
        <f t="shared" si="398"/>
        <v/>
      </c>
      <c r="CS73" s="69" t="str">
        <f t="shared" si="525"/>
        <v/>
      </c>
      <c r="CT73" s="69" t="str">
        <f t="shared" si="399"/>
        <v/>
      </c>
      <c r="CU73" s="69" t="str">
        <f t="shared" si="400"/>
        <v/>
      </c>
      <c r="CV73" s="69" t="str">
        <f t="shared" si="526"/>
        <v/>
      </c>
      <c r="CW73" s="69" t="str">
        <f t="shared" si="401"/>
        <v/>
      </c>
      <c r="CX73" s="69" t="str">
        <f t="shared" si="402"/>
        <v/>
      </c>
      <c r="CY73" s="69" t="str">
        <f t="shared" si="527"/>
        <v/>
      </c>
      <c r="CZ73" s="69" t="str">
        <f t="shared" si="403"/>
        <v/>
      </c>
      <c r="DA73" s="69" t="str">
        <f t="shared" si="404"/>
        <v/>
      </c>
      <c r="DB73" s="69" t="str">
        <f t="shared" si="528"/>
        <v/>
      </c>
      <c r="DC73" s="69" t="str">
        <f t="shared" si="405"/>
        <v/>
      </c>
      <c r="DD73" s="69" t="str">
        <f t="shared" si="406"/>
        <v/>
      </c>
      <c r="DE73" s="69" t="str">
        <f t="shared" si="529"/>
        <v/>
      </c>
      <c r="DG73" s="69" t="str">
        <f t="shared" si="407"/>
        <v/>
      </c>
      <c r="DH73" s="69" t="str">
        <f t="shared" si="408"/>
        <v/>
      </c>
      <c r="DI73" s="69" t="str">
        <f t="shared" si="530"/>
        <v/>
      </c>
      <c r="DJ73" s="69" t="str">
        <f t="shared" si="409"/>
        <v/>
      </c>
      <c r="DK73" s="69" t="str">
        <f t="shared" si="410"/>
        <v/>
      </c>
      <c r="DL73" s="69" t="str">
        <f t="shared" si="531"/>
        <v/>
      </c>
      <c r="DM73" s="69" t="str">
        <f t="shared" si="411"/>
        <v/>
      </c>
      <c r="DN73" s="69" t="str">
        <f t="shared" si="412"/>
        <v/>
      </c>
      <c r="DO73" s="69" t="str">
        <f t="shared" si="532"/>
        <v/>
      </c>
      <c r="DP73" s="69" t="str">
        <f t="shared" si="413"/>
        <v/>
      </c>
      <c r="DQ73" s="69" t="str">
        <f t="shared" si="414"/>
        <v/>
      </c>
      <c r="DR73" s="69" t="str">
        <f t="shared" si="533"/>
        <v/>
      </c>
      <c r="DS73" s="69" t="str">
        <f t="shared" si="415"/>
        <v/>
      </c>
      <c r="DT73" s="69" t="str">
        <f t="shared" si="416"/>
        <v/>
      </c>
      <c r="DU73" s="69" t="str">
        <f t="shared" si="534"/>
        <v/>
      </c>
      <c r="DV73" s="69" t="str">
        <f t="shared" si="417"/>
        <v/>
      </c>
      <c r="DW73" s="69" t="str">
        <f t="shared" si="418"/>
        <v/>
      </c>
      <c r="DX73" s="69" t="str">
        <f t="shared" si="535"/>
        <v/>
      </c>
      <c r="DY73" s="69" t="str">
        <f t="shared" si="419"/>
        <v/>
      </c>
      <c r="DZ73" s="69" t="str">
        <f t="shared" si="420"/>
        <v/>
      </c>
      <c r="EA73" s="69" t="str">
        <f t="shared" si="536"/>
        <v/>
      </c>
      <c r="EB73" s="69" t="str">
        <f t="shared" si="421"/>
        <v/>
      </c>
      <c r="EC73" s="69" t="str">
        <f t="shared" si="422"/>
        <v/>
      </c>
      <c r="ED73" s="69" t="str">
        <f t="shared" si="537"/>
        <v/>
      </c>
      <c r="EF73" s="69" t="str">
        <f t="shared" si="423"/>
        <v/>
      </c>
      <c r="EG73" s="69" t="str">
        <f t="shared" si="424"/>
        <v/>
      </c>
      <c r="EH73" s="69" t="str">
        <f t="shared" si="538"/>
        <v/>
      </c>
      <c r="EI73" s="69" t="str">
        <f t="shared" si="425"/>
        <v/>
      </c>
      <c r="EJ73" s="69" t="str">
        <f t="shared" si="426"/>
        <v/>
      </c>
      <c r="EK73" s="69" t="str">
        <f t="shared" si="539"/>
        <v/>
      </c>
      <c r="EL73" s="69" t="str">
        <f t="shared" si="427"/>
        <v/>
      </c>
      <c r="EM73" s="69" t="str">
        <f t="shared" si="428"/>
        <v/>
      </c>
      <c r="EN73" s="69" t="str">
        <f t="shared" si="540"/>
        <v/>
      </c>
      <c r="EO73" s="69" t="str">
        <f t="shared" si="429"/>
        <v/>
      </c>
      <c r="EP73" s="69" t="str">
        <f t="shared" si="430"/>
        <v/>
      </c>
      <c r="EQ73" s="69" t="str">
        <f t="shared" si="541"/>
        <v/>
      </c>
      <c r="ER73" s="69" t="str">
        <f t="shared" si="431"/>
        <v/>
      </c>
      <c r="ES73" s="69" t="str">
        <f t="shared" si="432"/>
        <v/>
      </c>
      <c r="ET73" s="69" t="str">
        <f t="shared" si="542"/>
        <v/>
      </c>
      <c r="EU73" s="69" t="str">
        <f t="shared" si="433"/>
        <v/>
      </c>
      <c r="EV73" s="69" t="str">
        <f t="shared" si="434"/>
        <v/>
      </c>
      <c r="EW73" s="69" t="str">
        <f t="shared" si="543"/>
        <v/>
      </c>
      <c r="EX73" s="69" t="str">
        <f t="shared" si="435"/>
        <v/>
      </c>
      <c r="EY73" s="69" t="str">
        <f t="shared" si="436"/>
        <v/>
      </c>
      <c r="EZ73" s="69" t="str">
        <f t="shared" si="544"/>
        <v/>
      </c>
      <c r="FB73" s="69" t="str">
        <f t="shared" si="437"/>
        <v/>
      </c>
      <c r="FC73" s="69" t="str">
        <f t="shared" si="438"/>
        <v/>
      </c>
      <c r="FD73" s="69" t="str">
        <f t="shared" si="545"/>
        <v/>
      </c>
      <c r="FE73" s="69" t="str">
        <f t="shared" si="439"/>
        <v/>
      </c>
      <c r="FF73" s="69" t="str">
        <f t="shared" si="440"/>
        <v/>
      </c>
      <c r="FG73" s="69" t="str">
        <f t="shared" si="546"/>
        <v/>
      </c>
      <c r="FH73" s="69" t="str">
        <f t="shared" si="441"/>
        <v/>
      </c>
      <c r="FI73" s="69" t="str">
        <f t="shared" si="442"/>
        <v/>
      </c>
      <c r="FJ73" s="69" t="str">
        <f t="shared" si="547"/>
        <v/>
      </c>
      <c r="FK73" s="69" t="str">
        <f t="shared" si="443"/>
        <v/>
      </c>
      <c r="FL73" s="69" t="str">
        <f t="shared" si="444"/>
        <v/>
      </c>
      <c r="FM73" s="69" t="str">
        <f t="shared" si="548"/>
        <v/>
      </c>
      <c r="FN73" s="69" t="str">
        <f t="shared" si="445"/>
        <v/>
      </c>
      <c r="FO73" s="69" t="str">
        <f t="shared" si="446"/>
        <v/>
      </c>
      <c r="FP73" s="69" t="str">
        <f t="shared" si="549"/>
        <v/>
      </c>
      <c r="FQ73" s="69" t="str">
        <f t="shared" si="447"/>
        <v/>
      </c>
      <c r="FR73" s="69" t="str">
        <f t="shared" si="448"/>
        <v/>
      </c>
      <c r="FS73" s="69" t="str">
        <f t="shared" si="550"/>
        <v/>
      </c>
      <c r="FU73" s="69" t="str">
        <f t="shared" si="449"/>
        <v/>
      </c>
      <c r="FV73" s="69" t="str">
        <f t="shared" si="450"/>
        <v/>
      </c>
      <c r="FW73" s="69" t="str">
        <f t="shared" si="551"/>
        <v/>
      </c>
      <c r="FX73" s="69" t="str">
        <f t="shared" si="451"/>
        <v/>
      </c>
      <c r="FY73" s="69" t="str">
        <f t="shared" si="452"/>
        <v/>
      </c>
      <c r="FZ73" s="69" t="str">
        <f t="shared" si="552"/>
        <v/>
      </c>
      <c r="GA73" s="69" t="str">
        <f t="shared" si="453"/>
        <v/>
      </c>
      <c r="GB73" s="69" t="str">
        <f t="shared" si="454"/>
        <v/>
      </c>
      <c r="GC73" s="69" t="str">
        <f t="shared" si="553"/>
        <v/>
      </c>
      <c r="GD73" s="69" t="str">
        <f t="shared" si="455"/>
        <v/>
      </c>
      <c r="GE73" s="69" t="str">
        <f t="shared" si="456"/>
        <v/>
      </c>
      <c r="GF73" s="69" t="str">
        <f t="shared" si="554"/>
        <v/>
      </c>
      <c r="GG73" s="69" t="str">
        <f t="shared" si="457"/>
        <v/>
      </c>
      <c r="GH73" s="69" t="str">
        <f t="shared" si="458"/>
        <v/>
      </c>
      <c r="GI73" s="69" t="str">
        <f t="shared" si="555"/>
        <v/>
      </c>
      <c r="GK73" s="69" t="str">
        <f t="shared" si="459"/>
        <v/>
      </c>
      <c r="GL73" s="69" t="str">
        <f t="shared" si="460"/>
        <v/>
      </c>
      <c r="GM73" s="69" t="str">
        <f t="shared" si="556"/>
        <v/>
      </c>
      <c r="GN73" s="69" t="str">
        <f t="shared" si="461"/>
        <v/>
      </c>
      <c r="GO73" s="69" t="str">
        <f t="shared" si="462"/>
        <v/>
      </c>
      <c r="GP73" s="69" t="str">
        <f t="shared" si="557"/>
        <v/>
      </c>
      <c r="GQ73" s="69" t="str">
        <f t="shared" si="463"/>
        <v/>
      </c>
      <c r="GR73" s="69" t="str">
        <f t="shared" si="464"/>
        <v/>
      </c>
      <c r="GS73" s="69" t="str">
        <f t="shared" si="558"/>
        <v/>
      </c>
      <c r="GT73" s="69" t="str">
        <f t="shared" si="465"/>
        <v/>
      </c>
      <c r="GU73" s="69" t="str">
        <f t="shared" si="466"/>
        <v/>
      </c>
      <c r="GV73" s="69" t="str">
        <f t="shared" si="559"/>
        <v/>
      </c>
      <c r="GX73" s="69" t="str">
        <f t="shared" si="560"/>
        <v/>
      </c>
      <c r="GY73" s="69" t="str">
        <f t="shared" si="561"/>
        <v/>
      </c>
      <c r="GZ73" s="69" t="str">
        <f t="shared" si="562"/>
        <v/>
      </c>
      <c r="HA73" s="69" t="str">
        <f t="shared" si="563"/>
        <v/>
      </c>
      <c r="HB73" s="69" t="str">
        <f t="shared" si="564"/>
        <v/>
      </c>
      <c r="HC73" s="69" t="str">
        <f t="shared" si="565"/>
        <v/>
      </c>
      <c r="HD73" s="69" t="str">
        <f t="shared" si="566"/>
        <v/>
      </c>
      <c r="HE73" s="69" t="str">
        <f t="shared" si="567"/>
        <v/>
      </c>
      <c r="HF73" s="69" t="str">
        <f t="shared" si="568"/>
        <v/>
      </c>
      <c r="HH73" s="69" t="str">
        <f t="shared" si="569"/>
        <v/>
      </c>
      <c r="HI73" s="69" t="str">
        <f t="shared" si="570"/>
        <v/>
      </c>
      <c r="HJ73" s="69" t="str">
        <f t="shared" si="571"/>
        <v/>
      </c>
      <c r="HK73" s="69" t="str">
        <f t="shared" si="572"/>
        <v/>
      </c>
      <c r="HL73" s="69" t="str">
        <f t="shared" si="573"/>
        <v/>
      </c>
      <c r="HM73" s="69" t="str">
        <f t="shared" si="574"/>
        <v/>
      </c>
      <c r="HO73" s="69" t="str">
        <f t="shared" si="575"/>
        <v/>
      </c>
      <c r="HP73" s="69" t="str">
        <f t="shared" si="576"/>
        <v/>
      </c>
      <c r="HQ73" s="69" t="str">
        <f t="shared" si="577"/>
        <v/>
      </c>
      <c r="HS73" s="69" t="str">
        <f t="shared" si="467"/>
        <v/>
      </c>
      <c r="HT73" s="69" t="str">
        <f t="shared" si="468"/>
        <v/>
      </c>
      <c r="HU73" s="69" t="str">
        <f t="shared" si="578"/>
        <v/>
      </c>
      <c r="HV73" s="69" t="str">
        <f t="shared" si="469"/>
        <v/>
      </c>
      <c r="HW73" s="69" t="str">
        <f t="shared" si="470"/>
        <v/>
      </c>
      <c r="HX73" s="69" t="str">
        <f t="shared" si="579"/>
        <v/>
      </c>
      <c r="HY73" s="69" t="str">
        <f t="shared" si="471"/>
        <v/>
      </c>
      <c r="HZ73" s="69" t="str">
        <f t="shared" si="472"/>
        <v/>
      </c>
      <c r="IA73" s="69" t="str">
        <f t="shared" si="580"/>
        <v/>
      </c>
      <c r="IB73" s="69" t="str">
        <f t="shared" si="473"/>
        <v/>
      </c>
      <c r="IC73" s="69" t="str">
        <f t="shared" si="474"/>
        <v/>
      </c>
      <c r="ID73" s="69" t="str">
        <f t="shared" si="581"/>
        <v/>
      </c>
      <c r="IE73" s="69" t="str">
        <f t="shared" si="475"/>
        <v/>
      </c>
      <c r="IF73" s="69" t="str">
        <f t="shared" si="476"/>
        <v/>
      </c>
      <c r="IG73" s="69" t="str">
        <f t="shared" si="582"/>
        <v/>
      </c>
      <c r="IH73" s="69" t="str">
        <f t="shared" si="477"/>
        <v/>
      </c>
      <c r="II73" s="69" t="str">
        <f t="shared" si="478"/>
        <v/>
      </c>
      <c r="IJ73" s="69" t="str">
        <f t="shared" si="583"/>
        <v/>
      </c>
      <c r="IK73" s="69" t="str">
        <f t="shared" si="479"/>
        <v/>
      </c>
      <c r="IL73" s="69" t="str">
        <f t="shared" si="480"/>
        <v/>
      </c>
      <c r="IM73" s="69" t="str">
        <f t="shared" si="584"/>
        <v/>
      </c>
      <c r="IN73" s="69" t="str">
        <f t="shared" si="585"/>
        <v/>
      </c>
      <c r="IO73" s="69" t="str">
        <f t="shared" si="586"/>
        <v/>
      </c>
      <c r="IP73" s="69" t="str">
        <f t="shared" si="587"/>
        <v/>
      </c>
      <c r="IQ73" s="69" t="str">
        <f t="shared" si="588"/>
        <v/>
      </c>
      <c r="IR73" s="69" t="str">
        <f t="shared" si="589"/>
        <v/>
      </c>
      <c r="IS73" s="69" t="str">
        <f t="shared" si="590"/>
        <v/>
      </c>
      <c r="IT73" s="69" t="str">
        <f t="shared" si="591"/>
        <v/>
      </c>
      <c r="IU73" s="69" t="str">
        <f t="shared" si="592"/>
        <v/>
      </c>
      <c r="IV73" s="69" t="str">
        <f t="shared" si="593"/>
        <v/>
      </c>
    </row>
    <row r="74" spans="1:256" x14ac:dyDescent="0.2">
      <c r="A74" s="57" t="s">
        <v>77</v>
      </c>
      <c r="B74" s="178"/>
      <c r="C74" s="180"/>
      <c r="D74" s="179"/>
      <c r="E74" s="179"/>
      <c r="F74" s="179"/>
      <c r="G74" s="180"/>
      <c r="H74" s="180"/>
      <c r="I74" s="181"/>
      <c r="J74" s="182"/>
      <c r="K74" s="183"/>
      <c r="L74" s="68">
        <f t="shared" si="360"/>
        <v>0</v>
      </c>
      <c r="M74" s="69" t="str">
        <f t="shared" si="361"/>
        <v/>
      </c>
      <c r="N74" s="69" t="str">
        <f t="shared" si="481"/>
        <v/>
      </c>
      <c r="O74" s="69" t="str">
        <f t="shared" si="482"/>
        <v/>
      </c>
      <c r="P74" s="69" t="str">
        <f t="shared" si="483"/>
        <v/>
      </c>
      <c r="Q74" s="70" t="str">
        <f t="shared" si="362"/>
        <v/>
      </c>
      <c r="R74" s="71" t="str">
        <f t="shared" si="484"/>
        <v/>
      </c>
      <c r="S74" s="71" t="str">
        <f t="shared" si="485"/>
        <v/>
      </c>
      <c r="T74" s="70" t="str">
        <f t="shared" si="363"/>
        <v/>
      </c>
      <c r="U74" s="71" t="str">
        <f t="shared" si="486"/>
        <v/>
      </c>
      <c r="V74" s="71" t="str">
        <f t="shared" si="487"/>
        <v/>
      </c>
      <c r="W74" s="70" t="str">
        <f t="shared" si="364"/>
        <v/>
      </c>
      <c r="X74" s="71" t="str">
        <f t="shared" si="488"/>
        <v/>
      </c>
      <c r="Y74" s="71" t="str">
        <f t="shared" si="489"/>
        <v/>
      </c>
      <c r="Z74" s="70" t="str">
        <f t="shared" si="365"/>
        <v/>
      </c>
      <c r="AA74" s="71" t="str">
        <f t="shared" si="490"/>
        <v/>
      </c>
      <c r="AB74" s="71" t="str">
        <f t="shared" si="491"/>
        <v/>
      </c>
      <c r="AC74" s="70" t="str">
        <f t="shared" si="366"/>
        <v/>
      </c>
      <c r="AD74" s="71" t="str">
        <f t="shared" si="492"/>
        <v/>
      </c>
      <c r="AE74" s="71" t="str">
        <f t="shared" si="493"/>
        <v/>
      </c>
      <c r="AF74" s="70" t="str">
        <f t="shared" si="367"/>
        <v/>
      </c>
      <c r="AG74" s="71" t="str">
        <f t="shared" si="494"/>
        <v/>
      </c>
      <c r="AH74" s="71" t="str">
        <f t="shared" si="495"/>
        <v/>
      </c>
      <c r="AI74" s="70" t="str">
        <f t="shared" si="368"/>
        <v/>
      </c>
      <c r="AJ74" s="71" t="str">
        <f t="shared" si="496"/>
        <v/>
      </c>
      <c r="AK74" s="71" t="str">
        <f t="shared" si="497"/>
        <v/>
      </c>
      <c r="AL74" s="70" t="str">
        <f t="shared" si="498"/>
        <v/>
      </c>
      <c r="AM74" s="71" t="str">
        <f t="shared" si="499"/>
        <v/>
      </c>
      <c r="AN74" s="71" t="str">
        <f t="shared" si="500"/>
        <v/>
      </c>
      <c r="AO74" s="70" t="str">
        <f t="shared" si="501"/>
        <v/>
      </c>
      <c r="AP74" s="71" t="str">
        <f t="shared" si="502"/>
        <v/>
      </c>
      <c r="AQ74" s="71" t="str">
        <f t="shared" si="503"/>
        <v/>
      </c>
      <c r="AR74" s="70" t="str">
        <f t="shared" si="504"/>
        <v/>
      </c>
      <c r="AS74" s="71" t="str">
        <f t="shared" si="505"/>
        <v/>
      </c>
      <c r="AT74" s="71" t="str">
        <f t="shared" si="506"/>
        <v/>
      </c>
      <c r="AU74" s="69" t="str">
        <f t="shared" si="507"/>
        <v/>
      </c>
      <c r="AV74" s="131" t="str">
        <f t="shared" si="508"/>
        <v/>
      </c>
      <c r="AW74" s="69" t="str">
        <f t="shared" si="594"/>
        <v/>
      </c>
      <c r="AX74" s="132" t="str">
        <f t="shared" si="509"/>
        <v/>
      </c>
      <c r="AY74" s="132" t="str">
        <f t="shared" si="510"/>
        <v/>
      </c>
      <c r="AZ74" s="69" t="str">
        <f t="shared" si="369"/>
        <v/>
      </c>
      <c r="BA74" s="69" t="str">
        <f t="shared" si="370"/>
        <v/>
      </c>
      <c r="BB74" s="69" t="str">
        <f t="shared" si="511"/>
        <v/>
      </c>
      <c r="BC74" s="69" t="str">
        <f t="shared" si="371"/>
        <v/>
      </c>
      <c r="BD74" s="69" t="str">
        <f t="shared" si="372"/>
        <v/>
      </c>
      <c r="BE74" s="69" t="str">
        <f t="shared" si="512"/>
        <v/>
      </c>
      <c r="BF74" s="69" t="str">
        <f t="shared" si="373"/>
        <v/>
      </c>
      <c r="BG74" s="69" t="str">
        <f t="shared" si="374"/>
        <v/>
      </c>
      <c r="BH74" s="69" t="str">
        <f t="shared" si="513"/>
        <v/>
      </c>
      <c r="BI74" s="69" t="str">
        <f t="shared" si="375"/>
        <v/>
      </c>
      <c r="BJ74" s="69" t="str">
        <f t="shared" si="376"/>
        <v/>
      </c>
      <c r="BK74" s="69" t="str">
        <f t="shared" si="514"/>
        <v/>
      </c>
      <c r="BL74" s="69" t="str">
        <f t="shared" si="377"/>
        <v/>
      </c>
      <c r="BM74" s="69" t="str">
        <f t="shared" si="378"/>
        <v/>
      </c>
      <c r="BN74" s="69" t="str">
        <f t="shared" si="515"/>
        <v/>
      </c>
      <c r="BO74" s="69" t="str">
        <f t="shared" si="379"/>
        <v/>
      </c>
      <c r="BP74" s="69" t="str">
        <f t="shared" si="380"/>
        <v/>
      </c>
      <c r="BQ74" s="69" t="str">
        <f t="shared" si="516"/>
        <v/>
      </c>
      <c r="BR74" s="69" t="str">
        <f t="shared" si="381"/>
        <v/>
      </c>
      <c r="BS74" s="69" t="str">
        <f t="shared" si="382"/>
        <v/>
      </c>
      <c r="BT74" s="69" t="str">
        <f t="shared" si="517"/>
        <v/>
      </c>
      <c r="BU74" s="69" t="str">
        <f t="shared" si="383"/>
        <v/>
      </c>
      <c r="BV74" s="69" t="str">
        <f t="shared" si="384"/>
        <v/>
      </c>
      <c r="BW74" s="69" t="str">
        <f t="shared" si="518"/>
        <v/>
      </c>
      <c r="BX74" s="69" t="str">
        <f t="shared" si="385"/>
        <v/>
      </c>
      <c r="BY74" s="69" t="str">
        <f t="shared" si="386"/>
        <v/>
      </c>
      <c r="BZ74" s="69" t="str">
        <f t="shared" si="519"/>
        <v/>
      </c>
      <c r="CA74" s="69" t="str">
        <f t="shared" si="387"/>
        <v/>
      </c>
      <c r="CB74" s="69" t="str">
        <f t="shared" si="388"/>
        <v/>
      </c>
      <c r="CC74" s="69" t="str">
        <f t="shared" si="520"/>
        <v/>
      </c>
      <c r="CE74" s="69" t="str">
        <f t="shared" si="389"/>
        <v/>
      </c>
      <c r="CF74" s="69" t="str">
        <f t="shared" si="390"/>
        <v/>
      </c>
      <c r="CG74" s="69" t="str">
        <f t="shared" si="521"/>
        <v/>
      </c>
      <c r="CH74" s="69" t="str">
        <f t="shared" si="391"/>
        <v/>
      </c>
      <c r="CI74" s="69" t="str">
        <f t="shared" si="392"/>
        <v/>
      </c>
      <c r="CJ74" s="69" t="str">
        <f t="shared" si="522"/>
        <v/>
      </c>
      <c r="CK74" s="69" t="str">
        <f t="shared" si="393"/>
        <v/>
      </c>
      <c r="CL74" s="69" t="str">
        <f t="shared" si="394"/>
        <v/>
      </c>
      <c r="CM74" s="69" t="str">
        <f t="shared" si="523"/>
        <v/>
      </c>
      <c r="CN74" s="69" t="str">
        <f t="shared" si="395"/>
        <v/>
      </c>
      <c r="CO74" s="69" t="str">
        <f t="shared" si="396"/>
        <v/>
      </c>
      <c r="CP74" s="69" t="str">
        <f t="shared" si="524"/>
        <v/>
      </c>
      <c r="CQ74" s="69" t="str">
        <f t="shared" si="397"/>
        <v/>
      </c>
      <c r="CR74" s="69" t="str">
        <f t="shared" si="398"/>
        <v/>
      </c>
      <c r="CS74" s="69" t="str">
        <f t="shared" si="525"/>
        <v/>
      </c>
      <c r="CT74" s="69" t="str">
        <f t="shared" si="399"/>
        <v/>
      </c>
      <c r="CU74" s="69" t="str">
        <f t="shared" si="400"/>
        <v/>
      </c>
      <c r="CV74" s="69" t="str">
        <f t="shared" si="526"/>
        <v/>
      </c>
      <c r="CW74" s="69" t="str">
        <f t="shared" si="401"/>
        <v/>
      </c>
      <c r="CX74" s="69" t="str">
        <f t="shared" si="402"/>
        <v/>
      </c>
      <c r="CY74" s="69" t="str">
        <f t="shared" si="527"/>
        <v/>
      </c>
      <c r="CZ74" s="69" t="str">
        <f t="shared" si="403"/>
        <v/>
      </c>
      <c r="DA74" s="69" t="str">
        <f t="shared" si="404"/>
        <v/>
      </c>
      <c r="DB74" s="69" t="str">
        <f t="shared" si="528"/>
        <v/>
      </c>
      <c r="DC74" s="69" t="str">
        <f t="shared" si="405"/>
        <v/>
      </c>
      <c r="DD74" s="69" t="str">
        <f t="shared" si="406"/>
        <v/>
      </c>
      <c r="DE74" s="69" t="str">
        <f t="shared" si="529"/>
        <v/>
      </c>
      <c r="DG74" s="69" t="str">
        <f t="shared" si="407"/>
        <v/>
      </c>
      <c r="DH74" s="69" t="str">
        <f t="shared" si="408"/>
        <v/>
      </c>
      <c r="DI74" s="69" t="str">
        <f t="shared" si="530"/>
        <v/>
      </c>
      <c r="DJ74" s="69" t="str">
        <f t="shared" si="409"/>
        <v/>
      </c>
      <c r="DK74" s="69" t="str">
        <f t="shared" si="410"/>
        <v/>
      </c>
      <c r="DL74" s="69" t="str">
        <f t="shared" si="531"/>
        <v/>
      </c>
      <c r="DM74" s="69" t="str">
        <f t="shared" si="411"/>
        <v/>
      </c>
      <c r="DN74" s="69" t="str">
        <f t="shared" si="412"/>
        <v/>
      </c>
      <c r="DO74" s="69" t="str">
        <f t="shared" si="532"/>
        <v/>
      </c>
      <c r="DP74" s="69" t="str">
        <f t="shared" si="413"/>
        <v/>
      </c>
      <c r="DQ74" s="69" t="str">
        <f t="shared" si="414"/>
        <v/>
      </c>
      <c r="DR74" s="69" t="str">
        <f t="shared" si="533"/>
        <v/>
      </c>
      <c r="DS74" s="69" t="str">
        <f t="shared" si="415"/>
        <v/>
      </c>
      <c r="DT74" s="69" t="str">
        <f t="shared" si="416"/>
        <v/>
      </c>
      <c r="DU74" s="69" t="str">
        <f t="shared" si="534"/>
        <v/>
      </c>
      <c r="DV74" s="69" t="str">
        <f t="shared" si="417"/>
        <v/>
      </c>
      <c r="DW74" s="69" t="str">
        <f t="shared" si="418"/>
        <v/>
      </c>
      <c r="DX74" s="69" t="str">
        <f t="shared" si="535"/>
        <v/>
      </c>
      <c r="DY74" s="69" t="str">
        <f t="shared" si="419"/>
        <v/>
      </c>
      <c r="DZ74" s="69" t="str">
        <f t="shared" si="420"/>
        <v/>
      </c>
      <c r="EA74" s="69" t="str">
        <f t="shared" si="536"/>
        <v/>
      </c>
      <c r="EB74" s="69" t="str">
        <f t="shared" si="421"/>
        <v/>
      </c>
      <c r="EC74" s="69" t="str">
        <f t="shared" si="422"/>
        <v/>
      </c>
      <c r="ED74" s="69" t="str">
        <f t="shared" si="537"/>
        <v/>
      </c>
      <c r="EF74" s="69" t="str">
        <f t="shared" si="423"/>
        <v/>
      </c>
      <c r="EG74" s="69" t="str">
        <f t="shared" si="424"/>
        <v/>
      </c>
      <c r="EH74" s="69" t="str">
        <f t="shared" si="538"/>
        <v/>
      </c>
      <c r="EI74" s="69" t="str">
        <f t="shared" si="425"/>
        <v/>
      </c>
      <c r="EJ74" s="69" t="str">
        <f t="shared" si="426"/>
        <v/>
      </c>
      <c r="EK74" s="69" t="str">
        <f t="shared" si="539"/>
        <v/>
      </c>
      <c r="EL74" s="69" t="str">
        <f t="shared" si="427"/>
        <v/>
      </c>
      <c r="EM74" s="69" t="str">
        <f t="shared" si="428"/>
        <v/>
      </c>
      <c r="EN74" s="69" t="str">
        <f t="shared" si="540"/>
        <v/>
      </c>
      <c r="EO74" s="69" t="str">
        <f t="shared" si="429"/>
        <v/>
      </c>
      <c r="EP74" s="69" t="str">
        <f t="shared" si="430"/>
        <v/>
      </c>
      <c r="EQ74" s="69" t="str">
        <f t="shared" si="541"/>
        <v/>
      </c>
      <c r="ER74" s="69" t="str">
        <f t="shared" si="431"/>
        <v/>
      </c>
      <c r="ES74" s="69" t="str">
        <f t="shared" si="432"/>
        <v/>
      </c>
      <c r="ET74" s="69" t="str">
        <f t="shared" si="542"/>
        <v/>
      </c>
      <c r="EU74" s="69" t="str">
        <f t="shared" si="433"/>
        <v/>
      </c>
      <c r="EV74" s="69" t="str">
        <f t="shared" si="434"/>
        <v/>
      </c>
      <c r="EW74" s="69" t="str">
        <f t="shared" si="543"/>
        <v/>
      </c>
      <c r="EX74" s="69" t="str">
        <f t="shared" si="435"/>
        <v/>
      </c>
      <c r="EY74" s="69" t="str">
        <f t="shared" si="436"/>
        <v/>
      </c>
      <c r="EZ74" s="69" t="str">
        <f t="shared" si="544"/>
        <v/>
      </c>
      <c r="FB74" s="69" t="str">
        <f t="shared" si="437"/>
        <v/>
      </c>
      <c r="FC74" s="69" t="str">
        <f t="shared" si="438"/>
        <v/>
      </c>
      <c r="FD74" s="69" t="str">
        <f t="shared" si="545"/>
        <v/>
      </c>
      <c r="FE74" s="69" t="str">
        <f t="shared" si="439"/>
        <v/>
      </c>
      <c r="FF74" s="69" t="str">
        <f t="shared" si="440"/>
        <v/>
      </c>
      <c r="FG74" s="69" t="str">
        <f t="shared" si="546"/>
        <v/>
      </c>
      <c r="FH74" s="69" t="str">
        <f t="shared" si="441"/>
        <v/>
      </c>
      <c r="FI74" s="69" t="str">
        <f t="shared" si="442"/>
        <v/>
      </c>
      <c r="FJ74" s="69" t="str">
        <f t="shared" si="547"/>
        <v/>
      </c>
      <c r="FK74" s="69" t="str">
        <f t="shared" si="443"/>
        <v/>
      </c>
      <c r="FL74" s="69" t="str">
        <f t="shared" si="444"/>
        <v/>
      </c>
      <c r="FM74" s="69" t="str">
        <f t="shared" si="548"/>
        <v/>
      </c>
      <c r="FN74" s="69" t="str">
        <f t="shared" si="445"/>
        <v/>
      </c>
      <c r="FO74" s="69" t="str">
        <f t="shared" si="446"/>
        <v/>
      </c>
      <c r="FP74" s="69" t="str">
        <f t="shared" si="549"/>
        <v/>
      </c>
      <c r="FQ74" s="69" t="str">
        <f t="shared" si="447"/>
        <v/>
      </c>
      <c r="FR74" s="69" t="str">
        <f t="shared" si="448"/>
        <v/>
      </c>
      <c r="FS74" s="69" t="str">
        <f t="shared" si="550"/>
        <v/>
      </c>
      <c r="FU74" s="69" t="str">
        <f t="shared" si="449"/>
        <v/>
      </c>
      <c r="FV74" s="69" t="str">
        <f t="shared" si="450"/>
        <v/>
      </c>
      <c r="FW74" s="69" t="str">
        <f t="shared" si="551"/>
        <v/>
      </c>
      <c r="FX74" s="69" t="str">
        <f t="shared" si="451"/>
        <v/>
      </c>
      <c r="FY74" s="69" t="str">
        <f t="shared" si="452"/>
        <v/>
      </c>
      <c r="FZ74" s="69" t="str">
        <f t="shared" si="552"/>
        <v/>
      </c>
      <c r="GA74" s="69" t="str">
        <f t="shared" si="453"/>
        <v/>
      </c>
      <c r="GB74" s="69" t="str">
        <f t="shared" si="454"/>
        <v/>
      </c>
      <c r="GC74" s="69" t="str">
        <f t="shared" si="553"/>
        <v/>
      </c>
      <c r="GD74" s="69" t="str">
        <f t="shared" si="455"/>
        <v/>
      </c>
      <c r="GE74" s="69" t="str">
        <f t="shared" si="456"/>
        <v/>
      </c>
      <c r="GF74" s="69" t="str">
        <f t="shared" si="554"/>
        <v/>
      </c>
      <c r="GG74" s="69" t="str">
        <f t="shared" si="457"/>
        <v/>
      </c>
      <c r="GH74" s="69" t="str">
        <f t="shared" si="458"/>
        <v/>
      </c>
      <c r="GI74" s="69" t="str">
        <f t="shared" si="555"/>
        <v/>
      </c>
      <c r="GK74" s="69" t="str">
        <f t="shared" si="459"/>
        <v/>
      </c>
      <c r="GL74" s="69" t="str">
        <f t="shared" si="460"/>
        <v/>
      </c>
      <c r="GM74" s="69" t="str">
        <f t="shared" si="556"/>
        <v/>
      </c>
      <c r="GN74" s="69" t="str">
        <f t="shared" si="461"/>
        <v/>
      </c>
      <c r="GO74" s="69" t="str">
        <f t="shared" si="462"/>
        <v/>
      </c>
      <c r="GP74" s="69" t="str">
        <f t="shared" si="557"/>
        <v/>
      </c>
      <c r="GQ74" s="69" t="str">
        <f t="shared" si="463"/>
        <v/>
      </c>
      <c r="GR74" s="69" t="str">
        <f t="shared" si="464"/>
        <v/>
      </c>
      <c r="GS74" s="69" t="str">
        <f t="shared" si="558"/>
        <v/>
      </c>
      <c r="GT74" s="69" t="str">
        <f t="shared" si="465"/>
        <v/>
      </c>
      <c r="GU74" s="69" t="str">
        <f t="shared" si="466"/>
        <v/>
      </c>
      <c r="GV74" s="69" t="str">
        <f t="shared" si="559"/>
        <v/>
      </c>
      <c r="GX74" s="69" t="str">
        <f t="shared" si="560"/>
        <v/>
      </c>
      <c r="GY74" s="69" t="str">
        <f t="shared" si="561"/>
        <v/>
      </c>
      <c r="GZ74" s="69" t="str">
        <f t="shared" si="562"/>
        <v/>
      </c>
      <c r="HA74" s="69" t="str">
        <f t="shared" si="563"/>
        <v/>
      </c>
      <c r="HB74" s="69" t="str">
        <f t="shared" si="564"/>
        <v/>
      </c>
      <c r="HC74" s="69" t="str">
        <f t="shared" si="565"/>
        <v/>
      </c>
      <c r="HD74" s="69" t="str">
        <f t="shared" si="566"/>
        <v/>
      </c>
      <c r="HE74" s="69" t="str">
        <f t="shared" si="567"/>
        <v/>
      </c>
      <c r="HF74" s="69" t="str">
        <f t="shared" si="568"/>
        <v/>
      </c>
      <c r="HH74" s="69" t="str">
        <f t="shared" si="569"/>
        <v/>
      </c>
      <c r="HI74" s="69" t="str">
        <f t="shared" si="570"/>
        <v/>
      </c>
      <c r="HJ74" s="69" t="str">
        <f t="shared" si="571"/>
        <v/>
      </c>
      <c r="HK74" s="69" t="str">
        <f t="shared" si="572"/>
        <v/>
      </c>
      <c r="HL74" s="69" t="str">
        <f t="shared" si="573"/>
        <v/>
      </c>
      <c r="HM74" s="69" t="str">
        <f t="shared" si="574"/>
        <v/>
      </c>
      <c r="HO74" s="69" t="str">
        <f t="shared" si="575"/>
        <v/>
      </c>
      <c r="HP74" s="69" t="str">
        <f t="shared" si="576"/>
        <v/>
      </c>
      <c r="HQ74" s="69" t="str">
        <f t="shared" si="577"/>
        <v/>
      </c>
      <c r="HS74" s="69" t="str">
        <f t="shared" si="467"/>
        <v/>
      </c>
      <c r="HT74" s="69" t="str">
        <f t="shared" si="468"/>
        <v/>
      </c>
      <c r="HU74" s="69" t="str">
        <f t="shared" si="578"/>
        <v/>
      </c>
      <c r="HV74" s="69" t="str">
        <f t="shared" si="469"/>
        <v/>
      </c>
      <c r="HW74" s="69" t="str">
        <f t="shared" si="470"/>
        <v/>
      </c>
      <c r="HX74" s="69" t="str">
        <f t="shared" si="579"/>
        <v/>
      </c>
      <c r="HY74" s="69" t="str">
        <f t="shared" si="471"/>
        <v/>
      </c>
      <c r="HZ74" s="69" t="str">
        <f t="shared" si="472"/>
        <v/>
      </c>
      <c r="IA74" s="69" t="str">
        <f t="shared" si="580"/>
        <v/>
      </c>
      <c r="IB74" s="69" t="str">
        <f t="shared" si="473"/>
        <v/>
      </c>
      <c r="IC74" s="69" t="str">
        <f t="shared" si="474"/>
        <v/>
      </c>
      <c r="ID74" s="69" t="str">
        <f t="shared" si="581"/>
        <v/>
      </c>
      <c r="IE74" s="69" t="str">
        <f t="shared" si="475"/>
        <v/>
      </c>
      <c r="IF74" s="69" t="str">
        <f t="shared" si="476"/>
        <v/>
      </c>
      <c r="IG74" s="69" t="str">
        <f t="shared" si="582"/>
        <v/>
      </c>
      <c r="IH74" s="69" t="str">
        <f t="shared" si="477"/>
        <v/>
      </c>
      <c r="II74" s="69" t="str">
        <f t="shared" si="478"/>
        <v/>
      </c>
      <c r="IJ74" s="69" t="str">
        <f t="shared" si="583"/>
        <v/>
      </c>
      <c r="IK74" s="69" t="str">
        <f t="shared" si="479"/>
        <v/>
      </c>
      <c r="IL74" s="69" t="str">
        <f t="shared" si="480"/>
        <v/>
      </c>
      <c r="IM74" s="69" t="str">
        <f t="shared" si="584"/>
        <v/>
      </c>
      <c r="IN74" s="69" t="str">
        <f t="shared" si="585"/>
        <v/>
      </c>
      <c r="IO74" s="69" t="str">
        <f t="shared" si="586"/>
        <v/>
      </c>
      <c r="IP74" s="69" t="str">
        <f t="shared" si="587"/>
        <v/>
      </c>
      <c r="IQ74" s="69" t="str">
        <f t="shared" si="588"/>
        <v/>
      </c>
      <c r="IR74" s="69" t="str">
        <f t="shared" si="589"/>
        <v/>
      </c>
      <c r="IS74" s="69" t="str">
        <f t="shared" si="590"/>
        <v/>
      </c>
      <c r="IT74" s="69" t="str">
        <f t="shared" si="591"/>
        <v/>
      </c>
      <c r="IU74" s="69" t="str">
        <f t="shared" si="592"/>
        <v/>
      </c>
      <c r="IV74" s="69" t="str">
        <f t="shared" si="593"/>
        <v/>
      </c>
    </row>
    <row r="75" spans="1:256" x14ac:dyDescent="0.2">
      <c r="A75" s="57" t="s">
        <v>78</v>
      </c>
      <c r="B75" s="178"/>
      <c r="C75" s="179"/>
      <c r="D75" s="179"/>
      <c r="E75" s="179"/>
      <c r="F75" s="179"/>
      <c r="G75" s="180"/>
      <c r="H75" s="180"/>
      <c r="I75" s="181"/>
      <c r="J75" s="182"/>
      <c r="K75" s="183"/>
      <c r="L75" s="68">
        <f t="shared" si="360"/>
        <v>0</v>
      </c>
      <c r="M75" s="69" t="str">
        <f t="shared" si="361"/>
        <v/>
      </c>
      <c r="N75" s="69" t="str">
        <f t="shared" si="481"/>
        <v/>
      </c>
      <c r="O75" s="69" t="str">
        <f t="shared" si="482"/>
        <v/>
      </c>
      <c r="P75" s="69" t="str">
        <f t="shared" si="483"/>
        <v/>
      </c>
      <c r="Q75" s="70" t="str">
        <f t="shared" si="362"/>
        <v/>
      </c>
      <c r="R75" s="71" t="str">
        <f t="shared" si="484"/>
        <v/>
      </c>
      <c r="S75" s="71" t="str">
        <f t="shared" si="485"/>
        <v/>
      </c>
      <c r="T75" s="70" t="str">
        <f t="shared" si="363"/>
        <v/>
      </c>
      <c r="U75" s="71" t="str">
        <f t="shared" si="486"/>
        <v/>
      </c>
      <c r="V75" s="71" t="str">
        <f t="shared" si="487"/>
        <v/>
      </c>
      <c r="W75" s="70" t="str">
        <f t="shared" si="364"/>
        <v/>
      </c>
      <c r="X75" s="71" t="str">
        <f t="shared" si="488"/>
        <v/>
      </c>
      <c r="Y75" s="71" t="str">
        <f t="shared" si="489"/>
        <v/>
      </c>
      <c r="Z75" s="70" t="str">
        <f t="shared" si="365"/>
        <v/>
      </c>
      <c r="AA75" s="71" t="str">
        <f t="shared" si="490"/>
        <v/>
      </c>
      <c r="AB75" s="71" t="str">
        <f t="shared" si="491"/>
        <v/>
      </c>
      <c r="AC75" s="70" t="str">
        <f t="shared" si="366"/>
        <v/>
      </c>
      <c r="AD75" s="71" t="str">
        <f t="shared" si="492"/>
        <v/>
      </c>
      <c r="AE75" s="71" t="str">
        <f t="shared" si="493"/>
        <v/>
      </c>
      <c r="AF75" s="70" t="str">
        <f t="shared" si="367"/>
        <v/>
      </c>
      <c r="AG75" s="71" t="str">
        <f t="shared" si="494"/>
        <v/>
      </c>
      <c r="AH75" s="71" t="str">
        <f t="shared" si="495"/>
        <v/>
      </c>
      <c r="AI75" s="70" t="str">
        <f t="shared" si="368"/>
        <v/>
      </c>
      <c r="AJ75" s="71" t="str">
        <f t="shared" si="496"/>
        <v/>
      </c>
      <c r="AK75" s="71" t="str">
        <f t="shared" si="497"/>
        <v/>
      </c>
      <c r="AL75" s="70" t="str">
        <f t="shared" si="498"/>
        <v/>
      </c>
      <c r="AM75" s="71" t="str">
        <f t="shared" si="499"/>
        <v/>
      </c>
      <c r="AN75" s="71" t="str">
        <f t="shared" si="500"/>
        <v/>
      </c>
      <c r="AO75" s="70" t="str">
        <f t="shared" si="501"/>
        <v/>
      </c>
      <c r="AP75" s="71" t="str">
        <f t="shared" si="502"/>
        <v/>
      </c>
      <c r="AQ75" s="71" t="str">
        <f t="shared" si="503"/>
        <v/>
      </c>
      <c r="AR75" s="70" t="str">
        <f t="shared" si="504"/>
        <v/>
      </c>
      <c r="AS75" s="71" t="str">
        <f t="shared" si="505"/>
        <v/>
      </c>
      <c r="AT75" s="71" t="str">
        <f t="shared" si="506"/>
        <v/>
      </c>
      <c r="AU75" s="69" t="str">
        <f t="shared" si="507"/>
        <v/>
      </c>
      <c r="AV75" s="131" t="str">
        <f t="shared" si="508"/>
        <v/>
      </c>
      <c r="AW75" s="69" t="str">
        <f t="shared" si="594"/>
        <v/>
      </c>
      <c r="AX75" s="132" t="str">
        <f t="shared" si="509"/>
        <v/>
      </c>
      <c r="AY75" s="132" t="str">
        <f t="shared" si="510"/>
        <v/>
      </c>
      <c r="AZ75" s="69" t="str">
        <f t="shared" si="369"/>
        <v/>
      </c>
      <c r="BA75" s="69" t="str">
        <f t="shared" si="370"/>
        <v/>
      </c>
      <c r="BB75" s="69" t="str">
        <f t="shared" si="511"/>
        <v/>
      </c>
      <c r="BC75" s="69" t="str">
        <f t="shared" si="371"/>
        <v/>
      </c>
      <c r="BD75" s="69" t="str">
        <f t="shared" si="372"/>
        <v/>
      </c>
      <c r="BE75" s="69" t="str">
        <f t="shared" si="512"/>
        <v/>
      </c>
      <c r="BF75" s="69" t="str">
        <f t="shared" si="373"/>
        <v/>
      </c>
      <c r="BG75" s="69" t="str">
        <f t="shared" si="374"/>
        <v/>
      </c>
      <c r="BH75" s="69" t="str">
        <f t="shared" si="513"/>
        <v/>
      </c>
      <c r="BI75" s="69" t="str">
        <f t="shared" si="375"/>
        <v/>
      </c>
      <c r="BJ75" s="69" t="str">
        <f t="shared" si="376"/>
        <v/>
      </c>
      <c r="BK75" s="69" t="str">
        <f t="shared" si="514"/>
        <v/>
      </c>
      <c r="BL75" s="69" t="str">
        <f t="shared" si="377"/>
        <v/>
      </c>
      <c r="BM75" s="69" t="str">
        <f t="shared" si="378"/>
        <v/>
      </c>
      <c r="BN75" s="69" t="str">
        <f t="shared" si="515"/>
        <v/>
      </c>
      <c r="BO75" s="69" t="str">
        <f t="shared" si="379"/>
        <v/>
      </c>
      <c r="BP75" s="69" t="str">
        <f t="shared" si="380"/>
        <v/>
      </c>
      <c r="BQ75" s="69" t="str">
        <f t="shared" si="516"/>
        <v/>
      </c>
      <c r="BR75" s="69" t="str">
        <f t="shared" si="381"/>
        <v/>
      </c>
      <c r="BS75" s="69" t="str">
        <f t="shared" si="382"/>
        <v/>
      </c>
      <c r="BT75" s="69" t="str">
        <f t="shared" si="517"/>
        <v/>
      </c>
      <c r="BU75" s="69" t="str">
        <f t="shared" si="383"/>
        <v/>
      </c>
      <c r="BV75" s="69" t="str">
        <f t="shared" si="384"/>
        <v/>
      </c>
      <c r="BW75" s="69" t="str">
        <f t="shared" si="518"/>
        <v/>
      </c>
      <c r="BX75" s="69" t="str">
        <f t="shared" si="385"/>
        <v/>
      </c>
      <c r="BY75" s="69" t="str">
        <f t="shared" si="386"/>
        <v/>
      </c>
      <c r="BZ75" s="69" t="str">
        <f t="shared" si="519"/>
        <v/>
      </c>
      <c r="CA75" s="69" t="str">
        <f t="shared" si="387"/>
        <v/>
      </c>
      <c r="CB75" s="69" t="str">
        <f t="shared" si="388"/>
        <v/>
      </c>
      <c r="CC75" s="69" t="str">
        <f t="shared" si="520"/>
        <v/>
      </c>
      <c r="CE75" s="69" t="str">
        <f t="shared" si="389"/>
        <v/>
      </c>
      <c r="CF75" s="69" t="str">
        <f t="shared" si="390"/>
        <v/>
      </c>
      <c r="CG75" s="69" t="str">
        <f t="shared" si="521"/>
        <v/>
      </c>
      <c r="CH75" s="69" t="str">
        <f t="shared" si="391"/>
        <v/>
      </c>
      <c r="CI75" s="69" t="str">
        <f t="shared" si="392"/>
        <v/>
      </c>
      <c r="CJ75" s="69" t="str">
        <f t="shared" si="522"/>
        <v/>
      </c>
      <c r="CK75" s="69" t="str">
        <f t="shared" si="393"/>
        <v/>
      </c>
      <c r="CL75" s="69" t="str">
        <f t="shared" si="394"/>
        <v/>
      </c>
      <c r="CM75" s="69" t="str">
        <f t="shared" si="523"/>
        <v/>
      </c>
      <c r="CN75" s="69" t="str">
        <f t="shared" si="395"/>
        <v/>
      </c>
      <c r="CO75" s="69" t="str">
        <f t="shared" si="396"/>
        <v/>
      </c>
      <c r="CP75" s="69" t="str">
        <f t="shared" si="524"/>
        <v/>
      </c>
      <c r="CQ75" s="69" t="str">
        <f t="shared" si="397"/>
        <v/>
      </c>
      <c r="CR75" s="69" t="str">
        <f t="shared" si="398"/>
        <v/>
      </c>
      <c r="CS75" s="69" t="str">
        <f t="shared" si="525"/>
        <v/>
      </c>
      <c r="CT75" s="69" t="str">
        <f t="shared" si="399"/>
        <v/>
      </c>
      <c r="CU75" s="69" t="str">
        <f t="shared" si="400"/>
        <v/>
      </c>
      <c r="CV75" s="69" t="str">
        <f t="shared" si="526"/>
        <v/>
      </c>
      <c r="CW75" s="69" t="str">
        <f t="shared" si="401"/>
        <v/>
      </c>
      <c r="CX75" s="69" t="str">
        <f t="shared" si="402"/>
        <v/>
      </c>
      <c r="CY75" s="69" t="str">
        <f t="shared" si="527"/>
        <v/>
      </c>
      <c r="CZ75" s="69" t="str">
        <f t="shared" si="403"/>
        <v/>
      </c>
      <c r="DA75" s="69" t="str">
        <f t="shared" si="404"/>
        <v/>
      </c>
      <c r="DB75" s="69" t="str">
        <f t="shared" si="528"/>
        <v/>
      </c>
      <c r="DC75" s="69" t="str">
        <f t="shared" si="405"/>
        <v/>
      </c>
      <c r="DD75" s="69" t="str">
        <f t="shared" si="406"/>
        <v/>
      </c>
      <c r="DE75" s="69" t="str">
        <f t="shared" si="529"/>
        <v/>
      </c>
      <c r="DG75" s="69" t="str">
        <f t="shared" si="407"/>
        <v/>
      </c>
      <c r="DH75" s="69" t="str">
        <f t="shared" si="408"/>
        <v/>
      </c>
      <c r="DI75" s="69" t="str">
        <f t="shared" si="530"/>
        <v/>
      </c>
      <c r="DJ75" s="69" t="str">
        <f t="shared" si="409"/>
        <v/>
      </c>
      <c r="DK75" s="69" t="str">
        <f t="shared" si="410"/>
        <v/>
      </c>
      <c r="DL75" s="69" t="str">
        <f t="shared" si="531"/>
        <v/>
      </c>
      <c r="DM75" s="69" t="str">
        <f t="shared" si="411"/>
        <v/>
      </c>
      <c r="DN75" s="69" t="str">
        <f t="shared" si="412"/>
        <v/>
      </c>
      <c r="DO75" s="69" t="str">
        <f t="shared" si="532"/>
        <v/>
      </c>
      <c r="DP75" s="69" t="str">
        <f t="shared" si="413"/>
        <v/>
      </c>
      <c r="DQ75" s="69" t="str">
        <f t="shared" si="414"/>
        <v/>
      </c>
      <c r="DR75" s="69" t="str">
        <f t="shared" si="533"/>
        <v/>
      </c>
      <c r="DS75" s="69" t="str">
        <f t="shared" si="415"/>
        <v/>
      </c>
      <c r="DT75" s="69" t="str">
        <f t="shared" si="416"/>
        <v/>
      </c>
      <c r="DU75" s="69" t="str">
        <f t="shared" si="534"/>
        <v/>
      </c>
      <c r="DV75" s="69" t="str">
        <f t="shared" si="417"/>
        <v/>
      </c>
      <c r="DW75" s="69" t="str">
        <f t="shared" si="418"/>
        <v/>
      </c>
      <c r="DX75" s="69" t="str">
        <f t="shared" si="535"/>
        <v/>
      </c>
      <c r="DY75" s="69" t="str">
        <f t="shared" si="419"/>
        <v/>
      </c>
      <c r="DZ75" s="69" t="str">
        <f t="shared" si="420"/>
        <v/>
      </c>
      <c r="EA75" s="69" t="str">
        <f t="shared" si="536"/>
        <v/>
      </c>
      <c r="EB75" s="69" t="str">
        <f t="shared" si="421"/>
        <v/>
      </c>
      <c r="EC75" s="69" t="str">
        <f t="shared" si="422"/>
        <v/>
      </c>
      <c r="ED75" s="69" t="str">
        <f t="shared" si="537"/>
        <v/>
      </c>
      <c r="EF75" s="69" t="str">
        <f t="shared" si="423"/>
        <v/>
      </c>
      <c r="EG75" s="69" t="str">
        <f t="shared" si="424"/>
        <v/>
      </c>
      <c r="EH75" s="69" t="str">
        <f t="shared" si="538"/>
        <v/>
      </c>
      <c r="EI75" s="69" t="str">
        <f t="shared" si="425"/>
        <v/>
      </c>
      <c r="EJ75" s="69" t="str">
        <f t="shared" si="426"/>
        <v/>
      </c>
      <c r="EK75" s="69" t="str">
        <f t="shared" si="539"/>
        <v/>
      </c>
      <c r="EL75" s="69" t="str">
        <f t="shared" si="427"/>
        <v/>
      </c>
      <c r="EM75" s="69" t="str">
        <f t="shared" si="428"/>
        <v/>
      </c>
      <c r="EN75" s="69" t="str">
        <f t="shared" si="540"/>
        <v/>
      </c>
      <c r="EO75" s="69" t="str">
        <f t="shared" si="429"/>
        <v/>
      </c>
      <c r="EP75" s="69" t="str">
        <f t="shared" si="430"/>
        <v/>
      </c>
      <c r="EQ75" s="69" t="str">
        <f t="shared" si="541"/>
        <v/>
      </c>
      <c r="ER75" s="69" t="str">
        <f t="shared" si="431"/>
        <v/>
      </c>
      <c r="ES75" s="69" t="str">
        <f t="shared" si="432"/>
        <v/>
      </c>
      <c r="ET75" s="69" t="str">
        <f t="shared" si="542"/>
        <v/>
      </c>
      <c r="EU75" s="69" t="str">
        <f t="shared" si="433"/>
        <v/>
      </c>
      <c r="EV75" s="69" t="str">
        <f t="shared" si="434"/>
        <v/>
      </c>
      <c r="EW75" s="69" t="str">
        <f t="shared" si="543"/>
        <v/>
      </c>
      <c r="EX75" s="69" t="str">
        <f t="shared" si="435"/>
        <v/>
      </c>
      <c r="EY75" s="69" t="str">
        <f t="shared" si="436"/>
        <v/>
      </c>
      <c r="EZ75" s="69" t="str">
        <f t="shared" si="544"/>
        <v/>
      </c>
      <c r="FB75" s="69" t="str">
        <f t="shared" si="437"/>
        <v/>
      </c>
      <c r="FC75" s="69" t="str">
        <f t="shared" si="438"/>
        <v/>
      </c>
      <c r="FD75" s="69" t="str">
        <f t="shared" si="545"/>
        <v/>
      </c>
      <c r="FE75" s="69" t="str">
        <f t="shared" si="439"/>
        <v/>
      </c>
      <c r="FF75" s="69" t="str">
        <f t="shared" si="440"/>
        <v/>
      </c>
      <c r="FG75" s="69" t="str">
        <f t="shared" si="546"/>
        <v/>
      </c>
      <c r="FH75" s="69" t="str">
        <f t="shared" si="441"/>
        <v/>
      </c>
      <c r="FI75" s="69" t="str">
        <f t="shared" si="442"/>
        <v/>
      </c>
      <c r="FJ75" s="69" t="str">
        <f t="shared" si="547"/>
        <v/>
      </c>
      <c r="FK75" s="69" t="str">
        <f t="shared" si="443"/>
        <v/>
      </c>
      <c r="FL75" s="69" t="str">
        <f t="shared" si="444"/>
        <v/>
      </c>
      <c r="FM75" s="69" t="str">
        <f t="shared" si="548"/>
        <v/>
      </c>
      <c r="FN75" s="69" t="str">
        <f t="shared" si="445"/>
        <v/>
      </c>
      <c r="FO75" s="69" t="str">
        <f t="shared" si="446"/>
        <v/>
      </c>
      <c r="FP75" s="69" t="str">
        <f t="shared" si="549"/>
        <v/>
      </c>
      <c r="FQ75" s="69" t="str">
        <f t="shared" si="447"/>
        <v/>
      </c>
      <c r="FR75" s="69" t="str">
        <f t="shared" si="448"/>
        <v/>
      </c>
      <c r="FS75" s="69" t="str">
        <f t="shared" si="550"/>
        <v/>
      </c>
      <c r="FU75" s="69" t="str">
        <f t="shared" si="449"/>
        <v/>
      </c>
      <c r="FV75" s="69" t="str">
        <f t="shared" si="450"/>
        <v/>
      </c>
      <c r="FW75" s="69" t="str">
        <f t="shared" si="551"/>
        <v/>
      </c>
      <c r="FX75" s="69" t="str">
        <f t="shared" si="451"/>
        <v/>
      </c>
      <c r="FY75" s="69" t="str">
        <f t="shared" si="452"/>
        <v/>
      </c>
      <c r="FZ75" s="69" t="str">
        <f t="shared" si="552"/>
        <v/>
      </c>
      <c r="GA75" s="69" t="str">
        <f t="shared" si="453"/>
        <v/>
      </c>
      <c r="GB75" s="69" t="str">
        <f t="shared" si="454"/>
        <v/>
      </c>
      <c r="GC75" s="69" t="str">
        <f t="shared" si="553"/>
        <v/>
      </c>
      <c r="GD75" s="69" t="str">
        <f t="shared" si="455"/>
        <v/>
      </c>
      <c r="GE75" s="69" t="str">
        <f t="shared" si="456"/>
        <v/>
      </c>
      <c r="GF75" s="69" t="str">
        <f t="shared" si="554"/>
        <v/>
      </c>
      <c r="GG75" s="69" t="str">
        <f t="shared" si="457"/>
        <v/>
      </c>
      <c r="GH75" s="69" t="str">
        <f t="shared" si="458"/>
        <v/>
      </c>
      <c r="GI75" s="69" t="str">
        <f t="shared" si="555"/>
        <v/>
      </c>
      <c r="GK75" s="69" t="str">
        <f t="shared" si="459"/>
        <v/>
      </c>
      <c r="GL75" s="69" t="str">
        <f t="shared" si="460"/>
        <v/>
      </c>
      <c r="GM75" s="69" t="str">
        <f t="shared" si="556"/>
        <v/>
      </c>
      <c r="GN75" s="69" t="str">
        <f t="shared" si="461"/>
        <v/>
      </c>
      <c r="GO75" s="69" t="str">
        <f t="shared" si="462"/>
        <v/>
      </c>
      <c r="GP75" s="69" t="str">
        <f t="shared" si="557"/>
        <v/>
      </c>
      <c r="GQ75" s="69" t="str">
        <f t="shared" si="463"/>
        <v/>
      </c>
      <c r="GR75" s="69" t="str">
        <f t="shared" si="464"/>
        <v/>
      </c>
      <c r="GS75" s="69" t="str">
        <f t="shared" si="558"/>
        <v/>
      </c>
      <c r="GT75" s="69" t="str">
        <f t="shared" si="465"/>
        <v/>
      </c>
      <c r="GU75" s="69" t="str">
        <f t="shared" si="466"/>
        <v/>
      </c>
      <c r="GV75" s="69" t="str">
        <f t="shared" si="559"/>
        <v/>
      </c>
      <c r="GX75" s="69" t="str">
        <f t="shared" si="560"/>
        <v/>
      </c>
      <c r="GY75" s="69" t="str">
        <f t="shared" si="561"/>
        <v/>
      </c>
      <c r="GZ75" s="69" t="str">
        <f t="shared" si="562"/>
        <v/>
      </c>
      <c r="HA75" s="69" t="str">
        <f t="shared" si="563"/>
        <v/>
      </c>
      <c r="HB75" s="69" t="str">
        <f t="shared" si="564"/>
        <v/>
      </c>
      <c r="HC75" s="69" t="str">
        <f t="shared" si="565"/>
        <v/>
      </c>
      <c r="HD75" s="69" t="str">
        <f t="shared" si="566"/>
        <v/>
      </c>
      <c r="HE75" s="69" t="str">
        <f t="shared" si="567"/>
        <v/>
      </c>
      <c r="HF75" s="69" t="str">
        <f t="shared" si="568"/>
        <v/>
      </c>
      <c r="HH75" s="69" t="str">
        <f t="shared" si="569"/>
        <v/>
      </c>
      <c r="HI75" s="69" t="str">
        <f t="shared" si="570"/>
        <v/>
      </c>
      <c r="HJ75" s="69" t="str">
        <f t="shared" si="571"/>
        <v/>
      </c>
      <c r="HK75" s="69" t="str">
        <f t="shared" si="572"/>
        <v/>
      </c>
      <c r="HL75" s="69" t="str">
        <f t="shared" si="573"/>
        <v/>
      </c>
      <c r="HM75" s="69" t="str">
        <f t="shared" si="574"/>
        <v/>
      </c>
      <c r="HO75" s="69" t="str">
        <f t="shared" si="575"/>
        <v/>
      </c>
      <c r="HP75" s="69" t="str">
        <f t="shared" si="576"/>
        <v/>
      </c>
      <c r="HQ75" s="69" t="str">
        <f t="shared" si="577"/>
        <v/>
      </c>
      <c r="HS75" s="69" t="str">
        <f t="shared" si="467"/>
        <v/>
      </c>
      <c r="HT75" s="69" t="str">
        <f t="shared" si="468"/>
        <v/>
      </c>
      <c r="HU75" s="69" t="str">
        <f t="shared" si="578"/>
        <v/>
      </c>
      <c r="HV75" s="69" t="str">
        <f t="shared" si="469"/>
        <v/>
      </c>
      <c r="HW75" s="69" t="str">
        <f t="shared" si="470"/>
        <v/>
      </c>
      <c r="HX75" s="69" t="str">
        <f t="shared" si="579"/>
        <v/>
      </c>
      <c r="HY75" s="69" t="str">
        <f t="shared" si="471"/>
        <v/>
      </c>
      <c r="HZ75" s="69" t="str">
        <f t="shared" si="472"/>
        <v/>
      </c>
      <c r="IA75" s="69" t="str">
        <f t="shared" si="580"/>
        <v/>
      </c>
      <c r="IB75" s="69" t="str">
        <f t="shared" si="473"/>
        <v/>
      </c>
      <c r="IC75" s="69" t="str">
        <f t="shared" si="474"/>
        <v/>
      </c>
      <c r="ID75" s="69" t="str">
        <f t="shared" si="581"/>
        <v/>
      </c>
      <c r="IE75" s="69" t="str">
        <f t="shared" si="475"/>
        <v/>
      </c>
      <c r="IF75" s="69" t="str">
        <f t="shared" si="476"/>
        <v/>
      </c>
      <c r="IG75" s="69" t="str">
        <f t="shared" si="582"/>
        <v/>
      </c>
      <c r="IH75" s="69" t="str">
        <f t="shared" si="477"/>
        <v/>
      </c>
      <c r="II75" s="69" t="str">
        <f t="shared" si="478"/>
        <v/>
      </c>
      <c r="IJ75" s="69" t="str">
        <f t="shared" si="583"/>
        <v/>
      </c>
      <c r="IK75" s="69" t="str">
        <f t="shared" si="479"/>
        <v/>
      </c>
      <c r="IL75" s="69" t="str">
        <f t="shared" si="480"/>
        <v/>
      </c>
      <c r="IM75" s="69" t="str">
        <f t="shared" si="584"/>
        <v/>
      </c>
      <c r="IN75" s="69" t="str">
        <f t="shared" si="585"/>
        <v/>
      </c>
      <c r="IO75" s="69" t="str">
        <f t="shared" si="586"/>
        <v/>
      </c>
      <c r="IP75" s="69" t="str">
        <f t="shared" si="587"/>
        <v/>
      </c>
      <c r="IQ75" s="69" t="str">
        <f t="shared" si="588"/>
        <v/>
      </c>
      <c r="IR75" s="69" t="str">
        <f t="shared" si="589"/>
        <v/>
      </c>
      <c r="IS75" s="69" t="str">
        <f t="shared" si="590"/>
        <v/>
      </c>
      <c r="IT75" s="69" t="str">
        <f t="shared" si="591"/>
        <v/>
      </c>
      <c r="IU75" s="69" t="str">
        <f t="shared" si="592"/>
        <v/>
      </c>
      <c r="IV75" s="69" t="str">
        <f t="shared" si="593"/>
        <v/>
      </c>
    </row>
    <row r="76" spans="1:256" x14ac:dyDescent="0.2">
      <c r="A76" s="57" t="s">
        <v>79</v>
      </c>
      <c r="B76" s="178"/>
      <c r="C76" s="179"/>
      <c r="D76" s="179"/>
      <c r="E76" s="179"/>
      <c r="F76" s="179"/>
      <c r="G76" s="180"/>
      <c r="H76" s="180"/>
      <c r="I76" s="181"/>
      <c r="J76" s="182"/>
      <c r="K76" s="183"/>
      <c r="L76" s="68">
        <f t="shared" si="360"/>
        <v>0</v>
      </c>
      <c r="M76" s="69" t="str">
        <f t="shared" si="361"/>
        <v/>
      </c>
      <c r="N76" s="69" t="str">
        <f t="shared" si="481"/>
        <v/>
      </c>
      <c r="O76" s="69" t="str">
        <f t="shared" si="482"/>
        <v/>
      </c>
      <c r="P76" s="69" t="str">
        <f t="shared" si="483"/>
        <v/>
      </c>
      <c r="Q76" s="70" t="str">
        <f t="shared" si="362"/>
        <v/>
      </c>
      <c r="R76" s="71" t="str">
        <f t="shared" si="484"/>
        <v/>
      </c>
      <c r="S76" s="71" t="str">
        <f t="shared" si="485"/>
        <v/>
      </c>
      <c r="T76" s="70" t="str">
        <f t="shared" si="363"/>
        <v/>
      </c>
      <c r="U76" s="71" t="str">
        <f t="shared" si="486"/>
        <v/>
      </c>
      <c r="V76" s="71" t="str">
        <f t="shared" si="487"/>
        <v/>
      </c>
      <c r="W76" s="70" t="str">
        <f t="shared" si="364"/>
        <v/>
      </c>
      <c r="X76" s="71" t="str">
        <f t="shared" si="488"/>
        <v/>
      </c>
      <c r="Y76" s="71" t="str">
        <f t="shared" si="489"/>
        <v/>
      </c>
      <c r="Z76" s="70" t="str">
        <f t="shared" si="365"/>
        <v/>
      </c>
      <c r="AA76" s="71" t="str">
        <f t="shared" si="490"/>
        <v/>
      </c>
      <c r="AB76" s="71" t="str">
        <f t="shared" si="491"/>
        <v/>
      </c>
      <c r="AC76" s="70" t="str">
        <f t="shared" si="366"/>
        <v/>
      </c>
      <c r="AD76" s="71" t="str">
        <f t="shared" si="492"/>
        <v/>
      </c>
      <c r="AE76" s="71" t="str">
        <f t="shared" si="493"/>
        <v/>
      </c>
      <c r="AF76" s="70" t="str">
        <f t="shared" si="367"/>
        <v/>
      </c>
      <c r="AG76" s="71" t="str">
        <f t="shared" si="494"/>
        <v/>
      </c>
      <c r="AH76" s="71" t="str">
        <f t="shared" si="495"/>
        <v/>
      </c>
      <c r="AI76" s="70" t="str">
        <f t="shared" si="368"/>
        <v/>
      </c>
      <c r="AJ76" s="71" t="str">
        <f t="shared" si="496"/>
        <v/>
      </c>
      <c r="AK76" s="71" t="str">
        <f t="shared" si="497"/>
        <v/>
      </c>
      <c r="AL76" s="70" t="str">
        <f t="shared" si="498"/>
        <v/>
      </c>
      <c r="AM76" s="71" t="str">
        <f t="shared" si="499"/>
        <v/>
      </c>
      <c r="AN76" s="71" t="str">
        <f t="shared" si="500"/>
        <v/>
      </c>
      <c r="AO76" s="70" t="str">
        <f t="shared" si="501"/>
        <v/>
      </c>
      <c r="AP76" s="71" t="str">
        <f t="shared" si="502"/>
        <v/>
      </c>
      <c r="AQ76" s="71" t="str">
        <f t="shared" si="503"/>
        <v/>
      </c>
      <c r="AR76" s="70" t="str">
        <f t="shared" si="504"/>
        <v/>
      </c>
      <c r="AS76" s="71" t="str">
        <f t="shared" si="505"/>
        <v/>
      </c>
      <c r="AT76" s="71" t="str">
        <f t="shared" si="506"/>
        <v/>
      </c>
      <c r="AU76" s="69" t="str">
        <f t="shared" si="507"/>
        <v/>
      </c>
      <c r="AV76" s="131" t="str">
        <f t="shared" si="508"/>
        <v/>
      </c>
      <c r="AW76" s="69" t="str">
        <f t="shared" si="594"/>
        <v/>
      </c>
      <c r="AX76" s="132" t="str">
        <f t="shared" si="509"/>
        <v/>
      </c>
      <c r="AY76" s="132" t="str">
        <f t="shared" si="510"/>
        <v/>
      </c>
      <c r="AZ76" s="69" t="str">
        <f t="shared" si="369"/>
        <v/>
      </c>
      <c r="BA76" s="69" t="str">
        <f t="shared" si="370"/>
        <v/>
      </c>
      <c r="BB76" s="69" t="str">
        <f t="shared" si="511"/>
        <v/>
      </c>
      <c r="BC76" s="69" t="str">
        <f t="shared" si="371"/>
        <v/>
      </c>
      <c r="BD76" s="69" t="str">
        <f t="shared" si="372"/>
        <v/>
      </c>
      <c r="BE76" s="69" t="str">
        <f t="shared" si="512"/>
        <v/>
      </c>
      <c r="BF76" s="69" t="str">
        <f t="shared" si="373"/>
        <v/>
      </c>
      <c r="BG76" s="69" t="str">
        <f t="shared" si="374"/>
        <v/>
      </c>
      <c r="BH76" s="69" t="str">
        <f t="shared" si="513"/>
        <v/>
      </c>
      <c r="BI76" s="69" t="str">
        <f t="shared" si="375"/>
        <v/>
      </c>
      <c r="BJ76" s="69" t="str">
        <f t="shared" si="376"/>
        <v/>
      </c>
      <c r="BK76" s="69" t="str">
        <f t="shared" si="514"/>
        <v/>
      </c>
      <c r="BL76" s="69" t="str">
        <f t="shared" si="377"/>
        <v/>
      </c>
      <c r="BM76" s="69" t="str">
        <f t="shared" si="378"/>
        <v/>
      </c>
      <c r="BN76" s="69" t="str">
        <f t="shared" si="515"/>
        <v/>
      </c>
      <c r="BO76" s="69" t="str">
        <f t="shared" si="379"/>
        <v/>
      </c>
      <c r="BP76" s="69" t="str">
        <f t="shared" si="380"/>
        <v/>
      </c>
      <c r="BQ76" s="69" t="str">
        <f t="shared" si="516"/>
        <v/>
      </c>
      <c r="BR76" s="69" t="str">
        <f t="shared" si="381"/>
        <v/>
      </c>
      <c r="BS76" s="69" t="str">
        <f t="shared" si="382"/>
        <v/>
      </c>
      <c r="BT76" s="69" t="str">
        <f t="shared" si="517"/>
        <v/>
      </c>
      <c r="BU76" s="69" t="str">
        <f t="shared" si="383"/>
        <v/>
      </c>
      <c r="BV76" s="69" t="str">
        <f t="shared" si="384"/>
        <v/>
      </c>
      <c r="BW76" s="69" t="str">
        <f t="shared" si="518"/>
        <v/>
      </c>
      <c r="BX76" s="69" t="str">
        <f t="shared" si="385"/>
        <v/>
      </c>
      <c r="BY76" s="69" t="str">
        <f t="shared" si="386"/>
        <v/>
      </c>
      <c r="BZ76" s="69" t="str">
        <f t="shared" si="519"/>
        <v/>
      </c>
      <c r="CA76" s="69" t="str">
        <f t="shared" si="387"/>
        <v/>
      </c>
      <c r="CB76" s="69" t="str">
        <f t="shared" si="388"/>
        <v/>
      </c>
      <c r="CC76" s="69" t="str">
        <f t="shared" si="520"/>
        <v/>
      </c>
      <c r="CE76" s="69" t="str">
        <f t="shared" si="389"/>
        <v/>
      </c>
      <c r="CF76" s="69" t="str">
        <f t="shared" si="390"/>
        <v/>
      </c>
      <c r="CG76" s="69" t="str">
        <f t="shared" si="521"/>
        <v/>
      </c>
      <c r="CH76" s="69" t="str">
        <f t="shared" si="391"/>
        <v/>
      </c>
      <c r="CI76" s="69" t="str">
        <f t="shared" si="392"/>
        <v/>
      </c>
      <c r="CJ76" s="69" t="str">
        <f t="shared" si="522"/>
        <v/>
      </c>
      <c r="CK76" s="69" t="str">
        <f t="shared" si="393"/>
        <v/>
      </c>
      <c r="CL76" s="69" t="str">
        <f t="shared" si="394"/>
        <v/>
      </c>
      <c r="CM76" s="69" t="str">
        <f t="shared" si="523"/>
        <v/>
      </c>
      <c r="CN76" s="69" t="str">
        <f t="shared" si="395"/>
        <v/>
      </c>
      <c r="CO76" s="69" t="str">
        <f t="shared" si="396"/>
        <v/>
      </c>
      <c r="CP76" s="69" t="str">
        <f t="shared" si="524"/>
        <v/>
      </c>
      <c r="CQ76" s="69" t="str">
        <f t="shared" si="397"/>
        <v/>
      </c>
      <c r="CR76" s="69" t="str">
        <f t="shared" si="398"/>
        <v/>
      </c>
      <c r="CS76" s="69" t="str">
        <f t="shared" si="525"/>
        <v/>
      </c>
      <c r="CT76" s="69" t="str">
        <f t="shared" si="399"/>
        <v/>
      </c>
      <c r="CU76" s="69" t="str">
        <f t="shared" si="400"/>
        <v/>
      </c>
      <c r="CV76" s="69" t="str">
        <f t="shared" si="526"/>
        <v/>
      </c>
      <c r="CW76" s="69" t="str">
        <f t="shared" si="401"/>
        <v/>
      </c>
      <c r="CX76" s="69" t="str">
        <f t="shared" si="402"/>
        <v/>
      </c>
      <c r="CY76" s="69" t="str">
        <f t="shared" si="527"/>
        <v/>
      </c>
      <c r="CZ76" s="69" t="str">
        <f t="shared" si="403"/>
        <v/>
      </c>
      <c r="DA76" s="69" t="str">
        <f t="shared" si="404"/>
        <v/>
      </c>
      <c r="DB76" s="69" t="str">
        <f t="shared" si="528"/>
        <v/>
      </c>
      <c r="DC76" s="69" t="str">
        <f t="shared" si="405"/>
        <v/>
      </c>
      <c r="DD76" s="69" t="str">
        <f t="shared" si="406"/>
        <v/>
      </c>
      <c r="DE76" s="69" t="str">
        <f t="shared" si="529"/>
        <v/>
      </c>
      <c r="DG76" s="69" t="str">
        <f t="shared" si="407"/>
        <v/>
      </c>
      <c r="DH76" s="69" t="str">
        <f t="shared" si="408"/>
        <v/>
      </c>
      <c r="DI76" s="69" t="str">
        <f t="shared" si="530"/>
        <v/>
      </c>
      <c r="DJ76" s="69" t="str">
        <f t="shared" si="409"/>
        <v/>
      </c>
      <c r="DK76" s="69" t="str">
        <f t="shared" si="410"/>
        <v/>
      </c>
      <c r="DL76" s="69" t="str">
        <f t="shared" si="531"/>
        <v/>
      </c>
      <c r="DM76" s="69" t="str">
        <f t="shared" si="411"/>
        <v/>
      </c>
      <c r="DN76" s="69" t="str">
        <f t="shared" si="412"/>
        <v/>
      </c>
      <c r="DO76" s="69" t="str">
        <f t="shared" si="532"/>
        <v/>
      </c>
      <c r="DP76" s="69" t="str">
        <f t="shared" si="413"/>
        <v/>
      </c>
      <c r="DQ76" s="69" t="str">
        <f t="shared" si="414"/>
        <v/>
      </c>
      <c r="DR76" s="69" t="str">
        <f t="shared" si="533"/>
        <v/>
      </c>
      <c r="DS76" s="69" t="str">
        <f t="shared" si="415"/>
        <v/>
      </c>
      <c r="DT76" s="69" t="str">
        <f t="shared" si="416"/>
        <v/>
      </c>
      <c r="DU76" s="69" t="str">
        <f t="shared" si="534"/>
        <v/>
      </c>
      <c r="DV76" s="69" t="str">
        <f t="shared" si="417"/>
        <v/>
      </c>
      <c r="DW76" s="69" t="str">
        <f t="shared" si="418"/>
        <v/>
      </c>
      <c r="DX76" s="69" t="str">
        <f t="shared" si="535"/>
        <v/>
      </c>
      <c r="DY76" s="69" t="str">
        <f t="shared" si="419"/>
        <v/>
      </c>
      <c r="DZ76" s="69" t="str">
        <f t="shared" si="420"/>
        <v/>
      </c>
      <c r="EA76" s="69" t="str">
        <f t="shared" si="536"/>
        <v/>
      </c>
      <c r="EB76" s="69" t="str">
        <f t="shared" si="421"/>
        <v/>
      </c>
      <c r="EC76" s="69" t="str">
        <f t="shared" si="422"/>
        <v/>
      </c>
      <c r="ED76" s="69" t="str">
        <f t="shared" si="537"/>
        <v/>
      </c>
      <c r="EF76" s="69" t="str">
        <f t="shared" si="423"/>
        <v/>
      </c>
      <c r="EG76" s="69" t="str">
        <f t="shared" si="424"/>
        <v/>
      </c>
      <c r="EH76" s="69" t="str">
        <f t="shared" si="538"/>
        <v/>
      </c>
      <c r="EI76" s="69" t="str">
        <f t="shared" si="425"/>
        <v/>
      </c>
      <c r="EJ76" s="69" t="str">
        <f t="shared" si="426"/>
        <v/>
      </c>
      <c r="EK76" s="69" t="str">
        <f t="shared" si="539"/>
        <v/>
      </c>
      <c r="EL76" s="69" t="str">
        <f t="shared" si="427"/>
        <v/>
      </c>
      <c r="EM76" s="69" t="str">
        <f t="shared" si="428"/>
        <v/>
      </c>
      <c r="EN76" s="69" t="str">
        <f t="shared" si="540"/>
        <v/>
      </c>
      <c r="EO76" s="69" t="str">
        <f t="shared" si="429"/>
        <v/>
      </c>
      <c r="EP76" s="69" t="str">
        <f t="shared" si="430"/>
        <v/>
      </c>
      <c r="EQ76" s="69" t="str">
        <f t="shared" si="541"/>
        <v/>
      </c>
      <c r="ER76" s="69" t="str">
        <f t="shared" si="431"/>
        <v/>
      </c>
      <c r="ES76" s="69" t="str">
        <f t="shared" si="432"/>
        <v/>
      </c>
      <c r="ET76" s="69" t="str">
        <f t="shared" si="542"/>
        <v/>
      </c>
      <c r="EU76" s="69" t="str">
        <f t="shared" si="433"/>
        <v/>
      </c>
      <c r="EV76" s="69" t="str">
        <f t="shared" si="434"/>
        <v/>
      </c>
      <c r="EW76" s="69" t="str">
        <f t="shared" si="543"/>
        <v/>
      </c>
      <c r="EX76" s="69" t="str">
        <f t="shared" si="435"/>
        <v/>
      </c>
      <c r="EY76" s="69" t="str">
        <f t="shared" si="436"/>
        <v/>
      </c>
      <c r="EZ76" s="69" t="str">
        <f t="shared" si="544"/>
        <v/>
      </c>
      <c r="FB76" s="69" t="str">
        <f t="shared" si="437"/>
        <v/>
      </c>
      <c r="FC76" s="69" t="str">
        <f t="shared" si="438"/>
        <v/>
      </c>
      <c r="FD76" s="69" t="str">
        <f t="shared" si="545"/>
        <v/>
      </c>
      <c r="FE76" s="69" t="str">
        <f t="shared" si="439"/>
        <v/>
      </c>
      <c r="FF76" s="69" t="str">
        <f t="shared" si="440"/>
        <v/>
      </c>
      <c r="FG76" s="69" t="str">
        <f t="shared" si="546"/>
        <v/>
      </c>
      <c r="FH76" s="69" t="str">
        <f t="shared" si="441"/>
        <v/>
      </c>
      <c r="FI76" s="69" t="str">
        <f t="shared" si="442"/>
        <v/>
      </c>
      <c r="FJ76" s="69" t="str">
        <f t="shared" si="547"/>
        <v/>
      </c>
      <c r="FK76" s="69" t="str">
        <f t="shared" si="443"/>
        <v/>
      </c>
      <c r="FL76" s="69" t="str">
        <f t="shared" si="444"/>
        <v/>
      </c>
      <c r="FM76" s="69" t="str">
        <f t="shared" si="548"/>
        <v/>
      </c>
      <c r="FN76" s="69" t="str">
        <f t="shared" si="445"/>
        <v/>
      </c>
      <c r="FO76" s="69" t="str">
        <f t="shared" si="446"/>
        <v/>
      </c>
      <c r="FP76" s="69" t="str">
        <f t="shared" si="549"/>
        <v/>
      </c>
      <c r="FQ76" s="69" t="str">
        <f t="shared" si="447"/>
        <v/>
      </c>
      <c r="FR76" s="69" t="str">
        <f t="shared" si="448"/>
        <v/>
      </c>
      <c r="FS76" s="69" t="str">
        <f t="shared" si="550"/>
        <v/>
      </c>
      <c r="FU76" s="69" t="str">
        <f t="shared" si="449"/>
        <v/>
      </c>
      <c r="FV76" s="69" t="str">
        <f t="shared" si="450"/>
        <v/>
      </c>
      <c r="FW76" s="69" t="str">
        <f t="shared" si="551"/>
        <v/>
      </c>
      <c r="FX76" s="69" t="str">
        <f t="shared" si="451"/>
        <v/>
      </c>
      <c r="FY76" s="69" t="str">
        <f t="shared" si="452"/>
        <v/>
      </c>
      <c r="FZ76" s="69" t="str">
        <f t="shared" si="552"/>
        <v/>
      </c>
      <c r="GA76" s="69" t="str">
        <f t="shared" si="453"/>
        <v/>
      </c>
      <c r="GB76" s="69" t="str">
        <f t="shared" si="454"/>
        <v/>
      </c>
      <c r="GC76" s="69" t="str">
        <f t="shared" si="553"/>
        <v/>
      </c>
      <c r="GD76" s="69" t="str">
        <f t="shared" si="455"/>
        <v/>
      </c>
      <c r="GE76" s="69" t="str">
        <f t="shared" si="456"/>
        <v/>
      </c>
      <c r="GF76" s="69" t="str">
        <f t="shared" si="554"/>
        <v/>
      </c>
      <c r="GG76" s="69" t="str">
        <f t="shared" si="457"/>
        <v/>
      </c>
      <c r="GH76" s="69" t="str">
        <f t="shared" si="458"/>
        <v/>
      </c>
      <c r="GI76" s="69" t="str">
        <f t="shared" si="555"/>
        <v/>
      </c>
      <c r="GK76" s="69" t="str">
        <f t="shared" si="459"/>
        <v/>
      </c>
      <c r="GL76" s="69" t="str">
        <f t="shared" si="460"/>
        <v/>
      </c>
      <c r="GM76" s="69" t="str">
        <f t="shared" si="556"/>
        <v/>
      </c>
      <c r="GN76" s="69" t="str">
        <f t="shared" si="461"/>
        <v/>
      </c>
      <c r="GO76" s="69" t="str">
        <f t="shared" si="462"/>
        <v/>
      </c>
      <c r="GP76" s="69" t="str">
        <f t="shared" si="557"/>
        <v/>
      </c>
      <c r="GQ76" s="69" t="str">
        <f t="shared" si="463"/>
        <v/>
      </c>
      <c r="GR76" s="69" t="str">
        <f t="shared" si="464"/>
        <v/>
      </c>
      <c r="GS76" s="69" t="str">
        <f t="shared" si="558"/>
        <v/>
      </c>
      <c r="GT76" s="69" t="str">
        <f t="shared" si="465"/>
        <v/>
      </c>
      <c r="GU76" s="69" t="str">
        <f t="shared" si="466"/>
        <v/>
      </c>
      <c r="GV76" s="69" t="str">
        <f t="shared" si="559"/>
        <v/>
      </c>
      <c r="GX76" s="69" t="str">
        <f t="shared" si="560"/>
        <v/>
      </c>
      <c r="GY76" s="69" t="str">
        <f t="shared" si="561"/>
        <v/>
      </c>
      <c r="GZ76" s="69" t="str">
        <f t="shared" si="562"/>
        <v/>
      </c>
      <c r="HA76" s="69" t="str">
        <f t="shared" si="563"/>
        <v/>
      </c>
      <c r="HB76" s="69" t="str">
        <f t="shared" si="564"/>
        <v/>
      </c>
      <c r="HC76" s="69" t="str">
        <f t="shared" si="565"/>
        <v/>
      </c>
      <c r="HD76" s="69" t="str">
        <f t="shared" si="566"/>
        <v/>
      </c>
      <c r="HE76" s="69" t="str">
        <f t="shared" si="567"/>
        <v/>
      </c>
      <c r="HF76" s="69" t="str">
        <f t="shared" si="568"/>
        <v/>
      </c>
      <c r="HH76" s="69" t="str">
        <f t="shared" si="569"/>
        <v/>
      </c>
      <c r="HI76" s="69" t="str">
        <f t="shared" si="570"/>
        <v/>
      </c>
      <c r="HJ76" s="69" t="str">
        <f t="shared" si="571"/>
        <v/>
      </c>
      <c r="HK76" s="69" t="str">
        <f t="shared" si="572"/>
        <v/>
      </c>
      <c r="HL76" s="69" t="str">
        <f t="shared" si="573"/>
        <v/>
      </c>
      <c r="HM76" s="69" t="str">
        <f t="shared" si="574"/>
        <v/>
      </c>
      <c r="HO76" s="69" t="str">
        <f t="shared" si="575"/>
        <v/>
      </c>
      <c r="HP76" s="69" t="str">
        <f t="shared" si="576"/>
        <v/>
      </c>
      <c r="HQ76" s="69" t="str">
        <f t="shared" si="577"/>
        <v/>
      </c>
      <c r="HS76" s="69" t="str">
        <f t="shared" si="467"/>
        <v/>
      </c>
      <c r="HT76" s="69" t="str">
        <f t="shared" si="468"/>
        <v/>
      </c>
      <c r="HU76" s="69" t="str">
        <f t="shared" si="578"/>
        <v/>
      </c>
      <c r="HV76" s="69" t="str">
        <f t="shared" si="469"/>
        <v/>
      </c>
      <c r="HW76" s="69" t="str">
        <f t="shared" si="470"/>
        <v/>
      </c>
      <c r="HX76" s="69" t="str">
        <f t="shared" si="579"/>
        <v/>
      </c>
      <c r="HY76" s="69" t="str">
        <f t="shared" si="471"/>
        <v/>
      </c>
      <c r="HZ76" s="69" t="str">
        <f t="shared" si="472"/>
        <v/>
      </c>
      <c r="IA76" s="69" t="str">
        <f t="shared" si="580"/>
        <v/>
      </c>
      <c r="IB76" s="69" t="str">
        <f t="shared" si="473"/>
        <v/>
      </c>
      <c r="IC76" s="69" t="str">
        <f t="shared" si="474"/>
        <v/>
      </c>
      <c r="ID76" s="69" t="str">
        <f t="shared" si="581"/>
        <v/>
      </c>
      <c r="IE76" s="69" t="str">
        <f t="shared" si="475"/>
        <v/>
      </c>
      <c r="IF76" s="69" t="str">
        <f t="shared" si="476"/>
        <v/>
      </c>
      <c r="IG76" s="69" t="str">
        <f t="shared" si="582"/>
        <v/>
      </c>
      <c r="IH76" s="69" t="str">
        <f t="shared" si="477"/>
        <v/>
      </c>
      <c r="II76" s="69" t="str">
        <f t="shared" si="478"/>
        <v/>
      </c>
      <c r="IJ76" s="69" t="str">
        <f t="shared" si="583"/>
        <v/>
      </c>
      <c r="IK76" s="69" t="str">
        <f t="shared" si="479"/>
        <v/>
      </c>
      <c r="IL76" s="69" t="str">
        <f t="shared" si="480"/>
        <v/>
      </c>
      <c r="IM76" s="69" t="str">
        <f t="shared" si="584"/>
        <v/>
      </c>
      <c r="IN76" s="69" t="str">
        <f t="shared" si="585"/>
        <v/>
      </c>
      <c r="IO76" s="69" t="str">
        <f t="shared" si="586"/>
        <v/>
      </c>
      <c r="IP76" s="69" t="str">
        <f t="shared" si="587"/>
        <v/>
      </c>
      <c r="IQ76" s="69" t="str">
        <f t="shared" si="588"/>
        <v/>
      </c>
      <c r="IR76" s="69" t="str">
        <f t="shared" si="589"/>
        <v/>
      </c>
      <c r="IS76" s="69" t="str">
        <f t="shared" si="590"/>
        <v/>
      </c>
      <c r="IT76" s="69" t="str">
        <f t="shared" si="591"/>
        <v/>
      </c>
      <c r="IU76" s="69" t="str">
        <f t="shared" si="592"/>
        <v/>
      </c>
      <c r="IV76" s="69" t="str">
        <f t="shared" si="593"/>
        <v/>
      </c>
    </row>
    <row r="77" spans="1:256" x14ac:dyDescent="0.2">
      <c r="A77" s="57" t="s">
        <v>80</v>
      </c>
      <c r="B77" s="178"/>
      <c r="C77" s="179"/>
      <c r="D77" s="179"/>
      <c r="E77" s="179"/>
      <c r="F77" s="179"/>
      <c r="G77" s="180"/>
      <c r="H77" s="180"/>
      <c r="I77" s="181"/>
      <c r="J77" s="182"/>
      <c r="K77" s="183"/>
      <c r="L77" s="68">
        <f t="shared" si="360"/>
        <v>0</v>
      </c>
      <c r="M77" s="69" t="str">
        <f t="shared" si="361"/>
        <v/>
      </c>
      <c r="N77" s="69" t="str">
        <f t="shared" si="481"/>
        <v/>
      </c>
      <c r="O77" s="69" t="str">
        <f t="shared" si="482"/>
        <v/>
      </c>
      <c r="P77" s="69" t="str">
        <f t="shared" si="483"/>
        <v/>
      </c>
      <c r="Q77" s="70" t="str">
        <f t="shared" si="362"/>
        <v/>
      </c>
      <c r="R77" s="71" t="str">
        <f t="shared" si="484"/>
        <v/>
      </c>
      <c r="S77" s="71" t="str">
        <f t="shared" si="485"/>
        <v/>
      </c>
      <c r="T77" s="70" t="str">
        <f t="shared" si="363"/>
        <v/>
      </c>
      <c r="U77" s="71" t="str">
        <f t="shared" si="486"/>
        <v/>
      </c>
      <c r="V77" s="71" t="str">
        <f t="shared" si="487"/>
        <v/>
      </c>
      <c r="W77" s="70" t="str">
        <f t="shared" si="364"/>
        <v/>
      </c>
      <c r="X77" s="71" t="str">
        <f t="shared" si="488"/>
        <v/>
      </c>
      <c r="Y77" s="71" t="str">
        <f t="shared" si="489"/>
        <v/>
      </c>
      <c r="Z77" s="70" t="str">
        <f t="shared" si="365"/>
        <v/>
      </c>
      <c r="AA77" s="71" t="str">
        <f t="shared" si="490"/>
        <v/>
      </c>
      <c r="AB77" s="71" t="str">
        <f t="shared" si="491"/>
        <v/>
      </c>
      <c r="AC77" s="70" t="str">
        <f t="shared" si="366"/>
        <v/>
      </c>
      <c r="AD77" s="71" t="str">
        <f t="shared" si="492"/>
        <v/>
      </c>
      <c r="AE77" s="71" t="str">
        <f t="shared" si="493"/>
        <v/>
      </c>
      <c r="AF77" s="70" t="str">
        <f t="shared" si="367"/>
        <v/>
      </c>
      <c r="AG77" s="71" t="str">
        <f t="shared" si="494"/>
        <v/>
      </c>
      <c r="AH77" s="71" t="str">
        <f t="shared" si="495"/>
        <v/>
      </c>
      <c r="AI77" s="70" t="str">
        <f t="shared" si="368"/>
        <v/>
      </c>
      <c r="AJ77" s="71" t="str">
        <f t="shared" si="496"/>
        <v/>
      </c>
      <c r="AK77" s="71" t="str">
        <f t="shared" si="497"/>
        <v/>
      </c>
      <c r="AL77" s="70" t="str">
        <f t="shared" si="498"/>
        <v/>
      </c>
      <c r="AM77" s="71" t="str">
        <f t="shared" si="499"/>
        <v/>
      </c>
      <c r="AN77" s="71" t="str">
        <f t="shared" si="500"/>
        <v/>
      </c>
      <c r="AO77" s="70" t="str">
        <f t="shared" si="501"/>
        <v/>
      </c>
      <c r="AP77" s="71" t="str">
        <f t="shared" si="502"/>
        <v/>
      </c>
      <c r="AQ77" s="71" t="str">
        <f t="shared" si="503"/>
        <v/>
      </c>
      <c r="AR77" s="70" t="str">
        <f t="shared" si="504"/>
        <v/>
      </c>
      <c r="AS77" s="71" t="str">
        <f t="shared" si="505"/>
        <v/>
      </c>
      <c r="AT77" s="71" t="str">
        <f t="shared" si="506"/>
        <v/>
      </c>
      <c r="AU77" s="69" t="str">
        <f t="shared" si="507"/>
        <v/>
      </c>
      <c r="AV77" s="131" t="str">
        <f t="shared" si="508"/>
        <v/>
      </c>
      <c r="AW77" s="69" t="str">
        <f t="shared" si="594"/>
        <v/>
      </c>
      <c r="AX77" s="132" t="str">
        <f t="shared" si="509"/>
        <v/>
      </c>
      <c r="AY77" s="132" t="str">
        <f t="shared" si="510"/>
        <v/>
      </c>
      <c r="AZ77" s="69" t="str">
        <f t="shared" si="369"/>
        <v/>
      </c>
      <c r="BA77" s="69" t="str">
        <f t="shared" si="370"/>
        <v/>
      </c>
      <c r="BB77" s="69" t="str">
        <f t="shared" si="511"/>
        <v/>
      </c>
      <c r="BC77" s="69" t="str">
        <f t="shared" si="371"/>
        <v/>
      </c>
      <c r="BD77" s="69" t="str">
        <f t="shared" si="372"/>
        <v/>
      </c>
      <c r="BE77" s="69" t="str">
        <f t="shared" si="512"/>
        <v/>
      </c>
      <c r="BF77" s="69" t="str">
        <f t="shared" si="373"/>
        <v/>
      </c>
      <c r="BG77" s="69" t="str">
        <f t="shared" si="374"/>
        <v/>
      </c>
      <c r="BH77" s="69" t="str">
        <f t="shared" si="513"/>
        <v/>
      </c>
      <c r="BI77" s="69" t="str">
        <f t="shared" si="375"/>
        <v/>
      </c>
      <c r="BJ77" s="69" t="str">
        <f t="shared" si="376"/>
        <v/>
      </c>
      <c r="BK77" s="69" t="str">
        <f t="shared" si="514"/>
        <v/>
      </c>
      <c r="BL77" s="69" t="str">
        <f t="shared" si="377"/>
        <v/>
      </c>
      <c r="BM77" s="69" t="str">
        <f t="shared" si="378"/>
        <v/>
      </c>
      <c r="BN77" s="69" t="str">
        <f t="shared" si="515"/>
        <v/>
      </c>
      <c r="BO77" s="69" t="str">
        <f t="shared" si="379"/>
        <v/>
      </c>
      <c r="BP77" s="69" t="str">
        <f t="shared" si="380"/>
        <v/>
      </c>
      <c r="BQ77" s="69" t="str">
        <f t="shared" si="516"/>
        <v/>
      </c>
      <c r="BR77" s="69" t="str">
        <f t="shared" si="381"/>
        <v/>
      </c>
      <c r="BS77" s="69" t="str">
        <f t="shared" si="382"/>
        <v/>
      </c>
      <c r="BT77" s="69" t="str">
        <f t="shared" si="517"/>
        <v/>
      </c>
      <c r="BU77" s="69" t="str">
        <f t="shared" si="383"/>
        <v/>
      </c>
      <c r="BV77" s="69" t="str">
        <f t="shared" si="384"/>
        <v/>
      </c>
      <c r="BW77" s="69" t="str">
        <f t="shared" si="518"/>
        <v/>
      </c>
      <c r="BX77" s="69" t="str">
        <f t="shared" si="385"/>
        <v/>
      </c>
      <c r="BY77" s="69" t="str">
        <f t="shared" si="386"/>
        <v/>
      </c>
      <c r="BZ77" s="69" t="str">
        <f t="shared" si="519"/>
        <v/>
      </c>
      <c r="CA77" s="69" t="str">
        <f t="shared" si="387"/>
        <v/>
      </c>
      <c r="CB77" s="69" t="str">
        <f t="shared" si="388"/>
        <v/>
      </c>
      <c r="CC77" s="69" t="str">
        <f t="shared" si="520"/>
        <v/>
      </c>
      <c r="CE77" s="69" t="str">
        <f t="shared" si="389"/>
        <v/>
      </c>
      <c r="CF77" s="69" t="str">
        <f t="shared" si="390"/>
        <v/>
      </c>
      <c r="CG77" s="69" t="str">
        <f t="shared" si="521"/>
        <v/>
      </c>
      <c r="CH77" s="69" t="str">
        <f t="shared" si="391"/>
        <v/>
      </c>
      <c r="CI77" s="69" t="str">
        <f t="shared" si="392"/>
        <v/>
      </c>
      <c r="CJ77" s="69" t="str">
        <f t="shared" si="522"/>
        <v/>
      </c>
      <c r="CK77" s="69" t="str">
        <f t="shared" si="393"/>
        <v/>
      </c>
      <c r="CL77" s="69" t="str">
        <f t="shared" si="394"/>
        <v/>
      </c>
      <c r="CM77" s="69" t="str">
        <f t="shared" si="523"/>
        <v/>
      </c>
      <c r="CN77" s="69" t="str">
        <f t="shared" si="395"/>
        <v/>
      </c>
      <c r="CO77" s="69" t="str">
        <f t="shared" si="396"/>
        <v/>
      </c>
      <c r="CP77" s="69" t="str">
        <f t="shared" si="524"/>
        <v/>
      </c>
      <c r="CQ77" s="69" t="str">
        <f t="shared" si="397"/>
        <v/>
      </c>
      <c r="CR77" s="69" t="str">
        <f t="shared" si="398"/>
        <v/>
      </c>
      <c r="CS77" s="69" t="str">
        <f t="shared" si="525"/>
        <v/>
      </c>
      <c r="CT77" s="69" t="str">
        <f t="shared" si="399"/>
        <v/>
      </c>
      <c r="CU77" s="69" t="str">
        <f t="shared" si="400"/>
        <v/>
      </c>
      <c r="CV77" s="69" t="str">
        <f t="shared" si="526"/>
        <v/>
      </c>
      <c r="CW77" s="69" t="str">
        <f t="shared" si="401"/>
        <v/>
      </c>
      <c r="CX77" s="69" t="str">
        <f t="shared" si="402"/>
        <v/>
      </c>
      <c r="CY77" s="69" t="str">
        <f t="shared" si="527"/>
        <v/>
      </c>
      <c r="CZ77" s="69" t="str">
        <f t="shared" si="403"/>
        <v/>
      </c>
      <c r="DA77" s="69" t="str">
        <f t="shared" si="404"/>
        <v/>
      </c>
      <c r="DB77" s="69" t="str">
        <f t="shared" si="528"/>
        <v/>
      </c>
      <c r="DC77" s="69" t="str">
        <f t="shared" si="405"/>
        <v/>
      </c>
      <c r="DD77" s="69" t="str">
        <f t="shared" si="406"/>
        <v/>
      </c>
      <c r="DE77" s="69" t="str">
        <f t="shared" si="529"/>
        <v/>
      </c>
      <c r="DG77" s="69" t="str">
        <f t="shared" si="407"/>
        <v/>
      </c>
      <c r="DH77" s="69" t="str">
        <f t="shared" si="408"/>
        <v/>
      </c>
      <c r="DI77" s="69" t="str">
        <f t="shared" si="530"/>
        <v/>
      </c>
      <c r="DJ77" s="69" t="str">
        <f t="shared" si="409"/>
        <v/>
      </c>
      <c r="DK77" s="69" t="str">
        <f t="shared" si="410"/>
        <v/>
      </c>
      <c r="DL77" s="69" t="str">
        <f t="shared" si="531"/>
        <v/>
      </c>
      <c r="DM77" s="69" t="str">
        <f t="shared" si="411"/>
        <v/>
      </c>
      <c r="DN77" s="69" t="str">
        <f t="shared" si="412"/>
        <v/>
      </c>
      <c r="DO77" s="69" t="str">
        <f t="shared" si="532"/>
        <v/>
      </c>
      <c r="DP77" s="69" t="str">
        <f t="shared" si="413"/>
        <v/>
      </c>
      <c r="DQ77" s="69" t="str">
        <f t="shared" si="414"/>
        <v/>
      </c>
      <c r="DR77" s="69" t="str">
        <f t="shared" si="533"/>
        <v/>
      </c>
      <c r="DS77" s="69" t="str">
        <f t="shared" si="415"/>
        <v/>
      </c>
      <c r="DT77" s="69" t="str">
        <f t="shared" si="416"/>
        <v/>
      </c>
      <c r="DU77" s="69" t="str">
        <f t="shared" si="534"/>
        <v/>
      </c>
      <c r="DV77" s="69" t="str">
        <f t="shared" si="417"/>
        <v/>
      </c>
      <c r="DW77" s="69" t="str">
        <f t="shared" si="418"/>
        <v/>
      </c>
      <c r="DX77" s="69" t="str">
        <f t="shared" si="535"/>
        <v/>
      </c>
      <c r="DY77" s="69" t="str">
        <f t="shared" si="419"/>
        <v/>
      </c>
      <c r="DZ77" s="69" t="str">
        <f t="shared" si="420"/>
        <v/>
      </c>
      <c r="EA77" s="69" t="str">
        <f t="shared" si="536"/>
        <v/>
      </c>
      <c r="EB77" s="69" t="str">
        <f t="shared" si="421"/>
        <v/>
      </c>
      <c r="EC77" s="69" t="str">
        <f t="shared" si="422"/>
        <v/>
      </c>
      <c r="ED77" s="69" t="str">
        <f t="shared" si="537"/>
        <v/>
      </c>
      <c r="EF77" s="69" t="str">
        <f t="shared" si="423"/>
        <v/>
      </c>
      <c r="EG77" s="69" t="str">
        <f t="shared" si="424"/>
        <v/>
      </c>
      <c r="EH77" s="69" t="str">
        <f t="shared" si="538"/>
        <v/>
      </c>
      <c r="EI77" s="69" t="str">
        <f t="shared" si="425"/>
        <v/>
      </c>
      <c r="EJ77" s="69" t="str">
        <f t="shared" si="426"/>
        <v/>
      </c>
      <c r="EK77" s="69" t="str">
        <f t="shared" si="539"/>
        <v/>
      </c>
      <c r="EL77" s="69" t="str">
        <f t="shared" si="427"/>
        <v/>
      </c>
      <c r="EM77" s="69" t="str">
        <f t="shared" si="428"/>
        <v/>
      </c>
      <c r="EN77" s="69" t="str">
        <f t="shared" si="540"/>
        <v/>
      </c>
      <c r="EO77" s="69" t="str">
        <f t="shared" si="429"/>
        <v/>
      </c>
      <c r="EP77" s="69" t="str">
        <f t="shared" si="430"/>
        <v/>
      </c>
      <c r="EQ77" s="69" t="str">
        <f t="shared" si="541"/>
        <v/>
      </c>
      <c r="ER77" s="69" t="str">
        <f t="shared" si="431"/>
        <v/>
      </c>
      <c r="ES77" s="69" t="str">
        <f t="shared" si="432"/>
        <v/>
      </c>
      <c r="ET77" s="69" t="str">
        <f t="shared" si="542"/>
        <v/>
      </c>
      <c r="EU77" s="69" t="str">
        <f t="shared" si="433"/>
        <v/>
      </c>
      <c r="EV77" s="69" t="str">
        <f t="shared" si="434"/>
        <v/>
      </c>
      <c r="EW77" s="69" t="str">
        <f t="shared" si="543"/>
        <v/>
      </c>
      <c r="EX77" s="69" t="str">
        <f t="shared" si="435"/>
        <v/>
      </c>
      <c r="EY77" s="69" t="str">
        <f t="shared" si="436"/>
        <v/>
      </c>
      <c r="EZ77" s="69" t="str">
        <f t="shared" si="544"/>
        <v/>
      </c>
      <c r="FB77" s="69" t="str">
        <f t="shared" si="437"/>
        <v/>
      </c>
      <c r="FC77" s="69" t="str">
        <f t="shared" si="438"/>
        <v/>
      </c>
      <c r="FD77" s="69" t="str">
        <f t="shared" si="545"/>
        <v/>
      </c>
      <c r="FE77" s="69" t="str">
        <f t="shared" si="439"/>
        <v/>
      </c>
      <c r="FF77" s="69" t="str">
        <f t="shared" si="440"/>
        <v/>
      </c>
      <c r="FG77" s="69" t="str">
        <f t="shared" si="546"/>
        <v/>
      </c>
      <c r="FH77" s="69" t="str">
        <f t="shared" si="441"/>
        <v/>
      </c>
      <c r="FI77" s="69" t="str">
        <f t="shared" si="442"/>
        <v/>
      </c>
      <c r="FJ77" s="69" t="str">
        <f t="shared" si="547"/>
        <v/>
      </c>
      <c r="FK77" s="69" t="str">
        <f t="shared" si="443"/>
        <v/>
      </c>
      <c r="FL77" s="69" t="str">
        <f t="shared" si="444"/>
        <v/>
      </c>
      <c r="FM77" s="69" t="str">
        <f t="shared" si="548"/>
        <v/>
      </c>
      <c r="FN77" s="69" t="str">
        <f t="shared" si="445"/>
        <v/>
      </c>
      <c r="FO77" s="69" t="str">
        <f t="shared" si="446"/>
        <v/>
      </c>
      <c r="FP77" s="69" t="str">
        <f t="shared" si="549"/>
        <v/>
      </c>
      <c r="FQ77" s="69" t="str">
        <f t="shared" si="447"/>
        <v/>
      </c>
      <c r="FR77" s="69" t="str">
        <f t="shared" si="448"/>
        <v/>
      </c>
      <c r="FS77" s="69" t="str">
        <f t="shared" si="550"/>
        <v/>
      </c>
      <c r="FU77" s="69" t="str">
        <f t="shared" si="449"/>
        <v/>
      </c>
      <c r="FV77" s="69" t="str">
        <f t="shared" si="450"/>
        <v/>
      </c>
      <c r="FW77" s="69" t="str">
        <f t="shared" si="551"/>
        <v/>
      </c>
      <c r="FX77" s="69" t="str">
        <f t="shared" si="451"/>
        <v/>
      </c>
      <c r="FY77" s="69" t="str">
        <f t="shared" si="452"/>
        <v/>
      </c>
      <c r="FZ77" s="69" t="str">
        <f t="shared" si="552"/>
        <v/>
      </c>
      <c r="GA77" s="69" t="str">
        <f t="shared" si="453"/>
        <v/>
      </c>
      <c r="GB77" s="69" t="str">
        <f t="shared" si="454"/>
        <v/>
      </c>
      <c r="GC77" s="69" t="str">
        <f t="shared" si="553"/>
        <v/>
      </c>
      <c r="GD77" s="69" t="str">
        <f t="shared" si="455"/>
        <v/>
      </c>
      <c r="GE77" s="69" t="str">
        <f t="shared" si="456"/>
        <v/>
      </c>
      <c r="GF77" s="69" t="str">
        <f t="shared" si="554"/>
        <v/>
      </c>
      <c r="GG77" s="69" t="str">
        <f t="shared" si="457"/>
        <v/>
      </c>
      <c r="GH77" s="69" t="str">
        <f t="shared" si="458"/>
        <v/>
      </c>
      <c r="GI77" s="69" t="str">
        <f t="shared" si="555"/>
        <v/>
      </c>
      <c r="GK77" s="69" t="str">
        <f t="shared" si="459"/>
        <v/>
      </c>
      <c r="GL77" s="69" t="str">
        <f t="shared" si="460"/>
        <v/>
      </c>
      <c r="GM77" s="69" t="str">
        <f t="shared" si="556"/>
        <v/>
      </c>
      <c r="GN77" s="69" t="str">
        <f t="shared" si="461"/>
        <v/>
      </c>
      <c r="GO77" s="69" t="str">
        <f t="shared" si="462"/>
        <v/>
      </c>
      <c r="GP77" s="69" t="str">
        <f t="shared" si="557"/>
        <v/>
      </c>
      <c r="GQ77" s="69" t="str">
        <f t="shared" si="463"/>
        <v/>
      </c>
      <c r="GR77" s="69" t="str">
        <f t="shared" si="464"/>
        <v/>
      </c>
      <c r="GS77" s="69" t="str">
        <f t="shared" si="558"/>
        <v/>
      </c>
      <c r="GT77" s="69" t="str">
        <f t="shared" si="465"/>
        <v/>
      </c>
      <c r="GU77" s="69" t="str">
        <f t="shared" si="466"/>
        <v/>
      </c>
      <c r="GV77" s="69" t="str">
        <f t="shared" si="559"/>
        <v/>
      </c>
      <c r="GX77" s="69" t="str">
        <f t="shared" si="560"/>
        <v/>
      </c>
      <c r="GY77" s="69" t="str">
        <f t="shared" si="561"/>
        <v/>
      </c>
      <c r="GZ77" s="69" t="str">
        <f t="shared" si="562"/>
        <v/>
      </c>
      <c r="HA77" s="69" t="str">
        <f t="shared" si="563"/>
        <v/>
      </c>
      <c r="HB77" s="69" t="str">
        <f t="shared" si="564"/>
        <v/>
      </c>
      <c r="HC77" s="69" t="str">
        <f t="shared" si="565"/>
        <v/>
      </c>
      <c r="HD77" s="69" t="str">
        <f t="shared" si="566"/>
        <v/>
      </c>
      <c r="HE77" s="69" t="str">
        <f t="shared" si="567"/>
        <v/>
      </c>
      <c r="HF77" s="69" t="str">
        <f t="shared" si="568"/>
        <v/>
      </c>
      <c r="HH77" s="69" t="str">
        <f t="shared" si="569"/>
        <v/>
      </c>
      <c r="HI77" s="69" t="str">
        <f t="shared" si="570"/>
        <v/>
      </c>
      <c r="HJ77" s="69" t="str">
        <f t="shared" si="571"/>
        <v/>
      </c>
      <c r="HK77" s="69" t="str">
        <f t="shared" si="572"/>
        <v/>
      </c>
      <c r="HL77" s="69" t="str">
        <f t="shared" si="573"/>
        <v/>
      </c>
      <c r="HM77" s="69" t="str">
        <f t="shared" si="574"/>
        <v/>
      </c>
      <c r="HO77" s="69" t="str">
        <f t="shared" si="575"/>
        <v/>
      </c>
      <c r="HP77" s="69" t="str">
        <f t="shared" si="576"/>
        <v/>
      </c>
      <c r="HQ77" s="69" t="str">
        <f t="shared" si="577"/>
        <v/>
      </c>
      <c r="HS77" s="69" t="str">
        <f t="shared" si="467"/>
        <v/>
      </c>
      <c r="HT77" s="69" t="str">
        <f t="shared" si="468"/>
        <v/>
      </c>
      <c r="HU77" s="69" t="str">
        <f t="shared" si="578"/>
        <v/>
      </c>
      <c r="HV77" s="69" t="str">
        <f t="shared" si="469"/>
        <v/>
      </c>
      <c r="HW77" s="69" t="str">
        <f t="shared" si="470"/>
        <v/>
      </c>
      <c r="HX77" s="69" t="str">
        <f t="shared" si="579"/>
        <v/>
      </c>
      <c r="HY77" s="69" t="str">
        <f t="shared" si="471"/>
        <v/>
      </c>
      <c r="HZ77" s="69" t="str">
        <f t="shared" si="472"/>
        <v/>
      </c>
      <c r="IA77" s="69" t="str">
        <f t="shared" si="580"/>
        <v/>
      </c>
      <c r="IB77" s="69" t="str">
        <f t="shared" si="473"/>
        <v/>
      </c>
      <c r="IC77" s="69" t="str">
        <f t="shared" si="474"/>
        <v/>
      </c>
      <c r="ID77" s="69" t="str">
        <f t="shared" si="581"/>
        <v/>
      </c>
      <c r="IE77" s="69" t="str">
        <f t="shared" si="475"/>
        <v/>
      </c>
      <c r="IF77" s="69" t="str">
        <f t="shared" si="476"/>
        <v/>
      </c>
      <c r="IG77" s="69" t="str">
        <f t="shared" si="582"/>
        <v/>
      </c>
      <c r="IH77" s="69" t="str">
        <f t="shared" si="477"/>
        <v/>
      </c>
      <c r="II77" s="69" t="str">
        <f t="shared" si="478"/>
        <v/>
      </c>
      <c r="IJ77" s="69" t="str">
        <f t="shared" si="583"/>
        <v/>
      </c>
      <c r="IK77" s="69" t="str">
        <f t="shared" si="479"/>
        <v/>
      </c>
      <c r="IL77" s="69" t="str">
        <f t="shared" si="480"/>
        <v/>
      </c>
      <c r="IM77" s="69" t="str">
        <f t="shared" si="584"/>
        <v/>
      </c>
      <c r="IN77" s="69" t="str">
        <f t="shared" si="585"/>
        <v/>
      </c>
      <c r="IO77" s="69" t="str">
        <f t="shared" si="586"/>
        <v/>
      </c>
      <c r="IP77" s="69" t="str">
        <f t="shared" si="587"/>
        <v/>
      </c>
      <c r="IQ77" s="69" t="str">
        <f t="shared" si="588"/>
        <v/>
      </c>
      <c r="IR77" s="69" t="str">
        <f t="shared" si="589"/>
        <v/>
      </c>
      <c r="IS77" s="69" t="str">
        <f t="shared" si="590"/>
        <v/>
      </c>
      <c r="IT77" s="69" t="str">
        <f t="shared" si="591"/>
        <v/>
      </c>
      <c r="IU77" s="69" t="str">
        <f t="shared" si="592"/>
        <v/>
      </c>
      <c r="IV77" s="69" t="str">
        <f t="shared" si="593"/>
        <v/>
      </c>
    </row>
    <row r="78" spans="1:256" x14ac:dyDescent="0.2">
      <c r="A78" s="57" t="s">
        <v>81</v>
      </c>
      <c r="B78" s="178"/>
      <c r="C78" s="179"/>
      <c r="D78" s="179"/>
      <c r="E78" s="179"/>
      <c r="F78" s="179"/>
      <c r="G78" s="180"/>
      <c r="H78" s="180"/>
      <c r="I78" s="181"/>
      <c r="J78" s="182"/>
      <c r="K78" s="183"/>
      <c r="L78" s="68">
        <f t="shared" si="360"/>
        <v>0</v>
      </c>
      <c r="M78" s="69" t="str">
        <f t="shared" si="361"/>
        <v/>
      </c>
      <c r="N78" s="69" t="str">
        <f t="shared" si="481"/>
        <v/>
      </c>
      <c r="O78" s="69" t="str">
        <f t="shared" si="482"/>
        <v/>
      </c>
      <c r="P78" s="69" t="str">
        <f t="shared" si="483"/>
        <v/>
      </c>
      <c r="Q78" s="70" t="str">
        <f t="shared" si="362"/>
        <v/>
      </c>
      <c r="R78" s="71" t="str">
        <f t="shared" si="484"/>
        <v/>
      </c>
      <c r="S78" s="71" t="str">
        <f t="shared" si="485"/>
        <v/>
      </c>
      <c r="T78" s="70" t="str">
        <f t="shared" si="363"/>
        <v/>
      </c>
      <c r="U78" s="71" t="str">
        <f t="shared" si="486"/>
        <v/>
      </c>
      <c r="V78" s="71" t="str">
        <f t="shared" si="487"/>
        <v/>
      </c>
      <c r="W78" s="70" t="str">
        <f t="shared" si="364"/>
        <v/>
      </c>
      <c r="X78" s="71" t="str">
        <f t="shared" si="488"/>
        <v/>
      </c>
      <c r="Y78" s="71" t="str">
        <f t="shared" si="489"/>
        <v/>
      </c>
      <c r="Z78" s="70" t="str">
        <f t="shared" si="365"/>
        <v/>
      </c>
      <c r="AA78" s="71" t="str">
        <f t="shared" si="490"/>
        <v/>
      </c>
      <c r="AB78" s="71" t="str">
        <f t="shared" si="491"/>
        <v/>
      </c>
      <c r="AC78" s="70" t="str">
        <f t="shared" si="366"/>
        <v/>
      </c>
      <c r="AD78" s="71" t="str">
        <f t="shared" si="492"/>
        <v/>
      </c>
      <c r="AE78" s="71" t="str">
        <f t="shared" si="493"/>
        <v/>
      </c>
      <c r="AF78" s="70" t="str">
        <f t="shared" si="367"/>
        <v/>
      </c>
      <c r="AG78" s="71" t="str">
        <f t="shared" si="494"/>
        <v/>
      </c>
      <c r="AH78" s="71" t="str">
        <f t="shared" si="495"/>
        <v/>
      </c>
      <c r="AI78" s="70" t="str">
        <f t="shared" si="368"/>
        <v/>
      </c>
      <c r="AJ78" s="71" t="str">
        <f t="shared" si="496"/>
        <v/>
      </c>
      <c r="AK78" s="71" t="str">
        <f t="shared" si="497"/>
        <v/>
      </c>
      <c r="AL78" s="70" t="str">
        <f t="shared" si="498"/>
        <v/>
      </c>
      <c r="AM78" s="71" t="str">
        <f t="shared" si="499"/>
        <v/>
      </c>
      <c r="AN78" s="71" t="str">
        <f t="shared" si="500"/>
        <v/>
      </c>
      <c r="AO78" s="70" t="str">
        <f t="shared" si="501"/>
        <v/>
      </c>
      <c r="AP78" s="71" t="str">
        <f t="shared" si="502"/>
        <v/>
      </c>
      <c r="AQ78" s="71" t="str">
        <f t="shared" si="503"/>
        <v/>
      </c>
      <c r="AR78" s="70" t="str">
        <f t="shared" si="504"/>
        <v/>
      </c>
      <c r="AS78" s="71" t="str">
        <f t="shared" si="505"/>
        <v/>
      </c>
      <c r="AT78" s="71" t="str">
        <f t="shared" si="506"/>
        <v/>
      </c>
      <c r="AU78" s="69" t="str">
        <f t="shared" si="507"/>
        <v/>
      </c>
      <c r="AV78" s="131" t="str">
        <f t="shared" si="508"/>
        <v/>
      </c>
      <c r="AW78" s="69" t="str">
        <f t="shared" si="594"/>
        <v/>
      </c>
      <c r="AX78" s="132" t="str">
        <f t="shared" si="509"/>
        <v/>
      </c>
      <c r="AY78" s="132" t="str">
        <f t="shared" si="510"/>
        <v/>
      </c>
      <c r="AZ78" s="69" t="str">
        <f t="shared" si="369"/>
        <v/>
      </c>
      <c r="BA78" s="69" t="str">
        <f t="shared" si="370"/>
        <v/>
      </c>
      <c r="BB78" s="69" t="str">
        <f t="shared" si="511"/>
        <v/>
      </c>
      <c r="BC78" s="69" t="str">
        <f t="shared" si="371"/>
        <v/>
      </c>
      <c r="BD78" s="69" t="str">
        <f t="shared" si="372"/>
        <v/>
      </c>
      <c r="BE78" s="69" t="str">
        <f t="shared" si="512"/>
        <v/>
      </c>
      <c r="BF78" s="69" t="str">
        <f t="shared" si="373"/>
        <v/>
      </c>
      <c r="BG78" s="69" t="str">
        <f t="shared" si="374"/>
        <v/>
      </c>
      <c r="BH78" s="69" t="str">
        <f t="shared" si="513"/>
        <v/>
      </c>
      <c r="BI78" s="69" t="str">
        <f t="shared" si="375"/>
        <v/>
      </c>
      <c r="BJ78" s="69" t="str">
        <f t="shared" si="376"/>
        <v/>
      </c>
      <c r="BK78" s="69" t="str">
        <f t="shared" si="514"/>
        <v/>
      </c>
      <c r="BL78" s="69" t="str">
        <f t="shared" si="377"/>
        <v/>
      </c>
      <c r="BM78" s="69" t="str">
        <f t="shared" si="378"/>
        <v/>
      </c>
      <c r="BN78" s="69" t="str">
        <f t="shared" si="515"/>
        <v/>
      </c>
      <c r="BO78" s="69" t="str">
        <f t="shared" si="379"/>
        <v/>
      </c>
      <c r="BP78" s="69" t="str">
        <f t="shared" si="380"/>
        <v/>
      </c>
      <c r="BQ78" s="69" t="str">
        <f t="shared" si="516"/>
        <v/>
      </c>
      <c r="BR78" s="69" t="str">
        <f t="shared" si="381"/>
        <v/>
      </c>
      <c r="BS78" s="69" t="str">
        <f t="shared" si="382"/>
        <v/>
      </c>
      <c r="BT78" s="69" t="str">
        <f t="shared" si="517"/>
        <v/>
      </c>
      <c r="BU78" s="69" t="str">
        <f t="shared" si="383"/>
        <v/>
      </c>
      <c r="BV78" s="69" t="str">
        <f t="shared" si="384"/>
        <v/>
      </c>
      <c r="BW78" s="69" t="str">
        <f t="shared" si="518"/>
        <v/>
      </c>
      <c r="BX78" s="69" t="str">
        <f t="shared" si="385"/>
        <v/>
      </c>
      <c r="BY78" s="69" t="str">
        <f t="shared" si="386"/>
        <v/>
      </c>
      <c r="BZ78" s="69" t="str">
        <f t="shared" si="519"/>
        <v/>
      </c>
      <c r="CA78" s="69" t="str">
        <f t="shared" si="387"/>
        <v/>
      </c>
      <c r="CB78" s="69" t="str">
        <f t="shared" si="388"/>
        <v/>
      </c>
      <c r="CC78" s="69" t="str">
        <f t="shared" si="520"/>
        <v/>
      </c>
      <c r="CE78" s="69" t="str">
        <f t="shared" si="389"/>
        <v/>
      </c>
      <c r="CF78" s="69" t="str">
        <f t="shared" si="390"/>
        <v/>
      </c>
      <c r="CG78" s="69" t="str">
        <f t="shared" si="521"/>
        <v/>
      </c>
      <c r="CH78" s="69" t="str">
        <f t="shared" si="391"/>
        <v/>
      </c>
      <c r="CI78" s="69" t="str">
        <f t="shared" si="392"/>
        <v/>
      </c>
      <c r="CJ78" s="69" t="str">
        <f t="shared" si="522"/>
        <v/>
      </c>
      <c r="CK78" s="69" t="str">
        <f t="shared" si="393"/>
        <v/>
      </c>
      <c r="CL78" s="69" t="str">
        <f t="shared" si="394"/>
        <v/>
      </c>
      <c r="CM78" s="69" t="str">
        <f t="shared" si="523"/>
        <v/>
      </c>
      <c r="CN78" s="69" t="str">
        <f t="shared" si="395"/>
        <v/>
      </c>
      <c r="CO78" s="69" t="str">
        <f t="shared" si="396"/>
        <v/>
      </c>
      <c r="CP78" s="69" t="str">
        <f t="shared" si="524"/>
        <v/>
      </c>
      <c r="CQ78" s="69" t="str">
        <f t="shared" si="397"/>
        <v/>
      </c>
      <c r="CR78" s="69" t="str">
        <f t="shared" si="398"/>
        <v/>
      </c>
      <c r="CS78" s="69" t="str">
        <f t="shared" si="525"/>
        <v/>
      </c>
      <c r="CT78" s="69" t="str">
        <f t="shared" si="399"/>
        <v/>
      </c>
      <c r="CU78" s="69" t="str">
        <f t="shared" si="400"/>
        <v/>
      </c>
      <c r="CV78" s="69" t="str">
        <f t="shared" si="526"/>
        <v/>
      </c>
      <c r="CW78" s="69" t="str">
        <f t="shared" si="401"/>
        <v/>
      </c>
      <c r="CX78" s="69" t="str">
        <f t="shared" si="402"/>
        <v/>
      </c>
      <c r="CY78" s="69" t="str">
        <f t="shared" si="527"/>
        <v/>
      </c>
      <c r="CZ78" s="69" t="str">
        <f t="shared" si="403"/>
        <v/>
      </c>
      <c r="DA78" s="69" t="str">
        <f t="shared" si="404"/>
        <v/>
      </c>
      <c r="DB78" s="69" t="str">
        <f t="shared" si="528"/>
        <v/>
      </c>
      <c r="DC78" s="69" t="str">
        <f t="shared" si="405"/>
        <v/>
      </c>
      <c r="DD78" s="69" t="str">
        <f t="shared" si="406"/>
        <v/>
      </c>
      <c r="DE78" s="69" t="str">
        <f t="shared" si="529"/>
        <v/>
      </c>
      <c r="DG78" s="69" t="str">
        <f t="shared" si="407"/>
        <v/>
      </c>
      <c r="DH78" s="69" t="str">
        <f t="shared" si="408"/>
        <v/>
      </c>
      <c r="DI78" s="69" t="str">
        <f t="shared" si="530"/>
        <v/>
      </c>
      <c r="DJ78" s="69" t="str">
        <f t="shared" si="409"/>
        <v/>
      </c>
      <c r="DK78" s="69" t="str">
        <f t="shared" si="410"/>
        <v/>
      </c>
      <c r="DL78" s="69" t="str">
        <f t="shared" si="531"/>
        <v/>
      </c>
      <c r="DM78" s="69" t="str">
        <f t="shared" si="411"/>
        <v/>
      </c>
      <c r="DN78" s="69" t="str">
        <f t="shared" si="412"/>
        <v/>
      </c>
      <c r="DO78" s="69" t="str">
        <f t="shared" si="532"/>
        <v/>
      </c>
      <c r="DP78" s="69" t="str">
        <f t="shared" si="413"/>
        <v/>
      </c>
      <c r="DQ78" s="69" t="str">
        <f t="shared" si="414"/>
        <v/>
      </c>
      <c r="DR78" s="69" t="str">
        <f t="shared" si="533"/>
        <v/>
      </c>
      <c r="DS78" s="69" t="str">
        <f t="shared" si="415"/>
        <v/>
      </c>
      <c r="DT78" s="69" t="str">
        <f t="shared" si="416"/>
        <v/>
      </c>
      <c r="DU78" s="69" t="str">
        <f t="shared" si="534"/>
        <v/>
      </c>
      <c r="DV78" s="69" t="str">
        <f t="shared" si="417"/>
        <v/>
      </c>
      <c r="DW78" s="69" t="str">
        <f t="shared" si="418"/>
        <v/>
      </c>
      <c r="DX78" s="69" t="str">
        <f t="shared" si="535"/>
        <v/>
      </c>
      <c r="DY78" s="69" t="str">
        <f t="shared" si="419"/>
        <v/>
      </c>
      <c r="DZ78" s="69" t="str">
        <f t="shared" si="420"/>
        <v/>
      </c>
      <c r="EA78" s="69" t="str">
        <f t="shared" si="536"/>
        <v/>
      </c>
      <c r="EB78" s="69" t="str">
        <f t="shared" si="421"/>
        <v/>
      </c>
      <c r="EC78" s="69" t="str">
        <f t="shared" si="422"/>
        <v/>
      </c>
      <c r="ED78" s="69" t="str">
        <f t="shared" si="537"/>
        <v/>
      </c>
      <c r="EF78" s="69" t="str">
        <f t="shared" si="423"/>
        <v/>
      </c>
      <c r="EG78" s="69" t="str">
        <f t="shared" si="424"/>
        <v/>
      </c>
      <c r="EH78" s="69" t="str">
        <f t="shared" si="538"/>
        <v/>
      </c>
      <c r="EI78" s="69" t="str">
        <f t="shared" si="425"/>
        <v/>
      </c>
      <c r="EJ78" s="69" t="str">
        <f t="shared" si="426"/>
        <v/>
      </c>
      <c r="EK78" s="69" t="str">
        <f t="shared" si="539"/>
        <v/>
      </c>
      <c r="EL78" s="69" t="str">
        <f t="shared" si="427"/>
        <v/>
      </c>
      <c r="EM78" s="69" t="str">
        <f t="shared" si="428"/>
        <v/>
      </c>
      <c r="EN78" s="69" t="str">
        <f t="shared" si="540"/>
        <v/>
      </c>
      <c r="EO78" s="69" t="str">
        <f t="shared" si="429"/>
        <v/>
      </c>
      <c r="EP78" s="69" t="str">
        <f t="shared" si="430"/>
        <v/>
      </c>
      <c r="EQ78" s="69" t="str">
        <f t="shared" si="541"/>
        <v/>
      </c>
      <c r="ER78" s="69" t="str">
        <f t="shared" si="431"/>
        <v/>
      </c>
      <c r="ES78" s="69" t="str">
        <f t="shared" si="432"/>
        <v/>
      </c>
      <c r="ET78" s="69" t="str">
        <f t="shared" si="542"/>
        <v/>
      </c>
      <c r="EU78" s="69" t="str">
        <f t="shared" si="433"/>
        <v/>
      </c>
      <c r="EV78" s="69" t="str">
        <f t="shared" si="434"/>
        <v/>
      </c>
      <c r="EW78" s="69" t="str">
        <f t="shared" si="543"/>
        <v/>
      </c>
      <c r="EX78" s="69" t="str">
        <f t="shared" si="435"/>
        <v/>
      </c>
      <c r="EY78" s="69" t="str">
        <f t="shared" si="436"/>
        <v/>
      </c>
      <c r="EZ78" s="69" t="str">
        <f t="shared" si="544"/>
        <v/>
      </c>
      <c r="FB78" s="69" t="str">
        <f t="shared" si="437"/>
        <v/>
      </c>
      <c r="FC78" s="69" t="str">
        <f t="shared" si="438"/>
        <v/>
      </c>
      <c r="FD78" s="69" t="str">
        <f t="shared" si="545"/>
        <v/>
      </c>
      <c r="FE78" s="69" t="str">
        <f t="shared" si="439"/>
        <v/>
      </c>
      <c r="FF78" s="69" t="str">
        <f t="shared" si="440"/>
        <v/>
      </c>
      <c r="FG78" s="69" t="str">
        <f t="shared" si="546"/>
        <v/>
      </c>
      <c r="FH78" s="69" t="str">
        <f t="shared" si="441"/>
        <v/>
      </c>
      <c r="FI78" s="69" t="str">
        <f t="shared" si="442"/>
        <v/>
      </c>
      <c r="FJ78" s="69" t="str">
        <f t="shared" si="547"/>
        <v/>
      </c>
      <c r="FK78" s="69" t="str">
        <f t="shared" si="443"/>
        <v/>
      </c>
      <c r="FL78" s="69" t="str">
        <f t="shared" si="444"/>
        <v/>
      </c>
      <c r="FM78" s="69" t="str">
        <f t="shared" si="548"/>
        <v/>
      </c>
      <c r="FN78" s="69" t="str">
        <f t="shared" si="445"/>
        <v/>
      </c>
      <c r="FO78" s="69" t="str">
        <f t="shared" si="446"/>
        <v/>
      </c>
      <c r="FP78" s="69" t="str">
        <f t="shared" si="549"/>
        <v/>
      </c>
      <c r="FQ78" s="69" t="str">
        <f t="shared" si="447"/>
        <v/>
      </c>
      <c r="FR78" s="69" t="str">
        <f t="shared" si="448"/>
        <v/>
      </c>
      <c r="FS78" s="69" t="str">
        <f t="shared" si="550"/>
        <v/>
      </c>
      <c r="FU78" s="69" t="str">
        <f t="shared" si="449"/>
        <v/>
      </c>
      <c r="FV78" s="69" t="str">
        <f t="shared" si="450"/>
        <v/>
      </c>
      <c r="FW78" s="69" t="str">
        <f t="shared" si="551"/>
        <v/>
      </c>
      <c r="FX78" s="69" t="str">
        <f t="shared" si="451"/>
        <v/>
      </c>
      <c r="FY78" s="69" t="str">
        <f t="shared" si="452"/>
        <v/>
      </c>
      <c r="FZ78" s="69" t="str">
        <f t="shared" si="552"/>
        <v/>
      </c>
      <c r="GA78" s="69" t="str">
        <f t="shared" si="453"/>
        <v/>
      </c>
      <c r="GB78" s="69" t="str">
        <f t="shared" si="454"/>
        <v/>
      </c>
      <c r="GC78" s="69" t="str">
        <f t="shared" si="553"/>
        <v/>
      </c>
      <c r="GD78" s="69" t="str">
        <f t="shared" si="455"/>
        <v/>
      </c>
      <c r="GE78" s="69" t="str">
        <f t="shared" si="456"/>
        <v/>
      </c>
      <c r="GF78" s="69" t="str">
        <f t="shared" si="554"/>
        <v/>
      </c>
      <c r="GG78" s="69" t="str">
        <f t="shared" si="457"/>
        <v/>
      </c>
      <c r="GH78" s="69" t="str">
        <f t="shared" si="458"/>
        <v/>
      </c>
      <c r="GI78" s="69" t="str">
        <f t="shared" si="555"/>
        <v/>
      </c>
      <c r="GK78" s="69" t="str">
        <f t="shared" si="459"/>
        <v/>
      </c>
      <c r="GL78" s="69" t="str">
        <f t="shared" si="460"/>
        <v/>
      </c>
      <c r="GM78" s="69" t="str">
        <f t="shared" si="556"/>
        <v/>
      </c>
      <c r="GN78" s="69" t="str">
        <f t="shared" si="461"/>
        <v/>
      </c>
      <c r="GO78" s="69" t="str">
        <f t="shared" si="462"/>
        <v/>
      </c>
      <c r="GP78" s="69" t="str">
        <f t="shared" si="557"/>
        <v/>
      </c>
      <c r="GQ78" s="69" t="str">
        <f t="shared" si="463"/>
        <v/>
      </c>
      <c r="GR78" s="69" t="str">
        <f t="shared" si="464"/>
        <v/>
      </c>
      <c r="GS78" s="69" t="str">
        <f t="shared" si="558"/>
        <v/>
      </c>
      <c r="GT78" s="69" t="str">
        <f t="shared" si="465"/>
        <v/>
      </c>
      <c r="GU78" s="69" t="str">
        <f t="shared" si="466"/>
        <v/>
      </c>
      <c r="GV78" s="69" t="str">
        <f t="shared" si="559"/>
        <v/>
      </c>
      <c r="GX78" s="69" t="str">
        <f t="shared" si="560"/>
        <v/>
      </c>
      <c r="GY78" s="69" t="str">
        <f t="shared" si="561"/>
        <v/>
      </c>
      <c r="GZ78" s="69" t="str">
        <f t="shared" si="562"/>
        <v/>
      </c>
      <c r="HA78" s="69" t="str">
        <f t="shared" si="563"/>
        <v/>
      </c>
      <c r="HB78" s="69" t="str">
        <f t="shared" si="564"/>
        <v/>
      </c>
      <c r="HC78" s="69" t="str">
        <f t="shared" si="565"/>
        <v/>
      </c>
      <c r="HD78" s="69" t="str">
        <f t="shared" si="566"/>
        <v/>
      </c>
      <c r="HE78" s="69" t="str">
        <f t="shared" si="567"/>
        <v/>
      </c>
      <c r="HF78" s="69" t="str">
        <f t="shared" si="568"/>
        <v/>
      </c>
      <c r="HH78" s="69" t="str">
        <f t="shared" si="569"/>
        <v/>
      </c>
      <c r="HI78" s="69" t="str">
        <f t="shared" si="570"/>
        <v/>
      </c>
      <c r="HJ78" s="69" t="str">
        <f t="shared" si="571"/>
        <v/>
      </c>
      <c r="HK78" s="69" t="str">
        <f t="shared" si="572"/>
        <v/>
      </c>
      <c r="HL78" s="69" t="str">
        <f t="shared" si="573"/>
        <v/>
      </c>
      <c r="HM78" s="69" t="str">
        <f t="shared" si="574"/>
        <v/>
      </c>
      <c r="HO78" s="69" t="str">
        <f t="shared" si="575"/>
        <v/>
      </c>
      <c r="HP78" s="69" t="str">
        <f t="shared" si="576"/>
        <v/>
      </c>
      <c r="HQ78" s="69" t="str">
        <f t="shared" si="577"/>
        <v/>
      </c>
      <c r="HS78" s="69" t="str">
        <f t="shared" si="467"/>
        <v/>
      </c>
      <c r="HT78" s="69" t="str">
        <f t="shared" si="468"/>
        <v/>
      </c>
      <c r="HU78" s="69" t="str">
        <f t="shared" si="578"/>
        <v/>
      </c>
      <c r="HV78" s="69" t="str">
        <f t="shared" si="469"/>
        <v/>
      </c>
      <c r="HW78" s="69" t="str">
        <f t="shared" si="470"/>
        <v/>
      </c>
      <c r="HX78" s="69" t="str">
        <f t="shared" si="579"/>
        <v/>
      </c>
      <c r="HY78" s="69" t="str">
        <f t="shared" si="471"/>
        <v/>
      </c>
      <c r="HZ78" s="69" t="str">
        <f t="shared" si="472"/>
        <v/>
      </c>
      <c r="IA78" s="69" t="str">
        <f t="shared" si="580"/>
        <v/>
      </c>
      <c r="IB78" s="69" t="str">
        <f t="shared" si="473"/>
        <v/>
      </c>
      <c r="IC78" s="69" t="str">
        <f t="shared" si="474"/>
        <v/>
      </c>
      <c r="ID78" s="69" t="str">
        <f t="shared" si="581"/>
        <v/>
      </c>
      <c r="IE78" s="69" t="str">
        <f t="shared" si="475"/>
        <v/>
      </c>
      <c r="IF78" s="69" t="str">
        <f t="shared" si="476"/>
        <v/>
      </c>
      <c r="IG78" s="69" t="str">
        <f t="shared" si="582"/>
        <v/>
      </c>
      <c r="IH78" s="69" t="str">
        <f t="shared" si="477"/>
        <v/>
      </c>
      <c r="II78" s="69" t="str">
        <f t="shared" si="478"/>
        <v/>
      </c>
      <c r="IJ78" s="69" t="str">
        <f t="shared" si="583"/>
        <v/>
      </c>
      <c r="IK78" s="69" t="str">
        <f t="shared" si="479"/>
        <v/>
      </c>
      <c r="IL78" s="69" t="str">
        <f t="shared" si="480"/>
        <v/>
      </c>
      <c r="IM78" s="69" t="str">
        <f t="shared" si="584"/>
        <v/>
      </c>
      <c r="IN78" s="69" t="str">
        <f t="shared" si="585"/>
        <v/>
      </c>
      <c r="IO78" s="69" t="str">
        <f t="shared" si="586"/>
        <v/>
      </c>
      <c r="IP78" s="69" t="str">
        <f t="shared" si="587"/>
        <v/>
      </c>
      <c r="IQ78" s="69" t="str">
        <f t="shared" si="588"/>
        <v/>
      </c>
      <c r="IR78" s="69" t="str">
        <f t="shared" si="589"/>
        <v/>
      </c>
      <c r="IS78" s="69" t="str">
        <f t="shared" si="590"/>
        <v/>
      </c>
      <c r="IT78" s="69" t="str">
        <f t="shared" si="591"/>
        <v/>
      </c>
      <c r="IU78" s="69" t="str">
        <f t="shared" si="592"/>
        <v/>
      </c>
      <c r="IV78" s="69" t="str">
        <f t="shared" si="593"/>
        <v/>
      </c>
    </row>
    <row r="79" spans="1:256" x14ac:dyDescent="0.2">
      <c r="A79" s="57" t="s">
        <v>82</v>
      </c>
      <c r="B79" s="178"/>
      <c r="C79" s="179"/>
      <c r="D79" s="179"/>
      <c r="E79" s="179"/>
      <c r="F79" s="179"/>
      <c r="G79" s="180"/>
      <c r="H79" s="180"/>
      <c r="I79" s="181"/>
      <c r="J79" s="182"/>
      <c r="K79" s="183"/>
      <c r="L79" s="68">
        <f t="shared" si="360"/>
        <v>0</v>
      </c>
      <c r="M79" s="69" t="str">
        <f t="shared" si="361"/>
        <v/>
      </c>
      <c r="N79" s="69" t="str">
        <f t="shared" si="481"/>
        <v/>
      </c>
      <c r="O79" s="69" t="str">
        <f t="shared" si="482"/>
        <v/>
      </c>
      <c r="P79" s="69" t="str">
        <f t="shared" si="483"/>
        <v/>
      </c>
      <c r="Q79" s="70" t="str">
        <f t="shared" si="362"/>
        <v/>
      </c>
      <c r="R79" s="71" t="str">
        <f t="shared" si="484"/>
        <v/>
      </c>
      <c r="S79" s="71" t="str">
        <f t="shared" si="485"/>
        <v/>
      </c>
      <c r="T79" s="70" t="str">
        <f t="shared" si="363"/>
        <v/>
      </c>
      <c r="U79" s="71" t="str">
        <f t="shared" si="486"/>
        <v/>
      </c>
      <c r="V79" s="71" t="str">
        <f t="shared" si="487"/>
        <v/>
      </c>
      <c r="W79" s="70" t="str">
        <f t="shared" si="364"/>
        <v/>
      </c>
      <c r="X79" s="71" t="str">
        <f t="shared" si="488"/>
        <v/>
      </c>
      <c r="Y79" s="71" t="str">
        <f t="shared" si="489"/>
        <v/>
      </c>
      <c r="Z79" s="70" t="str">
        <f t="shared" si="365"/>
        <v/>
      </c>
      <c r="AA79" s="71" t="str">
        <f t="shared" si="490"/>
        <v/>
      </c>
      <c r="AB79" s="71" t="str">
        <f t="shared" si="491"/>
        <v/>
      </c>
      <c r="AC79" s="70" t="str">
        <f t="shared" si="366"/>
        <v/>
      </c>
      <c r="AD79" s="71" t="str">
        <f t="shared" si="492"/>
        <v/>
      </c>
      <c r="AE79" s="71" t="str">
        <f t="shared" si="493"/>
        <v/>
      </c>
      <c r="AF79" s="70" t="str">
        <f t="shared" si="367"/>
        <v/>
      </c>
      <c r="AG79" s="71" t="str">
        <f t="shared" si="494"/>
        <v/>
      </c>
      <c r="AH79" s="71" t="str">
        <f t="shared" si="495"/>
        <v/>
      </c>
      <c r="AI79" s="70" t="str">
        <f t="shared" si="368"/>
        <v/>
      </c>
      <c r="AJ79" s="71" t="str">
        <f t="shared" si="496"/>
        <v/>
      </c>
      <c r="AK79" s="71" t="str">
        <f t="shared" si="497"/>
        <v/>
      </c>
      <c r="AL79" s="70" t="str">
        <f t="shared" si="498"/>
        <v/>
      </c>
      <c r="AM79" s="71" t="str">
        <f t="shared" si="499"/>
        <v/>
      </c>
      <c r="AN79" s="71" t="str">
        <f t="shared" si="500"/>
        <v/>
      </c>
      <c r="AO79" s="70" t="str">
        <f t="shared" si="501"/>
        <v/>
      </c>
      <c r="AP79" s="71" t="str">
        <f t="shared" si="502"/>
        <v/>
      </c>
      <c r="AQ79" s="71" t="str">
        <f t="shared" si="503"/>
        <v/>
      </c>
      <c r="AR79" s="70" t="str">
        <f t="shared" si="504"/>
        <v/>
      </c>
      <c r="AS79" s="71" t="str">
        <f t="shared" si="505"/>
        <v/>
      </c>
      <c r="AT79" s="71" t="str">
        <f t="shared" si="506"/>
        <v/>
      </c>
      <c r="AU79" s="69" t="str">
        <f t="shared" si="507"/>
        <v/>
      </c>
      <c r="AV79" s="131" t="str">
        <f t="shared" si="508"/>
        <v/>
      </c>
      <c r="AW79" s="69" t="str">
        <f t="shared" si="594"/>
        <v/>
      </c>
      <c r="AX79" s="132" t="str">
        <f t="shared" si="509"/>
        <v/>
      </c>
      <c r="AY79" s="132" t="str">
        <f t="shared" si="510"/>
        <v/>
      </c>
      <c r="AZ79" s="69" t="str">
        <f t="shared" si="369"/>
        <v/>
      </c>
      <c r="BA79" s="69" t="str">
        <f t="shared" si="370"/>
        <v/>
      </c>
      <c r="BB79" s="69" t="str">
        <f t="shared" si="511"/>
        <v/>
      </c>
      <c r="BC79" s="69" t="str">
        <f t="shared" si="371"/>
        <v/>
      </c>
      <c r="BD79" s="69" t="str">
        <f t="shared" si="372"/>
        <v/>
      </c>
      <c r="BE79" s="69" t="str">
        <f t="shared" si="512"/>
        <v/>
      </c>
      <c r="BF79" s="69" t="str">
        <f t="shared" si="373"/>
        <v/>
      </c>
      <c r="BG79" s="69" t="str">
        <f t="shared" si="374"/>
        <v/>
      </c>
      <c r="BH79" s="69" t="str">
        <f t="shared" si="513"/>
        <v/>
      </c>
      <c r="BI79" s="69" t="str">
        <f t="shared" si="375"/>
        <v/>
      </c>
      <c r="BJ79" s="69" t="str">
        <f t="shared" si="376"/>
        <v/>
      </c>
      <c r="BK79" s="69" t="str">
        <f t="shared" si="514"/>
        <v/>
      </c>
      <c r="BL79" s="69" t="str">
        <f t="shared" si="377"/>
        <v/>
      </c>
      <c r="BM79" s="69" t="str">
        <f t="shared" si="378"/>
        <v/>
      </c>
      <c r="BN79" s="69" t="str">
        <f t="shared" si="515"/>
        <v/>
      </c>
      <c r="BO79" s="69" t="str">
        <f t="shared" si="379"/>
        <v/>
      </c>
      <c r="BP79" s="69" t="str">
        <f t="shared" si="380"/>
        <v/>
      </c>
      <c r="BQ79" s="69" t="str">
        <f t="shared" si="516"/>
        <v/>
      </c>
      <c r="BR79" s="69" t="str">
        <f t="shared" si="381"/>
        <v/>
      </c>
      <c r="BS79" s="69" t="str">
        <f t="shared" si="382"/>
        <v/>
      </c>
      <c r="BT79" s="69" t="str">
        <f t="shared" si="517"/>
        <v/>
      </c>
      <c r="BU79" s="69" t="str">
        <f t="shared" si="383"/>
        <v/>
      </c>
      <c r="BV79" s="69" t="str">
        <f t="shared" si="384"/>
        <v/>
      </c>
      <c r="BW79" s="69" t="str">
        <f t="shared" si="518"/>
        <v/>
      </c>
      <c r="BX79" s="69" t="str">
        <f t="shared" si="385"/>
        <v/>
      </c>
      <c r="BY79" s="69" t="str">
        <f t="shared" si="386"/>
        <v/>
      </c>
      <c r="BZ79" s="69" t="str">
        <f t="shared" si="519"/>
        <v/>
      </c>
      <c r="CA79" s="69" t="str">
        <f t="shared" si="387"/>
        <v/>
      </c>
      <c r="CB79" s="69" t="str">
        <f t="shared" si="388"/>
        <v/>
      </c>
      <c r="CC79" s="69" t="str">
        <f t="shared" si="520"/>
        <v/>
      </c>
      <c r="CE79" s="69" t="str">
        <f t="shared" si="389"/>
        <v/>
      </c>
      <c r="CF79" s="69" t="str">
        <f t="shared" si="390"/>
        <v/>
      </c>
      <c r="CG79" s="69" t="str">
        <f t="shared" si="521"/>
        <v/>
      </c>
      <c r="CH79" s="69" t="str">
        <f t="shared" si="391"/>
        <v/>
      </c>
      <c r="CI79" s="69" t="str">
        <f t="shared" si="392"/>
        <v/>
      </c>
      <c r="CJ79" s="69" t="str">
        <f t="shared" si="522"/>
        <v/>
      </c>
      <c r="CK79" s="69" t="str">
        <f t="shared" si="393"/>
        <v/>
      </c>
      <c r="CL79" s="69" t="str">
        <f t="shared" si="394"/>
        <v/>
      </c>
      <c r="CM79" s="69" t="str">
        <f t="shared" si="523"/>
        <v/>
      </c>
      <c r="CN79" s="69" t="str">
        <f t="shared" si="395"/>
        <v/>
      </c>
      <c r="CO79" s="69" t="str">
        <f t="shared" si="396"/>
        <v/>
      </c>
      <c r="CP79" s="69" t="str">
        <f t="shared" si="524"/>
        <v/>
      </c>
      <c r="CQ79" s="69" t="str">
        <f t="shared" si="397"/>
        <v/>
      </c>
      <c r="CR79" s="69" t="str">
        <f t="shared" si="398"/>
        <v/>
      </c>
      <c r="CS79" s="69" t="str">
        <f t="shared" si="525"/>
        <v/>
      </c>
      <c r="CT79" s="69" t="str">
        <f t="shared" si="399"/>
        <v/>
      </c>
      <c r="CU79" s="69" t="str">
        <f t="shared" si="400"/>
        <v/>
      </c>
      <c r="CV79" s="69" t="str">
        <f t="shared" si="526"/>
        <v/>
      </c>
      <c r="CW79" s="69" t="str">
        <f t="shared" si="401"/>
        <v/>
      </c>
      <c r="CX79" s="69" t="str">
        <f t="shared" si="402"/>
        <v/>
      </c>
      <c r="CY79" s="69" t="str">
        <f t="shared" si="527"/>
        <v/>
      </c>
      <c r="CZ79" s="69" t="str">
        <f t="shared" si="403"/>
        <v/>
      </c>
      <c r="DA79" s="69" t="str">
        <f t="shared" si="404"/>
        <v/>
      </c>
      <c r="DB79" s="69" t="str">
        <f t="shared" si="528"/>
        <v/>
      </c>
      <c r="DC79" s="69" t="str">
        <f t="shared" si="405"/>
        <v/>
      </c>
      <c r="DD79" s="69" t="str">
        <f t="shared" si="406"/>
        <v/>
      </c>
      <c r="DE79" s="69" t="str">
        <f t="shared" si="529"/>
        <v/>
      </c>
      <c r="DG79" s="69" t="str">
        <f t="shared" si="407"/>
        <v/>
      </c>
      <c r="DH79" s="69" t="str">
        <f t="shared" si="408"/>
        <v/>
      </c>
      <c r="DI79" s="69" t="str">
        <f t="shared" si="530"/>
        <v/>
      </c>
      <c r="DJ79" s="69" t="str">
        <f t="shared" si="409"/>
        <v/>
      </c>
      <c r="DK79" s="69" t="str">
        <f t="shared" si="410"/>
        <v/>
      </c>
      <c r="DL79" s="69" t="str">
        <f t="shared" si="531"/>
        <v/>
      </c>
      <c r="DM79" s="69" t="str">
        <f t="shared" si="411"/>
        <v/>
      </c>
      <c r="DN79" s="69" t="str">
        <f t="shared" si="412"/>
        <v/>
      </c>
      <c r="DO79" s="69" t="str">
        <f t="shared" si="532"/>
        <v/>
      </c>
      <c r="DP79" s="69" t="str">
        <f t="shared" si="413"/>
        <v/>
      </c>
      <c r="DQ79" s="69" t="str">
        <f t="shared" si="414"/>
        <v/>
      </c>
      <c r="DR79" s="69" t="str">
        <f t="shared" si="533"/>
        <v/>
      </c>
      <c r="DS79" s="69" t="str">
        <f t="shared" si="415"/>
        <v/>
      </c>
      <c r="DT79" s="69" t="str">
        <f t="shared" si="416"/>
        <v/>
      </c>
      <c r="DU79" s="69" t="str">
        <f t="shared" si="534"/>
        <v/>
      </c>
      <c r="DV79" s="69" t="str">
        <f t="shared" si="417"/>
        <v/>
      </c>
      <c r="DW79" s="69" t="str">
        <f t="shared" si="418"/>
        <v/>
      </c>
      <c r="DX79" s="69" t="str">
        <f t="shared" si="535"/>
        <v/>
      </c>
      <c r="DY79" s="69" t="str">
        <f t="shared" si="419"/>
        <v/>
      </c>
      <c r="DZ79" s="69" t="str">
        <f t="shared" si="420"/>
        <v/>
      </c>
      <c r="EA79" s="69" t="str">
        <f t="shared" si="536"/>
        <v/>
      </c>
      <c r="EB79" s="69" t="str">
        <f t="shared" si="421"/>
        <v/>
      </c>
      <c r="EC79" s="69" t="str">
        <f t="shared" si="422"/>
        <v/>
      </c>
      <c r="ED79" s="69" t="str">
        <f t="shared" si="537"/>
        <v/>
      </c>
      <c r="EF79" s="69" t="str">
        <f t="shared" si="423"/>
        <v/>
      </c>
      <c r="EG79" s="69" t="str">
        <f t="shared" si="424"/>
        <v/>
      </c>
      <c r="EH79" s="69" t="str">
        <f t="shared" si="538"/>
        <v/>
      </c>
      <c r="EI79" s="69" t="str">
        <f t="shared" si="425"/>
        <v/>
      </c>
      <c r="EJ79" s="69" t="str">
        <f t="shared" si="426"/>
        <v/>
      </c>
      <c r="EK79" s="69" t="str">
        <f t="shared" si="539"/>
        <v/>
      </c>
      <c r="EL79" s="69" t="str">
        <f t="shared" si="427"/>
        <v/>
      </c>
      <c r="EM79" s="69" t="str">
        <f t="shared" si="428"/>
        <v/>
      </c>
      <c r="EN79" s="69" t="str">
        <f t="shared" si="540"/>
        <v/>
      </c>
      <c r="EO79" s="69" t="str">
        <f t="shared" si="429"/>
        <v/>
      </c>
      <c r="EP79" s="69" t="str">
        <f t="shared" si="430"/>
        <v/>
      </c>
      <c r="EQ79" s="69" t="str">
        <f t="shared" si="541"/>
        <v/>
      </c>
      <c r="ER79" s="69" t="str">
        <f t="shared" si="431"/>
        <v/>
      </c>
      <c r="ES79" s="69" t="str">
        <f t="shared" si="432"/>
        <v/>
      </c>
      <c r="ET79" s="69" t="str">
        <f t="shared" si="542"/>
        <v/>
      </c>
      <c r="EU79" s="69" t="str">
        <f t="shared" si="433"/>
        <v/>
      </c>
      <c r="EV79" s="69" t="str">
        <f t="shared" si="434"/>
        <v/>
      </c>
      <c r="EW79" s="69" t="str">
        <f t="shared" si="543"/>
        <v/>
      </c>
      <c r="EX79" s="69" t="str">
        <f t="shared" si="435"/>
        <v/>
      </c>
      <c r="EY79" s="69" t="str">
        <f t="shared" si="436"/>
        <v/>
      </c>
      <c r="EZ79" s="69" t="str">
        <f t="shared" si="544"/>
        <v/>
      </c>
      <c r="FB79" s="69" t="str">
        <f t="shared" si="437"/>
        <v/>
      </c>
      <c r="FC79" s="69" t="str">
        <f t="shared" si="438"/>
        <v/>
      </c>
      <c r="FD79" s="69" t="str">
        <f t="shared" si="545"/>
        <v/>
      </c>
      <c r="FE79" s="69" t="str">
        <f t="shared" si="439"/>
        <v/>
      </c>
      <c r="FF79" s="69" t="str">
        <f t="shared" si="440"/>
        <v/>
      </c>
      <c r="FG79" s="69" t="str">
        <f t="shared" si="546"/>
        <v/>
      </c>
      <c r="FH79" s="69" t="str">
        <f t="shared" si="441"/>
        <v/>
      </c>
      <c r="FI79" s="69" t="str">
        <f t="shared" si="442"/>
        <v/>
      </c>
      <c r="FJ79" s="69" t="str">
        <f t="shared" si="547"/>
        <v/>
      </c>
      <c r="FK79" s="69" t="str">
        <f t="shared" si="443"/>
        <v/>
      </c>
      <c r="FL79" s="69" t="str">
        <f t="shared" si="444"/>
        <v/>
      </c>
      <c r="FM79" s="69" t="str">
        <f t="shared" si="548"/>
        <v/>
      </c>
      <c r="FN79" s="69" t="str">
        <f t="shared" si="445"/>
        <v/>
      </c>
      <c r="FO79" s="69" t="str">
        <f t="shared" si="446"/>
        <v/>
      </c>
      <c r="FP79" s="69" t="str">
        <f t="shared" si="549"/>
        <v/>
      </c>
      <c r="FQ79" s="69" t="str">
        <f t="shared" si="447"/>
        <v/>
      </c>
      <c r="FR79" s="69" t="str">
        <f t="shared" si="448"/>
        <v/>
      </c>
      <c r="FS79" s="69" t="str">
        <f t="shared" si="550"/>
        <v/>
      </c>
      <c r="FU79" s="69" t="str">
        <f t="shared" si="449"/>
        <v/>
      </c>
      <c r="FV79" s="69" t="str">
        <f t="shared" si="450"/>
        <v/>
      </c>
      <c r="FW79" s="69" t="str">
        <f t="shared" si="551"/>
        <v/>
      </c>
      <c r="FX79" s="69" t="str">
        <f t="shared" si="451"/>
        <v/>
      </c>
      <c r="FY79" s="69" t="str">
        <f t="shared" si="452"/>
        <v/>
      </c>
      <c r="FZ79" s="69" t="str">
        <f t="shared" si="552"/>
        <v/>
      </c>
      <c r="GA79" s="69" t="str">
        <f t="shared" si="453"/>
        <v/>
      </c>
      <c r="GB79" s="69" t="str">
        <f t="shared" si="454"/>
        <v/>
      </c>
      <c r="GC79" s="69" t="str">
        <f t="shared" si="553"/>
        <v/>
      </c>
      <c r="GD79" s="69" t="str">
        <f t="shared" si="455"/>
        <v/>
      </c>
      <c r="GE79" s="69" t="str">
        <f t="shared" si="456"/>
        <v/>
      </c>
      <c r="GF79" s="69" t="str">
        <f t="shared" si="554"/>
        <v/>
      </c>
      <c r="GG79" s="69" t="str">
        <f t="shared" si="457"/>
        <v/>
      </c>
      <c r="GH79" s="69" t="str">
        <f t="shared" si="458"/>
        <v/>
      </c>
      <c r="GI79" s="69" t="str">
        <f t="shared" si="555"/>
        <v/>
      </c>
      <c r="GK79" s="69" t="str">
        <f t="shared" si="459"/>
        <v/>
      </c>
      <c r="GL79" s="69" t="str">
        <f t="shared" si="460"/>
        <v/>
      </c>
      <c r="GM79" s="69" t="str">
        <f t="shared" si="556"/>
        <v/>
      </c>
      <c r="GN79" s="69" t="str">
        <f t="shared" si="461"/>
        <v/>
      </c>
      <c r="GO79" s="69" t="str">
        <f t="shared" si="462"/>
        <v/>
      </c>
      <c r="GP79" s="69" t="str">
        <f t="shared" si="557"/>
        <v/>
      </c>
      <c r="GQ79" s="69" t="str">
        <f t="shared" si="463"/>
        <v/>
      </c>
      <c r="GR79" s="69" t="str">
        <f t="shared" si="464"/>
        <v/>
      </c>
      <c r="GS79" s="69" t="str">
        <f t="shared" si="558"/>
        <v/>
      </c>
      <c r="GT79" s="69" t="str">
        <f t="shared" si="465"/>
        <v/>
      </c>
      <c r="GU79" s="69" t="str">
        <f t="shared" si="466"/>
        <v/>
      </c>
      <c r="GV79" s="69" t="str">
        <f t="shared" si="559"/>
        <v/>
      </c>
      <c r="GX79" s="69" t="str">
        <f t="shared" si="560"/>
        <v/>
      </c>
      <c r="GY79" s="69" t="str">
        <f t="shared" si="561"/>
        <v/>
      </c>
      <c r="GZ79" s="69" t="str">
        <f t="shared" si="562"/>
        <v/>
      </c>
      <c r="HA79" s="69" t="str">
        <f t="shared" si="563"/>
        <v/>
      </c>
      <c r="HB79" s="69" t="str">
        <f t="shared" si="564"/>
        <v/>
      </c>
      <c r="HC79" s="69" t="str">
        <f t="shared" si="565"/>
        <v/>
      </c>
      <c r="HD79" s="69" t="str">
        <f t="shared" si="566"/>
        <v/>
      </c>
      <c r="HE79" s="69" t="str">
        <f t="shared" si="567"/>
        <v/>
      </c>
      <c r="HF79" s="69" t="str">
        <f t="shared" si="568"/>
        <v/>
      </c>
      <c r="HH79" s="69" t="str">
        <f t="shared" si="569"/>
        <v/>
      </c>
      <c r="HI79" s="69" t="str">
        <f t="shared" si="570"/>
        <v/>
      </c>
      <c r="HJ79" s="69" t="str">
        <f t="shared" si="571"/>
        <v/>
      </c>
      <c r="HK79" s="69" t="str">
        <f t="shared" si="572"/>
        <v/>
      </c>
      <c r="HL79" s="69" t="str">
        <f t="shared" si="573"/>
        <v/>
      </c>
      <c r="HM79" s="69" t="str">
        <f t="shared" si="574"/>
        <v/>
      </c>
      <c r="HO79" s="69" t="str">
        <f t="shared" si="575"/>
        <v/>
      </c>
      <c r="HP79" s="69" t="str">
        <f t="shared" si="576"/>
        <v/>
      </c>
      <c r="HQ79" s="69" t="str">
        <f t="shared" si="577"/>
        <v/>
      </c>
      <c r="HS79" s="69" t="str">
        <f t="shared" si="467"/>
        <v/>
      </c>
      <c r="HT79" s="69" t="str">
        <f t="shared" si="468"/>
        <v/>
      </c>
      <c r="HU79" s="69" t="str">
        <f t="shared" si="578"/>
        <v/>
      </c>
      <c r="HV79" s="69" t="str">
        <f t="shared" si="469"/>
        <v/>
      </c>
      <c r="HW79" s="69" t="str">
        <f t="shared" si="470"/>
        <v/>
      </c>
      <c r="HX79" s="69" t="str">
        <f t="shared" si="579"/>
        <v/>
      </c>
      <c r="HY79" s="69" t="str">
        <f t="shared" si="471"/>
        <v/>
      </c>
      <c r="HZ79" s="69" t="str">
        <f t="shared" si="472"/>
        <v/>
      </c>
      <c r="IA79" s="69" t="str">
        <f t="shared" si="580"/>
        <v/>
      </c>
      <c r="IB79" s="69" t="str">
        <f t="shared" si="473"/>
        <v/>
      </c>
      <c r="IC79" s="69" t="str">
        <f t="shared" si="474"/>
        <v/>
      </c>
      <c r="ID79" s="69" t="str">
        <f t="shared" si="581"/>
        <v/>
      </c>
      <c r="IE79" s="69" t="str">
        <f t="shared" si="475"/>
        <v/>
      </c>
      <c r="IF79" s="69" t="str">
        <f t="shared" si="476"/>
        <v/>
      </c>
      <c r="IG79" s="69" t="str">
        <f t="shared" si="582"/>
        <v/>
      </c>
      <c r="IH79" s="69" t="str">
        <f t="shared" si="477"/>
        <v/>
      </c>
      <c r="II79" s="69" t="str">
        <f t="shared" si="478"/>
        <v/>
      </c>
      <c r="IJ79" s="69" t="str">
        <f t="shared" si="583"/>
        <v/>
      </c>
      <c r="IK79" s="69" t="str">
        <f t="shared" si="479"/>
        <v/>
      </c>
      <c r="IL79" s="69" t="str">
        <f t="shared" si="480"/>
        <v/>
      </c>
      <c r="IM79" s="69" t="str">
        <f t="shared" si="584"/>
        <v/>
      </c>
      <c r="IN79" s="69" t="str">
        <f t="shared" si="585"/>
        <v/>
      </c>
      <c r="IO79" s="69" t="str">
        <f t="shared" si="586"/>
        <v/>
      </c>
      <c r="IP79" s="69" t="str">
        <f t="shared" si="587"/>
        <v/>
      </c>
      <c r="IQ79" s="69" t="str">
        <f t="shared" si="588"/>
        <v/>
      </c>
      <c r="IR79" s="69" t="str">
        <f t="shared" si="589"/>
        <v/>
      </c>
      <c r="IS79" s="69" t="str">
        <f t="shared" si="590"/>
        <v/>
      </c>
      <c r="IT79" s="69" t="str">
        <f t="shared" si="591"/>
        <v/>
      </c>
      <c r="IU79" s="69" t="str">
        <f t="shared" si="592"/>
        <v/>
      </c>
      <c r="IV79" s="69" t="str">
        <f t="shared" si="593"/>
        <v/>
      </c>
    </row>
    <row r="80" spans="1:256" x14ac:dyDescent="0.2">
      <c r="A80" s="57" t="s">
        <v>83</v>
      </c>
      <c r="B80" s="178"/>
      <c r="C80" s="179"/>
      <c r="D80" s="179"/>
      <c r="E80" s="179"/>
      <c r="F80" s="179"/>
      <c r="G80" s="180"/>
      <c r="H80" s="180"/>
      <c r="I80" s="181"/>
      <c r="J80" s="182"/>
      <c r="K80" s="183"/>
      <c r="L80" s="68">
        <f t="shared" si="360"/>
        <v>0</v>
      </c>
      <c r="M80" s="69" t="str">
        <f t="shared" si="361"/>
        <v/>
      </c>
      <c r="N80" s="69" t="str">
        <f t="shared" si="481"/>
        <v/>
      </c>
      <c r="O80" s="69" t="str">
        <f t="shared" si="482"/>
        <v/>
      </c>
      <c r="P80" s="69" t="str">
        <f t="shared" si="483"/>
        <v/>
      </c>
      <c r="Q80" s="70" t="str">
        <f t="shared" si="362"/>
        <v/>
      </c>
      <c r="R80" s="71" t="str">
        <f t="shared" si="484"/>
        <v/>
      </c>
      <c r="S80" s="71" t="str">
        <f t="shared" si="485"/>
        <v/>
      </c>
      <c r="T80" s="70" t="str">
        <f t="shared" si="363"/>
        <v/>
      </c>
      <c r="U80" s="71" t="str">
        <f t="shared" si="486"/>
        <v/>
      </c>
      <c r="V80" s="71" t="str">
        <f t="shared" si="487"/>
        <v/>
      </c>
      <c r="W80" s="70" t="str">
        <f t="shared" si="364"/>
        <v/>
      </c>
      <c r="X80" s="71" t="str">
        <f t="shared" si="488"/>
        <v/>
      </c>
      <c r="Y80" s="71" t="str">
        <f t="shared" si="489"/>
        <v/>
      </c>
      <c r="Z80" s="70" t="str">
        <f t="shared" si="365"/>
        <v/>
      </c>
      <c r="AA80" s="71" t="str">
        <f t="shared" si="490"/>
        <v/>
      </c>
      <c r="AB80" s="71" t="str">
        <f t="shared" si="491"/>
        <v/>
      </c>
      <c r="AC80" s="70" t="str">
        <f t="shared" si="366"/>
        <v/>
      </c>
      <c r="AD80" s="71" t="str">
        <f t="shared" si="492"/>
        <v/>
      </c>
      <c r="AE80" s="71" t="str">
        <f t="shared" si="493"/>
        <v/>
      </c>
      <c r="AF80" s="70" t="str">
        <f t="shared" si="367"/>
        <v/>
      </c>
      <c r="AG80" s="71" t="str">
        <f t="shared" si="494"/>
        <v/>
      </c>
      <c r="AH80" s="71" t="str">
        <f t="shared" si="495"/>
        <v/>
      </c>
      <c r="AI80" s="70" t="str">
        <f t="shared" si="368"/>
        <v/>
      </c>
      <c r="AJ80" s="71" t="str">
        <f t="shared" si="496"/>
        <v/>
      </c>
      <c r="AK80" s="71" t="str">
        <f t="shared" si="497"/>
        <v/>
      </c>
      <c r="AL80" s="70" t="str">
        <f t="shared" si="498"/>
        <v/>
      </c>
      <c r="AM80" s="71" t="str">
        <f t="shared" si="499"/>
        <v/>
      </c>
      <c r="AN80" s="71" t="str">
        <f t="shared" si="500"/>
        <v/>
      </c>
      <c r="AO80" s="70" t="str">
        <f t="shared" si="501"/>
        <v/>
      </c>
      <c r="AP80" s="71" t="str">
        <f t="shared" si="502"/>
        <v/>
      </c>
      <c r="AQ80" s="71" t="str">
        <f t="shared" si="503"/>
        <v/>
      </c>
      <c r="AR80" s="70" t="str">
        <f t="shared" si="504"/>
        <v/>
      </c>
      <c r="AS80" s="71" t="str">
        <f t="shared" si="505"/>
        <v/>
      </c>
      <c r="AT80" s="71" t="str">
        <f t="shared" si="506"/>
        <v/>
      </c>
      <c r="AU80" s="69" t="str">
        <f t="shared" si="507"/>
        <v/>
      </c>
      <c r="AV80" s="131" t="str">
        <f t="shared" si="508"/>
        <v/>
      </c>
      <c r="AW80" s="69" t="str">
        <f t="shared" si="594"/>
        <v/>
      </c>
      <c r="AX80" s="132" t="str">
        <f t="shared" si="509"/>
        <v/>
      </c>
      <c r="AY80" s="132" t="str">
        <f t="shared" si="510"/>
        <v/>
      </c>
      <c r="AZ80" s="69" t="str">
        <f t="shared" si="369"/>
        <v/>
      </c>
      <c r="BA80" s="69" t="str">
        <f t="shared" si="370"/>
        <v/>
      </c>
      <c r="BB80" s="69" t="str">
        <f t="shared" si="511"/>
        <v/>
      </c>
      <c r="BC80" s="69" t="str">
        <f t="shared" si="371"/>
        <v/>
      </c>
      <c r="BD80" s="69" t="str">
        <f t="shared" si="372"/>
        <v/>
      </c>
      <c r="BE80" s="69" t="str">
        <f t="shared" si="512"/>
        <v/>
      </c>
      <c r="BF80" s="69" t="str">
        <f t="shared" si="373"/>
        <v/>
      </c>
      <c r="BG80" s="69" t="str">
        <f t="shared" si="374"/>
        <v/>
      </c>
      <c r="BH80" s="69" t="str">
        <f t="shared" si="513"/>
        <v/>
      </c>
      <c r="BI80" s="69" t="str">
        <f t="shared" si="375"/>
        <v/>
      </c>
      <c r="BJ80" s="69" t="str">
        <f t="shared" si="376"/>
        <v/>
      </c>
      <c r="BK80" s="69" t="str">
        <f t="shared" si="514"/>
        <v/>
      </c>
      <c r="BL80" s="69" t="str">
        <f t="shared" si="377"/>
        <v/>
      </c>
      <c r="BM80" s="69" t="str">
        <f t="shared" si="378"/>
        <v/>
      </c>
      <c r="BN80" s="69" t="str">
        <f t="shared" si="515"/>
        <v/>
      </c>
      <c r="BO80" s="69" t="str">
        <f t="shared" si="379"/>
        <v/>
      </c>
      <c r="BP80" s="69" t="str">
        <f t="shared" si="380"/>
        <v/>
      </c>
      <c r="BQ80" s="69" t="str">
        <f t="shared" si="516"/>
        <v/>
      </c>
      <c r="BR80" s="69" t="str">
        <f t="shared" si="381"/>
        <v/>
      </c>
      <c r="BS80" s="69" t="str">
        <f t="shared" si="382"/>
        <v/>
      </c>
      <c r="BT80" s="69" t="str">
        <f t="shared" si="517"/>
        <v/>
      </c>
      <c r="BU80" s="69" t="str">
        <f t="shared" si="383"/>
        <v/>
      </c>
      <c r="BV80" s="69" t="str">
        <f t="shared" si="384"/>
        <v/>
      </c>
      <c r="BW80" s="69" t="str">
        <f t="shared" si="518"/>
        <v/>
      </c>
      <c r="BX80" s="69" t="str">
        <f t="shared" si="385"/>
        <v/>
      </c>
      <c r="BY80" s="69" t="str">
        <f t="shared" si="386"/>
        <v/>
      </c>
      <c r="BZ80" s="69" t="str">
        <f t="shared" si="519"/>
        <v/>
      </c>
      <c r="CA80" s="69" t="str">
        <f t="shared" si="387"/>
        <v/>
      </c>
      <c r="CB80" s="69" t="str">
        <f t="shared" si="388"/>
        <v/>
      </c>
      <c r="CC80" s="69" t="str">
        <f t="shared" si="520"/>
        <v/>
      </c>
      <c r="CE80" s="69" t="str">
        <f t="shared" si="389"/>
        <v/>
      </c>
      <c r="CF80" s="69" t="str">
        <f t="shared" si="390"/>
        <v/>
      </c>
      <c r="CG80" s="69" t="str">
        <f t="shared" si="521"/>
        <v/>
      </c>
      <c r="CH80" s="69" t="str">
        <f t="shared" si="391"/>
        <v/>
      </c>
      <c r="CI80" s="69" t="str">
        <f t="shared" si="392"/>
        <v/>
      </c>
      <c r="CJ80" s="69" t="str">
        <f t="shared" si="522"/>
        <v/>
      </c>
      <c r="CK80" s="69" t="str">
        <f t="shared" si="393"/>
        <v/>
      </c>
      <c r="CL80" s="69" t="str">
        <f t="shared" si="394"/>
        <v/>
      </c>
      <c r="CM80" s="69" t="str">
        <f t="shared" si="523"/>
        <v/>
      </c>
      <c r="CN80" s="69" t="str">
        <f t="shared" si="395"/>
        <v/>
      </c>
      <c r="CO80" s="69" t="str">
        <f t="shared" si="396"/>
        <v/>
      </c>
      <c r="CP80" s="69" t="str">
        <f t="shared" si="524"/>
        <v/>
      </c>
      <c r="CQ80" s="69" t="str">
        <f t="shared" si="397"/>
        <v/>
      </c>
      <c r="CR80" s="69" t="str">
        <f t="shared" si="398"/>
        <v/>
      </c>
      <c r="CS80" s="69" t="str">
        <f t="shared" si="525"/>
        <v/>
      </c>
      <c r="CT80" s="69" t="str">
        <f t="shared" si="399"/>
        <v/>
      </c>
      <c r="CU80" s="69" t="str">
        <f t="shared" si="400"/>
        <v/>
      </c>
      <c r="CV80" s="69" t="str">
        <f t="shared" si="526"/>
        <v/>
      </c>
      <c r="CW80" s="69" t="str">
        <f t="shared" si="401"/>
        <v/>
      </c>
      <c r="CX80" s="69" t="str">
        <f t="shared" si="402"/>
        <v/>
      </c>
      <c r="CY80" s="69" t="str">
        <f t="shared" si="527"/>
        <v/>
      </c>
      <c r="CZ80" s="69" t="str">
        <f t="shared" si="403"/>
        <v/>
      </c>
      <c r="DA80" s="69" t="str">
        <f t="shared" si="404"/>
        <v/>
      </c>
      <c r="DB80" s="69" t="str">
        <f t="shared" si="528"/>
        <v/>
      </c>
      <c r="DC80" s="69" t="str">
        <f t="shared" si="405"/>
        <v/>
      </c>
      <c r="DD80" s="69" t="str">
        <f t="shared" si="406"/>
        <v/>
      </c>
      <c r="DE80" s="69" t="str">
        <f t="shared" si="529"/>
        <v/>
      </c>
      <c r="DG80" s="69" t="str">
        <f t="shared" si="407"/>
        <v/>
      </c>
      <c r="DH80" s="69" t="str">
        <f t="shared" si="408"/>
        <v/>
      </c>
      <c r="DI80" s="69" t="str">
        <f t="shared" si="530"/>
        <v/>
      </c>
      <c r="DJ80" s="69" t="str">
        <f t="shared" si="409"/>
        <v/>
      </c>
      <c r="DK80" s="69" t="str">
        <f t="shared" si="410"/>
        <v/>
      </c>
      <c r="DL80" s="69" t="str">
        <f t="shared" si="531"/>
        <v/>
      </c>
      <c r="DM80" s="69" t="str">
        <f t="shared" si="411"/>
        <v/>
      </c>
      <c r="DN80" s="69" t="str">
        <f t="shared" si="412"/>
        <v/>
      </c>
      <c r="DO80" s="69" t="str">
        <f t="shared" si="532"/>
        <v/>
      </c>
      <c r="DP80" s="69" t="str">
        <f t="shared" si="413"/>
        <v/>
      </c>
      <c r="DQ80" s="69" t="str">
        <f t="shared" si="414"/>
        <v/>
      </c>
      <c r="DR80" s="69" t="str">
        <f t="shared" si="533"/>
        <v/>
      </c>
      <c r="DS80" s="69" t="str">
        <f t="shared" si="415"/>
        <v/>
      </c>
      <c r="DT80" s="69" t="str">
        <f t="shared" si="416"/>
        <v/>
      </c>
      <c r="DU80" s="69" t="str">
        <f t="shared" si="534"/>
        <v/>
      </c>
      <c r="DV80" s="69" t="str">
        <f t="shared" si="417"/>
        <v/>
      </c>
      <c r="DW80" s="69" t="str">
        <f t="shared" si="418"/>
        <v/>
      </c>
      <c r="DX80" s="69" t="str">
        <f t="shared" si="535"/>
        <v/>
      </c>
      <c r="DY80" s="69" t="str">
        <f t="shared" si="419"/>
        <v/>
      </c>
      <c r="DZ80" s="69" t="str">
        <f t="shared" si="420"/>
        <v/>
      </c>
      <c r="EA80" s="69" t="str">
        <f t="shared" si="536"/>
        <v/>
      </c>
      <c r="EB80" s="69" t="str">
        <f t="shared" si="421"/>
        <v/>
      </c>
      <c r="EC80" s="69" t="str">
        <f t="shared" si="422"/>
        <v/>
      </c>
      <c r="ED80" s="69" t="str">
        <f t="shared" si="537"/>
        <v/>
      </c>
      <c r="EF80" s="69" t="str">
        <f t="shared" si="423"/>
        <v/>
      </c>
      <c r="EG80" s="69" t="str">
        <f t="shared" si="424"/>
        <v/>
      </c>
      <c r="EH80" s="69" t="str">
        <f t="shared" si="538"/>
        <v/>
      </c>
      <c r="EI80" s="69" t="str">
        <f t="shared" si="425"/>
        <v/>
      </c>
      <c r="EJ80" s="69" t="str">
        <f t="shared" si="426"/>
        <v/>
      </c>
      <c r="EK80" s="69" t="str">
        <f t="shared" si="539"/>
        <v/>
      </c>
      <c r="EL80" s="69" t="str">
        <f t="shared" si="427"/>
        <v/>
      </c>
      <c r="EM80" s="69" t="str">
        <f t="shared" si="428"/>
        <v/>
      </c>
      <c r="EN80" s="69" t="str">
        <f t="shared" si="540"/>
        <v/>
      </c>
      <c r="EO80" s="69" t="str">
        <f t="shared" si="429"/>
        <v/>
      </c>
      <c r="EP80" s="69" t="str">
        <f t="shared" si="430"/>
        <v/>
      </c>
      <c r="EQ80" s="69" t="str">
        <f t="shared" si="541"/>
        <v/>
      </c>
      <c r="ER80" s="69" t="str">
        <f t="shared" si="431"/>
        <v/>
      </c>
      <c r="ES80" s="69" t="str">
        <f t="shared" si="432"/>
        <v/>
      </c>
      <c r="ET80" s="69" t="str">
        <f t="shared" si="542"/>
        <v/>
      </c>
      <c r="EU80" s="69" t="str">
        <f t="shared" si="433"/>
        <v/>
      </c>
      <c r="EV80" s="69" t="str">
        <f t="shared" si="434"/>
        <v/>
      </c>
      <c r="EW80" s="69" t="str">
        <f t="shared" si="543"/>
        <v/>
      </c>
      <c r="EX80" s="69" t="str">
        <f t="shared" si="435"/>
        <v/>
      </c>
      <c r="EY80" s="69" t="str">
        <f t="shared" si="436"/>
        <v/>
      </c>
      <c r="EZ80" s="69" t="str">
        <f t="shared" si="544"/>
        <v/>
      </c>
      <c r="FB80" s="69" t="str">
        <f t="shared" si="437"/>
        <v/>
      </c>
      <c r="FC80" s="69" t="str">
        <f t="shared" si="438"/>
        <v/>
      </c>
      <c r="FD80" s="69" t="str">
        <f t="shared" si="545"/>
        <v/>
      </c>
      <c r="FE80" s="69" t="str">
        <f t="shared" si="439"/>
        <v/>
      </c>
      <c r="FF80" s="69" t="str">
        <f t="shared" si="440"/>
        <v/>
      </c>
      <c r="FG80" s="69" t="str">
        <f t="shared" si="546"/>
        <v/>
      </c>
      <c r="FH80" s="69" t="str">
        <f t="shared" si="441"/>
        <v/>
      </c>
      <c r="FI80" s="69" t="str">
        <f t="shared" si="442"/>
        <v/>
      </c>
      <c r="FJ80" s="69" t="str">
        <f t="shared" si="547"/>
        <v/>
      </c>
      <c r="FK80" s="69" t="str">
        <f t="shared" si="443"/>
        <v/>
      </c>
      <c r="FL80" s="69" t="str">
        <f t="shared" si="444"/>
        <v/>
      </c>
      <c r="FM80" s="69" t="str">
        <f t="shared" si="548"/>
        <v/>
      </c>
      <c r="FN80" s="69" t="str">
        <f t="shared" si="445"/>
        <v/>
      </c>
      <c r="FO80" s="69" t="str">
        <f t="shared" si="446"/>
        <v/>
      </c>
      <c r="FP80" s="69" t="str">
        <f t="shared" si="549"/>
        <v/>
      </c>
      <c r="FQ80" s="69" t="str">
        <f t="shared" si="447"/>
        <v/>
      </c>
      <c r="FR80" s="69" t="str">
        <f t="shared" si="448"/>
        <v/>
      </c>
      <c r="FS80" s="69" t="str">
        <f t="shared" si="550"/>
        <v/>
      </c>
      <c r="FU80" s="69" t="str">
        <f t="shared" si="449"/>
        <v/>
      </c>
      <c r="FV80" s="69" t="str">
        <f t="shared" si="450"/>
        <v/>
      </c>
      <c r="FW80" s="69" t="str">
        <f t="shared" si="551"/>
        <v/>
      </c>
      <c r="FX80" s="69" t="str">
        <f t="shared" si="451"/>
        <v/>
      </c>
      <c r="FY80" s="69" t="str">
        <f t="shared" si="452"/>
        <v/>
      </c>
      <c r="FZ80" s="69" t="str">
        <f t="shared" si="552"/>
        <v/>
      </c>
      <c r="GA80" s="69" t="str">
        <f t="shared" si="453"/>
        <v/>
      </c>
      <c r="GB80" s="69" t="str">
        <f t="shared" si="454"/>
        <v/>
      </c>
      <c r="GC80" s="69" t="str">
        <f t="shared" si="553"/>
        <v/>
      </c>
      <c r="GD80" s="69" t="str">
        <f t="shared" si="455"/>
        <v/>
      </c>
      <c r="GE80" s="69" t="str">
        <f t="shared" si="456"/>
        <v/>
      </c>
      <c r="GF80" s="69" t="str">
        <f t="shared" si="554"/>
        <v/>
      </c>
      <c r="GG80" s="69" t="str">
        <f t="shared" si="457"/>
        <v/>
      </c>
      <c r="GH80" s="69" t="str">
        <f t="shared" si="458"/>
        <v/>
      </c>
      <c r="GI80" s="69" t="str">
        <f t="shared" si="555"/>
        <v/>
      </c>
      <c r="GK80" s="69" t="str">
        <f t="shared" si="459"/>
        <v/>
      </c>
      <c r="GL80" s="69" t="str">
        <f t="shared" si="460"/>
        <v/>
      </c>
      <c r="GM80" s="69" t="str">
        <f t="shared" si="556"/>
        <v/>
      </c>
      <c r="GN80" s="69" t="str">
        <f t="shared" si="461"/>
        <v/>
      </c>
      <c r="GO80" s="69" t="str">
        <f t="shared" si="462"/>
        <v/>
      </c>
      <c r="GP80" s="69" t="str">
        <f t="shared" si="557"/>
        <v/>
      </c>
      <c r="GQ80" s="69" t="str">
        <f t="shared" si="463"/>
        <v/>
      </c>
      <c r="GR80" s="69" t="str">
        <f t="shared" si="464"/>
        <v/>
      </c>
      <c r="GS80" s="69" t="str">
        <f t="shared" si="558"/>
        <v/>
      </c>
      <c r="GT80" s="69" t="str">
        <f t="shared" si="465"/>
        <v/>
      </c>
      <c r="GU80" s="69" t="str">
        <f t="shared" si="466"/>
        <v/>
      </c>
      <c r="GV80" s="69" t="str">
        <f t="shared" si="559"/>
        <v/>
      </c>
      <c r="GX80" s="69" t="str">
        <f t="shared" si="560"/>
        <v/>
      </c>
      <c r="GY80" s="69" t="str">
        <f t="shared" si="561"/>
        <v/>
      </c>
      <c r="GZ80" s="69" t="str">
        <f t="shared" si="562"/>
        <v/>
      </c>
      <c r="HA80" s="69" t="str">
        <f t="shared" si="563"/>
        <v/>
      </c>
      <c r="HB80" s="69" t="str">
        <f t="shared" si="564"/>
        <v/>
      </c>
      <c r="HC80" s="69" t="str">
        <f t="shared" si="565"/>
        <v/>
      </c>
      <c r="HD80" s="69" t="str">
        <f t="shared" si="566"/>
        <v/>
      </c>
      <c r="HE80" s="69" t="str">
        <f t="shared" si="567"/>
        <v/>
      </c>
      <c r="HF80" s="69" t="str">
        <f t="shared" si="568"/>
        <v/>
      </c>
      <c r="HH80" s="69" t="str">
        <f t="shared" si="569"/>
        <v/>
      </c>
      <c r="HI80" s="69" t="str">
        <f t="shared" si="570"/>
        <v/>
      </c>
      <c r="HJ80" s="69" t="str">
        <f t="shared" si="571"/>
        <v/>
      </c>
      <c r="HK80" s="69" t="str">
        <f t="shared" si="572"/>
        <v/>
      </c>
      <c r="HL80" s="69" t="str">
        <f t="shared" si="573"/>
        <v/>
      </c>
      <c r="HM80" s="69" t="str">
        <f t="shared" si="574"/>
        <v/>
      </c>
      <c r="HO80" s="69" t="str">
        <f t="shared" si="575"/>
        <v/>
      </c>
      <c r="HP80" s="69" t="str">
        <f t="shared" si="576"/>
        <v/>
      </c>
      <c r="HQ80" s="69" t="str">
        <f t="shared" si="577"/>
        <v/>
      </c>
      <c r="HS80" s="69" t="str">
        <f t="shared" si="467"/>
        <v/>
      </c>
      <c r="HT80" s="69" t="str">
        <f t="shared" si="468"/>
        <v/>
      </c>
      <c r="HU80" s="69" t="str">
        <f t="shared" si="578"/>
        <v/>
      </c>
      <c r="HV80" s="69" t="str">
        <f t="shared" si="469"/>
        <v/>
      </c>
      <c r="HW80" s="69" t="str">
        <f t="shared" si="470"/>
        <v/>
      </c>
      <c r="HX80" s="69" t="str">
        <f t="shared" si="579"/>
        <v/>
      </c>
      <c r="HY80" s="69" t="str">
        <f t="shared" si="471"/>
        <v/>
      </c>
      <c r="HZ80" s="69" t="str">
        <f t="shared" si="472"/>
        <v/>
      </c>
      <c r="IA80" s="69" t="str">
        <f t="shared" si="580"/>
        <v/>
      </c>
      <c r="IB80" s="69" t="str">
        <f t="shared" si="473"/>
        <v/>
      </c>
      <c r="IC80" s="69" t="str">
        <f t="shared" si="474"/>
        <v/>
      </c>
      <c r="ID80" s="69" t="str">
        <f t="shared" si="581"/>
        <v/>
      </c>
      <c r="IE80" s="69" t="str">
        <f t="shared" si="475"/>
        <v/>
      </c>
      <c r="IF80" s="69" t="str">
        <f t="shared" si="476"/>
        <v/>
      </c>
      <c r="IG80" s="69" t="str">
        <f t="shared" si="582"/>
        <v/>
      </c>
      <c r="IH80" s="69" t="str">
        <f t="shared" si="477"/>
        <v/>
      </c>
      <c r="II80" s="69" t="str">
        <f t="shared" si="478"/>
        <v/>
      </c>
      <c r="IJ80" s="69" t="str">
        <f t="shared" si="583"/>
        <v/>
      </c>
      <c r="IK80" s="69" t="str">
        <f t="shared" si="479"/>
        <v/>
      </c>
      <c r="IL80" s="69" t="str">
        <f t="shared" si="480"/>
        <v/>
      </c>
      <c r="IM80" s="69" t="str">
        <f t="shared" si="584"/>
        <v/>
      </c>
      <c r="IN80" s="69" t="str">
        <f t="shared" si="585"/>
        <v/>
      </c>
      <c r="IO80" s="69" t="str">
        <f t="shared" si="586"/>
        <v/>
      </c>
      <c r="IP80" s="69" t="str">
        <f t="shared" si="587"/>
        <v/>
      </c>
      <c r="IQ80" s="69" t="str">
        <f t="shared" si="588"/>
        <v/>
      </c>
      <c r="IR80" s="69" t="str">
        <f t="shared" si="589"/>
        <v/>
      </c>
      <c r="IS80" s="69" t="str">
        <f t="shared" si="590"/>
        <v/>
      </c>
      <c r="IT80" s="69" t="str">
        <f t="shared" si="591"/>
        <v/>
      </c>
      <c r="IU80" s="69" t="str">
        <f t="shared" si="592"/>
        <v/>
      </c>
      <c r="IV80" s="69" t="str">
        <f t="shared" si="593"/>
        <v/>
      </c>
    </row>
    <row r="81" spans="1:256" x14ac:dyDescent="0.2">
      <c r="A81" s="57" t="s">
        <v>84</v>
      </c>
      <c r="B81" s="184"/>
      <c r="C81" s="179"/>
      <c r="D81" s="179"/>
      <c r="E81" s="179"/>
      <c r="F81" s="179"/>
      <c r="G81" s="180"/>
      <c r="H81" s="180"/>
      <c r="I81" s="181"/>
      <c r="J81" s="182"/>
      <c r="K81" s="183"/>
      <c r="L81" s="68">
        <f t="shared" si="360"/>
        <v>0</v>
      </c>
      <c r="M81" s="69" t="str">
        <f t="shared" si="361"/>
        <v/>
      </c>
      <c r="N81" s="69" t="str">
        <f t="shared" si="481"/>
        <v/>
      </c>
      <c r="O81" s="69" t="str">
        <f t="shared" si="482"/>
        <v/>
      </c>
      <c r="P81" s="69" t="str">
        <f t="shared" si="483"/>
        <v/>
      </c>
      <c r="Q81" s="70" t="str">
        <f t="shared" si="362"/>
        <v/>
      </c>
      <c r="R81" s="71" t="str">
        <f t="shared" si="484"/>
        <v/>
      </c>
      <c r="S81" s="71" t="str">
        <f t="shared" si="485"/>
        <v/>
      </c>
      <c r="T81" s="70" t="str">
        <f t="shared" si="363"/>
        <v/>
      </c>
      <c r="U81" s="71" t="str">
        <f t="shared" si="486"/>
        <v/>
      </c>
      <c r="V81" s="71" t="str">
        <f t="shared" si="487"/>
        <v/>
      </c>
      <c r="W81" s="70" t="str">
        <f t="shared" si="364"/>
        <v/>
      </c>
      <c r="X81" s="71" t="str">
        <f t="shared" si="488"/>
        <v/>
      </c>
      <c r="Y81" s="71" t="str">
        <f t="shared" si="489"/>
        <v/>
      </c>
      <c r="Z81" s="70" t="str">
        <f t="shared" si="365"/>
        <v/>
      </c>
      <c r="AA81" s="71" t="str">
        <f t="shared" si="490"/>
        <v/>
      </c>
      <c r="AB81" s="71" t="str">
        <f t="shared" si="491"/>
        <v/>
      </c>
      <c r="AC81" s="70" t="str">
        <f t="shared" si="366"/>
        <v/>
      </c>
      <c r="AD81" s="71" t="str">
        <f t="shared" si="492"/>
        <v/>
      </c>
      <c r="AE81" s="71" t="str">
        <f t="shared" si="493"/>
        <v/>
      </c>
      <c r="AF81" s="70" t="str">
        <f t="shared" si="367"/>
        <v/>
      </c>
      <c r="AG81" s="71" t="str">
        <f t="shared" si="494"/>
        <v/>
      </c>
      <c r="AH81" s="71" t="str">
        <f t="shared" si="495"/>
        <v/>
      </c>
      <c r="AI81" s="70" t="str">
        <f t="shared" si="368"/>
        <v/>
      </c>
      <c r="AJ81" s="71" t="str">
        <f t="shared" si="496"/>
        <v/>
      </c>
      <c r="AK81" s="71" t="str">
        <f t="shared" si="497"/>
        <v/>
      </c>
      <c r="AL81" s="70" t="str">
        <f t="shared" si="498"/>
        <v/>
      </c>
      <c r="AM81" s="71" t="str">
        <f t="shared" si="499"/>
        <v/>
      </c>
      <c r="AN81" s="71" t="str">
        <f t="shared" si="500"/>
        <v/>
      </c>
      <c r="AO81" s="70" t="str">
        <f t="shared" si="501"/>
        <v/>
      </c>
      <c r="AP81" s="71" t="str">
        <f t="shared" si="502"/>
        <v/>
      </c>
      <c r="AQ81" s="71" t="str">
        <f t="shared" si="503"/>
        <v/>
      </c>
      <c r="AR81" s="70" t="str">
        <f t="shared" si="504"/>
        <v/>
      </c>
      <c r="AS81" s="71" t="str">
        <f t="shared" si="505"/>
        <v/>
      </c>
      <c r="AT81" s="71" t="str">
        <f t="shared" si="506"/>
        <v/>
      </c>
      <c r="AU81" s="69" t="str">
        <f t="shared" si="507"/>
        <v/>
      </c>
      <c r="AV81" s="131" t="str">
        <f t="shared" si="508"/>
        <v/>
      </c>
      <c r="AW81" s="69" t="str">
        <f t="shared" si="594"/>
        <v/>
      </c>
      <c r="AX81" s="132" t="str">
        <f t="shared" si="509"/>
        <v/>
      </c>
      <c r="AY81" s="132" t="str">
        <f t="shared" si="510"/>
        <v/>
      </c>
      <c r="AZ81" s="69" t="str">
        <f t="shared" si="369"/>
        <v/>
      </c>
      <c r="BA81" s="69" t="str">
        <f t="shared" si="370"/>
        <v/>
      </c>
      <c r="BB81" s="69" t="str">
        <f t="shared" si="511"/>
        <v/>
      </c>
      <c r="BC81" s="69" t="str">
        <f t="shared" si="371"/>
        <v/>
      </c>
      <c r="BD81" s="69" t="str">
        <f t="shared" si="372"/>
        <v/>
      </c>
      <c r="BE81" s="69" t="str">
        <f t="shared" si="512"/>
        <v/>
      </c>
      <c r="BF81" s="69" t="str">
        <f t="shared" si="373"/>
        <v/>
      </c>
      <c r="BG81" s="69" t="str">
        <f t="shared" si="374"/>
        <v/>
      </c>
      <c r="BH81" s="69" t="str">
        <f t="shared" si="513"/>
        <v/>
      </c>
      <c r="BI81" s="69" t="str">
        <f t="shared" si="375"/>
        <v/>
      </c>
      <c r="BJ81" s="69" t="str">
        <f t="shared" si="376"/>
        <v/>
      </c>
      <c r="BK81" s="69" t="str">
        <f t="shared" si="514"/>
        <v/>
      </c>
      <c r="BL81" s="69" t="str">
        <f t="shared" si="377"/>
        <v/>
      </c>
      <c r="BM81" s="69" t="str">
        <f t="shared" si="378"/>
        <v/>
      </c>
      <c r="BN81" s="69" t="str">
        <f t="shared" si="515"/>
        <v/>
      </c>
      <c r="BO81" s="69" t="str">
        <f t="shared" si="379"/>
        <v/>
      </c>
      <c r="BP81" s="69" t="str">
        <f t="shared" si="380"/>
        <v/>
      </c>
      <c r="BQ81" s="69" t="str">
        <f t="shared" si="516"/>
        <v/>
      </c>
      <c r="BR81" s="69" t="str">
        <f t="shared" si="381"/>
        <v/>
      </c>
      <c r="BS81" s="69" t="str">
        <f t="shared" si="382"/>
        <v/>
      </c>
      <c r="BT81" s="69" t="str">
        <f t="shared" si="517"/>
        <v/>
      </c>
      <c r="BU81" s="69" t="str">
        <f t="shared" si="383"/>
        <v/>
      </c>
      <c r="BV81" s="69" t="str">
        <f t="shared" si="384"/>
        <v/>
      </c>
      <c r="BW81" s="69" t="str">
        <f t="shared" si="518"/>
        <v/>
      </c>
      <c r="BX81" s="69" t="str">
        <f t="shared" si="385"/>
        <v/>
      </c>
      <c r="BY81" s="69" t="str">
        <f t="shared" si="386"/>
        <v/>
      </c>
      <c r="BZ81" s="69" t="str">
        <f t="shared" si="519"/>
        <v/>
      </c>
      <c r="CA81" s="69" t="str">
        <f t="shared" si="387"/>
        <v/>
      </c>
      <c r="CB81" s="69" t="str">
        <f t="shared" si="388"/>
        <v/>
      </c>
      <c r="CC81" s="69" t="str">
        <f t="shared" si="520"/>
        <v/>
      </c>
      <c r="CE81" s="69" t="str">
        <f t="shared" si="389"/>
        <v/>
      </c>
      <c r="CF81" s="69" t="str">
        <f t="shared" si="390"/>
        <v/>
      </c>
      <c r="CG81" s="69" t="str">
        <f t="shared" si="521"/>
        <v/>
      </c>
      <c r="CH81" s="69" t="str">
        <f t="shared" si="391"/>
        <v/>
      </c>
      <c r="CI81" s="69" t="str">
        <f t="shared" si="392"/>
        <v/>
      </c>
      <c r="CJ81" s="69" t="str">
        <f t="shared" si="522"/>
        <v/>
      </c>
      <c r="CK81" s="69" t="str">
        <f t="shared" si="393"/>
        <v/>
      </c>
      <c r="CL81" s="69" t="str">
        <f t="shared" si="394"/>
        <v/>
      </c>
      <c r="CM81" s="69" t="str">
        <f t="shared" si="523"/>
        <v/>
      </c>
      <c r="CN81" s="69" t="str">
        <f t="shared" si="395"/>
        <v/>
      </c>
      <c r="CO81" s="69" t="str">
        <f t="shared" si="396"/>
        <v/>
      </c>
      <c r="CP81" s="69" t="str">
        <f t="shared" si="524"/>
        <v/>
      </c>
      <c r="CQ81" s="69" t="str">
        <f t="shared" si="397"/>
        <v/>
      </c>
      <c r="CR81" s="69" t="str">
        <f t="shared" si="398"/>
        <v/>
      </c>
      <c r="CS81" s="69" t="str">
        <f t="shared" si="525"/>
        <v/>
      </c>
      <c r="CT81" s="69" t="str">
        <f t="shared" si="399"/>
        <v/>
      </c>
      <c r="CU81" s="69" t="str">
        <f t="shared" si="400"/>
        <v/>
      </c>
      <c r="CV81" s="69" t="str">
        <f t="shared" si="526"/>
        <v/>
      </c>
      <c r="CW81" s="69" t="str">
        <f t="shared" si="401"/>
        <v/>
      </c>
      <c r="CX81" s="69" t="str">
        <f t="shared" si="402"/>
        <v/>
      </c>
      <c r="CY81" s="69" t="str">
        <f t="shared" si="527"/>
        <v/>
      </c>
      <c r="CZ81" s="69" t="str">
        <f t="shared" si="403"/>
        <v/>
      </c>
      <c r="DA81" s="69" t="str">
        <f t="shared" si="404"/>
        <v/>
      </c>
      <c r="DB81" s="69" t="str">
        <f t="shared" si="528"/>
        <v/>
      </c>
      <c r="DC81" s="69" t="str">
        <f t="shared" si="405"/>
        <v/>
      </c>
      <c r="DD81" s="69" t="str">
        <f t="shared" si="406"/>
        <v/>
      </c>
      <c r="DE81" s="69" t="str">
        <f t="shared" si="529"/>
        <v/>
      </c>
      <c r="DG81" s="69" t="str">
        <f t="shared" si="407"/>
        <v/>
      </c>
      <c r="DH81" s="69" t="str">
        <f t="shared" si="408"/>
        <v/>
      </c>
      <c r="DI81" s="69" t="str">
        <f t="shared" si="530"/>
        <v/>
      </c>
      <c r="DJ81" s="69" t="str">
        <f t="shared" si="409"/>
        <v/>
      </c>
      <c r="DK81" s="69" t="str">
        <f t="shared" si="410"/>
        <v/>
      </c>
      <c r="DL81" s="69" t="str">
        <f t="shared" si="531"/>
        <v/>
      </c>
      <c r="DM81" s="69" t="str">
        <f t="shared" si="411"/>
        <v/>
      </c>
      <c r="DN81" s="69" t="str">
        <f t="shared" si="412"/>
        <v/>
      </c>
      <c r="DO81" s="69" t="str">
        <f t="shared" si="532"/>
        <v/>
      </c>
      <c r="DP81" s="69" t="str">
        <f t="shared" si="413"/>
        <v/>
      </c>
      <c r="DQ81" s="69" t="str">
        <f t="shared" si="414"/>
        <v/>
      </c>
      <c r="DR81" s="69" t="str">
        <f t="shared" si="533"/>
        <v/>
      </c>
      <c r="DS81" s="69" t="str">
        <f t="shared" si="415"/>
        <v/>
      </c>
      <c r="DT81" s="69" t="str">
        <f t="shared" si="416"/>
        <v/>
      </c>
      <c r="DU81" s="69" t="str">
        <f t="shared" si="534"/>
        <v/>
      </c>
      <c r="DV81" s="69" t="str">
        <f t="shared" si="417"/>
        <v/>
      </c>
      <c r="DW81" s="69" t="str">
        <f t="shared" si="418"/>
        <v/>
      </c>
      <c r="DX81" s="69" t="str">
        <f t="shared" si="535"/>
        <v/>
      </c>
      <c r="DY81" s="69" t="str">
        <f t="shared" si="419"/>
        <v/>
      </c>
      <c r="DZ81" s="69" t="str">
        <f t="shared" si="420"/>
        <v/>
      </c>
      <c r="EA81" s="69" t="str">
        <f t="shared" si="536"/>
        <v/>
      </c>
      <c r="EB81" s="69" t="str">
        <f t="shared" si="421"/>
        <v/>
      </c>
      <c r="EC81" s="69" t="str">
        <f t="shared" si="422"/>
        <v/>
      </c>
      <c r="ED81" s="69" t="str">
        <f t="shared" si="537"/>
        <v/>
      </c>
      <c r="EF81" s="69" t="str">
        <f t="shared" si="423"/>
        <v/>
      </c>
      <c r="EG81" s="69" t="str">
        <f t="shared" si="424"/>
        <v/>
      </c>
      <c r="EH81" s="69" t="str">
        <f t="shared" si="538"/>
        <v/>
      </c>
      <c r="EI81" s="69" t="str">
        <f t="shared" si="425"/>
        <v/>
      </c>
      <c r="EJ81" s="69" t="str">
        <f t="shared" si="426"/>
        <v/>
      </c>
      <c r="EK81" s="69" t="str">
        <f t="shared" si="539"/>
        <v/>
      </c>
      <c r="EL81" s="69" t="str">
        <f t="shared" si="427"/>
        <v/>
      </c>
      <c r="EM81" s="69" t="str">
        <f t="shared" si="428"/>
        <v/>
      </c>
      <c r="EN81" s="69" t="str">
        <f t="shared" si="540"/>
        <v/>
      </c>
      <c r="EO81" s="69" t="str">
        <f t="shared" si="429"/>
        <v/>
      </c>
      <c r="EP81" s="69" t="str">
        <f t="shared" si="430"/>
        <v/>
      </c>
      <c r="EQ81" s="69" t="str">
        <f t="shared" si="541"/>
        <v/>
      </c>
      <c r="ER81" s="69" t="str">
        <f t="shared" si="431"/>
        <v/>
      </c>
      <c r="ES81" s="69" t="str">
        <f t="shared" si="432"/>
        <v/>
      </c>
      <c r="ET81" s="69" t="str">
        <f t="shared" si="542"/>
        <v/>
      </c>
      <c r="EU81" s="69" t="str">
        <f t="shared" si="433"/>
        <v/>
      </c>
      <c r="EV81" s="69" t="str">
        <f t="shared" si="434"/>
        <v/>
      </c>
      <c r="EW81" s="69" t="str">
        <f t="shared" si="543"/>
        <v/>
      </c>
      <c r="EX81" s="69" t="str">
        <f t="shared" si="435"/>
        <v/>
      </c>
      <c r="EY81" s="69" t="str">
        <f t="shared" si="436"/>
        <v/>
      </c>
      <c r="EZ81" s="69" t="str">
        <f t="shared" si="544"/>
        <v/>
      </c>
      <c r="FB81" s="69" t="str">
        <f t="shared" si="437"/>
        <v/>
      </c>
      <c r="FC81" s="69" t="str">
        <f t="shared" si="438"/>
        <v/>
      </c>
      <c r="FD81" s="69" t="str">
        <f t="shared" si="545"/>
        <v/>
      </c>
      <c r="FE81" s="69" t="str">
        <f t="shared" si="439"/>
        <v/>
      </c>
      <c r="FF81" s="69" t="str">
        <f t="shared" si="440"/>
        <v/>
      </c>
      <c r="FG81" s="69" t="str">
        <f t="shared" si="546"/>
        <v/>
      </c>
      <c r="FH81" s="69" t="str">
        <f t="shared" si="441"/>
        <v/>
      </c>
      <c r="FI81" s="69" t="str">
        <f t="shared" si="442"/>
        <v/>
      </c>
      <c r="FJ81" s="69" t="str">
        <f t="shared" si="547"/>
        <v/>
      </c>
      <c r="FK81" s="69" t="str">
        <f t="shared" si="443"/>
        <v/>
      </c>
      <c r="FL81" s="69" t="str">
        <f t="shared" si="444"/>
        <v/>
      </c>
      <c r="FM81" s="69" t="str">
        <f t="shared" si="548"/>
        <v/>
      </c>
      <c r="FN81" s="69" t="str">
        <f t="shared" si="445"/>
        <v/>
      </c>
      <c r="FO81" s="69" t="str">
        <f t="shared" si="446"/>
        <v/>
      </c>
      <c r="FP81" s="69" t="str">
        <f t="shared" si="549"/>
        <v/>
      </c>
      <c r="FQ81" s="69" t="str">
        <f t="shared" si="447"/>
        <v/>
      </c>
      <c r="FR81" s="69" t="str">
        <f t="shared" si="448"/>
        <v/>
      </c>
      <c r="FS81" s="69" t="str">
        <f t="shared" si="550"/>
        <v/>
      </c>
      <c r="FU81" s="69" t="str">
        <f t="shared" si="449"/>
        <v/>
      </c>
      <c r="FV81" s="69" t="str">
        <f t="shared" si="450"/>
        <v/>
      </c>
      <c r="FW81" s="69" t="str">
        <f t="shared" si="551"/>
        <v/>
      </c>
      <c r="FX81" s="69" t="str">
        <f t="shared" si="451"/>
        <v/>
      </c>
      <c r="FY81" s="69" t="str">
        <f t="shared" si="452"/>
        <v/>
      </c>
      <c r="FZ81" s="69" t="str">
        <f t="shared" si="552"/>
        <v/>
      </c>
      <c r="GA81" s="69" t="str">
        <f t="shared" si="453"/>
        <v/>
      </c>
      <c r="GB81" s="69" t="str">
        <f t="shared" si="454"/>
        <v/>
      </c>
      <c r="GC81" s="69" t="str">
        <f t="shared" si="553"/>
        <v/>
      </c>
      <c r="GD81" s="69" t="str">
        <f t="shared" si="455"/>
        <v/>
      </c>
      <c r="GE81" s="69" t="str">
        <f t="shared" si="456"/>
        <v/>
      </c>
      <c r="GF81" s="69" t="str">
        <f t="shared" si="554"/>
        <v/>
      </c>
      <c r="GG81" s="69" t="str">
        <f t="shared" si="457"/>
        <v/>
      </c>
      <c r="GH81" s="69" t="str">
        <f t="shared" si="458"/>
        <v/>
      </c>
      <c r="GI81" s="69" t="str">
        <f t="shared" si="555"/>
        <v/>
      </c>
      <c r="GK81" s="69" t="str">
        <f t="shared" si="459"/>
        <v/>
      </c>
      <c r="GL81" s="69" t="str">
        <f t="shared" si="460"/>
        <v/>
      </c>
      <c r="GM81" s="69" t="str">
        <f t="shared" si="556"/>
        <v/>
      </c>
      <c r="GN81" s="69" t="str">
        <f t="shared" si="461"/>
        <v/>
      </c>
      <c r="GO81" s="69" t="str">
        <f t="shared" si="462"/>
        <v/>
      </c>
      <c r="GP81" s="69" t="str">
        <f t="shared" si="557"/>
        <v/>
      </c>
      <c r="GQ81" s="69" t="str">
        <f t="shared" si="463"/>
        <v/>
      </c>
      <c r="GR81" s="69" t="str">
        <f t="shared" si="464"/>
        <v/>
      </c>
      <c r="GS81" s="69" t="str">
        <f t="shared" si="558"/>
        <v/>
      </c>
      <c r="GT81" s="69" t="str">
        <f t="shared" si="465"/>
        <v/>
      </c>
      <c r="GU81" s="69" t="str">
        <f t="shared" si="466"/>
        <v/>
      </c>
      <c r="GV81" s="69" t="str">
        <f t="shared" si="559"/>
        <v/>
      </c>
      <c r="GX81" s="69" t="str">
        <f t="shared" si="560"/>
        <v/>
      </c>
      <c r="GY81" s="69" t="str">
        <f t="shared" si="561"/>
        <v/>
      </c>
      <c r="GZ81" s="69" t="str">
        <f t="shared" si="562"/>
        <v/>
      </c>
      <c r="HA81" s="69" t="str">
        <f t="shared" si="563"/>
        <v/>
      </c>
      <c r="HB81" s="69" t="str">
        <f t="shared" si="564"/>
        <v/>
      </c>
      <c r="HC81" s="69" t="str">
        <f t="shared" si="565"/>
        <v/>
      </c>
      <c r="HD81" s="69" t="str">
        <f t="shared" si="566"/>
        <v/>
      </c>
      <c r="HE81" s="69" t="str">
        <f t="shared" si="567"/>
        <v/>
      </c>
      <c r="HF81" s="69" t="str">
        <f t="shared" si="568"/>
        <v/>
      </c>
      <c r="HH81" s="69" t="str">
        <f t="shared" si="569"/>
        <v/>
      </c>
      <c r="HI81" s="69" t="str">
        <f t="shared" si="570"/>
        <v/>
      </c>
      <c r="HJ81" s="69" t="str">
        <f t="shared" si="571"/>
        <v/>
      </c>
      <c r="HK81" s="69" t="str">
        <f t="shared" si="572"/>
        <v/>
      </c>
      <c r="HL81" s="69" t="str">
        <f t="shared" si="573"/>
        <v/>
      </c>
      <c r="HM81" s="69" t="str">
        <f t="shared" si="574"/>
        <v/>
      </c>
      <c r="HO81" s="69" t="str">
        <f t="shared" si="575"/>
        <v/>
      </c>
      <c r="HP81" s="69" t="str">
        <f t="shared" si="576"/>
        <v/>
      </c>
      <c r="HQ81" s="69" t="str">
        <f t="shared" si="577"/>
        <v/>
      </c>
      <c r="HS81" s="69" t="str">
        <f t="shared" si="467"/>
        <v/>
      </c>
      <c r="HT81" s="69" t="str">
        <f t="shared" si="468"/>
        <v/>
      </c>
      <c r="HU81" s="69" t="str">
        <f t="shared" si="578"/>
        <v/>
      </c>
      <c r="HV81" s="69" t="str">
        <f t="shared" si="469"/>
        <v/>
      </c>
      <c r="HW81" s="69" t="str">
        <f t="shared" si="470"/>
        <v/>
      </c>
      <c r="HX81" s="69" t="str">
        <f t="shared" si="579"/>
        <v/>
      </c>
      <c r="HY81" s="69" t="str">
        <f t="shared" si="471"/>
        <v/>
      </c>
      <c r="HZ81" s="69" t="str">
        <f t="shared" si="472"/>
        <v/>
      </c>
      <c r="IA81" s="69" t="str">
        <f t="shared" si="580"/>
        <v/>
      </c>
      <c r="IB81" s="69" t="str">
        <f t="shared" si="473"/>
        <v/>
      </c>
      <c r="IC81" s="69" t="str">
        <f t="shared" si="474"/>
        <v/>
      </c>
      <c r="ID81" s="69" t="str">
        <f t="shared" si="581"/>
        <v/>
      </c>
      <c r="IE81" s="69" t="str">
        <f t="shared" si="475"/>
        <v/>
      </c>
      <c r="IF81" s="69" t="str">
        <f t="shared" si="476"/>
        <v/>
      </c>
      <c r="IG81" s="69" t="str">
        <f t="shared" si="582"/>
        <v/>
      </c>
      <c r="IH81" s="69" t="str">
        <f t="shared" si="477"/>
        <v/>
      </c>
      <c r="II81" s="69" t="str">
        <f t="shared" si="478"/>
        <v/>
      </c>
      <c r="IJ81" s="69" t="str">
        <f t="shared" si="583"/>
        <v/>
      </c>
      <c r="IK81" s="69" t="str">
        <f t="shared" si="479"/>
        <v/>
      </c>
      <c r="IL81" s="69" t="str">
        <f t="shared" si="480"/>
        <v/>
      </c>
      <c r="IM81" s="69" t="str">
        <f t="shared" si="584"/>
        <v/>
      </c>
      <c r="IN81" s="69" t="str">
        <f t="shared" si="585"/>
        <v/>
      </c>
      <c r="IO81" s="69" t="str">
        <f t="shared" si="586"/>
        <v/>
      </c>
      <c r="IP81" s="69" t="str">
        <f t="shared" si="587"/>
        <v/>
      </c>
      <c r="IQ81" s="69" t="str">
        <f t="shared" si="588"/>
        <v/>
      </c>
      <c r="IR81" s="69" t="str">
        <f t="shared" si="589"/>
        <v/>
      </c>
      <c r="IS81" s="69" t="str">
        <f t="shared" si="590"/>
        <v/>
      </c>
      <c r="IT81" s="69" t="str">
        <f t="shared" si="591"/>
        <v/>
      </c>
      <c r="IU81" s="69" t="str">
        <f t="shared" si="592"/>
        <v/>
      </c>
      <c r="IV81" s="69" t="str">
        <f t="shared" si="593"/>
        <v/>
      </c>
    </row>
    <row r="82" spans="1:256" x14ac:dyDescent="0.2">
      <c r="A82" s="57" t="s">
        <v>85</v>
      </c>
      <c r="B82" s="184"/>
      <c r="C82" s="179"/>
      <c r="D82" s="179"/>
      <c r="E82" s="179"/>
      <c r="F82" s="179"/>
      <c r="G82" s="180"/>
      <c r="H82" s="180"/>
      <c r="I82" s="181"/>
      <c r="J82" s="182"/>
      <c r="K82" s="183"/>
      <c r="L82" s="68">
        <f t="shared" si="360"/>
        <v>0</v>
      </c>
      <c r="M82" s="69" t="str">
        <f t="shared" si="361"/>
        <v/>
      </c>
      <c r="N82" s="69" t="str">
        <f t="shared" si="481"/>
        <v/>
      </c>
      <c r="O82" s="69" t="str">
        <f t="shared" si="482"/>
        <v/>
      </c>
      <c r="P82" s="69" t="str">
        <f t="shared" si="483"/>
        <v/>
      </c>
      <c r="Q82" s="70" t="str">
        <f t="shared" si="362"/>
        <v/>
      </c>
      <c r="R82" s="71" t="str">
        <f t="shared" si="484"/>
        <v/>
      </c>
      <c r="S82" s="71" t="str">
        <f t="shared" si="485"/>
        <v/>
      </c>
      <c r="T82" s="70" t="str">
        <f t="shared" si="363"/>
        <v/>
      </c>
      <c r="U82" s="71" t="str">
        <f t="shared" si="486"/>
        <v/>
      </c>
      <c r="V82" s="71" t="str">
        <f t="shared" si="487"/>
        <v/>
      </c>
      <c r="W82" s="70" t="str">
        <f t="shared" si="364"/>
        <v/>
      </c>
      <c r="X82" s="71" t="str">
        <f t="shared" si="488"/>
        <v/>
      </c>
      <c r="Y82" s="71" t="str">
        <f t="shared" si="489"/>
        <v/>
      </c>
      <c r="Z82" s="70" t="str">
        <f t="shared" si="365"/>
        <v/>
      </c>
      <c r="AA82" s="71" t="str">
        <f t="shared" si="490"/>
        <v/>
      </c>
      <c r="AB82" s="71" t="str">
        <f t="shared" si="491"/>
        <v/>
      </c>
      <c r="AC82" s="70" t="str">
        <f t="shared" si="366"/>
        <v/>
      </c>
      <c r="AD82" s="71" t="str">
        <f t="shared" si="492"/>
        <v/>
      </c>
      <c r="AE82" s="71" t="str">
        <f t="shared" si="493"/>
        <v/>
      </c>
      <c r="AF82" s="70" t="str">
        <f t="shared" si="367"/>
        <v/>
      </c>
      <c r="AG82" s="71" t="str">
        <f t="shared" si="494"/>
        <v/>
      </c>
      <c r="AH82" s="71" t="str">
        <f t="shared" si="495"/>
        <v/>
      </c>
      <c r="AI82" s="70" t="str">
        <f t="shared" si="368"/>
        <v/>
      </c>
      <c r="AJ82" s="71" t="str">
        <f t="shared" si="496"/>
        <v/>
      </c>
      <c r="AK82" s="71" t="str">
        <f t="shared" si="497"/>
        <v/>
      </c>
      <c r="AL82" s="70" t="str">
        <f t="shared" si="498"/>
        <v/>
      </c>
      <c r="AM82" s="71" t="str">
        <f t="shared" si="499"/>
        <v/>
      </c>
      <c r="AN82" s="71" t="str">
        <f t="shared" si="500"/>
        <v/>
      </c>
      <c r="AO82" s="70" t="str">
        <f t="shared" si="501"/>
        <v/>
      </c>
      <c r="AP82" s="71" t="str">
        <f t="shared" si="502"/>
        <v/>
      </c>
      <c r="AQ82" s="71" t="str">
        <f t="shared" si="503"/>
        <v/>
      </c>
      <c r="AR82" s="70" t="str">
        <f t="shared" si="504"/>
        <v/>
      </c>
      <c r="AS82" s="71" t="str">
        <f t="shared" si="505"/>
        <v/>
      </c>
      <c r="AT82" s="71" t="str">
        <f t="shared" si="506"/>
        <v/>
      </c>
      <c r="AU82" s="69" t="str">
        <f t="shared" si="507"/>
        <v/>
      </c>
      <c r="AV82" s="131" t="str">
        <f t="shared" si="508"/>
        <v/>
      </c>
      <c r="AW82" s="69" t="str">
        <f t="shared" si="594"/>
        <v/>
      </c>
      <c r="AX82" s="132" t="str">
        <f t="shared" si="509"/>
        <v/>
      </c>
      <c r="AY82" s="132" t="str">
        <f t="shared" si="510"/>
        <v/>
      </c>
      <c r="AZ82" s="69" t="str">
        <f t="shared" si="369"/>
        <v/>
      </c>
      <c r="BA82" s="69" t="str">
        <f t="shared" si="370"/>
        <v/>
      </c>
      <c r="BB82" s="69" t="str">
        <f t="shared" si="511"/>
        <v/>
      </c>
      <c r="BC82" s="69" t="str">
        <f t="shared" si="371"/>
        <v/>
      </c>
      <c r="BD82" s="69" t="str">
        <f t="shared" si="372"/>
        <v/>
      </c>
      <c r="BE82" s="69" t="str">
        <f t="shared" si="512"/>
        <v/>
      </c>
      <c r="BF82" s="69" t="str">
        <f t="shared" si="373"/>
        <v/>
      </c>
      <c r="BG82" s="69" t="str">
        <f t="shared" si="374"/>
        <v/>
      </c>
      <c r="BH82" s="69" t="str">
        <f t="shared" si="513"/>
        <v/>
      </c>
      <c r="BI82" s="69" t="str">
        <f t="shared" si="375"/>
        <v/>
      </c>
      <c r="BJ82" s="69" t="str">
        <f t="shared" si="376"/>
        <v/>
      </c>
      <c r="BK82" s="69" t="str">
        <f t="shared" si="514"/>
        <v/>
      </c>
      <c r="BL82" s="69" t="str">
        <f t="shared" si="377"/>
        <v/>
      </c>
      <c r="BM82" s="69" t="str">
        <f t="shared" si="378"/>
        <v/>
      </c>
      <c r="BN82" s="69" t="str">
        <f t="shared" si="515"/>
        <v/>
      </c>
      <c r="BO82" s="69" t="str">
        <f t="shared" si="379"/>
        <v/>
      </c>
      <c r="BP82" s="69" t="str">
        <f t="shared" si="380"/>
        <v/>
      </c>
      <c r="BQ82" s="69" t="str">
        <f t="shared" si="516"/>
        <v/>
      </c>
      <c r="BR82" s="69" t="str">
        <f t="shared" si="381"/>
        <v/>
      </c>
      <c r="BS82" s="69" t="str">
        <f t="shared" si="382"/>
        <v/>
      </c>
      <c r="BT82" s="69" t="str">
        <f t="shared" si="517"/>
        <v/>
      </c>
      <c r="BU82" s="69" t="str">
        <f t="shared" si="383"/>
        <v/>
      </c>
      <c r="BV82" s="69" t="str">
        <f t="shared" si="384"/>
        <v/>
      </c>
      <c r="BW82" s="69" t="str">
        <f t="shared" si="518"/>
        <v/>
      </c>
      <c r="BX82" s="69" t="str">
        <f t="shared" si="385"/>
        <v/>
      </c>
      <c r="BY82" s="69" t="str">
        <f t="shared" si="386"/>
        <v/>
      </c>
      <c r="BZ82" s="69" t="str">
        <f t="shared" si="519"/>
        <v/>
      </c>
      <c r="CA82" s="69" t="str">
        <f t="shared" si="387"/>
        <v/>
      </c>
      <c r="CB82" s="69" t="str">
        <f t="shared" si="388"/>
        <v/>
      </c>
      <c r="CC82" s="69" t="str">
        <f t="shared" si="520"/>
        <v/>
      </c>
      <c r="CE82" s="69" t="str">
        <f t="shared" si="389"/>
        <v/>
      </c>
      <c r="CF82" s="69" t="str">
        <f t="shared" si="390"/>
        <v/>
      </c>
      <c r="CG82" s="69" t="str">
        <f t="shared" si="521"/>
        <v/>
      </c>
      <c r="CH82" s="69" t="str">
        <f t="shared" si="391"/>
        <v/>
      </c>
      <c r="CI82" s="69" t="str">
        <f t="shared" si="392"/>
        <v/>
      </c>
      <c r="CJ82" s="69" t="str">
        <f t="shared" si="522"/>
        <v/>
      </c>
      <c r="CK82" s="69" t="str">
        <f t="shared" si="393"/>
        <v/>
      </c>
      <c r="CL82" s="69" t="str">
        <f t="shared" si="394"/>
        <v/>
      </c>
      <c r="CM82" s="69" t="str">
        <f t="shared" si="523"/>
        <v/>
      </c>
      <c r="CN82" s="69" t="str">
        <f t="shared" si="395"/>
        <v/>
      </c>
      <c r="CO82" s="69" t="str">
        <f t="shared" si="396"/>
        <v/>
      </c>
      <c r="CP82" s="69" t="str">
        <f t="shared" si="524"/>
        <v/>
      </c>
      <c r="CQ82" s="69" t="str">
        <f t="shared" si="397"/>
        <v/>
      </c>
      <c r="CR82" s="69" t="str">
        <f t="shared" si="398"/>
        <v/>
      </c>
      <c r="CS82" s="69" t="str">
        <f t="shared" si="525"/>
        <v/>
      </c>
      <c r="CT82" s="69" t="str">
        <f t="shared" si="399"/>
        <v/>
      </c>
      <c r="CU82" s="69" t="str">
        <f t="shared" si="400"/>
        <v/>
      </c>
      <c r="CV82" s="69" t="str">
        <f t="shared" si="526"/>
        <v/>
      </c>
      <c r="CW82" s="69" t="str">
        <f t="shared" si="401"/>
        <v/>
      </c>
      <c r="CX82" s="69" t="str">
        <f t="shared" si="402"/>
        <v/>
      </c>
      <c r="CY82" s="69" t="str">
        <f t="shared" si="527"/>
        <v/>
      </c>
      <c r="CZ82" s="69" t="str">
        <f t="shared" si="403"/>
        <v/>
      </c>
      <c r="DA82" s="69" t="str">
        <f t="shared" si="404"/>
        <v/>
      </c>
      <c r="DB82" s="69" t="str">
        <f t="shared" si="528"/>
        <v/>
      </c>
      <c r="DC82" s="69" t="str">
        <f t="shared" si="405"/>
        <v/>
      </c>
      <c r="DD82" s="69" t="str">
        <f t="shared" si="406"/>
        <v/>
      </c>
      <c r="DE82" s="69" t="str">
        <f t="shared" si="529"/>
        <v/>
      </c>
      <c r="DG82" s="69" t="str">
        <f t="shared" si="407"/>
        <v/>
      </c>
      <c r="DH82" s="69" t="str">
        <f t="shared" si="408"/>
        <v/>
      </c>
      <c r="DI82" s="69" t="str">
        <f t="shared" si="530"/>
        <v/>
      </c>
      <c r="DJ82" s="69" t="str">
        <f t="shared" si="409"/>
        <v/>
      </c>
      <c r="DK82" s="69" t="str">
        <f t="shared" si="410"/>
        <v/>
      </c>
      <c r="DL82" s="69" t="str">
        <f t="shared" si="531"/>
        <v/>
      </c>
      <c r="DM82" s="69" t="str">
        <f t="shared" si="411"/>
        <v/>
      </c>
      <c r="DN82" s="69" t="str">
        <f t="shared" si="412"/>
        <v/>
      </c>
      <c r="DO82" s="69" t="str">
        <f t="shared" si="532"/>
        <v/>
      </c>
      <c r="DP82" s="69" t="str">
        <f t="shared" si="413"/>
        <v/>
      </c>
      <c r="DQ82" s="69" t="str">
        <f t="shared" si="414"/>
        <v/>
      </c>
      <c r="DR82" s="69" t="str">
        <f t="shared" si="533"/>
        <v/>
      </c>
      <c r="DS82" s="69" t="str">
        <f t="shared" si="415"/>
        <v/>
      </c>
      <c r="DT82" s="69" t="str">
        <f t="shared" si="416"/>
        <v/>
      </c>
      <c r="DU82" s="69" t="str">
        <f t="shared" si="534"/>
        <v/>
      </c>
      <c r="DV82" s="69" t="str">
        <f t="shared" si="417"/>
        <v/>
      </c>
      <c r="DW82" s="69" t="str">
        <f t="shared" si="418"/>
        <v/>
      </c>
      <c r="DX82" s="69" t="str">
        <f t="shared" si="535"/>
        <v/>
      </c>
      <c r="DY82" s="69" t="str">
        <f t="shared" si="419"/>
        <v/>
      </c>
      <c r="DZ82" s="69" t="str">
        <f t="shared" si="420"/>
        <v/>
      </c>
      <c r="EA82" s="69" t="str">
        <f t="shared" si="536"/>
        <v/>
      </c>
      <c r="EB82" s="69" t="str">
        <f t="shared" si="421"/>
        <v/>
      </c>
      <c r="EC82" s="69" t="str">
        <f t="shared" si="422"/>
        <v/>
      </c>
      <c r="ED82" s="69" t="str">
        <f t="shared" si="537"/>
        <v/>
      </c>
      <c r="EF82" s="69" t="str">
        <f t="shared" si="423"/>
        <v/>
      </c>
      <c r="EG82" s="69" t="str">
        <f t="shared" si="424"/>
        <v/>
      </c>
      <c r="EH82" s="69" t="str">
        <f t="shared" si="538"/>
        <v/>
      </c>
      <c r="EI82" s="69" t="str">
        <f t="shared" si="425"/>
        <v/>
      </c>
      <c r="EJ82" s="69" t="str">
        <f t="shared" si="426"/>
        <v/>
      </c>
      <c r="EK82" s="69" t="str">
        <f t="shared" si="539"/>
        <v/>
      </c>
      <c r="EL82" s="69" t="str">
        <f t="shared" si="427"/>
        <v/>
      </c>
      <c r="EM82" s="69" t="str">
        <f t="shared" si="428"/>
        <v/>
      </c>
      <c r="EN82" s="69" t="str">
        <f t="shared" si="540"/>
        <v/>
      </c>
      <c r="EO82" s="69" t="str">
        <f t="shared" si="429"/>
        <v/>
      </c>
      <c r="EP82" s="69" t="str">
        <f t="shared" si="430"/>
        <v/>
      </c>
      <c r="EQ82" s="69" t="str">
        <f t="shared" si="541"/>
        <v/>
      </c>
      <c r="ER82" s="69" t="str">
        <f t="shared" si="431"/>
        <v/>
      </c>
      <c r="ES82" s="69" t="str">
        <f t="shared" si="432"/>
        <v/>
      </c>
      <c r="ET82" s="69" t="str">
        <f t="shared" si="542"/>
        <v/>
      </c>
      <c r="EU82" s="69" t="str">
        <f t="shared" si="433"/>
        <v/>
      </c>
      <c r="EV82" s="69" t="str">
        <f t="shared" si="434"/>
        <v/>
      </c>
      <c r="EW82" s="69" t="str">
        <f t="shared" si="543"/>
        <v/>
      </c>
      <c r="EX82" s="69" t="str">
        <f t="shared" si="435"/>
        <v/>
      </c>
      <c r="EY82" s="69" t="str">
        <f t="shared" si="436"/>
        <v/>
      </c>
      <c r="EZ82" s="69" t="str">
        <f t="shared" si="544"/>
        <v/>
      </c>
      <c r="FB82" s="69" t="str">
        <f t="shared" si="437"/>
        <v/>
      </c>
      <c r="FC82" s="69" t="str">
        <f t="shared" si="438"/>
        <v/>
      </c>
      <c r="FD82" s="69" t="str">
        <f t="shared" si="545"/>
        <v/>
      </c>
      <c r="FE82" s="69" t="str">
        <f t="shared" si="439"/>
        <v/>
      </c>
      <c r="FF82" s="69" t="str">
        <f t="shared" si="440"/>
        <v/>
      </c>
      <c r="FG82" s="69" t="str">
        <f t="shared" si="546"/>
        <v/>
      </c>
      <c r="FH82" s="69" t="str">
        <f t="shared" si="441"/>
        <v/>
      </c>
      <c r="FI82" s="69" t="str">
        <f t="shared" si="442"/>
        <v/>
      </c>
      <c r="FJ82" s="69" t="str">
        <f t="shared" si="547"/>
        <v/>
      </c>
      <c r="FK82" s="69" t="str">
        <f t="shared" si="443"/>
        <v/>
      </c>
      <c r="FL82" s="69" t="str">
        <f t="shared" si="444"/>
        <v/>
      </c>
      <c r="FM82" s="69" t="str">
        <f t="shared" si="548"/>
        <v/>
      </c>
      <c r="FN82" s="69" t="str">
        <f t="shared" si="445"/>
        <v/>
      </c>
      <c r="FO82" s="69" t="str">
        <f t="shared" si="446"/>
        <v/>
      </c>
      <c r="FP82" s="69" t="str">
        <f t="shared" si="549"/>
        <v/>
      </c>
      <c r="FQ82" s="69" t="str">
        <f t="shared" si="447"/>
        <v/>
      </c>
      <c r="FR82" s="69" t="str">
        <f t="shared" si="448"/>
        <v/>
      </c>
      <c r="FS82" s="69" t="str">
        <f t="shared" si="550"/>
        <v/>
      </c>
      <c r="FU82" s="69" t="str">
        <f t="shared" si="449"/>
        <v/>
      </c>
      <c r="FV82" s="69" t="str">
        <f t="shared" si="450"/>
        <v/>
      </c>
      <c r="FW82" s="69" t="str">
        <f t="shared" si="551"/>
        <v/>
      </c>
      <c r="FX82" s="69" t="str">
        <f t="shared" si="451"/>
        <v/>
      </c>
      <c r="FY82" s="69" t="str">
        <f t="shared" si="452"/>
        <v/>
      </c>
      <c r="FZ82" s="69" t="str">
        <f t="shared" si="552"/>
        <v/>
      </c>
      <c r="GA82" s="69" t="str">
        <f t="shared" si="453"/>
        <v/>
      </c>
      <c r="GB82" s="69" t="str">
        <f t="shared" si="454"/>
        <v/>
      </c>
      <c r="GC82" s="69" t="str">
        <f t="shared" si="553"/>
        <v/>
      </c>
      <c r="GD82" s="69" t="str">
        <f t="shared" si="455"/>
        <v/>
      </c>
      <c r="GE82" s="69" t="str">
        <f t="shared" si="456"/>
        <v/>
      </c>
      <c r="GF82" s="69" t="str">
        <f t="shared" si="554"/>
        <v/>
      </c>
      <c r="GG82" s="69" t="str">
        <f t="shared" si="457"/>
        <v/>
      </c>
      <c r="GH82" s="69" t="str">
        <f t="shared" si="458"/>
        <v/>
      </c>
      <c r="GI82" s="69" t="str">
        <f t="shared" si="555"/>
        <v/>
      </c>
      <c r="GK82" s="69" t="str">
        <f t="shared" si="459"/>
        <v/>
      </c>
      <c r="GL82" s="69" t="str">
        <f t="shared" si="460"/>
        <v/>
      </c>
      <c r="GM82" s="69" t="str">
        <f t="shared" si="556"/>
        <v/>
      </c>
      <c r="GN82" s="69" t="str">
        <f t="shared" si="461"/>
        <v/>
      </c>
      <c r="GO82" s="69" t="str">
        <f t="shared" si="462"/>
        <v/>
      </c>
      <c r="GP82" s="69" t="str">
        <f t="shared" si="557"/>
        <v/>
      </c>
      <c r="GQ82" s="69" t="str">
        <f t="shared" si="463"/>
        <v/>
      </c>
      <c r="GR82" s="69" t="str">
        <f t="shared" si="464"/>
        <v/>
      </c>
      <c r="GS82" s="69" t="str">
        <f t="shared" si="558"/>
        <v/>
      </c>
      <c r="GT82" s="69" t="str">
        <f t="shared" si="465"/>
        <v/>
      </c>
      <c r="GU82" s="69" t="str">
        <f t="shared" si="466"/>
        <v/>
      </c>
      <c r="GV82" s="69" t="str">
        <f t="shared" si="559"/>
        <v/>
      </c>
      <c r="GX82" s="69" t="str">
        <f t="shared" si="560"/>
        <v/>
      </c>
      <c r="GY82" s="69" t="str">
        <f t="shared" si="561"/>
        <v/>
      </c>
      <c r="GZ82" s="69" t="str">
        <f t="shared" si="562"/>
        <v/>
      </c>
      <c r="HA82" s="69" t="str">
        <f t="shared" si="563"/>
        <v/>
      </c>
      <c r="HB82" s="69" t="str">
        <f t="shared" si="564"/>
        <v/>
      </c>
      <c r="HC82" s="69" t="str">
        <f t="shared" si="565"/>
        <v/>
      </c>
      <c r="HD82" s="69" t="str">
        <f t="shared" si="566"/>
        <v/>
      </c>
      <c r="HE82" s="69" t="str">
        <f t="shared" si="567"/>
        <v/>
      </c>
      <c r="HF82" s="69" t="str">
        <f t="shared" si="568"/>
        <v/>
      </c>
      <c r="HH82" s="69" t="str">
        <f t="shared" si="569"/>
        <v/>
      </c>
      <c r="HI82" s="69" t="str">
        <f t="shared" si="570"/>
        <v/>
      </c>
      <c r="HJ82" s="69" t="str">
        <f t="shared" si="571"/>
        <v/>
      </c>
      <c r="HK82" s="69" t="str">
        <f t="shared" si="572"/>
        <v/>
      </c>
      <c r="HL82" s="69" t="str">
        <f t="shared" si="573"/>
        <v/>
      </c>
      <c r="HM82" s="69" t="str">
        <f t="shared" si="574"/>
        <v/>
      </c>
      <c r="HO82" s="69" t="str">
        <f t="shared" si="575"/>
        <v/>
      </c>
      <c r="HP82" s="69" t="str">
        <f t="shared" si="576"/>
        <v/>
      </c>
      <c r="HQ82" s="69" t="str">
        <f t="shared" si="577"/>
        <v/>
      </c>
      <c r="HS82" s="69" t="str">
        <f t="shared" si="467"/>
        <v/>
      </c>
      <c r="HT82" s="69" t="str">
        <f t="shared" si="468"/>
        <v/>
      </c>
      <c r="HU82" s="69" t="str">
        <f t="shared" si="578"/>
        <v/>
      </c>
      <c r="HV82" s="69" t="str">
        <f t="shared" si="469"/>
        <v/>
      </c>
      <c r="HW82" s="69" t="str">
        <f t="shared" si="470"/>
        <v/>
      </c>
      <c r="HX82" s="69" t="str">
        <f t="shared" si="579"/>
        <v/>
      </c>
      <c r="HY82" s="69" t="str">
        <f t="shared" si="471"/>
        <v/>
      </c>
      <c r="HZ82" s="69" t="str">
        <f t="shared" si="472"/>
        <v/>
      </c>
      <c r="IA82" s="69" t="str">
        <f t="shared" si="580"/>
        <v/>
      </c>
      <c r="IB82" s="69" t="str">
        <f t="shared" si="473"/>
        <v/>
      </c>
      <c r="IC82" s="69" t="str">
        <f t="shared" si="474"/>
        <v/>
      </c>
      <c r="ID82" s="69" t="str">
        <f t="shared" si="581"/>
        <v/>
      </c>
      <c r="IE82" s="69" t="str">
        <f t="shared" si="475"/>
        <v/>
      </c>
      <c r="IF82" s="69" t="str">
        <f t="shared" si="476"/>
        <v/>
      </c>
      <c r="IG82" s="69" t="str">
        <f t="shared" si="582"/>
        <v/>
      </c>
      <c r="IH82" s="69" t="str">
        <f t="shared" si="477"/>
        <v/>
      </c>
      <c r="II82" s="69" t="str">
        <f t="shared" si="478"/>
        <v/>
      </c>
      <c r="IJ82" s="69" t="str">
        <f t="shared" si="583"/>
        <v/>
      </c>
      <c r="IK82" s="69" t="str">
        <f t="shared" si="479"/>
        <v/>
      </c>
      <c r="IL82" s="69" t="str">
        <f t="shared" si="480"/>
        <v/>
      </c>
      <c r="IM82" s="69" t="str">
        <f t="shared" si="584"/>
        <v/>
      </c>
      <c r="IN82" s="69" t="str">
        <f t="shared" si="585"/>
        <v/>
      </c>
      <c r="IO82" s="69" t="str">
        <f t="shared" si="586"/>
        <v/>
      </c>
      <c r="IP82" s="69" t="str">
        <f t="shared" si="587"/>
        <v/>
      </c>
      <c r="IQ82" s="69" t="str">
        <f t="shared" si="588"/>
        <v/>
      </c>
      <c r="IR82" s="69" t="str">
        <f t="shared" si="589"/>
        <v/>
      </c>
      <c r="IS82" s="69" t="str">
        <f t="shared" si="590"/>
        <v/>
      </c>
      <c r="IT82" s="69" t="str">
        <f t="shared" si="591"/>
        <v/>
      </c>
      <c r="IU82" s="69" t="str">
        <f t="shared" si="592"/>
        <v/>
      </c>
      <c r="IV82" s="69" t="str">
        <f t="shared" si="593"/>
        <v/>
      </c>
    </row>
    <row r="83" spans="1:256" x14ac:dyDescent="0.2">
      <c r="A83" s="57" t="s">
        <v>86</v>
      </c>
      <c r="B83" s="184"/>
      <c r="C83" s="179"/>
      <c r="D83" s="179"/>
      <c r="E83" s="179"/>
      <c r="F83" s="179"/>
      <c r="G83" s="180"/>
      <c r="H83" s="180"/>
      <c r="I83" s="181"/>
      <c r="J83" s="182"/>
      <c r="K83" s="185"/>
      <c r="L83" s="68">
        <f t="shared" si="360"/>
        <v>0</v>
      </c>
      <c r="M83" s="69" t="str">
        <f t="shared" si="361"/>
        <v/>
      </c>
      <c r="N83" s="69" t="str">
        <f t="shared" si="481"/>
        <v/>
      </c>
      <c r="O83" s="69" t="str">
        <f t="shared" si="482"/>
        <v/>
      </c>
      <c r="P83" s="69" t="str">
        <f t="shared" si="483"/>
        <v/>
      </c>
      <c r="Q83" s="70" t="str">
        <f t="shared" si="362"/>
        <v/>
      </c>
      <c r="R83" s="71" t="str">
        <f t="shared" si="484"/>
        <v/>
      </c>
      <c r="S83" s="71" t="str">
        <f t="shared" si="485"/>
        <v/>
      </c>
      <c r="T83" s="70" t="str">
        <f t="shared" si="363"/>
        <v/>
      </c>
      <c r="U83" s="71" t="str">
        <f t="shared" si="486"/>
        <v/>
      </c>
      <c r="V83" s="71" t="str">
        <f t="shared" si="487"/>
        <v/>
      </c>
      <c r="W83" s="70" t="str">
        <f t="shared" si="364"/>
        <v/>
      </c>
      <c r="X83" s="71" t="str">
        <f t="shared" si="488"/>
        <v/>
      </c>
      <c r="Y83" s="71" t="str">
        <f t="shared" si="489"/>
        <v/>
      </c>
      <c r="Z83" s="70" t="str">
        <f t="shared" si="365"/>
        <v/>
      </c>
      <c r="AA83" s="71" t="str">
        <f t="shared" si="490"/>
        <v/>
      </c>
      <c r="AB83" s="71" t="str">
        <f t="shared" si="491"/>
        <v/>
      </c>
      <c r="AC83" s="70" t="str">
        <f t="shared" si="366"/>
        <v/>
      </c>
      <c r="AD83" s="71" t="str">
        <f t="shared" si="492"/>
        <v/>
      </c>
      <c r="AE83" s="71" t="str">
        <f t="shared" si="493"/>
        <v/>
      </c>
      <c r="AF83" s="70" t="str">
        <f t="shared" si="367"/>
        <v/>
      </c>
      <c r="AG83" s="71" t="str">
        <f t="shared" si="494"/>
        <v/>
      </c>
      <c r="AH83" s="71" t="str">
        <f t="shared" si="495"/>
        <v/>
      </c>
      <c r="AI83" s="70" t="str">
        <f t="shared" si="368"/>
        <v/>
      </c>
      <c r="AJ83" s="71" t="str">
        <f t="shared" si="496"/>
        <v/>
      </c>
      <c r="AK83" s="71" t="str">
        <f t="shared" si="497"/>
        <v/>
      </c>
      <c r="AL83" s="70" t="str">
        <f t="shared" si="498"/>
        <v/>
      </c>
      <c r="AM83" s="71" t="str">
        <f t="shared" si="499"/>
        <v/>
      </c>
      <c r="AN83" s="71" t="str">
        <f t="shared" si="500"/>
        <v/>
      </c>
      <c r="AO83" s="70" t="str">
        <f t="shared" si="501"/>
        <v/>
      </c>
      <c r="AP83" s="71" t="str">
        <f t="shared" si="502"/>
        <v/>
      </c>
      <c r="AQ83" s="71" t="str">
        <f t="shared" si="503"/>
        <v/>
      </c>
      <c r="AR83" s="70" t="str">
        <f t="shared" si="504"/>
        <v/>
      </c>
      <c r="AS83" s="71" t="str">
        <f t="shared" si="505"/>
        <v/>
      </c>
      <c r="AT83" s="71" t="str">
        <f t="shared" si="506"/>
        <v/>
      </c>
      <c r="AU83" s="69" t="str">
        <f t="shared" si="507"/>
        <v/>
      </c>
      <c r="AV83" s="131" t="str">
        <f t="shared" si="508"/>
        <v/>
      </c>
      <c r="AW83" s="69" t="str">
        <f t="shared" si="594"/>
        <v/>
      </c>
      <c r="AX83" s="132" t="str">
        <f t="shared" si="509"/>
        <v/>
      </c>
      <c r="AY83" s="132" t="str">
        <f t="shared" si="510"/>
        <v/>
      </c>
      <c r="AZ83" s="69" t="str">
        <f t="shared" si="369"/>
        <v/>
      </c>
      <c r="BA83" s="69" t="str">
        <f t="shared" si="370"/>
        <v/>
      </c>
      <c r="BB83" s="69" t="str">
        <f t="shared" si="511"/>
        <v/>
      </c>
      <c r="BC83" s="69" t="str">
        <f t="shared" si="371"/>
        <v/>
      </c>
      <c r="BD83" s="69" t="str">
        <f t="shared" si="372"/>
        <v/>
      </c>
      <c r="BE83" s="69" t="str">
        <f t="shared" si="512"/>
        <v/>
      </c>
      <c r="BF83" s="69" t="str">
        <f t="shared" si="373"/>
        <v/>
      </c>
      <c r="BG83" s="69" t="str">
        <f t="shared" si="374"/>
        <v/>
      </c>
      <c r="BH83" s="69" t="str">
        <f t="shared" si="513"/>
        <v/>
      </c>
      <c r="BI83" s="69" t="str">
        <f t="shared" si="375"/>
        <v/>
      </c>
      <c r="BJ83" s="69" t="str">
        <f t="shared" si="376"/>
        <v/>
      </c>
      <c r="BK83" s="69" t="str">
        <f t="shared" si="514"/>
        <v/>
      </c>
      <c r="BL83" s="69" t="str">
        <f t="shared" si="377"/>
        <v/>
      </c>
      <c r="BM83" s="69" t="str">
        <f t="shared" si="378"/>
        <v/>
      </c>
      <c r="BN83" s="69" t="str">
        <f t="shared" si="515"/>
        <v/>
      </c>
      <c r="BO83" s="69" t="str">
        <f t="shared" si="379"/>
        <v/>
      </c>
      <c r="BP83" s="69" t="str">
        <f t="shared" si="380"/>
        <v/>
      </c>
      <c r="BQ83" s="69" t="str">
        <f t="shared" si="516"/>
        <v/>
      </c>
      <c r="BR83" s="69" t="str">
        <f t="shared" si="381"/>
        <v/>
      </c>
      <c r="BS83" s="69" t="str">
        <f t="shared" si="382"/>
        <v/>
      </c>
      <c r="BT83" s="69" t="str">
        <f t="shared" si="517"/>
        <v/>
      </c>
      <c r="BU83" s="69" t="str">
        <f t="shared" si="383"/>
        <v/>
      </c>
      <c r="BV83" s="69" t="str">
        <f t="shared" si="384"/>
        <v/>
      </c>
      <c r="BW83" s="69" t="str">
        <f t="shared" si="518"/>
        <v/>
      </c>
      <c r="BX83" s="69" t="str">
        <f t="shared" si="385"/>
        <v/>
      </c>
      <c r="BY83" s="69" t="str">
        <f t="shared" si="386"/>
        <v/>
      </c>
      <c r="BZ83" s="69" t="str">
        <f t="shared" si="519"/>
        <v/>
      </c>
      <c r="CA83" s="69" t="str">
        <f t="shared" si="387"/>
        <v/>
      </c>
      <c r="CB83" s="69" t="str">
        <f t="shared" si="388"/>
        <v/>
      </c>
      <c r="CC83" s="69" t="str">
        <f t="shared" si="520"/>
        <v/>
      </c>
      <c r="CE83" s="69" t="str">
        <f t="shared" si="389"/>
        <v/>
      </c>
      <c r="CF83" s="69" t="str">
        <f t="shared" si="390"/>
        <v/>
      </c>
      <c r="CG83" s="69" t="str">
        <f t="shared" si="521"/>
        <v/>
      </c>
      <c r="CH83" s="69" t="str">
        <f t="shared" si="391"/>
        <v/>
      </c>
      <c r="CI83" s="69" t="str">
        <f t="shared" si="392"/>
        <v/>
      </c>
      <c r="CJ83" s="69" t="str">
        <f t="shared" si="522"/>
        <v/>
      </c>
      <c r="CK83" s="69" t="str">
        <f t="shared" si="393"/>
        <v/>
      </c>
      <c r="CL83" s="69" t="str">
        <f t="shared" si="394"/>
        <v/>
      </c>
      <c r="CM83" s="69" t="str">
        <f t="shared" si="523"/>
        <v/>
      </c>
      <c r="CN83" s="69" t="str">
        <f t="shared" si="395"/>
        <v/>
      </c>
      <c r="CO83" s="69" t="str">
        <f t="shared" si="396"/>
        <v/>
      </c>
      <c r="CP83" s="69" t="str">
        <f t="shared" si="524"/>
        <v/>
      </c>
      <c r="CQ83" s="69" t="str">
        <f t="shared" si="397"/>
        <v/>
      </c>
      <c r="CR83" s="69" t="str">
        <f t="shared" si="398"/>
        <v/>
      </c>
      <c r="CS83" s="69" t="str">
        <f t="shared" si="525"/>
        <v/>
      </c>
      <c r="CT83" s="69" t="str">
        <f t="shared" si="399"/>
        <v/>
      </c>
      <c r="CU83" s="69" t="str">
        <f t="shared" si="400"/>
        <v/>
      </c>
      <c r="CV83" s="69" t="str">
        <f t="shared" si="526"/>
        <v/>
      </c>
      <c r="CW83" s="69" t="str">
        <f t="shared" si="401"/>
        <v/>
      </c>
      <c r="CX83" s="69" t="str">
        <f t="shared" si="402"/>
        <v/>
      </c>
      <c r="CY83" s="69" t="str">
        <f t="shared" si="527"/>
        <v/>
      </c>
      <c r="CZ83" s="69" t="str">
        <f t="shared" si="403"/>
        <v/>
      </c>
      <c r="DA83" s="69" t="str">
        <f t="shared" si="404"/>
        <v/>
      </c>
      <c r="DB83" s="69" t="str">
        <f t="shared" si="528"/>
        <v/>
      </c>
      <c r="DC83" s="69" t="str">
        <f t="shared" si="405"/>
        <v/>
      </c>
      <c r="DD83" s="69" t="str">
        <f t="shared" si="406"/>
        <v/>
      </c>
      <c r="DE83" s="69" t="str">
        <f t="shared" si="529"/>
        <v/>
      </c>
      <c r="DG83" s="69" t="str">
        <f t="shared" si="407"/>
        <v/>
      </c>
      <c r="DH83" s="69" t="str">
        <f t="shared" si="408"/>
        <v/>
      </c>
      <c r="DI83" s="69" t="str">
        <f t="shared" si="530"/>
        <v/>
      </c>
      <c r="DJ83" s="69" t="str">
        <f t="shared" si="409"/>
        <v/>
      </c>
      <c r="DK83" s="69" t="str">
        <f t="shared" si="410"/>
        <v/>
      </c>
      <c r="DL83" s="69" t="str">
        <f t="shared" si="531"/>
        <v/>
      </c>
      <c r="DM83" s="69" t="str">
        <f t="shared" si="411"/>
        <v/>
      </c>
      <c r="DN83" s="69" t="str">
        <f t="shared" si="412"/>
        <v/>
      </c>
      <c r="DO83" s="69" t="str">
        <f t="shared" si="532"/>
        <v/>
      </c>
      <c r="DP83" s="69" t="str">
        <f t="shared" si="413"/>
        <v/>
      </c>
      <c r="DQ83" s="69" t="str">
        <f t="shared" si="414"/>
        <v/>
      </c>
      <c r="DR83" s="69" t="str">
        <f t="shared" si="533"/>
        <v/>
      </c>
      <c r="DS83" s="69" t="str">
        <f t="shared" si="415"/>
        <v/>
      </c>
      <c r="DT83" s="69" t="str">
        <f t="shared" si="416"/>
        <v/>
      </c>
      <c r="DU83" s="69" t="str">
        <f t="shared" si="534"/>
        <v/>
      </c>
      <c r="DV83" s="69" t="str">
        <f t="shared" si="417"/>
        <v/>
      </c>
      <c r="DW83" s="69" t="str">
        <f t="shared" si="418"/>
        <v/>
      </c>
      <c r="DX83" s="69" t="str">
        <f t="shared" si="535"/>
        <v/>
      </c>
      <c r="DY83" s="69" t="str">
        <f t="shared" si="419"/>
        <v/>
      </c>
      <c r="DZ83" s="69" t="str">
        <f t="shared" si="420"/>
        <v/>
      </c>
      <c r="EA83" s="69" t="str">
        <f t="shared" si="536"/>
        <v/>
      </c>
      <c r="EB83" s="69" t="str">
        <f t="shared" si="421"/>
        <v/>
      </c>
      <c r="EC83" s="69" t="str">
        <f t="shared" si="422"/>
        <v/>
      </c>
      <c r="ED83" s="69" t="str">
        <f t="shared" si="537"/>
        <v/>
      </c>
      <c r="EF83" s="69" t="str">
        <f t="shared" si="423"/>
        <v/>
      </c>
      <c r="EG83" s="69" t="str">
        <f t="shared" si="424"/>
        <v/>
      </c>
      <c r="EH83" s="69" t="str">
        <f t="shared" si="538"/>
        <v/>
      </c>
      <c r="EI83" s="69" t="str">
        <f t="shared" si="425"/>
        <v/>
      </c>
      <c r="EJ83" s="69" t="str">
        <f t="shared" si="426"/>
        <v/>
      </c>
      <c r="EK83" s="69" t="str">
        <f t="shared" si="539"/>
        <v/>
      </c>
      <c r="EL83" s="69" t="str">
        <f t="shared" si="427"/>
        <v/>
      </c>
      <c r="EM83" s="69" t="str">
        <f t="shared" si="428"/>
        <v/>
      </c>
      <c r="EN83" s="69" t="str">
        <f t="shared" si="540"/>
        <v/>
      </c>
      <c r="EO83" s="69" t="str">
        <f t="shared" si="429"/>
        <v/>
      </c>
      <c r="EP83" s="69" t="str">
        <f t="shared" si="430"/>
        <v/>
      </c>
      <c r="EQ83" s="69" t="str">
        <f t="shared" si="541"/>
        <v/>
      </c>
      <c r="ER83" s="69" t="str">
        <f t="shared" si="431"/>
        <v/>
      </c>
      <c r="ES83" s="69" t="str">
        <f t="shared" si="432"/>
        <v/>
      </c>
      <c r="ET83" s="69" t="str">
        <f t="shared" si="542"/>
        <v/>
      </c>
      <c r="EU83" s="69" t="str">
        <f t="shared" si="433"/>
        <v/>
      </c>
      <c r="EV83" s="69" t="str">
        <f t="shared" si="434"/>
        <v/>
      </c>
      <c r="EW83" s="69" t="str">
        <f t="shared" si="543"/>
        <v/>
      </c>
      <c r="EX83" s="69" t="str">
        <f t="shared" si="435"/>
        <v/>
      </c>
      <c r="EY83" s="69" t="str">
        <f t="shared" si="436"/>
        <v/>
      </c>
      <c r="EZ83" s="69" t="str">
        <f t="shared" si="544"/>
        <v/>
      </c>
      <c r="FB83" s="69" t="str">
        <f t="shared" si="437"/>
        <v/>
      </c>
      <c r="FC83" s="69" t="str">
        <f t="shared" si="438"/>
        <v/>
      </c>
      <c r="FD83" s="69" t="str">
        <f t="shared" si="545"/>
        <v/>
      </c>
      <c r="FE83" s="69" t="str">
        <f t="shared" si="439"/>
        <v/>
      </c>
      <c r="FF83" s="69" t="str">
        <f t="shared" si="440"/>
        <v/>
      </c>
      <c r="FG83" s="69" t="str">
        <f t="shared" si="546"/>
        <v/>
      </c>
      <c r="FH83" s="69" t="str">
        <f t="shared" si="441"/>
        <v/>
      </c>
      <c r="FI83" s="69" t="str">
        <f t="shared" si="442"/>
        <v/>
      </c>
      <c r="FJ83" s="69" t="str">
        <f t="shared" si="547"/>
        <v/>
      </c>
      <c r="FK83" s="69" t="str">
        <f t="shared" si="443"/>
        <v/>
      </c>
      <c r="FL83" s="69" t="str">
        <f t="shared" si="444"/>
        <v/>
      </c>
      <c r="FM83" s="69" t="str">
        <f t="shared" si="548"/>
        <v/>
      </c>
      <c r="FN83" s="69" t="str">
        <f t="shared" si="445"/>
        <v/>
      </c>
      <c r="FO83" s="69" t="str">
        <f t="shared" si="446"/>
        <v/>
      </c>
      <c r="FP83" s="69" t="str">
        <f t="shared" si="549"/>
        <v/>
      </c>
      <c r="FQ83" s="69" t="str">
        <f t="shared" si="447"/>
        <v/>
      </c>
      <c r="FR83" s="69" t="str">
        <f t="shared" si="448"/>
        <v/>
      </c>
      <c r="FS83" s="69" t="str">
        <f t="shared" si="550"/>
        <v/>
      </c>
      <c r="FU83" s="69" t="str">
        <f t="shared" si="449"/>
        <v/>
      </c>
      <c r="FV83" s="69" t="str">
        <f t="shared" si="450"/>
        <v/>
      </c>
      <c r="FW83" s="69" t="str">
        <f t="shared" si="551"/>
        <v/>
      </c>
      <c r="FX83" s="69" t="str">
        <f t="shared" si="451"/>
        <v/>
      </c>
      <c r="FY83" s="69" t="str">
        <f t="shared" si="452"/>
        <v/>
      </c>
      <c r="FZ83" s="69" t="str">
        <f t="shared" si="552"/>
        <v/>
      </c>
      <c r="GA83" s="69" t="str">
        <f t="shared" si="453"/>
        <v/>
      </c>
      <c r="GB83" s="69" t="str">
        <f t="shared" si="454"/>
        <v/>
      </c>
      <c r="GC83" s="69" t="str">
        <f t="shared" si="553"/>
        <v/>
      </c>
      <c r="GD83" s="69" t="str">
        <f t="shared" si="455"/>
        <v/>
      </c>
      <c r="GE83" s="69" t="str">
        <f t="shared" si="456"/>
        <v/>
      </c>
      <c r="GF83" s="69" t="str">
        <f t="shared" si="554"/>
        <v/>
      </c>
      <c r="GG83" s="69" t="str">
        <f t="shared" si="457"/>
        <v/>
      </c>
      <c r="GH83" s="69" t="str">
        <f t="shared" si="458"/>
        <v/>
      </c>
      <c r="GI83" s="69" t="str">
        <f t="shared" si="555"/>
        <v/>
      </c>
      <c r="GK83" s="69" t="str">
        <f t="shared" si="459"/>
        <v/>
      </c>
      <c r="GL83" s="69" t="str">
        <f t="shared" si="460"/>
        <v/>
      </c>
      <c r="GM83" s="69" t="str">
        <f t="shared" si="556"/>
        <v/>
      </c>
      <c r="GN83" s="69" t="str">
        <f t="shared" si="461"/>
        <v/>
      </c>
      <c r="GO83" s="69" t="str">
        <f t="shared" si="462"/>
        <v/>
      </c>
      <c r="GP83" s="69" t="str">
        <f t="shared" si="557"/>
        <v/>
      </c>
      <c r="GQ83" s="69" t="str">
        <f t="shared" si="463"/>
        <v/>
      </c>
      <c r="GR83" s="69" t="str">
        <f t="shared" si="464"/>
        <v/>
      </c>
      <c r="GS83" s="69" t="str">
        <f t="shared" si="558"/>
        <v/>
      </c>
      <c r="GT83" s="69" t="str">
        <f t="shared" si="465"/>
        <v/>
      </c>
      <c r="GU83" s="69" t="str">
        <f t="shared" si="466"/>
        <v/>
      </c>
      <c r="GV83" s="69" t="str">
        <f t="shared" si="559"/>
        <v/>
      </c>
      <c r="GX83" s="69" t="str">
        <f t="shared" si="560"/>
        <v/>
      </c>
      <c r="GY83" s="69" t="str">
        <f t="shared" si="561"/>
        <v/>
      </c>
      <c r="GZ83" s="69" t="str">
        <f t="shared" si="562"/>
        <v/>
      </c>
      <c r="HA83" s="69" t="str">
        <f t="shared" si="563"/>
        <v/>
      </c>
      <c r="HB83" s="69" t="str">
        <f t="shared" si="564"/>
        <v/>
      </c>
      <c r="HC83" s="69" t="str">
        <f t="shared" si="565"/>
        <v/>
      </c>
      <c r="HD83" s="69" t="str">
        <f t="shared" si="566"/>
        <v/>
      </c>
      <c r="HE83" s="69" t="str">
        <f t="shared" si="567"/>
        <v/>
      </c>
      <c r="HF83" s="69" t="str">
        <f t="shared" si="568"/>
        <v/>
      </c>
      <c r="HH83" s="69" t="str">
        <f t="shared" si="569"/>
        <v/>
      </c>
      <c r="HI83" s="69" t="str">
        <f t="shared" si="570"/>
        <v/>
      </c>
      <c r="HJ83" s="69" t="str">
        <f t="shared" si="571"/>
        <v/>
      </c>
      <c r="HK83" s="69" t="str">
        <f t="shared" si="572"/>
        <v/>
      </c>
      <c r="HL83" s="69" t="str">
        <f t="shared" si="573"/>
        <v/>
      </c>
      <c r="HM83" s="69" t="str">
        <f t="shared" si="574"/>
        <v/>
      </c>
      <c r="HO83" s="69" t="str">
        <f t="shared" si="575"/>
        <v/>
      </c>
      <c r="HP83" s="69" t="str">
        <f t="shared" si="576"/>
        <v/>
      </c>
      <c r="HQ83" s="69" t="str">
        <f t="shared" si="577"/>
        <v/>
      </c>
      <c r="HS83" s="69" t="str">
        <f t="shared" si="467"/>
        <v/>
      </c>
      <c r="HT83" s="69" t="str">
        <f t="shared" si="468"/>
        <v/>
      </c>
      <c r="HU83" s="69" t="str">
        <f t="shared" si="578"/>
        <v/>
      </c>
      <c r="HV83" s="69" t="str">
        <f t="shared" si="469"/>
        <v/>
      </c>
      <c r="HW83" s="69" t="str">
        <f t="shared" si="470"/>
        <v/>
      </c>
      <c r="HX83" s="69" t="str">
        <f t="shared" si="579"/>
        <v/>
      </c>
      <c r="HY83" s="69" t="str">
        <f t="shared" si="471"/>
        <v/>
      </c>
      <c r="HZ83" s="69" t="str">
        <f t="shared" si="472"/>
        <v/>
      </c>
      <c r="IA83" s="69" t="str">
        <f t="shared" si="580"/>
        <v/>
      </c>
      <c r="IB83" s="69" t="str">
        <f t="shared" si="473"/>
        <v/>
      </c>
      <c r="IC83" s="69" t="str">
        <f t="shared" si="474"/>
        <v/>
      </c>
      <c r="ID83" s="69" t="str">
        <f t="shared" si="581"/>
        <v/>
      </c>
      <c r="IE83" s="69" t="str">
        <f t="shared" si="475"/>
        <v/>
      </c>
      <c r="IF83" s="69" t="str">
        <f t="shared" si="476"/>
        <v/>
      </c>
      <c r="IG83" s="69" t="str">
        <f t="shared" si="582"/>
        <v/>
      </c>
      <c r="IH83" s="69" t="str">
        <f t="shared" si="477"/>
        <v/>
      </c>
      <c r="II83" s="69" t="str">
        <f t="shared" si="478"/>
        <v/>
      </c>
      <c r="IJ83" s="69" t="str">
        <f t="shared" si="583"/>
        <v/>
      </c>
      <c r="IK83" s="69" t="str">
        <f t="shared" si="479"/>
        <v/>
      </c>
      <c r="IL83" s="69" t="str">
        <f t="shared" si="480"/>
        <v/>
      </c>
      <c r="IM83" s="69" t="str">
        <f t="shared" si="584"/>
        <v/>
      </c>
      <c r="IN83" s="69" t="str">
        <f t="shared" si="585"/>
        <v/>
      </c>
      <c r="IO83" s="69" t="str">
        <f t="shared" si="586"/>
        <v/>
      </c>
      <c r="IP83" s="69" t="str">
        <f t="shared" si="587"/>
        <v/>
      </c>
      <c r="IQ83" s="69" t="str">
        <f t="shared" si="588"/>
        <v/>
      </c>
      <c r="IR83" s="69" t="str">
        <f t="shared" si="589"/>
        <v/>
      </c>
      <c r="IS83" s="69" t="str">
        <f t="shared" si="590"/>
        <v/>
      </c>
      <c r="IT83" s="69" t="str">
        <f t="shared" si="591"/>
        <v/>
      </c>
      <c r="IU83" s="69" t="str">
        <f t="shared" si="592"/>
        <v/>
      </c>
      <c r="IV83" s="69" t="str">
        <f t="shared" si="593"/>
        <v/>
      </c>
    </row>
    <row r="84" spans="1:256" x14ac:dyDescent="0.2">
      <c r="A84" s="57" t="s">
        <v>87</v>
      </c>
      <c r="B84" s="178"/>
      <c r="C84" s="180"/>
      <c r="D84" s="179"/>
      <c r="E84" s="179"/>
      <c r="F84" s="179"/>
      <c r="G84" s="180"/>
      <c r="H84" s="180"/>
      <c r="I84" s="181"/>
      <c r="J84" s="182"/>
      <c r="K84" s="185"/>
      <c r="L84" s="68">
        <f t="shared" si="360"/>
        <v>0</v>
      </c>
      <c r="M84" s="69" t="str">
        <f t="shared" si="361"/>
        <v/>
      </c>
      <c r="N84" s="69" t="str">
        <f t="shared" si="481"/>
        <v/>
      </c>
      <c r="O84" s="69" t="str">
        <f t="shared" si="482"/>
        <v/>
      </c>
      <c r="P84" s="69" t="str">
        <f t="shared" si="483"/>
        <v/>
      </c>
      <c r="Q84" s="70" t="str">
        <f t="shared" si="362"/>
        <v/>
      </c>
      <c r="R84" s="71" t="str">
        <f t="shared" si="484"/>
        <v/>
      </c>
      <c r="S84" s="71" t="str">
        <f t="shared" si="485"/>
        <v/>
      </c>
      <c r="T84" s="70" t="str">
        <f t="shared" si="363"/>
        <v/>
      </c>
      <c r="U84" s="71" t="str">
        <f t="shared" si="486"/>
        <v/>
      </c>
      <c r="V84" s="71" t="str">
        <f t="shared" si="487"/>
        <v/>
      </c>
      <c r="W84" s="70" t="str">
        <f t="shared" si="364"/>
        <v/>
      </c>
      <c r="X84" s="71" t="str">
        <f t="shared" si="488"/>
        <v/>
      </c>
      <c r="Y84" s="71" t="str">
        <f t="shared" si="489"/>
        <v/>
      </c>
      <c r="Z84" s="70" t="str">
        <f t="shared" si="365"/>
        <v/>
      </c>
      <c r="AA84" s="71" t="str">
        <f t="shared" si="490"/>
        <v/>
      </c>
      <c r="AB84" s="71" t="str">
        <f t="shared" si="491"/>
        <v/>
      </c>
      <c r="AC84" s="70" t="str">
        <f t="shared" si="366"/>
        <v/>
      </c>
      <c r="AD84" s="71" t="str">
        <f t="shared" si="492"/>
        <v/>
      </c>
      <c r="AE84" s="71" t="str">
        <f t="shared" si="493"/>
        <v/>
      </c>
      <c r="AF84" s="70" t="str">
        <f t="shared" si="367"/>
        <v/>
      </c>
      <c r="AG84" s="71" t="str">
        <f t="shared" si="494"/>
        <v/>
      </c>
      <c r="AH84" s="71" t="str">
        <f t="shared" si="495"/>
        <v/>
      </c>
      <c r="AI84" s="70" t="str">
        <f t="shared" si="368"/>
        <v/>
      </c>
      <c r="AJ84" s="71" t="str">
        <f t="shared" si="496"/>
        <v/>
      </c>
      <c r="AK84" s="71" t="str">
        <f t="shared" si="497"/>
        <v/>
      </c>
      <c r="AL84" s="70" t="str">
        <f t="shared" si="498"/>
        <v/>
      </c>
      <c r="AM84" s="71" t="str">
        <f t="shared" si="499"/>
        <v/>
      </c>
      <c r="AN84" s="71" t="str">
        <f t="shared" si="500"/>
        <v/>
      </c>
      <c r="AO84" s="70" t="str">
        <f t="shared" si="501"/>
        <v/>
      </c>
      <c r="AP84" s="71" t="str">
        <f t="shared" si="502"/>
        <v/>
      </c>
      <c r="AQ84" s="71" t="str">
        <f t="shared" si="503"/>
        <v/>
      </c>
      <c r="AR84" s="70" t="str">
        <f t="shared" si="504"/>
        <v/>
      </c>
      <c r="AS84" s="71" t="str">
        <f t="shared" si="505"/>
        <v/>
      </c>
      <c r="AT84" s="71" t="str">
        <f t="shared" si="506"/>
        <v/>
      </c>
      <c r="AU84" s="69" t="str">
        <f t="shared" si="507"/>
        <v/>
      </c>
      <c r="AV84" s="131" t="str">
        <f t="shared" si="508"/>
        <v/>
      </c>
      <c r="AW84" s="69" t="str">
        <f t="shared" si="594"/>
        <v/>
      </c>
      <c r="AX84" s="132" t="str">
        <f t="shared" si="509"/>
        <v/>
      </c>
      <c r="AY84" s="132" t="str">
        <f t="shared" si="510"/>
        <v/>
      </c>
      <c r="AZ84" s="69" t="str">
        <f t="shared" si="369"/>
        <v/>
      </c>
      <c r="BA84" s="69" t="str">
        <f t="shared" si="370"/>
        <v/>
      </c>
      <c r="BB84" s="69" t="str">
        <f t="shared" si="511"/>
        <v/>
      </c>
      <c r="BC84" s="69" t="str">
        <f t="shared" si="371"/>
        <v/>
      </c>
      <c r="BD84" s="69" t="str">
        <f t="shared" si="372"/>
        <v/>
      </c>
      <c r="BE84" s="69" t="str">
        <f t="shared" si="512"/>
        <v/>
      </c>
      <c r="BF84" s="69" t="str">
        <f t="shared" si="373"/>
        <v/>
      </c>
      <c r="BG84" s="69" t="str">
        <f t="shared" si="374"/>
        <v/>
      </c>
      <c r="BH84" s="69" t="str">
        <f t="shared" si="513"/>
        <v/>
      </c>
      <c r="BI84" s="69" t="str">
        <f t="shared" si="375"/>
        <v/>
      </c>
      <c r="BJ84" s="69" t="str">
        <f t="shared" si="376"/>
        <v/>
      </c>
      <c r="BK84" s="69" t="str">
        <f t="shared" si="514"/>
        <v/>
      </c>
      <c r="BL84" s="69" t="str">
        <f t="shared" si="377"/>
        <v/>
      </c>
      <c r="BM84" s="69" t="str">
        <f t="shared" si="378"/>
        <v/>
      </c>
      <c r="BN84" s="69" t="str">
        <f t="shared" si="515"/>
        <v/>
      </c>
      <c r="BO84" s="69" t="str">
        <f t="shared" si="379"/>
        <v/>
      </c>
      <c r="BP84" s="69" t="str">
        <f t="shared" si="380"/>
        <v/>
      </c>
      <c r="BQ84" s="69" t="str">
        <f t="shared" si="516"/>
        <v/>
      </c>
      <c r="BR84" s="69" t="str">
        <f t="shared" si="381"/>
        <v/>
      </c>
      <c r="BS84" s="69" t="str">
        <f t="shared" si="382"/>
        <v/>
      </c>
      <c r="BT84" s="69" t="str">
        <f t="shared" si="517"/>
        <v/>
      </c>
      <c r="BU84" s="69" t="str">
        <f t="shared" si="383"/>
        <v/>
      </c>
      <c r="BV84" s="69" t="str">
        <f t="shared" si="384"/>
        <v/>
      </c>
      <c r="BW84" s="69" t="str">
        <f t="shared" si="518"/>
        <v/>
      </c>
      <c r="BX84" s="69" t="str">
        <f t="shared" si="385"/>
        <v/>
      </c>
      <c r="BY84" s="69" t="str">
        <f t="shared" si="386"/>
        <v/>
      </c>
      <c r="BZ84" s="69" t="str">
        <f t="shared" si="519"/>
        <v/>
      </c>
      <c r="CA84" s="69" t="str">
        <f t="shared" si="387"/>
        <v/>
      </c>
      <c r="CB84" s="69" t="str">
        <f t="shared" si="388"/>
        <v/>
      </c>
      <c r="CC84" s="69" t="str">
        <f t="shared" si="520"/>
        <v/>
      </c>
      <c r="CE84" s="69" t="str">
        <f t="shared" si="389"/>
        <v/>
      </c>
      <c r="CF84" s="69" t="str">
        <f t="shared" si="390"/>
        <v/>
      </c>
      <c r="CG84" s="69" t="str">
        <f t="shared" si="521"/>
        <v/>
      </c>
      <c r="CH84" s="69" t="str">
        <f t="shared" si="391"/>
        <v/>
      </c>
      <c r="CI84" s="69" t="str">
        <f t="shared" si="392"/>
        <v/>
      </c>
      <c r="CJ84" s="69" t="str">
        <f t="shared" si="522"/>
        <v/>
      </c>
      <c r="CK84" s="69" t="str">
        <f t="shared" si="393"/>
        <v/>
      </c>
      <c r="CL84" s="69" t="str">
        <f t="shared" si="394"/>
        <v/>
      </c>
      <c r="CM84" s="69" t="str">
        <f t="shared" si="523"/>
        <v/>
      </c>
      <c r="CN84" s="69" t="str">
        <f t="shared" si="395"/>
        <v/>
      </c>
      <c r="CO84" s="69" t="str">
        <f t="shared" si="396"/>
        <v/>
      </c>
      <c r="CP84" s="69" t="str">
        <f t="shared" si="524"/>
        <v/>
      </c>
      <c r="CQ84" s="69" t="str">
        <f t="shared" si="397"/>
        <v/>
      </c>
      <c r="CR84" s="69" t="str">
        <f t="shared" si="398"/>
        <v/>
      </c>
      <c r="CS84" s="69" t="str">
        <f t="shared" si="525"/>
        <v/>
      </c>
      <c r="CT84" s="69" t="str">
        <f t="shared" si="399"/>
        <v/>
      </c>
      <c r="CU84" s="69" t="str">
        <f t="shared" si="400"/>
        <v/>
      </c>
      <c r="CV84" s="69" t="str">
        <f t="shared" si="526"/>
        <v/>
      </c>
      <c r="CW84" s="69" t="str">
        <f t="shared" si="401"/>
        <v/>
      </c>
      <c r="CX84" s="69" t="str">
        <f t="shared" si="402"/>
        <v/>
      </c>
      <c r="CY84" s="69" t="str">
        <f t="shared" si="527"/>
        <v/>
      </c>
      <c r="CZ84" s="69" t="str">
        <f t="shared" si="403"/>
        <v/>
      </c>
      <c r="DA84" s="69" t="str">
        <f t="shared" si="404"/>
        <v/>
      </c>
      <c r="DB84" s="69" t="str">
        <f t="shared" si="528"/>
        <v/>
      </c>
      <c r="DC84" s="69" t="str">
        <f t="shared" si="405"/>
        <v/>
      </c>
      <c r="DD84" s="69" t="str">
        <f t="shared" si="406"/>
        <v/>
      </c>
      <c r="DE84" s="69" t="str">
        <f t="shared" si="529"/>
        <v/>
      </c>
      <c r="DG84" s="69" t="str">
        <f t="shared" si="407"/>
        <v/>
      </c>
      <c r="DH84" s="69" t="str">
        <f t="shared" si="408"/>
        <v/>
      </c>
      <c r="DI84" s="69" t="str">
        <f t="shared" si="530"/>
        <v/>
      </c>
      <c r="DJ84" s="69" t="str">
        <f t="shared" si="409"/>
        <v/>
      </c>
      <c r="DK84" s="69" t="str">
        <f t="shared" si="410"/>
        <v/>
      </c>
      <c r="DL84" s="69" t="str">
        <f t="shared" si="531"/>
        <v/>
      </c>
      <c r="DM84" s="69" t="str">
        <f t="shared" si="411"/>
        <v/>
      </c>
      <c r="DN84" s="69" t="str">
        <f t="shared" si="412"/>
        <v/>
      </c>
      <c r="DO84" s="69" t="str">
        <f t="shared" si="532"/>
        <v/>
      </c>
      <c r="DP84" s="69" t="str">
        <f t="shared" si="413"/>
        <v/>
      </c>
      <c r="DQ84" s="69" t="str">
        <f t="shared" si="414"/>
        <v/>
      </c>
      <c r="DR84" s="69" t="str">
        <f t="shared" si="533"/>
        <v/>
      </c>
      <c r="DS84" s="69" t="str">
        <f t="shared" si="415"/>
        <v/>
      </c>
      <c r="DT84" s="69" t="str">
        <f t="shared" si="416"/>
        <v/>
      </c>
      <c r="DU84" s="69" t="str">
        <f t="shared" si="534"/>
        <v/>
      </c>
      <c r="DV84" s="69" t="str">
        <f t="shared" si="417"/>
        <v/>
      </c>
      <c r="DW84" s="69" t="str">
        <f t="shared" si="418"/>
        <v/>
      </c>
      <c r="DX84" s="69" t="str">
        <f t="shared" si="535"/>
        <v/>
      </c>
      <c r="DY84" s="69" t="str">
        <f t="shared" si="419"/>
        <v/>
      </c>
      <c r="DZ84" s="69" t="str">
        <f t="shared" si="420"/>
        <v/>
      </c>
      <c r="EA84" s="69" t="str">
        <f t="shared" si="536"/>
        <v/>
      </c>
      <c r="EB84" s="69" t="str">
        <f t="shared" si="421"/>
        <v/>
      </c>
      <c r="EC84" s="69" t="str">
        <f t="shared" si="422"/>
        <v/>
      </c>
      <c r="ED84" s="69" t="str">
        <f t="shared" si="537"/>
        <v/>
      </c>
      <c r="EF84" s="69" t="str">
        <f t="shared" si="423"/>
        <v/>
      </c>
      <c r="EG84" s="69" t="str">
        <f t="shared" si="424"/>
        <v/>
      </c>
      <c r="EH84" s="69" t="str">
        <f t="shared" si="538"/>
        <v/>
      </c>
      <c r="EI84" s="69" t="str">
        <f t="shared" si="425"/>
        <v/>
      </c>
      <c r="EJ84" s="69" t="str">
        <f t="shared" si="426"/>
        <v/>
      </c>
      <c r="EK84" s="69" t="str">
        <f t="shared" si="539"/>
        <v/>
      </c>
      <c r="EL84" s="69" t="str">
        <f t="shared" si="427"/>
        <v/>
      </c>
      <c r="EM84" s="69" t="str">
        <f t="shared" si="428"/>
        <v/>
      </c>
      <c r="EN84" s="69" t="str">
        <f t="shared" si="540"/>
        <v/>
      </c>
      <c r="EO84" s="69" t="str">
        <f t="shared" si="429"/>
        <v/>
      </c>
      <c r="EP84" s="69" t="str">
        <f t="shared" si="430"/>
        <v/>
      </c>
      <c r="EQ84" s="69" t="str">
        <f t="shared" si="541"/>
        <v/>
      </c>
      <c r="ER84" s="69" t="str">
        <f t="shared" si="431"/>
        <v/>
      </c>
      <c r="ES84" s="69" t="str">
        <f t="shared" si="432"/>
        <v/>
      </c>
      <c r="ET84" s="69" t="str">
        <f t="shared" si="542"/>
        <v/>
      </c>
      <c r="EU84" s="69" t="str">
        <f t="shared" si="433"/>
        <v/>
      </c>
      <c r="EV84" s="69" t="str">
        <f t="shared" si="434"/>
        <v/>
      </c>
      <c r="EW84" s="69" t="str">
        <f t="shared" si="543"/>
        <v/>
      </c>
      <c r="EX84" s="69" t="str">
        <f t="shared" si="435"/>
        <v/>
      </c>
      <c r="EY84" s="69" t="str">
        <f t="shared" si="436"/>
        <v/>
      </c>
      <c r="EZ84" s="69" t="str">
        <f t="shared" si="544"/>
        <v/>
      </c>
      <c r="FB84" s="69" t="str">
        <f t="shared" si="437"/>
        <v/>
      </c>
      <c r="FC84" s="69" t="str">
        <f t="shared" si="438"/>
        <v/>
      </c>
      <c r="FD84" s="69" t="str">
        <f t="shared" si="545"/>
        <v/>
      </c>
      <c r="FE84" s="69" t="str">
        <f t="shared" si="439"/>
        <v/>
      </c>
      <c r="FF84" s="69" t="str">
        <f t="shared" si="440"/>
        <v/>
      </c>
      <c r="FG84" s="69" t="str">
        <f t="shared" si="546"/>
        <v/>
      </c>
      <c r="FH84" s="69" t="str">
        <f t="shared" si="441"/>
        <v/>
      </c>
      <c r="FI84" s="69" t="str">
        <f t="shared" si="442"/>
        <v/>
      </c>
      <c r="FJ84" s="69" t="str">
        <f t="shared" si="547"/>
        <v/>
      </c>
      <c r="FK84" s="69" t="str">
        <f t="shared" si="443"/>
        <v/>
      </c>
      <c r="FL84" s="69" t="str">
        <f t="shared" si="444"/>
        <v/>
      </c>
      <c r="FM84" s="69" t="str">
        <f t="shared" si="548"/>
        <v/>
      </c>
      <c r="FN84" s="69" t="str">
        <f t="shared" si="445"/>
        <v/>
      </c>
      <c r="FO84" s="69" t="str">
        <f t="shared" si="446"/>
        <v/>
      </c>
      <c r="FP84" s="69" t="str">
        <f t="shared" si="549"/>
        <v/>
      </c>
      <c r="FQ84" s="69" t="str">
        <f t="shared" si="447"/>
        <v/>
      </c>
      <c r="FR84" s="69" t="str">
        <f t="shared" si="448"/>
        <v/>
      </c>
      <c r="FS84" s="69" t="str">
        <f t="shared" si="550"/>
        <v/>
      </c>
      <c r="FU84" s="69" t="str">
        <f t="shared" si="449"/>
        <v/>
      </c>
      <c r="FV84" s="69" t="str">
        <f t="shared" si="450"/>
        <v/>
      </c>
      <c r="FW84" s="69" t="str">
        <f t="shared" si="551"/>
        <v/>
      </c>
      <c r="FX84" s="69" t="str">
        <f t="shared" si="451"/>
        <v/>
      </c>
      <c r="FY84" s="69" t="str">
        <f t="shared" si="452"/>
        <v/>
      </c>
      <c r="FZ84" s="69" t="str">
        <f t="shared" si="552"/>
        <v/>
      </c>
      <c r="GA84" s="69" t="str">
        <f t="shared" si="453"/>
        <v/>
      </c>
      <c r="GB84" s="69" t="str">
        <f t="shared" si="454"/>
        <v/>
      </c>
      <c r="GC84" s="69" t="str">
        <f t="shared" si="553"/>
        <v/>
      </c>
      <c r="GD84" s="69" t="str">
        <f t="shared" si="455"/>
        <v/>
      </c>
      <c r="GE84" s="69" t="str">
        <f t="shared" si="456"/>
        <v/>
      </c>
      <c r="GF84" s="69" t="str">
        <f t="shared" si="554"/>
        <v/>
      </c>
      <c r="GG84" s="69" t="str">
        <f t="shared" si="457"/>
        <v/>
      </c>
      <c r="GH84" s="69" t="str">
        <f t="shared" si="458"/>
        <v/>
      </c>
      <c r="GI84" s="69" t="str">
        <f t="shared" si="555"/>
        <v/>
      </c>
      <c r="GK84" s="69" t="str">
        <f t="shared" si="459"/>
        <v/>
      </c>
      <c r="GL84" s="69" t="str">
        <f t="shared" si="460"/>
        <v/>
      </c>
      <c r="GM84" s="69" t="str">
        <f t="shared" si="556"/>
        <v/>
      </c>
      <c r="GN84" s="69" t="str">
        <f t="shared" si="461"/>
        <v/>
      </c>
      <c r="GO84" s="69" t="str">
        <f t="shared" si="462"/>
        <v/>
      </c>
      <c r="GP84" s="69" t="str">
        <f t="shared" si="557"/>
        <v/>
      </c>
      <c r="GQ84" s="69" t="str">
        <f t="shared" si="463"/>
        <v/>
      </c>
      <c r="GR84" s="69" t="str">
        <f t="shared" si="464"/>
        <v/>
      </c>
      <c r="GS84" s="69" t="str">
        <f t="shared" si="558"/>
        <v/>
      </c>
      <c r="GT84" s="69" t="str">
        <f t="shared" si="465"/>
        <v/>
      </c>
      <c r="GU84" s="69" t="str">
        <f t="shared" si="466"/>
        <v/>
      </c>
      <c r="GV84" s="69" t="str">
        <f t="shared" si="559"/>
        <v/>
      </c>
      <c r="GX84" s="69" t="str">
        <f t="shared" si="560"/>
        <v/>
      </c>
      <c r="GY84" s="69" t="str">
        <f t="shared" si="561"/>
        <v/>
      </c>
      <c r="GZ84" s="69" t="str">
        <f t="shared" si="562"/>
        <v/>
      </c>
      <c r="HA84" s="69" t="str">
        <f t="shared" si="563"/>
        <v/>
      </c>
      <c r="HB84" s="69" t="str">
        <f t="shared" si="564"/>
        <v/>
      </c>
      <c r="HC84" s="69" t="str">
        <f t="shared" si="565"/>
        <v/>
      </c>
      <c r="HD84" s="69" t="str">
        <f t="shared" si="566"/>
        <v/>
      </c>
      <c r="HE84" s="69" t="str">
        <f t="shared" si="567"/>
        <v/>
      </c>
      <c r="HF84" s="69" t="str">
        <f t="shared" si="568"/>
        <v/>
      </c>
      <c r="HH84" s="69" t="str">
        <f t="shared" si="569"/>
        <v/>
      </c>
      <c r="HI84" s="69" t="str">
        <f t="shared" si="570"/>
        <v/>
      </c>
      <c r="HJ84" s="69" t="str">
        <f t="shared" si="571"/>
        <v/>
      </c>
      <c r="HK84" s="69" t="str">
        <f t="shared" si="572"/>
        <v/>
      </c>
      <c r="HL84" s="69" t="str">
        <f t="shared" si="573"/>
        <v/>
      </c>
      <c r="HM84" s="69" t="str">
        <f t="shared" si="574"/>
        <v/>
      </c>
      <c r="HO84" s="69" t="str">
        <f t="shared" si="575"/>
        <v/>
      </c>
      <c r="HP84" s="69" t="str">
        <f t="shared" si="576"/>
        <v/>
      </c>
      <c r="HQ84" s="69" t="str">
        <f t="shared" si="577"/>
        <v/>
      </c>
      <c r="HS84" s="69" t="str">
        <f t="shared" si="467"/>
        <v/>
      </c>
      <c r="HT84" s="69" t="str">
        <f t="shared" si="468"/>
        <v/>
      </c>
      <c r="HU84" s="69" t="str">
        <f t="shared" si="578"/>
        <v/>
      </c>
      <c r="HV84" s="69" t="str">
        <f t="shared" si="469"/>
        <v/>
      </c>
      <c r="HW84" s="69" t="str">
        <f t="shared" si="470"/>
        <v/>
      </c>
      <c r="HX84" s="69" t="str">
        <f t="shared" si="579"/>
        <v/>
      </c>
      <c r="HY84" s="69" t="str">
        <f t="shared" si="471"/>
        <v/>
      </c>
      <c r="HZ84" s="69" t="str">
        <f t="shared" si="472"/>
        <v/>
      </c>
      <c r="IA84" s="69" t="str">
        <f t="shared" si="580"/>
        <v/>
      </c>
      <c r="IB84" s="69" t="str">
        <f t="shared" si="473"/>
        <v/>
      </c>
      <c r="IC84" s="69" t="str">
        <f t="shared" si="474"/>
        <v/>
      </c>
      <c r="ID84" s="69" t="str">
        <f t="shared" si="581"/>
        <v/>
      </c>
      <c r="IE84" s="69" t="str">
        <f t="shared" si="475"/>
        <v/>
      </c>
      <c r="IF84" s="69" t="str">
        <f t="shared" si="476"/>
        <v/>
      </c>
      <c r="IG84" s="69" t="str">
        <f t="shared" si="582"/>
        <v/>
      </c>
      <c r="IH84" s="69" t="str">
        <f t="shared" si="477"/>
        <v/>
      </c>
      <c r="II84" s="69" t="str">
        <f t="shared" si="478"/>
        <v/>
      </c>
      <c r="IJ84" s="69" t="str">
        <f t="shared" si="583"/>
        <v/>
      </c>
      <c r="IK84" s="69" t="str">
        <f t="shared" si="479"/>
        <v/>
      </c>
      <c r="IL84" s="69" t="str">
        <f t="shared" si="480"/>
        <v/>
      </c>
      <c r="IM84" s="69" t="str">
        <f t="shared" si="584"/>
        <v/>
      </c>
      <c r="IN84" s="69" t="str">
        <f t="shared" si="585"/>
        <v/>
      </c>
      <c r="IO84" s="69" t="str">
        <f t="shared" si="586"/>
        <v/>
      </c>
      <c r="IP84" s="69" t="str">
        <f t="shared" si="587"/>
        <v/>
      </c>
      <c r="IQ84" s="69" t="str">
        <f t="shared" si="588"/>
        <v/>
      </c>
      <c r="IR84" s="69" t="str">
        <f t="shared" si="589"/>
        <v/>
      </c>
      <c r="IS84" s="69" t="str">
        <f t="shared" si="590"/>
        <v/>
      </c>
      <c r="IT84" s="69" t="str">
        <f t="shared" si="591"/>
        <v/>
      </c>
      <c r="IU84" s="69" t="str">
        <f t="shared" si="592"/>
        <v/>
      </c>
      <c r="IV84" s="69" t="str">
        <f t="shared" si="593"/>
        <v/>
      </c>
    </row>
    <row r="85" spans="1:256" x14ac:dyDescent="0.2">
      <c r="A85" s="57" t="s">
        <v>88</v>
      </c>
      <c r="B85" s="178"/>
      <c r="C85" s="180"/>
      <c r="D85" s="179"/>
      <c r="E85" s="179"/>
      <c r="F85" s="179"/>
      <c r="G85" s="180"/>
      <c r="H85" s="180"/>
      <c r="I85" s="181"/>
      <c r="J85" s="182"/>
      <c r="K85" s="185"/>
      <c r="L85" s="68">
        <f t="shared" si="360"/>
        <v>0</v>
      </c>
      <c r="M85" s="69" t="str">
        <f t="shared" si="361"/>
        <v/>
      </c>
      <c r="N85" s="69" t="str">
        <f t="shared" si="481"/>
        <v/>
      </c>
      <c r="O85" s="69" t="str">
        <f t="shared" si="482"/>
        <v/>
      </c>
      <c r="P85" s="69" t="str">
        <f t="shared" si="483"/>
        <v/>
      </c>
      <c r="Q85" s="70" t="str">
        <f t="shared" si="362"/>
        <v/>
      </c>
      <c r="R85" s="71" t="str">
        <f t="shared" si="484"/>
        <v/>
      </c>
      <c r="S85" s="71" t="str">
        <f t="shared" si="485"/>
        <v/>
      </c>
      <c r="T85" s="70" t="str">
        <f t="shared" si="363"/>
        <v/>
      </c>
      <c r="U85" s="71" t="str">
        <f t="shared" si="486"/>
        <v/>
      </c>
      <c r="V85" s="71" t="str">
        <f t="shared" si="487"/>
        <v/>
      </c>
      <c r="W85" s="70" t="str">
        <f t="shared" si="364"/>
        <v/>
      </c>
      <c r="X85" s="71" t="str">
        <f t="shared" si="488"/>
        <v/>
      </c>
      <c r="Y85" s="71" t="str">
        <f t="shared" si="489"/>
        <v/>
      </c>
      <c r="Z85" s="70" t="str">
        <f t="shared" si="365"/>
        <v/>
      </c>
      <c r="AA85" s="71" t="str">
        <f t="shared" si="490"/>
        <v/>
      </c>
      <c r="AB85" s="71" t="str">
        <f t="shared" si="491"/>
        <v/>
      </c>
      <c r="AC85" s="70" t="str">
        <f t="shared" si="366"/>
        <v/>
      </c>
      <c r="AD85" s="71" t="str">
        <f t="shared" si="492"/>
        <v/>
      </c>
      <c r="AE85" s="71" t="str">
        <f t="shared" si="493"/>
        <v/>
      </c>
      <c r="AF85" s="70" t="str">
        <f t="shared" si="367"/>
        <v/>
      </c>
      <c r="AG85" s="71" t="str">
        <f t="shared" si="494"/>
        <v/>
      </c>
      <c r="AH85" s="71" t="str">
        <f t="shared" si="495"/>
        <v/>
      </c>
      <c r="AI85" s="70" t="str">
        <f t="shared" si="368"/>
        <v/>
      </c>
      <c r="AJ85" s="71" t="str">
        <f t="shared" si="496"/>
        <v/>
      </c>
      <c r="AK85" s="71" t="str">
        <f t="shared" si="497"/>
        <v/>
      </c>
      <c r="AL85" s="70" t="str">
        <f t="shared" si="498"/>
        <v/>
      </c>
      <c r="AM85" s="71" t="str">
        <f t="shared" si="499"/>
        <v/>
      </c>
      <c r="AN85" s="71" t="str">
        <f t="shared" si="500"/>
        <v/>
      </c>
      <c r="AO85" s="70" t="str">
        <f t="shared" si="501"/>
        <v/>
      </c>
      <c r="AP85" s="71" t="str">
        <f t="shared" si="502"/>
        <v/>
      </c>
      <c r="AQ85" s="71" t="str">
        <f t="shared" si="503"/>
        <v/>
      </c>
      <c r="AR85" s="70" t="str">
        <f t="shared" si="504"/>
        <v/>
      </c>
      <c r="AS85" s="71" t="str">
        <f t="shared" si="505"/>
        <v/>
      </c>
      <c r="AT85" s="71" t="str">
        <f t="shared" si="506"/>
        <v/>
      </c>
      <c r="AU85" s="69" t="str">
        <f t="shared" si="507"/>
        <v/>
      </c>
      <c r="AV85" s="131" t="str">
        <f t="shared" si="508"/>
        <v/>
      </c>
      <c r="AW85" s="69" t="str">
        <f t="shared" si="594"/>
        <v/>
      </c>
      <c r="AX85" s="132" t="str">
        <f t="shared" si="509"/>
        <v/>
      </c>
      <c r="AY85" s="132" t="str">
        <f t="shared" si="510"/>
        <v/>
      </c>
      <c r="AZ85" s="69" t="str">
        <f t="shared" si="369"/>
        <v/>
      </c>
      <c r="BA85" s="69" t="str">
        <f t="shared" si="370"/>
        <v/>
      </c>
      <c r="BB85" s="69" t="str">
        <f t="shared" si="511"/>
        <v/>
      </c>
      <c r="BC85" s="69" t="str">
        <f t="shared" si="371"/>
        <v/>
      </c>
      <c r="BD85" s="69" t="str">
        <f t="shared" si="372"/>
        <v/>
      </c>
      <c r="BE85" s="69" t="str">
        <f t="shared" si="512"/>
        <v/>
      </c>
      <c r="BF85" s="69" t="str">
        <f t="shared" si="373"/>
        <v/>
      </c>
      <c r="BG85" s="69" t="str">
        <f t="shared" si="374"/>
        <v/>
      </c>
      <c r="BH85" s="69" t="str">
        <f t="shared" si="513"/>
        <v/>
      </c>
      <c r="BI85" s="69" t="str">
        <f t="shared" si="375"/>
        <v/>
      </c>
      <c r="BJ85" s="69" t="str">
        <f t="shared" si="376"/>
        <v/>
      </c>
      <c r="BK85" s="69" t="str">
        <f t="shared" si="514"/>
        <v/>
      </c>
      <c r="BL85" s="69" t="str">
        <f t="shared" si="377"/>
        <v/>
      </c>
      <c r="BM85" s="69" t="str">
        <f t="shared" si="378"/>
        <v/>
      </c>
      <c r="BN85" s="69" t="str">
        <f t="shared" si="515"/>
        <v/>
      </c>
      <c r="BO85" s="69" t="str">
        <f t="shared" si="379"/>
        <v/>
      </c>
      <c r="BP85" s="69" t="str">
        <f t="shared" si="380"/>
        <v/>
      </c>
      <c r="BQ85" s="69" t="str">
        <f t="shared" si="516"/>
        <v/>
      </c>
      <c r="BR85" s="69" t="str">
        <f t="shared" si="381"/>
        <v/>
      </c>
      <c r="BS85" s="69" t="str">
        <f t="shared" si="382"/>
        <v/>
      </c>
      <c r="BT85" s="69" t="str">
        <f t="shared" si="517"/>
        <v/>
      </c>
      <c r="BU85" s="69" t="str">
        <f t="shared" si="383"/>
        <v/>
      </c>
      <c r="BV85" s="69" t="str">
        <f t="shared" si="384"/>
        <v/>
      </c>
      <c r="BW85" s="69" t="str">
        <f t="shared" si="518"/>
        <v/>
      </c>
      <c r="BX85" s="69" t="str">
        <f t="shared" si="385"/>
        <v/>
      </c>
      <c r="BY85" s="69" t="str">
        <f t="shared" si="386"/>
        <v/>
      </c>
      <c r="BZ85" s="69" t="str">
        <f t="shared" si="519"/>
        <v/>
      </c>
      <c r="CA85" s="69" t="str">
        <f t="shared" si="387"/>
        <v/>
      </c>
      <c r="CB85" s="69" t="str">
        <f t="shared" si="388"/>
        <v/>
      </c>
      <c r="CC85" s="69" t="str">
        <f t="shared" si="520"/>
        <v/>
      </c>
      <c r="CE85" s="69" t="str">
        <f t="shared" si="389"/>
        <v/>
      </c>
      <c r="CF85" s="69" t="str">
        <f t="shared" si="390"/>
        <v/>
      </c>
      <c r="CG85" s="69" t="str">
        <f t="shared" si="521"/>
        <v/>
      </c>
      <c r="CH85" s="69" t="str">
        <f t="shared" si="391"/>
        <v/>
      </c>
      <c r="CI85" s="69" t="str">
        <f t="shared" si="392"/>
        <v/>
      </c>
      <c r="CJ85" s="69" t="str">
        <f t="shared" si="522"/>
        <v/>
      </c>
      <c r="CK85" s="69" t="str">
        <f t="shared" si="393"/>
        <v/>
      </c>
      <c r="CL85" s="69" t="str">
        <f t="shared" si="394"/>
        <v/>
      </c>
      <c r="CM85" s="69" t="str">
        <f t="shared" si="523"/>
        <v/>
      </c>
      <c r="CN85" s="69" t="str">
        <f t="shared" si="395"/>
        <v/>
      </c>
      <c r="CO85" s="69" t="str">
        <f t="shared" si="396"/>
        <v/>
      </c>
      <c r="CP85" s="69" t="str">
        <f t="shared" si="524"/>
        <v/>
      </c>
      <c r="CQ85" s="69" t="str">
        <f t="shared" si="397"/>
        <v/>
      </c>
      <c r="CR85" s="69" t="str">
        <f t="shared" si="398"/>
        <v/>
      </c>
      <c r="CS85" s="69" t="str">
        <f t="shared" si="525"/>
        <v/>
      </c>
      <c r="CT85" s="69" t="str">
        <f t="shared" si="399"/>
        <v/>
      </c>
      <c r="CU85" s="69" t="str">
        <f t="shared" si="400"/>
        <v/>
      </c>
      <c r="CV85" s="69" t="str">
        <f t="shared" si="526"/>
        <v/>
      </c>
      <c r="CW85" s="69" t="str">
        <f t="shared" si="401"/>
        <v/>
      </c>
      <c r="CX85" s="69" t="str">
        <f t="shared" si="402"/>
        <v/>
      </c>
      <c r="CY85" s="69" t="str">
        <f t="shared" si="527"/>
        <v/>
      </c>
      <c r="CZ85" s="69" t="str">
        <f t="shared" si="403"/>
        <v/>
      </c>
      <c r="DA85" s="69" t="str">
        <f t="shared" si="404"/>
        <v/>
      </c>
      <c r="DB85" s="69" t="str">
        <f t="shared" si="528"/>
        <v/>
      </c>
      <c r="DC85" s="69" t="str">
        <f t="shared" si="405"/>
        <v/>
      </c>
      <c r="DD85" s="69" t="str">
        <f t="shared" si="406"/>
        <v/>
      </c>
      <c r="DE85" s="69" t="str">
        <f t="shared" si="529"/>
        <v/>
      </c>
      <c r="DG85" s="69" t="str">
        <f t="shared" si="407"/>
        <v/>
      </c>
      <c r="DH85" s="69" t="str">
        <f t="shared" si="408"/>
        <v/>
      </c>
      <c r="DI85" s="69" t="str">
        <f t="shared" si="530"/>
        <v/>
      </c>
      <c r="DJ85" s="69" t="str">
        <f t="shared" si="409"/>
        <v/>
      </c>
      <c r="DK85" s="69" t="str">
        <f t="shared" si="410"/>
        <v/>
      </c>
      <c r="DL85" s="69" t="str">
        <f t="shared" si="531"/>
        <v/>
      </c>
      <c r="DM85" s="69" t="str">
        <f t="shared" si="411"/>
        <v/>
      </c>
      <c r="DN85" s="69" t="str">
        <f t="shared" si="412"/>
        <v/>
      </c>
      <c r="DO85" s="69" t="str">
        <f t="shared" si="532"/>
        <v/>
      </c>
      <c r="DP85" s="69" t="str">
        <f t="shared" si="413"/>
        <v/>
      </c>
      <c r="DQ85" s="69" t="str">
        <f t="shared" si="414"/>
        <v/>
      </c>
      <c r="DR85" s="69" t="str">
        <f t="shared" si="533"/>
        <v/>
      </c>
      <c r="DS85" s="69" t="str">
        <f t="shared" si="415"/>
        <v/>
      </c>
      <c r="DT85" s="69" t="str">
        <f t="shared" si="416"/>
        <v/>
      </c>
      <c r="DU85" s="69" t="str">
        <f t="shared" si="534"/>
        <v/>
      </c>
      <c r="DV85" s="69" t="str">
        <f t="shared" si="417"/>
        <v/>
      </c>
      <c r="DW85" s="69" t="str">
        <f t="shared" si="418"/>
        <v/>
      </c>
      <c r="DX85" s="69" t="str">
        <f t="shared" si="535"/>
        <v/>
      </c>
      <c r="DY85" s="69" t="str">
        <f t="shared" si="419"/>
        <v/>
      </c>
      <c r="DZ85" s="69" t="str">
        <f t="shared" si="420"/>
        <v/>
      </c>
      <c r="EA85" s="69" t="str">
        <f t="shared" si="536"/>
        <v/>
      </c>
      <c r="EB85" s="69" t="str">
        <f t="shared" si="421"/>
        <v/>
      </c>
      <c r="EC85" s="69" t="str">
        <f t="shared" si="422"/>
        <v/>
      </c>
      <c r="ED85" s="69" t="str">
        <f t="shared" si="537"/>
        <v/>
      </c>
      <c r="EF85" s="69" t="str">
        <f t="shared" si="423"/>
        <v/>
      </c>
      <c r="EG85" s="69" t="str">
        <f t="shared" si="424"/>
        <v/>
      </c>
      <c r="EH85" s="69" t="str">
        <f t="shared" si="538"/>
        <v/>
      </c>
      <c r="EI85" s="69" t="str">
        <f t="shared" si="425"/>
        <v/>
      </c>
      <c r="EJ85" s="69" t="str">
        <f t="shared" si="426"/>
        <v/>
      </c>
      <c r="EK85" s="69" t="str">
        <f t="shared" si="539"/>
        <v/>
      </c>
      <c r="EL85" s="69" t="str">
        <f t="shared" si="427"/>
        <v/>
      </c>
      <c r="EM85" s="69" t="str">
        <f t="shared" si="428"/>
        <v/>
      </c>
      <c r="EN85" s="69" t="str">
        <f t="shared" si="540"/>
        <v/>
      </c>
      <c r="EO85" s="69" t="str">
        <f t="shared" si="429"/>
        <v/>
      </c>
      <c r="EP85" s="69" t="str">
        <f t="shared" si="430"/>
        <v/>
      </c>
      <c r="EQ85" s="69" t="str">
        <f t="shared" si="541"/>
        <v/>
      </c>
      <c r="ER85" s="69" t="str">
        <f t="shared" si="431"/>
        <v/>
      </c>
      <c r="ES85" s="69" t="str">
        <f t="shared" si="432"/>
        <v/>
      </c>
      <c r="ET85" s="69" t="str">
        <f t="shared" si="542"/>
        <v/>
      </c>
      <c r="EU85" s="69" t="str">
        <f t="shared" si="433"/>
        <v/>
      </c>
      <c r="EV85" s="69" t="str">
        <f t="shared" si="434"/>
        <v/>
      </c>
      <c r="EW85" s="69" t="str">
        <f t="shared" si="543"/>
        <v/>
      </c>
      <c r="EX85" s="69" t="str">
        <f t="shared" si="435"/>
        <v/>
      </c>
      <c r="EY85" s="69" t="str">
        <f t="shared" si="436"/>
        <v/>
      </c>
      <c r="EZ85" s="69" t="str">
        <f t="shared" si="544"/>
        <v/>
      </c>
      <c r="FB85" s="69" t="str">
        <f t="shared" si="437"/>
        <v/>
      </c>
      <c r="FC85" s="69" t="str">
        <f t="shared" si="438"/>
        <v/>
      </c>
      <c r="FD85" s="69" t="str">
        <f t="shared" si="545"/>
        <v/>
      </c>
      <c r="FE85" s="69" t="str">
        <f t="shared" si="439"/>
        <v/>
      </c>
      <c r="FF85" s="69" t="str">
        <f t="shared" si="440"/>
        <v/>
      </c>
      <c r="FG85" s="69" t="str">
        <f t="shared" si="546"/>
        <v/>
      </c>
      <c r="FH85" s="69" t="str">
        <f t="shared" si="441"/>
        <v/>
      </c>
      <c r="FI85" s="69" t="str">
        <f t="shared" si="442"/>
        <v/>
      </c>
      <c r="FJ85" s="69" t="str">
        <f t="shared" si="547"/>
        <v/>
      </c>
      <c r="FK85" s="69" t="str">
        <f t="shared" si="443"/>
        <v/>
      </c>
      <c r="FL85" s="69" t="str">
        <f t="shared" si="444"/>
        <v/>
      </c>
      <c r="FM85" s="69" t="str">
        <f t="shared" si="548"/>
        <v/>
      </c>
      <c r="FN85" s="69" t="str">
        <f t="shared" si="445"/>
        <v/>
      </c>
      <c r="FO85" s="69" t="str">
        <f t="shared" si="446"/>
        <v/>
      </c>
      <c r="FP85" s="69" t="str">
        <f t="shared" si="549"/>
        <v/>
      </c>
      <c r="FQ85" s="69" t="str">
        <f t="shared" si="447"/>
        <v/>
      </c>
      <c r="FR85" s="69" t="str">
        <f t="shared" si="448"/>
        <v/>
      </c>
      <c r="FS85" s="69" t="str">
        <f t="shared" si="550"/>
        <v/>
      </c>
      <c r="FU85" s="69" t="str">
        <f t="shared" si="449"/>
        <v/>
      </c>
      <c r="FV85" s="69" t="str">
        <f t="shared" si="450"/>
        <v/>
      </c>
      <c r="FW85" s="69" t="str">
        <f t="shared" si="551"/>
        <v/>
      </c>
      <c r="FX85" s="69" t="str">
        <f t="shared" si="451"/>
        <v/>
      </c>
      <c r="FY85" s="69" t="str">
        <f t="shared" si="452"/>
        <v/>
      </c>
      <c r="FZ85" s="69" t="str">
        <f t="shared" si="552"/>
        <v/>
      </c>
      <c r="GA85" s="69" t="str">
        <f t="shared" si="453"/>
        <v/>
      </c>
      <c r="GB85" s="69" t="str">
        <f t="shared" si="454"/>
        <v/>
      </c>
      <c r="GC85" s="69" t="str">
        <f t="shared" si="553"/>
        <v/>
      </c>
      <c r="GD85" s="69" t="str">
        <f t="shared" si="455"/>
        <v/>
      </c>
      <c r="GE85" s="69" t="str">
        <f t="shared" si="456"/>
        <v/>
      </c>
      <c r="GF85" s="69" t="str">
        <f t="shared" si="554"/>
        <v/>
      </c>
      <c r="GG85" s="69" t="str">
        <f t="shared" si="457"/>
        <v/>
      </c>
      <c r="GH85" s="69" t="str">
        <f t="shared" si="458"/>
        <v/>
      </c>
      <c r="GI85" s="69" t="str">
        <f t="shared" si="555"/>
        <v/>
      </c>
      <c r="GK85" s="69" t="str">
        <f t="shared" si="459"/>
        <v/>
      </c>
      <c r="GL85" s="69" t="str">
        <f t="shared" si="460"/>
        <v/>
      </c>
      <c r="GM85" s="69" t="str">
        <f t="shared" si="556"/>
        <v/>
      </c>
      <c r="GN85" s="69" t="str">
        <f t="shared" si="461"/>
        <v/>
      </c>
      <c r="GO85" s="69" t="str">
        <f t="shared" si="462"/>
        <v/>
      </c>
      <c r="GP85" s="69" t="str">
        <f t="shared" si="557"/>
        <v/>
      </c>
      <c r="GQ85" s="69" t="str">
        <f t="shared" si="463"/>
        <v/>
      </c>
      <c r="GR85" s="69" t="str">
        <f t="shared" si="464"/>
        <v/>
      </c>
      <c r="GS85" s="69" t="str">
        <f t="shared" si="558"/>
        <v/>
      </c>
      <c r="GT85" s="69" t="str">
        <f t="shared" si="465"/>
        <v/>
      </c>
      <c r="GU85" s="69" t="str">
        <f t="shared" si="466"/>
        <v/>
      </c>
      <c r="GV85" s="69" t="str">
        <f t="shared" si="559"/>
        <v/>
      </c>
      <c r="GX85" s="69" t="str">
        <f t="shared" si="560"/>
        <v/>
      </c>
      <c r="GY85" s="69" t="str">
        <f t="shared" si="561"/>
        <v/>
      </c>
      <c r="GZ85" s="69" t="str">
        <f t="shared" si="562"/>
        <v/>
      </c>
      <c r="HA85" s="69" t="str">
        <f t="shared" si="563"/>
        <v/>
      </c>
      <c r="HB85" s="69" t="str">
        <f t="shared" si="564"/>
        <v/>
      </c>
      <c r="HC85" s="69" t="str">
        <f t="shared" si="565"/>
        <v/>
      </c>
      <c r="HD85" s="69" t="str">
        <f t="shared" si="566"/>
        <v/>
      </c>
      <c r="HE85" s="69" t="str">
        <f t="shared" si="567"/>
        <v/>
      </c>
      <c r="HF85" s="69" t="str">
        <f t="shared" si="568"/>
        <v/>
      </c>
      <c r="HH85" s="69" t="str">
        <f t="shared" si="569"/>
        <v/>
      </c>
      <c r="HI85" s="69" t="str">
        <f t="shared" si="570"/>
        <v/>
      </c>
      <c r="HJ85" s="69" t="str">
        <f t="shared" si="571"/>
        <v/>
      </c>
      <c r="HK85" s="69" t="str">
        <f t="shared" si="572"/>
        <v/>
      </c>
      <c r="HL85" s="69" t="str">
        <f t="shared" si="573"/>
        <v/>
      </c>
      <c r="HM85" s="69" t="str">
        <f t="shared" si="574"/>
        <v/>
      </c>
      <c r="HO85" s="69" t="str">
        <f t="shared" si="575"/>
        <v/>
      </c>
      <c r="HP85" s="69" t="str">
        <f t="shared" si="576"/>
        <v/>
      </c>
      <c r="HQ85" s="69" t="str">
        <f t="shared" si="577"/>
        <v/>
      </c>
      <c r="HS85" s="69" t="str">
        <f t="shared" si="467"/>
        <v/>
      </c>
      <c r="HT85" s="69" t="str">
        <f t="shared" si="468"/>
        <v/>
      </c>
      <c r="HU85" s="69" t="str">
        <f t="shared" si="578"/>
        <v/>
      </c>
      <c r="HV85" s="69" t="str">
        <f t="shared" si="469"/>
        <v/>
      </c>
      <c r="HW85" s="69" t="str">
        <f t="shared" si="470"/>
        <v/>
      </c>
      <c r="HX85" s="69" t="str">
        <f t="shared" si="579"/>
        <v/>
      </c>
      <c r="HY85" s="69" t="str">
        <f t="shared" si="471"/>
        <v/>
      </c>
      <c r="HZ85" s="69" t="str">
        <f t="shared" si="472"/>
        <v/>
      </c>
      <c r="IA85" s="69" t="str">
        <f t="shared" si="580"/>
        <v/>
      </c>
      <c r="IB85" s="69" t="str">
        <f t="shared" si="473"/>
        <v/>
      </c>
      <c r="IC85" s="69" t="str">
        <f t="shared" si="474"/>
        <v/>
      </c>
      <c r="ID85" s="69" t="str">
        <f t="shared" si="581"/>
        <v/>
      </c>
      <c r="IE85" s="69" t="str">
        <f t="shared" si="475"/>
        <v/>
      </c>
      <c r="IF85" s="69" t="str">
        <f t="shared" si="476"/>
        <v/>
      </c>
      <c r="IG85" s="69" t="str">
        <f t="shared" si="582"/>
        <v/>
      </c>
      <c r="IH85" s="69" t="str">
        <f t="shared" si="477"/>
        <v/>
      </c>
      <c r="II85" s="69" t="str">
        <f t="shared" si="478"/>
        <v/>
      </c>
      <c r="IJ85" s="69" t="str">
        <f t="shared" si="583"/>
        <v/>
      </c>
      <c r="IK85" s="69" t="str">
        <f t="shared" si="479"/>
        <v/>
      </c>
      <c r="IL85" s="69" t="str">
        <f t="shared" si="480"/>
        <v/>
      </c>
      <c r="IM85" s="69" t="str">
        <f t="shared" si="584"/>
        <v/>
      </c>
      <c r="IN85" s="69" t="str">
        <f t="shared" si="585"/>
        <v/>
      </c>
      <c r="IO85" s="69" t="str">
        <f t="shared" si="586"/>
        <v/>
      </c>
      <c r="IP85" s="69" t="str">
        <f t="shared" si="587"/>
        <v/>
      </c>
      <c r="IQ85" s="69" t="str">
        <f t="shared" si="588"/>
        <v/>
      </c>
      <c r="IR85" s="69" t="str">
        <f t="shared" si="589"/>
        <v/>
      </c>
      <c r="IS85" s="69" t="str">
        <f t="shared" si="590"/>
        <v/>
      </c>
      <c r="IT85" s="69" t="str">
        <f t="shared" si="591"/>
        <v/>
      </c>
      <c r="IU85" s="69" t="str">
        <f t="shared" si="592"/>
        <v/>
      </c>
      <c r="IV85" s="69" t="str">
        <f t="shared" si="593"/>
        <v/>
      </c>
    </row>
    <row r="86" spans="1:256" x14ac:dyDescent="0.2">
      <c r="A86" s="57" t="s">
        <v>89</v>
      </c>
      <c r="B86" s="178"/>
      <c r="C86" s="180"/>
      <c r="D86" s="179"/>
      <c r="E86" s="179"/>
      <c r="F86" s="179"/>
      <c r="G86" s="180"/>
      <c r="H86" s="180"/>
      <c r="I86" s="181"/>
      <c r="J86" s="182"/>
      <c r="K86" s="185"/>
      <c r="L86" s="68">
        <f t="shared" si="360"/>
        <v>0</v>
      </c>
      <c r="M86" s="69" t="str">
        <f t="shared" si="361"/>
        <v/>
      </c>
      <c r="N86" s="69" t="str">
        <f t="shared" si="481"/>
        <v/>
      </c>
      <c r="O86" s="69" t="str">
        <f t="shared" si="482"/>
        <v/>
      </c>
      <c r="P86" s="69" t="str">
        <f t="shared" si="483"/>
        <v/>
      </c>
      <c r="Q86" s="70" t="str">
        <f t="shared" si="362"/>
        <v/>
      </c>
      <c r="R86" s="71" t="str">
        <f t="shared" si="484"/>
        <v/>
      </c>
      <c r="S86" s="71" t="str">
        <f t="shared" si="485"/>
        <v/>
      </c>
      <c r="T86" s="70" t="str">
        <f t="shared" si="363"/>
        <v/>
      </c>
      <c r="U86" s="71" t="str">
        <f t="shared" si="486"/>
        <v/>
      </c>
      <c r="V86" s="71" t="str">
        <f t="shared" si="487"/>
        <v/>
      </c>
      <c r="W86" s="70" t="str">
        <f t="shared" si="364"/>
        <v/>
      </c>
      <c r="X86" s="71" t="str">
        <f t="shared" si="488"/>
        <v/>
      </c>
      <c r="Y86" s="71" t="str">
        <f t="shared" si="489"/>
        <v/>
      </c>
      <c r="Z86" s="70" t="str">
        <f t="shared" si="365"/>
        <v/>
      </c>
      <c r="AA86" s="71" t="str">
        <f t="shared" si="490"/>
        <v/>
      </c>
      <c r="AB86" s="71" t="str">
        <f t="shared" si="491"/>
        <v/>
      </c>
      <c r="AC86" s="70" t="str">
        <f t="shared" si="366"/>
        <v/>
      </c>
      <c r="AD86" s="71" t="str">
        <f t="shared" si="492"/>
        <v/>
      </c>
      <c r="AE86" s="71" t="str">
        <f t="shared" si="493"/>
        <v/>
      </c>
      <c r="AF86" s="70" t="str">
        <f t="shared" si="367"/>
        <v/>
      </c>
      <c r="AG86" s="71" t="str">
        <f t="shared" si="494"/>
        <v/>
      </c>
      <c r="AH86" s="71" t="str">
        <f t="shared" si="495"/>
        <v/>
      </c>
      <c r="AI86" s="70" t="str">
        <f t="shared" si="368"/>
        <v/>
      </c>
      <c r="AJ86" s="71" t="str">
        <f t="shared" si="496"/>
        <v/>
      </c>
      <c r="AK86" s="71" t="str">
        <f t="shared" si="497"/>
        <v/>
      </c>
      <c r="AL86" s="70" t="str">
        <f t="shared" si="498"/>
        <v/>
      </c>
      <c r="AM86" s="71" t="str">
        <f t="shared" si="499"/>
        <v/>
      </c>
      <c r="AN86" s="71" t="str">
        <f t="shared" si="500"/>
        <v/>
      </c>
      <c r="AO86" s="70" t="str">
        <f t="shared" si="501"/>
        <v/>
      </c>
      <c r="AP86" s="71" t="str">
        <f t="shared" si="502"/>
        <v/>
      </c>
      <c r="AQ86" s="71" t="str">
        <f t="shared" si="503"/>
        <v/>
      </c>
      <c r="AR86" s="70" t="str">
        <f t="shared" si="504"/>
        <v/>
      </c>
      <c r="AS86" s="71" t="str">
        <f t="shared" si="505"/>
        <v/>
      </c>
      <c r="AT86" s="71" t="str">
        <f t="shared" si="506"/>
        <v/>
      </c>
      <c r="AU86" s="69" t="str">
        <f t="shared" si="507"/>
        <v/>
      </c>
      <c r="AV86" s="131" t="str">
        <f t="shared" si="508"/>
        <v/>
      </c>
      <c r="AW86" s="69" t="str">
        <f t="shared" si="594"/>
        <v/>
      </c>
      <c r="AX86" s="132" t="str">
        <f t="shared" si="509"/>
        <v/>
      </c>
      <c r="AY86" s="132" t="str">
        <f t="shared" si="510"/>
        <v/>
      </c>
      <c r="AZ86" s="69" t="str">
        <f t="shared" si="369"/>
        <v/>
      </c>
      <c r="BA86" s="69" t="str">
        <f t="shared" si="370"/>
        <v/>
      </c>
      <c r="BB86" s="69" t="str">
        <f t="shared" si="511"/>
        <v/>
      </c>
      <c r="BC86" s="69" t="str">
        <f t="shared" si="371"/>
        <v/>
      </c>
      <c r="BD86" s="69" t="str">
        <f t="shared" si="372"/>
        <v/>
      </c>
      <c r="BE86" s="69" t="str">
        <f t="shared" si="512"/>
        <v/>
      </c>
      <c r="BF86" s="69" t="str">
        <f t="shared" si="373"/>
        <v/>
      </c>
      <c r="BG86" s="69" t="str">
        <f t="shared" si="374"/>
        <v/>
      </c>
      <c r="BH86" s="69" t="str">
        <f t="shared" si="513"/>
        <v/>
      </c>
      <c r="BI86" s="69" t="str">
        <f t="shared" si="375"/>
        <v/>
      </c>
      <c r="BJ86" s="69" t="str">
        <f t="shared" si="376"/>
        <v/>
      </c>
      <c r="BK86" s="69" t="str">
        <f t="shared" si="514"/>
        <v/>
      </c>
      <c r="BL86" s="69" t="str">
        <f t="shared" si="377"/>
        <v/>
      </c>
      <c r="BM86" s="69" t="str">
        <f t="shared" si="378"/>
        <v/>
      </c>
      <c r="BN86" s="69" t="str">
        <f t="shared" si="515"/>
        <v/>
      </c>
      <c r="BO86" s="69" t="str">
        <f t="shared" si="379"/>
        <v/>
      </c>
      <c r="BP86" s="69" t="str">
        <f t="shared" si="380"/>
        <v/>
      </c>
      <c r="BQ86" s="69" t="str">
        <f t="shared" si="516"/>
        <v/>
      </c>
      <c r="BR86" s="69" t="str">
        <f t="shared" si="381"/>
        <v/>
      </c>
      <c r="BS86" s="69" t="str">
        <f t="shared" si="382"/>
        <v/>
      </c>
      <c r="BT86" s="69" t="str">
        <f t="shared" si="517"/>
        <v/>
      </c>
      <c r="BU86" s="69" t="str">
        <f t="shared" si="383"/>
        <v/>
      </c>
      <c r="BV86" s="69" t="str">
        <f t="shared" si="384"/>
        <v/>
      </c>
      <c r="BW86" s="69" t="str">
        <f t="shared" si="518"/>
        <v/>
      </c>
      <c r="BX86" s="69" t="str">
        <f t="shared" si="385"/>
        <v/>
      </c>
      <c r="BY86" s="69" t="str">
        <f t="shared" si="386"/>
        <v/>
      </c>
      <c r="BZ86" s="69" t="str">
        <f t="shared" si="519"/>
        <v/>
      </c>
      <c r="CA86" s="69" t="str">
        <f t="shared" si="387"/>
        <v/>
      </c>
      <c r="CB86" s="69" t="str">
        <f t="shared" si="388"/>
        <v/>
      </c>
      <c r="CC86" s="69" t="str">
        <f t="shared" si="520"/>
        <v/>
      </c>
      <c r="CE86" s="69" t="str">
        <f t="shared" si="389"/>
        <v/>
      </c>
      <c r="CF86" s="69" t="str">
        <f t="shared" si="390"/>
        <v/>
      </c>
      <c r="CG86" s="69" t="str">
        <f t="shared" si="521"/>
        <v/>
      </c>
      <c r="CH86" s="69" t="str">
        <f t="shared" si="391"/>
        <v/>
      </c>
      <c r="CI86" s="69" t="str">
        <f t="shared" si="392"/>
        <v/>
      </c>
      <c r="CJ86" s="69" t="str">
        <f t="shared" si="522"/>
        <v/>
      </c>
      <c r="CK86" s="69" t="str">
        <f t="shared" si="393"/>
        <v/>
      </c>
      <c r="CL86" s="69" t="str">
        <f t="shared" si="394"/>
        <v/>
      </c>
      <c r="CM86" s="69" t="str">
        <f t="shared" si="523"/>
        <v/>
      </c>
      <c r="CN86" s="69" t="str">
        <f t="shared" si="395"/>
        <v/>
      </c>
      <c r="CO86" s="69" t="str">
        <f t="shared" si="396"/>
        <v/>
      </c>
      <c r="CP86" s="69" t="str">
        <f t="shared" si="524"/>
        <v/>
      </c>
      <c r="CQ86" s="69" t="str">
        <f t="shared" si="397"/>
        <v/>
      </c>
      <c r="CR86" s="69" t="str">
        <f t="shared" si="398"/>
        <v/>
      </c>
      <c r="CS86" s="69" t="str">
        <f t="shared" si="525"/>
        <v/>
      </c>
      <c r="CT86" s="69" t="str">
        <f t="shared" si="399"/>
        <v/>
      </c>
      <c r="CU86" s="69" t="str">
        <f t="shared" si="400"/>
        <v/>
      </c>
      <c r="CV86" s="69" t="str">
        <f t="shared" si="526"/>
        <v/>
      </c>
      <c r="CW86" s="69" t="str">
        <f t="shared" si="401"/>
        <v/>
      </c>
      <c r="CX86" s="69" t="str">
        <f t="shared" si="402"/>
        <v/>
      </c>
      <c r="CY86" s="69" t="str">
        <f t="shared" si="527"/>
        <v/>
      </c>
      <c r="CZ86" s="69" t="str">
        <f t="shared" si="403"/>
        <v/>
      </c>
      <c r="DA86" s="69" t="str">
        <f t="shared" si="404"/>
        <v/>
      </c>
      <c r="DB86" s="69" t="str">
        <f t="shared" si="528"/>
        <v/>
      </c>
      <c r="DC86" s="69" t="str">
        <f t="shared" si="405"/>
        <v/>
      </c>
      <c r="DD86" s="69" t="str">
        <f t="shared" si="406"/>
        <v/>
      </c>
      <c r="DE86" s="69" t="str">
        <f t="shared" si="529"/>
        <v/>
      </c>
      <c r="DG86" s="69" t="str">
        <f t="shared" si="407"/>
        <v/>
      </c>
      <c r="DH86" s="69" t="str">
        <f t="shared" si="408"/>
        <v/>
      </c>
      <c r="DI86" s="69" t="str">
        <f t="shared" si="530"/>
        <v/>
      </c>
      <c r="DJ86" s="69" t="str">
        <f t="shared" si="409"/>
        <v/>
      </c>
      <c r="DK86" s="69" t="str">
        <f t="shared" si="410"/>
        <v/>
      </c>
      <c r="DL86" s="69" t="str">
        <f t="shared" si="531"/>
        <v/>
      </c>
      <c r="DM86" s="69" t="str">
        <f t="shared" si="411"/>
        <v/>
      </c>
      <c r="DN86" s="69" t="str">
        <f t="shared" si="412"/>
        <v/>
      </c>
      <c r="DO86" s="69" t="str">
        <f t="shared" si="532"/>
        <v/>
      </c>
      <c r="DP86" s="69" t="str">
        <f t="shared" si="413"/>
        <v/>
      </c>
      <c r="DQ86" s="69" t="str">
        <f t="shared" si="414"/>
        <v/>
      </c>
      <c r="DR86" s="69" t="str">
        <f t="shared" si="533"/>
        <v/>
      </c>
      <c r="DS86" s="69" t="str">
        <f t="shared" si="415"/>
        <v/>
      </c>
      <c r="DT86" s="69" t="str">
        <f t="shared" si="416"/>
        <v/>
      </c>
      <c r="DU86" s="69" t="str">
        <f t="shared" si="534"/>
        <v/>
      </c>
      <c r="DV86" s="69" t="str">
        <f t="shared" si="417"/>
        <v/>
      </c>
      <c r="DW86" s="69" t="str">
        <f t="shared" si="418"/>
        <v/>
      </c>
      <c r="DX86" s="69" t="str">
        <f t="shared" si="535"/>
        <v/>
      </c>
      <c r="DY86" s="69" t="str">
        <f t="shared" si="419"/>
        <v/>
      </c>
      <c r="DZ86" s="69" t="str">
        <f t="shared" si="420"/>
        <v/>
      </c>
      <c r="EA86" s="69" t="str">
        <f t="shared" si="536"/>
        <v/>
      </c>
      <c r="EB86" s="69" t="str">
        <f t="shared" si="421"/>
        <v/>
      </c>
      <c r="EC86" s="69" t="str">
        <f t="shared" si="422"/>
        <v/>
      </c>
      <c r="ED86" s="69" t="str">
        <f t="shared" si="537"/>
        <v/>
      </c>
      <c r="EF86" s="69" t="str">
        <f t="shared" si="423"/>
        <v/>
      </c>
      <c r="EG86" s="69" t="str">
        <f t="shared" si="424"/>
        <v/>
      </c>
      <c r="EH86" s="69" t="str">
        <f t="shared" si="538"/>
        <v/>
      </c>
      <c r="EI86" s="69" t="str">
        <f t="shared" si="425"/>
        <v/>
      </c>
      <c r="EJ86" s="69" t="str">
        <f t="shared" si="426"/>
        <v/>
      </c>
      <c r="EK86" s="69" t="str">
        <f t="shared" si="539"/>
        <v/>
      </c>
      <c r="EL86" s="69" t="str">
        <f t="shared" si="427"/>
        <v/>
      </c>
      <c r="EM86" s="69" t="str">
        <f t="shared" si="428"/>
        <v/>
      </c>
      <c r="EN86" s="69" t="str">
        <f t="shared" si="540"/>
        <v/>
      </c>
      <c r="EO86" s="69" t="str">
        <f t="shared" si="429"/>
        <v/>
      </c>
      <c r="EP86" s="69" t="str">
        <f t="shared" si="430"/>
        <v/>
      </c>
      <c r="EQ86" s="69" t="str">
        <f t="shared" si="541"/>
        <v/>
      </c>
      <c r="ER86" s="69" t="str">
        <f t="shared" si="431"/>
        <v/>
      </c>
      <c r="ES86" s="69" t="str">
        <f t="shared" si="432"/>
        <v/>
      </c>
      <c r="ET86" s="69" t="str">
        <f t="shared" si="542"/>
        <v/>
      </c>
      <c r="EU86" s="69" t="str">
        <f t="shared" si="433"/>
        <v/>
      </c>
      <c r="EV86" s="69" t="str">
        <f t="shared" si="434"/>
        <v/>
      </c>
      <c r="EW86" s="69" t="str">
        <f t="shared" si="543"/>
        <v/>
      </c>
      <c r="EX86" s="69" t="str">
        <f t="shared" si="435"/>
        <v/>
      </c>
      <c r="EY86" s="69" t="str">
        <f t="shared" si="436"/>
        <v/>
      </c>
      <c r="EZ86" s="69" t="str">
        <f t="shared" si="544"/>
        <v/>
      </c>
      <c r="FB86" s="69" t="str">
        <f t="shared" si="437"/>
        <v/>
      </c>
      <c r="FC86" s="69" t="str">
        <f t="shared" si="438"/>
        <v/>
      </c>
      <c r="FD86" s="69" t="str">
        <f t="shared" si="545"/>
        <v/>
      </c>
      <c r="FE86" s="69" t="str">
        <f t="shared" si="439"/>
        <v/>
      </c>
      <c r="FF86" s="69" t="str">
        <f t="shared" si="440"/>
        <v/>
      </c>
      <c r="FG86" s="69" t="str">
        <f t="shared" si="546"/>
        <v/>
      </c>
      <c r="FH86" s="69" t="str">
        <f t="shared" si="441"/>
        <v/>
      </c>
      <c r="FI86" s="69" t="str">
        <f t="shared" si="442"/>
        <v/>
      </c>
      <c r="FJ86" s="69" t="str">
        <f t="shared" si="547"/>
        <v/>
      </c>
      <c r="FK86" s="69" t="str">
        <f t="shared" si="443"/>
        <v/>
      </c>
      <c r="FL86" s="69" t="str">
        <f t="shared" si="444"/>
        <v/>
      </c>
      <c r="FM86" s="69" t="str">
        <f t="shared" si="548"/>
        <v/>
      </c>
      <c r="FN86" s="69" t="str">
        <f t="shared" si="445"/>
        <v/>
      </c>
      <c r="FO86" s="69" t="str">
        <f t="shared" si="446"/>
        <v/>
      </c>
      <c r="FP86" s="69" t="str">
        <f t="shared" si="549"/>
        <v/>
      </c>
      <c r="FQ86" s="69" t="str">
        <f t="shared" si="447"/>
        <v/>
      </c>
      <c r="FR86" s="69" t="str">
        <f t="shared" si="448"/>
        <v/>
      </c>
      <c r="FS86" s="69" t="str">
        <f t="shared" si="550"/>
        <v/>
      </c>
      <c r="FU86" s="69" t="str">
        <f t="shared" si="449"/>
        <v/>
      </c>
      <c r="FV86" s="69" t="str">
        <f t="shared" si="450"/>
        <v/>
      </c>
      <c r="FW86" s="69" t="str">
        <f t="shared" si="551"/>
        <v/>
      </c>
      <c r="FX86" s="69" t="str">
        <f t="shared" si="451"/>
        <v/>
      </c>
      <c r="FY86" s="69" t="str">
        <f t="shared" si="452"/>
        <v/>
      </c>
      <c r="FZ86" s="69" t="str">
        <f t="shared" si="552"/>
        <v/>
      </c>
      <c r="GA86" s="69" t="str">
        <f t="shared" si="453"/>
        <v/>
      </c>
      <c r="GB86" s="69" t="str">
        <f t="shared" si="454"/>
        <v/>
      </c>
      <c r="GC86" s="69" t="str">
        <f t="shared" si="553"/>
        <v/>
      </c>
      <c r="GD86" s="69" t="str">
        <f t="shared" si="455"/>
        <v/>
      </c>
      <c r="GE86" s="69" t="str">
        <f t="shared" si="456"/>
        <v/>
      </c>
      <c r="GF86" s="69" t="str">
        <f t="shared" si="554"/>
        <v/>
      </c>
      <c r="GG86" s="69" t="str">
        <f t="shared" si="457"/>
        <v/>
      </c>
      <c r="GH86" s="69" t="str">
        <f t="shared" si="458"/>
        <v/>
      </c>
      <c r="GI86" s="69" t="str">
        <f t="shared" si="555"/>
        <v/>
      </c>
      <c r="GK86" s="69" t="str">
        <f t="shared" si="459"/>
        <v/>
      </c>
      <c r="GL86" s="69" t="str">
        <f t="shared" si="460"/>
        <v/>
      </c>
      <c r="GM86" s="69" t="str">
        <f t="shared" si="556"/>
        <v/>
      </c>
      <c r="GN86" s="69" t="str">
        <f t="shared" si="461"/>
        <v/>
      </c>
      <c r="GO86" s="69" t="str">
        <f t="shared" si="462"/>
        <v/>
      </c>
      <c r="GP86" s="69" t="str">
        <f t="shared" si="557"/>
        <v/>
      </c>
      <c r="GQ86" s="69" t="str">
        <f t="shared" si="463"/>
        <v/>
      </c>
      <c r="GR86" s="69" t="str">
        <f t="shared" si="464"/>
        <v/>
      </c>
      <c r="GS86" s="69" t="str">
        <f t="shared" si="558"/>
        <v/>
      </c>
      <c r="GT86" s="69" t="str">
        <f t="shared" si="465"/>
        <v/>
      </c>
      <c r="GU86" s="69" t="str">
        <f t="shared" si="466"/>
        <v/>
      </c>
      <c r="GV86" s="69" t="str">
        <f t="shared" si="559"/>
        <v/>
      </c>
      <c r="GX86" s="69" t="str">
        <f t="shared" si="560"/>
        <v/>
      </c>
      <c r="GY86" s="69" t="str">
        <f t="shared" si="561"/>
        <v/>
      </c>
      <c r="GZ86" s="69" t="str">
        <f t="shared" si="562"/>
        <v/>
      </c>
      <c r="HA86" s="69" t="str">
        <f t="shared" si="563"/>
        <v/>
      </c>
      <c r="HB86" s="69" t="str">
        <f t="shared" si="564"/>
        <v/>
      </c>
      <c r="HC86" s="69" t="str">
        <f t="shared" si="565"/>
        <v/>
      </c>
      <c r="HD86" s="69" t="str">
        <f t="shared" si="566"/>
        <v/>
      </c>
      <c r="HE86" s="69" t="str">
        <f t="shared" si="567"/>
        <v/>
      </c>
      <c r="HF86" s="69" t="str">
        <f t="shared" si="568"/>
        <v/>
      </c>
      <c r="HH86" s="69" t="str">
        <f t="shared" si="569"/>
        <v/>
      </c>
      <c r="HI86" s="69" t="str">
        <f t="shared" si="570"/>
        <v/>
      </c>
      <c r="HJ86" s="69" t="str">
        <f t="shared" si="571"/>
        <v/>
      </c>
      <c r="HK86" s="69" t="str">
        <f t="shared" si="572"/>
        <v/>
      </c>
      <c r="HL86" s="69" t="str">
        <f t="shared" si="573"/>
        <v/>
      </c>
      <c r="HM86" s="69" t="str">
        <f t="shared" si="574"/>
        <v/>
      </c>
      <c r="HO86" s="69" t="str">
        <f t="shared" si="575"/>
        <v/>
      </c>
      <c r="HP86" s="69" t="str">
        <f t="shared" si="576"/>
        <v/>
      </c>
      <c r="HQ86" s="69" t="str">
        <f t="shared" si="577"/>
        <v/>
      </c>
      <c r="HS86" s="69" t="str">
        <f t="shared" si="467"/>
        <v/>
      </c>
      <c r="HT86" s="69" t="str">
        <f t="shared" si="468"/>
        <v/>
      </c>
      <c r="HU86" s="69" t="str">
        <f t="shared" si="578"/>
        <v/>
      </c>
      <c r="HV86" s="69" t="str">
        <f t="shared" si="469"/>
        <v/>
      </c>
      <c r="HW86" s="69" t="str">
        <f t="shared" si="470"/>
        <v/>
      </c>
      <c r="HX86" s="69" t="str">
        <f t="shared" si="579"/>
        <v/>
      </c>
      <c r="HY86" s="69" t="str">
        <f t="shared" si="471"/>
        <v/>
      </c>
      <c r="HZ86" s="69" t="str">
        <f t="shared" si="472"/>
        <v/>
      </c>
      <c r="IA86" s="69" t="str">
        <f t="shared" si="580"/>
        <v/>
      </c>
      <c r="IB86" s="69" t="str">
        <f t="shared" si="473"/>
        <v/>
      </c>
      <c r="IC86" s="69" t="str">
        <f t="shared" si="474"/>
        <v/>
      </c>
      <c r="ID86" s="69" t="str">
        <f t="shared" si="581"/>
        <v/>
      </c>
      <c r="IE86" s="69" t="str">
        <f t="shared" si="475"/>
        <v/>
      </c>
      <c r="IF86" s="69" t="str">
        <f t="shared" si="476"/>
        <v/>
      </c>
      <c r="IG86" s="69" t="str">
        <f t="shared" si="582"/>
        <v/>
      </c>
      <c r="IH86" s="69" t="str">
        <f t="shared" si="477"/>
        <v/>
      </c>
      <c r="II86" s="69" t="str">
        <f t="shared" si="478"/>
        <v/>
      </c>
      <c r="IJ86" s="69" t="str">
        <f t="shared" si="583"/>
        <v/>
      </c>
      <c r="IK86" s="69" t="str">
        <f t="shared" si="479"/>
        <v/>
      </c>
      <c r="IL86" s="69" t="str">
        <f t="shared" si="480"/>
        <v/>
      </c>
      <c r="IM86" s="69" t="str">
        <f t="shared" si="584"/>
        <v/>
      </c>
      <c r="IN86" s="69" t="str">
        <f t="shared" si="585"/>
        <v/>
      </c>
      <c r="IO86" s="69" t="str">
        <f t="shared" si="586"/>
        <v/>
      </c>
      <c r="IP86" s="69" t="str">
        <f t="shared" si="587"/>
        <v/>
      </c>
      <c r="IQ86" s="69" t="str">
        <f t="shared" si="588"/>
        <v/>
      </c>
      <c r="IR86" s="69" t="str">
        <f t="shared" si="589"/>
        <v/>
      </c>
      <c r="IS86" s="69" t="str">
        <f t="shared" si="590"/>
        <v/>
      </c>
      <c r="IT86" s="69" t="str">
        <f t="shared" si="591"/>
        <v/>
      </c>
      <c r="IU86" s="69" t="str">
        <f t="shared" si="592"/>
        <v/>
      </c>
      <c r="IV86" s="69" t="str">
        <f t="shared" si="593"/>
        <v/>
      </c>
    </row>
    <row r="87" spans="1:256" x14ac:dyDescent="0.2">
      <c r="A87" s="57" t="s">
        <v>90</v>
      </c>
      <c r="B87" s="178"/>
      <c r="C87" s="179"/>
      <c r="D87" s="179"/>
      <c r="E87" s="179"/>
      <c r="F87" s="179"/>
      <c r="G87" s="180"/>
      <c r="H87" s="180"/>
      <c r="I87" s="181"/>
      <c r="J87" s="182"/>
      <c r="K87" s="185"/>
      <c r="L87" s="68">
        <f t="shared" si="360"/>
        <v>0</v>
      </c>
      <c r="M87" s="69" t="str">
        <f t="shared" si="361"/>
        <v/>
      </c>
      <c r="N87" s="69" t="str">
        <f t="shared" si="481"/>
        <v/>
      </c>
      <c r="O87" s="69" t="str">
        <f t="shared" si="482"/>
        <v/>
      </c>
      <c r="P87" s="69" t="str">
        <f t="shared" si="483"/>
        <v/>
      </c>
      <c r="Q87" s="70" t="str">
        <f t="shared" si="362"/>
        <v/>
      </c>
      <c r="R87" s="71" t="str">
        <f t="shared" si="484"/>
        <v/>
      </c>
      <c r="S87" s="71" t="str">
        <f t="shared" si="485"/>
        <v/>
      </c>
      <c r="T87" s="70" t="str">
        <f t="shared" si="363"/>
        <v/>
      </c>
      <c r="U87" s="71" t="str">
        <f t="shared" si="486"/>
        <v/>
      </c>
      <c r="V87" s="71" t="str">
        <f t="shared" si="487"/>
        <v/>
      </c>
      <c r="W87" s="70" t="str">
        <f t="shared" si="364"/>
        <v/>
      </c>
      <c r="X87" s="71" t="str">
        <f t="shared" si="488"/>
        <v/>
      </c>
      <c r="Y87" s="71" t="str">
        <f t="shared" si="489"/>
        <v/>
      </c>
      <c r="Z87" s="70" t="str">
        <f t="shared" si="365"/>
        <v/>
      </c>
      <c r="AA87" s="71" t="str">
        <f t="shared" si="490"/>
        <v/>
      </c>
      <c r="AB87" s="71" t="str">
        <f t="shared" si="491"/>
        <v/>
      </c>
      <c r="AC87" s="70" t="str">
        <f t="shared" si="366"/>
        <v/>
      </c>
      <c r="AD87" s="71" t="str">
        <f t="shared" si="492"/>
        <v/>
      </c>
      <c r="AE87" s="71" t="str">
        <f t="shared" si="493"/>
        <v/>
      </c>
      <c r="AF87" s="70" t="str">
        <f t="shared" si="367"/>
        <v/>
      </c>
      <c r="AG87" s="71" t="str">
        <f t="shared" si="494"/>
        <v/>
      </c>
      <c r="AH87" s="71" t="str">
        <f t="shared" si="495"/>
        <v/>
      </c>
      <c r="AI87" s="70" t="str">
        <f t="shared" si="368"/>
        <v/>
      </c>
      <c r="AJ87" s="71" t="str">
        <f t="shared" si="496"/>
        <v/>
      </c>
      <c r="AK87" s="71" t="str">
        <f t="shared" si="497"/>
        <v/>
      </c>
      <c r="AL87" s="70" t="str">
        <f t="shared" si="498"/>
        <v/>
      </c>
      <c r="AM87" s="71" t="str">
        <f t="shared" si="499"/>
        <v/>
      </c>
      <c r="AN87" s="71" t="str">
        <f t="shared" si="500"/>
        <v/>
      </c>
      <c r="AO87" s="70" t="str">
        <f t="shared" si="501"/>
        <v/>
      </c>
      <c r="AP87" s="71" t="str">
        <f t="shared" si="502"/>
        <v/>
      </c>
      <c r="AQ87" s="71" t="str">
        <f t="shared" si="503"/>
        <v/>
      </c>
      <c r="AR87" s="70" t="str">
        <f t="shared" si="504"/>
        <v/>
      </c>
      <c r="AS87" s="71" t="str">
        <f t="shared" si="505"/>
        <v/>
      </c>
      <c r="AT87" s="71" t="str">
        <f t="shared" si="506"/>
        <v/>
      </c>
      <c r="AU87" s="69" t="str">
        <f t="shared" si="507"/>
        <v/>
      </c>
      <c r="AV87" s="131" t="str">
        <f t="shared" si="508"/>
        <v/>
      </c>
      <c r="AW87" s="69" t="str">
        <f t="shared" si="594"/>
        <v/>
      </c>
      <c r="AX87" s="132" t="str">
        <f t="shared" si="509"/>
        <v/>
      </c>
      <c r="AY87" s="132" t="str">
        <f t="shared" si="510"/>
        <v/>
      </c>
      <c r="AZ87" s="69" t="str">
        <f t="shared" si="369"/>
        <v/>
      </c>
      <c r="BA87" s="69" t="str">
        <f t="shared" si="370"/>
        <v/>
      </c>
      <c r="BB87" s="69" t="str">
        <f t="shared" si="511"/>
        <v/>
      </c>
      <c r="BC87" s="69" t="str">
        <f t="shared" si="371"/>
        <v/>
      </c>
      <c r="BD87" s="69" t="str">
        <f t="shared" si="372"/>
        <v/>
      </c>
      <c r="BE87" s="69" t="str">
        <f t="shared" si="512"/>
        <v/>
      </c>
      <c r="BF87" s="69" t="str">
        <f t="shared" si="373"/>
        <v/>
      </c>
      <c r="BG87" s="69" t="str">
        <f t="shared" si="374"/>
        <v/>
      </c>
      <c r="BH87" s="69" t="str">
        <f t="shared" si="513"/>
        <v/>
      </c>
      <c r="BI87" s="69" t="str">
        <f t="shared" si="375"/>
        <v/>
      </c>
      <c r="BJ87" s="69" t="str">
        <f t="shared" si="376"/>
        <v/>
      </c>
      <c r="BK87" s="69" t="str">
        <f t="shared" si="514"/>
        <v/>
      </c>
      <c r="BL87" s="69" t="str">
        <f t="shared" si="377"/>
        <v/>
      </c>
      <c r="BM87" s="69" t="str">
        <f t="shared" si="378"/>
        <v/>
      </c>
      <c r="BN87" s="69" t="str">
        <f t="shared" si="515"/>
        <v/>
      </c>
      <c r="BO87" s="69" t="str">
        <f t="shared" si="379"/>
        <v/>
      </c>
      <c r="BP87" s="69" t="str">
        <f t="shared" si="380"/>
        <v/>
      </c>
      <c r="BQ87" s="69" t="str">
        <f t="shared" si="516"/>
        <v/>
      </c>
      <c r="BR87" s="69" t="str">
        <f t="shared" si="381"/>
        <v/>
      </c>
      <c r="BS87" s="69" t="str">
        <f t="shared" si="382"/>
        <v/>
      </c>
      <c r="BT87" s="69" t="str">
        <f t="shared" si="517"/>
        <v/>
      </c>
      <c r="BU87" s="69" t="str">
        <f t="shared" si="383"/>
        <v/>
      </c>
      <c r="BV87" s="69" t="str">
        <f t="shared" si="384"/>
        <v/>
      </c>
      <c r="BW87" s="69" t="str">
        <f t="shared" si="518"/>
        <v/>
      </c>
      <c r="BX87" s="69" t="str">
        <f t="shared" si="385"/>
        <v/>
      </c>
      <c r="BY87" s="69" t="str">
        <f t="shared" si="386"/>
        <v/>
      </c>
      <c r="BZ87" s="69" t="str">
        <f t="shared" si="519"/>
        <v/>
      </c>
      <c r="CA87" s="69" t="str">
        <f t="shared" si="387"/>
        <v/>
      </c>
      <c r="CB87" s="69" t="str">
        <f t="shared" si="388"/>
        <v/>
      </c>
      <c r="CC87" s="69" t="str">
        <f t="shared" si="520"/>
        <v/>
      </c>
      <c r="CE87" s="69" t="str">
        <f t="shared" si="389"/>
        <v/>
      </c>
      <c r="CF87" s="69" t="str">
        <f t="shared" si="390"/>
        <v/>
      </c>
      <c r="CG87" s="69" t="str">
        <f t="shared" si="521"/>
        <v/>
      </c>
      <c r="CH87" s="69" t="str">
        <f t="shared" si="391"/>
        <v/>
      </c>
      <c r="CI87" s="69" t="str">
        <f t="shared" si="392"/>
        <v/>
      </c>
      <c r="CJ87" s="69" t="str">
        <f t="shared" si="522"/>
        <v/>
      </c>
      <c r="CK87" s="69" t="str">
        <f t="shared" si="393"/>
        <v/>
      </c>
      <c r="CL87" s="69" t="str">
        <f t="shared" si="394"/>
        <v/>
      </c>
      <c r="CM87" s="69" t="str">
        <f t="shared" si="523"/>
        <v/>
      </c>
      <c r="CN87" s="69" t="str">
        <f t="shared" si="395"/>
        <v/>
      </c>
      <c r="CO87" s="69" t="str">
        <f t="shared" si="396"/>
        <v/>
      </c>
      <c r="CP87" s="69" t="str">
        <f t="shared" si="524"/>
        <v/>
      </c>
      <c r="CQ87" s="69" t="str">
        <f t="shared" si="397"/>
        <v/>
      </c>
      <c r="CR87" s="69" t="str">
        <f t="shared" si="398"/>
        <v/>
      </c>
      <c r="CS87" s="69" t="str">
        <f t="shared" si="525"/>
        <v/>
      </c>
      <c r="CT87" s="69" t="str">
        <f t="shared" si="399"/>
        <v/>
      </c>
      <c r="CU87" s="69" t="str">
        <f t="shared" si="400"/>
        <v/>
      </c>
      <c r="CV87" s="69" t="str">
        <f t="shared" si="526"/>
        <v/>
      </c>
      <c r="CW87" s="69" t="str">
        <f t="shared" si="401"/>
        <v/>
      </c>
      <c r="CX87" s="69" t="str">
        <f t="shared" si="402"/>
        <v/>
      </c>
      <c r="CY87" s="69" t="str">
        <f t="shared" si="527"/>
        <v/>
      </c>
      <c r="CZ87" s="69" t="str">
        <f t="shared" si="403"/>
        <v/>
      </c>
      <c r="DA87" s="69" t="str">
        <f t="shared" si="404"/>
        <v/>
      </c>
      <c r="DB87" s="69" t="str">
        <f t="shared" si="528"/>
        <v/>
      </c>
      <c r="DC87" s="69" t="str">
        <f t="shared" si="405"/>
        <v/>
      </c>
      <c r="DD87" s="69" t="str">
        <f t="shared" si="406"/>
        <v/>
      </c>
      <c r="DE87" s="69" t="str">
        <f t="shared" si="529"/>
        <v/>
      </c>
      <c r="DG87" s="69" t="str">
        <f t="shared" si="407"/>
        <v/>
      </c>
      <c r="DH87" s="69" t="str">
        <f t="shared" si="408"/>
        <v/>
      </c>
      <c r="DI87" s="69" t="str">
        <f t="shared" si="530"/>
        <v/>
      </c>
      <c r="DJ87" s="69" t="str">
        <f t="shared" si="409"/>
        <v/>
      </c>
      <c r="DK87" s="69" t="str">
        <f t="shared" si="410"/>
        <v/>
      </c>
      <c r="DL87" s="69" t="str">
        <f t="shared" si="531"/>
        <v/>
      </c>
      <c r="DM87" s="69" t="str">
        <f t="shared" si="411"/>
        <v/>
      </c>
      <c r="DN87" s="69" t="str">
        <f t="shared" si="412"/>
        <v/>
      </c>
      <c r="DO87" s="69" t="str">
        <f t="shared" si="532"/>
        <v/>
      </c>
      <c r="DP87" s="69" t="str">
        <f t="shared" si="413"/>
        <v/>
      </c>
      <c r="DQ87" s="69" t="str">
        <f t="shared" si="414"/>
        <v/>
      </c>
      <c r="DR87" s="69" t="str">
        <f t="shared" si="533"/>
        <v/>
      </c>
      <c r="DS87" s="69" t="str">
        <f t="shared" si="415"/>
        <v/>
      </c>
      <c r="DT87" s="69" t="str">
        <f t="shared" si="416"/>
        <v/>
      </c>
      <c r="DU87" s="69" t="str">
        <f t="shared" si="534"/>
        <v/>
      </c>
      <c r="DV87" s="69" t="str">
        <f t="shared" si="417"/>
        <v/>
      </c>
      <c r="DW87" s="69" t="str">
        <f t="shared" si="418"/>
        <v/>
      </c>
      <c r="DX87" s="69" t="str">
        <f t="shared" si="535"/>
        <v/>
      </c>
      <c r="DY87" s="69" t="str">
        <f t="shared" si="419"/>
        <v/>
      </c>
      <c r="DZ87" s="69" t="str">
        <f t="shared" si="420"/>
        <v/>
      </c>
      <c r="EA87" s="69" t="str">
        <f t="shared" si="536"/>
        <v/>
      </c>
      <c r="EB87" s="69" t="str">
        <f t="shared" si="421"/>
        <v/>
      </c>
      <c r="EC87" s="69" t="str">
        <f t="shared" si="422"/>
        <v/>
      </c>
      <c r="ED87" s="69" t="str">
        <f t="shared" si="537"/>
        <v/>
      </c>
      <c r="EF87" s="69" t="str">
        <f t="shared" si="423"/>
        <v/>
      </c>
      <c r="EG87" s="69" t="str">
        <f t="shared" si="424"/>
        <v/>
      </c>
      <c r="EH87" s="69" t="str">
        <f t="shared" si="538"/>
        <v/>
      </c>
      <c r="EI87" s="69" t="str">
        <f t="shared" si="425"/>
        <v/>
      </c>
      <c r="EJ87" s="69" t="str">
        <f t="shared" si="426"/>
        <v/>
      </c>
      <c r="EK87" s="69" t="str">
        <f t="shared" si="539"/>
        <v/>
      </c>
      <c r="EL87" s="69" t="str">
        <f t="shared" si="427"/>
        <v/>
      </c>
      <c r="EM87" s="69" t="str">
        <f t="shared" si="428"/>
        <v/>
      </c>
      <c r="EN87" s="69" t="str">
        <f t="shared" si="540"/>
        <v/>
      </c>
      <c r="EO87" s="69" t="str">
        <f t="shared" si="429"/>
        <v/>
      </c>
      <c r="EP87" s="69" t="str">
        <f t="shared" si="430"/>
        <v/>
      </c>
      <c r="EQ87" s="69" t="str">
        <f t="shared" si="541"/>
        <v/>
      </c>
      <c r="ER87" s="69" t="str">
        <f t="shared" si="431"/>
        <v/>
      </c>
      <c r="ES87" s="69" t="str">
        <f t="shared" si="432"/>
        <v/>
      </c>
      <c r="ET87" s="69" t="str">
        <f t="shared" si="542"/>
        <v/>
      </c>
      <c r="EU87" s="69" t="str">
        <f t="shared" si="433"/>
        <v/>
      </c>
      <c r="EV87" s="69" t="str">
        <f t="shared" si="434"/>
        <v/>
      </c>
      <c r="EW87" s="69" t="str">
        <f t="shared" si="543"/>
        <v/>
      </c>
      <c r="EX87" s="69" t="str">
        <f t="shared" si="435"/>
        <v/>
      </c>
      <c r="EY87" s="69" t="str">
        <f t="shared" si="436"/>
        <v/>
      </c>
      <c r="EZ87" s="69" t="str">
        <f t="shared" si="544"/>
        <v/>
      </c>
      <c r="FB87" s="69" t="str">
        <f t="shared" si="437"/>
        <v/>
      </c>
      <c r="FC87" s="69" t="str">
        <f t="shared" si="438"/>
        <v/>
      </c>
      <c r="FD87" s="69" t="str">
        <f t="shared" si="545"/>
        <v/>
      </c>
      <c r="FE87" s="69" t="str">
        <f t="shared" si="439"/>
        <v/>
      </c>
      <c r="FF87" s="69" t="str">
        <f t="shared" si="440"/>
        <v/>
      </c>
      <c r="FG87" s="69" t="str">
        <f t="shared" si="546"/>
        <v/>
      </c>
      <c r="FH87" s="69" t="str">
        <f t="shared" si="441"/>
        <v/>
      </c>
      <c r="FI87" s="69" t="str">
        <f t="shared" si="442"/>
        <v/>
      </c>
      <c r="FJ87" s="69" t="str">
        <f t="shared" si="547"/>
        <v/>
      </c>
      <c r="FK87" s="69" t="str">
        <f t="shared" si="443"/>
        <v/>
      </c>
      <c r="FL87" s="69" t="str">
        <f t="shared" si="444"/>
        <v/>
      </c>
      <c r="FM87" s="69" t="str">
        <f t="shared" si="548"/>
        <v/>
      </c>
      <c r="FN87" s="69" t="str">
        <f t="shared" si="445"/>
        <v/>
      </c>
      <c r="FO87" s="69" t="str">
        <f t="shared" si="446"/>
        <v/>
      </c>
      <c r="FP87" s="69" t="str">
        <f t="shared" si="549"/>
        <v/>
      </c>
      <c r="FQ87" s="69" t="str">
        <f t="shared" si="447"/>
        <v/>
      </c>
      <c r="FR87" s="69" t="str">
        <f t="shared" si="448"/>
        <v/>
      </c>
      <c r="FS87" s="69" t="str">
        <f t="shared" si="550"/>
        <v/>
      </c>
      <c r="FU87" s="69" t="str">
        <f t="shared" si="449"/>
        <v/>
      </c>
      <c r="FV87" s="69" t="str">
        <f t="shared" si="450"/>
        <v/>
      </c>
      <c r="FW87" s="69" t="str">
        <f t="shared" si="551"/>
        <v/>
      </c>
      <c r="FX87" s="69" t="str">
        <f t="shared" si="451"/>
        <v/>
      </c>
      <c r="FY87" s="69" t="str">
        <f t="shared" si="452"/>
        <v/>
      </c>
      <c r="FZ87" s="69" t="str">
        <f t="shared" si="552"/>
        <v/>
      </c>
      <c r="GA87" s="69" t="str">
        <f t="shared" si="453"/>
        <v/>
      </c>
      <c r="GB87" s="69" t="str">
        <f t="shared" si="454"/>
        <v/>
      </c>
      <c r="GC87" s="69" t="str">
        <f t="shared" si="553"/>
        <v/>
      </c>
      <c r="GD87" s="69" t="str">
        <f t="shared" si="455"/>
        <v/>
      </c>
      <c r="GE87" s="69" t="str">
        <f t="shared" si="456"/>
        <v/>
      </c>
      <c r="GF87" s="69" t="str">
        <f t="shared" si="554"/>
        <v/>
      </c>
      <c r="GG87" s="69" t="str">
        <f t="shared" si="457"/>
        <v/>
      </c>
      <c r="GH87" s="69" t="str">
        <f t="shared" si="458"/>
        <v/>
      </c>
      <c r="GI87" s="69" t="str">
        <f t="shared" si="555"/>
        <v/>
      </c>
      <c r="GK87" s="69" t="str">
        <f t="shared" si="459"/>
        <v/>
      </c>
      <c r="GL87" s="69" t="str">
        <f t="shared" si="460"/>
        <v/>
      </c>
      <c r="GM87" s="69" t="str">
        <f t="shared" si="556"/>
        <v/>
      </c>
      <c r="GN87" s="69" t="str">
        <f t="shared" si="461"/>
        <v/>
      </c>
      <c r="GO87" s="69" t="str">
        <f t="shared" si="462"/>
        <v/>
      </c>
      <c r="GP87" s="69" t="str">
        <f t="shared" si="557"/>
        <v/>
      </c>
      <c r="GQ87" s="69" t="str">
        <f t="shared" si="463"/>
        <v/>
      </c>
      <c r="GR87" s="69" t="str">
        <f t="shared" si="464"/>
        <v/>
      </c>
      <c r="GS87" s="69" t="str">
        <f t="shared" si="558"/>
        <v/>
      </c>
      <c r="GT87" s="69" t="str">
        <f t="shared" si="465"/>
        <v/>
      </c>
      <c r="GU87" s="69" t="str">
        <f t="shared" si="466"/>
        <v/>
      </c>
      <c r="GV87" s="69" t="str">
        <f t="shared" si="559"/>
        <v/>
      </c>
      <c r="GX87" s="69" t="str">
        <f t="shared" si="560"/>
        <v/>
      </c>
      <c r="GY87" s="69" t="str">
        <f t="shared" si="561"/>
        <v/>
      </c>
      <c r="GZ87" s="69" t="str">
        <f t="shared" si="562"/>
        <v/>
      </c>
      <c r="HA87" s="69" t="str">
        <f t="shared" si="563"/>
        <v/>
      </c>
      <c r="HB87" s="69" t="str">
        <f t="shared" si="564"/>
        <v/>
      </c>
      <c r="HC87" s="69" t="str">
        <f t="shared" si="565"/>
        <v/>
      </c>
      <c r="HD87" s="69" t="str">
        <f t="shared" si="566"/>
        <v/>
      </c>
      <c r="HE87" s="69" t="str">
        <f t="shared" si="567"/>
        <v/>
      </c>
      <c r="HF87" s="69" t="str">
        <f t="shared" si="568"/>
        <v/>
      </c>
      <c r="HH87" s="69" t="str">
        <f t="shared" si="569"/>
        <v/>
      </c>
      <c r="HI87" s="69" t="str">
        <f t="shared" si="570"/>
        <v/>
      </c>
      <c r="HJ87" s="69" t="str">
        <f t="shared" si="571"/>
        <v/>
      </c>
      <c r="HK87" s="69" t="str">
        <f t="shared" si="572"/>
        <v/>
      </c>
      <c r="HL87" s="69" t="str">
        <f t="shared" si="573"/>
        <v/>
      </c>
      <c r="HM87" s="69" t="str">
        <f t="shared" si="574"/>
        <v/>
      </c>
      <c r="HO87" s="69" t="str">
        <f t="shared" si="575"/>
        <v/>
      </c>
      <c r="HP87" s="69" t="str">
        <f t="shared" si="576"/>
        <v/>
      </c>
      <c r="HQ87" s="69" t="str">
        <f t="shared" si="577"/>
        <v/>
      </c>
      <c r="HS87" s="69" t="str">
        <f t="shared" si="467"/>
        <v/>
      </c>
      <c r="HT87" s="69" t="str">
        <f t="shared" si="468"/>
        <v/>
      </c>
      <c r="HU87" s="69" t="str">
        <f t="shared" si="578"/>
        <v/>
      </c>
      <c r="HV87" s="69" t="str">
        <f t="shared" si="469"/>
        <v/>
      </c>
      <c r="HW87" s="69" t="str">
        <f t="shared" si="470"/>
        <v/>
      </c>
      <c r="HX87" s="69" t="str">
        <f t="shared" si="579"/>
        <v/>
      </c>
      <c r="HY87" s="69" t="str">
        <f t="shared" si="471"/>
        <v/>
      </c>
      <c r="HZ87" s="69" t="str">
        <f t="shared" si="472"/>
        <v/>
      </c>
      <c r="IA87" s="69" t="str">
        <f t="shared" si="580"/>
        <v/>
      </c>
      <c r="IB87" s="69" t="str">
        <f t="shared" si="473"/>
        <v/>
      </c>
      <c r="IC87" s="69" t="str">
        <f t="shared" si="474"/>
        <v/>
      </c>
      <c r="ID87" s="69" t="str">
        <f t="shared" si="581"/>
        <v/>
      </c>
      <c r="IE87" s="69" t="str">
        <f t="shared" si="475"/>
        <v/>
      </c>
      <c r="IF87" s="69" t="str">
        <f t="shared" si="476"/>
        <v/>
      </c>
      <c r="IG87" s="69" t="str">
        <f t="shared" si="582"/>
        <v/>
      </c>
      <c r="IH87" s="69" t="str">
        <f t="shared" si="477"/>
        <v/>
      </c>
      <c r="II87" s="69" t="str">
        <f t="shared" si="478"/>
        <v/>
      </c>
      <c r="IJ87" s="69" t="str">
        <f t="shared" si="583"/>
        <v/>
      </c>
      <c r="IK87" s="69" t="str">
        <f t="shared" si="479"/>
        <v/>
      </c>
      <c r="IL87" s="69" t="str">
        <f t="shared" si="480"/>
        <v/>
      </c>
      <c r="IM87" s="69" t="str">
        <f t="shared" si="584"/>
        <v/>
      </c>
      <c r="IN87" s="69" t="str">
        <f t="shared" si="585"/>
        <v/>
      </c>
      <c r="IO87" s="69" t="str">
        <f t="shared" si="586"/>
        <v/>
      </c>
      <c r="IP87" s="69" t="str">
        <f t="shared" si="587"/>
        <v/>
      </c>
      <c r="IQ87" s="69" t="str">
        <f t="shared" si="588"/>
        <v/>
      </c>
      <c r="IR87" s="69" t="str">
        <f t="shared" si="589"/>
        <v/>
      </c>
      <c r="IS87" s="69" t="str">
        <f t="shared" si="590"/>
        <v/>
      </c>
      <c r="IT87" s="69" t="str">
        <f t="shared" si="591"/>
        <v/>
      </c>
      <c r="IU87" s="69" t="str">
        <f t="shared" si="592"/>
        <v/>
      </c>
      <c r="IV87" s="69" t="str">
        <f t="shared" si="593"/>
        <v/>
      </c>
    </row>
    <row r="88" spans="1:256" x14ac:dyDescent="0.2">
      <c r="A88" s="57" t="s">
        <v>91</v>
      </c>
      <c r="B88" s="178"/>
      <c r="C88" s="179"/>
      <c r="D88" s="179"/>
      <c r="E88" s="179"/>
      <c r="F88" s="179"/>
      <c r="G88" s="180"/>
      <c r="H88" s="180"/>
      <c r="I88" s="181"/>
      <c r="J88" s="182"/>
      <c r="K88" s="185"/>
      <c r="L88" s="68">
        <f t="shared" si="360"/>
        <v>0</v>
      </c>
      <c r="M88" s="69" t="str">
        <f t="shared" si="361"/>
        <v/>
      </c>
      <c r="N88" s="69" t="str">
        <f t="shared" si="481"/>
        <v/>
      </c>
      <c r="O88" s="69" t="str">
        <f t="shared" si="482"/>
        <v/>
      </c>
      <c r="P88" s="69" t="str">
        <f t="shared" si="483"/>
        <v/>
      </c>
      <c r="Q88" s="70" t="str">
        <f t="shared" si="362"/>
        <v/>
      </c>
      <c r="R88" s="71" t="str">
        <f t="shared" si="484"/>
        <v/>
      </c>
      <c r="S88" s="71" t="str">
        <f t="shared" si="485"/>
        <v/>
      </c>
      <c r="T88" s="70" t="str">
        <f t="shared" si="363"/>
        <v/>
      </c>
      <c r="U88" s="71" t="str">
        <f t="shared" si="486"/>
        <v/>
      </c>
      <c r="V88" s="71" t="str">
        <f t="shared" si="487"/>
        <v/>
      </c>
      <c r="W88" s="70" t="str">
        <f t="shared" si="364"/>
        <v/>
      </c>
      <c r="X88" s="71" t="str">
        <f t="shared" si="488"/>
        <v/>
      </c>
      <c r="Y88" s="71" t="str">
        <f t="shared" si="489"/>
        <v/>
      </c>
      <c r="Z88" s="70" t="str">
        <f t="shared" si="365"/>
        <v/>
      </c>
      <c r="AA88" s="71" t="str">
        <f t="shared" si="490"/>
        <v/>
      </c>
      <c r="AB88" s="71" t="str">
        <f t="shared" si="491"/>
        <v/>
      </c>
      <c r="AC88" s="70" t="str">
        <f t="shared" si="366"/>
        <v/>
      </c>
      <c r="AD88" s="71" t="str">
        <f t="shared" si="492"/>
        <v/>
      </c>
      <c r="AE88" s="71" t="str">
        <f t="shared" si="493"/>
        <v/>
      </c>
      <c r="AF88" s="70" t="str">
        <f t="shared" si="367"/>
        <v/>
      </c>
      <c r="AG88" s="71" t="str">
        <f t="shared" si="494"/>
        <v/>
      </c>
      <c r="AH88" s="71" t="str">
        <f t="shared" si="495"/>
        <v/>
      </c>
      <c r="AI88" s="70" t="str">
        <f t="shared" si="368"/>
        <v/>
      </c>
      <c r="AJ88" s="71" t="str">
        <f t="shared" si="496"/>
        <v/>
      </c>
      <c r="AK88" s="71" t="str">
        <f t="shared" si="497"/>
        <v/>
      </c>
      <c r="AL88" s="70" t="str">
        <f t="shared" si="498"/>
        <v/>
      </c>
      <c r="AM88" s="71" t="str">
        <f t="shared" si="499"/>
        <v/>
      </c>
      <c r="AN88" s="71" t="str">
        <f t="shared" si="500"/>
        <v/>
      </c>
      <c r="AO88" s="70" t="str">
        <f t="shared" si="501"/>
        <v/>
      </c>
      <c r="AP88" s="71" t="str">
        <f t="shared" si="502"/>
        <v/>
      </c>
      <c r="AQ88" s="71" t="str">
        <f t="shared" si="503"/>
        <v/>
      </c>
      <c r="AR88" s="70" t="str">
        <f t="shared" si="504"/>
        <v/>
      </c>
      <c r="AS88" s="71" t="str">
        <f t="shared" si="505"/>
        <v/>
      </c>
      <c r="AT88" s="71" t="str">
        <f t="shared" si="506"/>
        <v/>
      </c>
      <c r="AU88" s="69" t="str">
        <f t="shared" si="507"/>
        <v/>
      </c>
      <c r="AV88" s="131" t="str">
        <f t="shared" si="508"/>
        <v/>
      </c>
      <c r="AW88" s="69" t="str">
        <f t="shared" si="594"/>
        <v/>
      </c>
      <c r="AX88" s="132" t="str">
        <f t="shared" si="509"/>
        <v/>
      </c>
      <c r="AY88" s="132" t="str">
        <f t="shared" si="510"/>
        <v/>
      </c>
      <c r="AZ88" s="69" t="str">
        <f t="shared" si="369"/>
        <v/>
      </c>
      <c r="BA88" s="69" t="str">
        <f t="shared" si="370"/>
        <v/>
      </c>
      <c r="BB88" s="69" t="str">
        <f t="shared" si="511"/>
        <v/>
      </c>
      <c r="BC88" s="69" t="str">
        <f t="shared" si="371"/>
        <v/>
      </c>
      <c r="BD88" s="69" t="str">
        <f t="shared" si="372"/>
        <v/>
      </c>
      <c r="BE88" s="69" t="str">
        <f t="shared" si="512"/>
        <v/>
      </c>
      <c r="BF88" s="69" t="str">
        <f t="shared" si="373"/>
        <v/>
      </c>
      <c r="BG88" s="69" t="str">
        <f t="shared" si="374"/>
        <v/>
      </c>
      <c r="BH88" s="69" t="str">
        <f t="shared" si="513"/>
        <v/>
      </c>
      <c r="BI88" s="69" t="str">
        <f t="shared" si="375"/>
        <v/>
      </c>
      <c r="BJ88" s="69" t="str">
        <f t="shared" si="376"/>
        <v/>
      </c>
      <c r="BK88" s="69" t="str">
        <f t="shared" si="514"/>
        <v/>
      </c>
      <c r="BL88" s="69" t="str">
        <f t="shared" si="377"/>
        <v/>
      </c>
      <c r="BM88" s="69" t="str">
        <f t="shared" si="378"/>
        <v/>
      </c>
      <c r="BN88" s="69" t="str">
        <f t="shared" si="515"/>
        <v/>
      </c>
      <c r="BO88" s="69" t="str">
        <f t="shared" si="379"/>
        <v/>
      </c>
      <c r="BP88" s="69" t="str">
        <f t="shared" si="380"/>
        <v/>
      </c>
      <c r="BQ88" s="69" t="str">
        <f t="shared" si="516"/>
        <v/>
      </c>
      <c r="BR88" s="69" t="str">
        <f t="shared" si="381"/>
        <v/>
      </c>
      <c r="BS88" s="69" t="str">
        <f t="shared" si="382"/>
        <v/>
      </c>
      <c r="BT88" s="69" t="str">
        <f t="shared" si="517"/>
        <v/>
      </c>
      <c r="BU88" s="69" t="str">
        <f t="shared" si="383"/>
        <v/>
      </c>
      <c r="BV88" s="69" t="str">
        <f t="shared" si="384"/>
        <v/>
      </c>
      <c r="BW88" s="69" t="str">
        <f t="shared" si="518"/>
        <v/>
      </c>
      <c r="BX88" s="69" t="str">
        <f t="shared" si="385"/>
        <v/>
      </c>
      <c r="BY88" s="69" t="str">
        <f t="shared" si="386"/>
        <v/>
      </c>
      <c r="BZ88" s="69" t="str">
        <f t="shared" si="519"/>
        <v/>
      </c>
      <c r="CA88" s="69" t="str">
        <f t="shared" si="387"/>
        <v/>
      </c>
      <c r="CB88" s="69" t="str">
        <f t="shared" si="388"/>
        <v/>
      </c>
      <c r="CC88" s="69" t="str">
        <f t="shared" si="520"/>
        <v/>
      </c>
      <c r="CE88" s="69" t="str">
        <f t="shared" si="389"/>
        <v/>
      </c>
      <c r="CF88" s="69" t="str">
        <f t="shared" si="390"/>
        <v/>
      </c>
      <c r="CG88" s="69" t="str">
        <f t="shared" si="521"/>
        <v/>
      </c>
      <c r="CH88" s="69" t="str">
        <f t="shared" si="391"/>
        <v/>
      </c>
      <c r="CI88" s="69" t="str">
        <f t="shared" si="392"/>
        <v/>
      </c>
      <c r="CJ88" s="69" t="str">
        <f t="shared" si="522"/>
        <v/>
      </c>
      <c r="CK88" s="69" t="str">
        <f t="shared" si="393"/>
        <v/>
      </c>
      <c r="CL88" s="69" t="str">
        <f t="shared" si="394"/>
        <v/>
      </c>
      <c r="CM88" s="69" t="str">
        <f t="shared" si="523"/>
        <v/>
      </c>
      <c r="CN88" s="69" t="str">
        <f t="shared" si="395"/>
        <v/>
      </c>
      <c r="CO88" s="69" t="str">
        <f t="shared" si="396"/>
        <v/>
      </c>
      <c r="CP88" s="69" t="str">
        <f t="shared" si="524"/>
        <v/>
      </c>
      <c r="CQ88" s="69" t="str">
        <f t="shared" si="397"/>
        <v/>
      </c>
      <c r="CR88" s="69" t="str">
        <f t="shared" si="398"/>
        <v/>
      </c>
      <c r="CS88" s="69" t="str">
        <f t="shared" si="525"/>
        <v/>
      </c>
      <c r="CT88" s="69" t="str">
        <f t="shared" si="399"/>
        <v/>
      </c>
      <c r="CU88" s="69" t="str">
        <f t="shared" si="400"/>
        <v/>
      </c>
      <c r="CV88" s="69" t="str">
        <f t="shared" si="526"/>
        <v/>
      </c>
      <c r="CW88" s="69" t="str">
        <f t="shared" si="401"/>
        <v/>
      </c>
      <c r="CX88" s="69" t="str">
        <f t="shared" si="402"/>
        <v/>
      </c>
      <c r="CY88" s="69" t="str">
        <f t="shared" si="527"/>
        <v/>
      </c>
      <c r="CZ88" s="69" t="str">
        <f t="shared" si="403"/>
        <v/>
      </c>
      <c r="DA88" s="69" t="str">
        <f t="shared" si="404"/>
        <v/>
      </c>
      <c r="DB88" s="69" t="str">
        <f t="shared" si="528"/>
        <v/>
      </c>
      <c r="DC88" s="69" t="str">
        <f t="shared" si="405"/>
        <v/>
      </c>
      <c r="DD88" s="69" t="str">
        <f t="shared" si="406"/>
        <v/>
      </c>
      <c r="DE88" s="69" t="str">
        <f t="shared" si="529"/>
        <v/>
      </c>
      <c r="DG88" s="69" t="str">
        <f t="shared" si="407"/>
        <v/>
      </c>
      <c r="DH88" s="69" t="str">
        <f t="shared" si="408"/>
        <v/>
      </c>
      <c r="DI88" s="69" t="str">
        <f t="shared" si="530"/>
        <v/>
      </c>
      <c r="DJ88" s="69" t="str">
        <f t="shared" si="409"/>
        <v/>
      </c>
      <c r="DK88" s="69" t="str">
        <f t="shared" si="410"/>
        <v/>
      </c>
      <c r="DL88" s="69" t="str">
        <f t="shared" si="531"/>
        <v/>
      </c>
      <c r="DM88" s="69" t="str">
        <f t="shared" si="411"/>
        <v/>
      </c>
      <c r="DN88" s="69" t="str">
        <f t="shared" si="412"/>
        <v/>
      </c>
      <c r="DO88" s="69" t="str">
        <f t="shared" si="532"/>
        <v/>
      </c>
      <c r="DP88" s="69" t="str">
        <f t="shared" si="413"/>
        <v/>
      </c>
      <c r="DQ88" s="69" t="str">
        <f t="shared" si="414"/>
        <v/>
      </c>
      <c r="DR88" s="69" t="str">
        <f t="shared" si="533"/>
        <v/>
      </c>
      <c r="DS88" s="69" t="str">
        <f t="shared" si="415"/>
        <v/>
      </c>
      <c r="DT88" s="69" t="str">
        <f t="shared" si="416"/>
        <v/>
      </c>
      <c r="DU88" s="69" t="str">
        <f t="shared" si="534"/>
        <v/>
      </c>
      <c r="DV88" s="69" t="str">
        <f t="shared" si="417"/>
        <v/>
      </c>
      <c r="DW88" s="69" t="str">
        <f t="shared" si="418"/>
        <v/>
      </c>
      <c r="DX88" s="69" t="str">
        <f t="shared" si="535"/>
        <v/>
      </c>
      <c r="DY88" s="69" t="str">
        <f t="shared" si="419"/>
        <v/>
      </c>
      <c r="DZ88" s="69" t="str">
        <f t="shared" si="420"/>
        <v/>
      </c>
      <c r="EA88" s="69" t="str">
        <f t="shared" si="536"/>
        <v/>
      </c>
      <c r="EB88" s="69" t="str">
        <f t="shared" si="421"/>
        <v/>
      </c>
      <c r="EC88" s="69" t="str">
        <f t="shared" si="422"/>
        <v/>
      </c>
      <c r="ED88" s="69" t="str">
        <f t="shared" si="537"/>
        <v/>
      </c>
      <c r="EF88" s="69" t="str">
        <f t="shared" si="423"/>
        <v/>
      </c>
      <c r="EG88" s="69" t="str">
        <f t="shared" si="424"/>
        <v/>
      </c>
      <c r="EH88" s="69" t="str">
        <f t="shared" si="538"/>
        <v/>
      </c>
      <c r="EI88" s="69" t="str">
        <f t="shared" si="425"/>
        <v/>
      </c>
      <c r="EJ88" s="69" t="str">
        <f t="shared" si="426"/>
        <v/>
      </c>
      <c r="EK88" s="69" t="str">
        <f t="shared" si="539"/>
        <v/>
      </c>
      <c r="EL88" s="69" t="str">
        <f t="shared" si="427"/>
        <v/>
      </c>
      <c r="EM88" s="69" t="str">
        <f t="shared" si="428"/>
        <v/>
      </c>
      <c r="EN88" s="69" t="str">
        <f t="shared" si="540"/>
        <v/>
      </c>
      <c r="EO88" s="69" t="str">
        <f t="shared" si="429"/>
        <v/>
      </c>
      <c r="EP88" s="69" t="str">
        <f t="shared" si="430"/>
        <v/>
      </c>
      <c r="EQ88" s="69" t="str">
        <f t="shared" si="541"/>
        <v/>
      </c>
      <c r="ER88" s="69" t="str">
        <f t="shared" si="431"/>
        <v/>
      </c>
      <c r="ES88" s="69" t="str">
        <f t="shared" si="432"/>
        <v/>
      </c>
      <c r="ET88" s="69" t="str">
        <f t="shared" si="542"/>
        <v/>
      </c>
      <c r="EU88" s="69" t="str">
        <f t="shared" si="433"/>
        <v/>
      </c>
      <c r="EV88" s="69" t="str">
        <f t="shared" si="434"/>
        <v/>
      </c>
      <c r="EW88" s="69" t="str">
        <f t="shared" si="543"/>
        <v/>
      </c>
      <c r="EX88" s="69" t="str">
        <f t="shared" si="435"/>
        <v/>
      </c>
      <c r="EY88" s="69" t="str">
        <f t="shared" si="436"/>
        <v/>
      </c>
      <c r="EZ88" s="69" t="str">
        <f t="shared" si="544"/>
        <v/>
      </c>
      <c r="FB88" s="69" t="str">
        <f t="shared" si="437"/>
        <v/>
      </c>
      <c r="FC88" s="69" t="str">
        <f t="shared" si="438"/>
        <v/>
      </c>
      <c r="FD88" s="69" t="str">
        <f t="shared" si="545"/>
        <v/>
      </c>
      <c r="FE88" s="69" t="str">
        <f t="shared" si="439"/>
        <v/>
      </c>
      <c r="FF88" s="69" t="str">
        <f t="shared" si="440"/>
        <v/>
      </c>
      <c r="FG88" s="69" t="str">
        <f t="shared" si="546"/>
        <v/>
      </c>
      <c r="FH88" s="69" t="str">
        <f t="shared" si="441"/>
        <v/>
      </c>
      <c r="FI88" s="69" t="str">
        <f t="shared" si="442"/>
        <v/>
      </c>
      <c r="FJ88" s="69" t="str">
        <f t="shared" si="547"/>
        <v/>
      </c>
      <c r="FK88" s="69" t="str">
        <f t="shared" si="443"/>
        <v/>
      </c>
      <c r="FL88" s="69" t="str">
        <f t="shared" si="444"/>
        <v/>
      </c>
      <c r="FM88" s="69" t="str">
        <f t="shared" si="548"/>
        <v/>
      </c>
      <c r="FN88" s="69" t="str">
        <f t="shared" si="445"/>
        <v/>
      </c>
      <c r="FO88" s="69" t="str">
        <f t="shared" si="446"/>
        <v/>
      </c>
      <c r="FP88" s="69" t="str">
        <f t="shared" si="549"/>
        <v/>
      </c>
      <c r="FQ88" s="69" t="str">
        <f t="shared" si="447"/>
        <v/>
      </c>
      <c r="FR88" s="69" t="str">
        <f t="shared" si="448"/>
        <v/>
      </c>
      <c r="FS88" s="69" t="str">
        <f t="shared" si="550"/>
        <v/>
      </c>
      <c r="FU88" s="69" t="str">
        <f t="shared" si="449"/>
        <v/>
      </c>
      <c r="FV88" s="69" t="str">
        <f t="shared" si="450"/>
        <v/>
      </c>
      <c r="FW88" s="69" t="str">
        <f t="shared" si="551"/>
        <v/>
      </c>
      <c r="FX88" s="69" t="str">
        <f t="shared" si="451"/>
        <v/>
      </c>
      <c r="FY88" s="69" t="str">
        <f t="shared" si="452"/>
        <v/>
      </c>
      <c r="FZ88" s="69" t="str">
        <f t="shared" si="552"/>
        <v/>
      </c>
      <c r="GA88" s="69" t="str">
        <f t="shared" si="453"/>
        <v/>
      </c>
      <c r="GB88" s="69" t="str">
        <f t="shared" si="454"/>
        <v/>
      </c>
      <c r="GC88" s="69" t="str">
        <f t="shared" si="553"/>
        <v/>
      </c>
      <c r="GD88" s="69" t="str">
        <f t="shared" si="455"/>
        <v/>
      </c>
      <c r="GE88" s="69" t="str">
        <f t="shared" si="456"/>
        <v/>
      </c>
      <c r="GF88" s="69" t="str">
        <f t="shared" si="554"/>
        <v/>
      </c>
      <c r="GG88" s="69" t="str">
        <f t="shared" si="457"/>
        <v/>
      </c>
      <c r="GH88" s="69" t="str">
        <f t="shared" si="458"/>
        <v/>
      </c>
      <c r="GI88" s="69" t="str">
        <f t="shared" si="555"/>
        <v/>
      </c>
      <c r="GK88" s="69" t="str">
        <f t="shared" si="459"/>
        <v/>
      </c>
      <c r="GL88" s="69" t="str">
        <f t="shared" si="460"/>
        <v/>
      </c>
      <c r="GM88" s="69" t="str">
        <f t="shared" si="556"/>
        <v/>
      </c>
      <c r="GN88" s="69" t="str">
        <f t="shared" si="461"/>
        <v/>
      </c>
      <c r="GO88" s="69" t="str">
        <f t="shared" si="462"/>
        <v/>
      </c>
      <c r="GP88" s="69" t="str">
        <f t="shared" si="557"/>
        <v/>
      </c>
      <c r="GQ88" s="69" t="str">
        <f t="shared" si="463"/>
        <v/>
      </c>
      <c r="GR88" s="69" t="str">
        <f t="shared" si="464"/>
        <v/>
      </c>
      <c r="GS88" s="69" t="str">
        <f t="shared" si="558"/>
        <v/>
      </c>
      <c r="GT88" s="69" t="str">
        <f t="shared" si="465"/>
        <v/>
      </c>
      <c r="GU88" s="69" t="str">
        <f t="shared" si="466"/>
        <v/>
      </c>
      <c r="GV88" s="69" t="str">
        <f t="shared" si="559"/>
        <v/>
      </c>
      <c r="GX88" s="69" t="str">
        <f t="shared" si="560"/>
        <v/>
      </c>
      <c r="GY88" s="69" t="str">
        <f t="shared" si="561"/>
        <v/>
      </c>
      <c r="GZ88" s="69" t="str">
        <f t="shared" si="562"/>
        <v/>
      </c>
      <c r="HA88" s="69" t="str">
        <f t="shared" si="563"/>
        <v/>
      </c>
      <c r="HB88" s="69" t="str">
        <f t="shared" si="564"/>
        <v/>
      </c>
      <c r="HC88" s="69" t="str">
        <f t="shared" si="565"/>
        <v/>
      </c>
      <c r="HD88" s="69" t="str">
        <f t="shared" si="566"/>
        <v/>
      </c>
      <c r="HE88" s="69" t="str">
        <f t="shared" si="567"/>
        <v/>
      </c>
      <c r="HF88" s="69" t="str">
        <f t="shared" si="568"/>
        <v/>
      </c>
      <c r="HH88" s="69" t="str">
        <f t="shared" si="569"/>
        <v/>
      </c>
      <c r="HI88" s="69" t="str">
        <f t="shared" si="570"/>
        <v/>
      </c>
      <c r="HJ88" s="69" t="str">
        <f t="shared" si="571"/>
        <v/>
      </c>
      <c r="HK88" s="69" t="str">
        <f t="shared" si="572"/>
        <v/>
      </c>
      <c r="HL88" s="69" t="str">
        <f t="shared" si="573"/>
        <v/>
      </c>
      <c r="HM88" s="69" t="str">
        <f t="shared" si="574"/>
        <v/>
      </c>
      <c r="HO88" s="69" t="str">
        <f t="shared" si="575"/>
        <v/>
      </c>
      <c r="HP88" s="69" t="str">
        <f t="shared" si="576"/>
        <v/>
      </c>
      <c r="HQ88" s="69" t="str">
        <f t="shared" si="577"/>
        <v/>
      </c>
      <c r="HS88" s="69" t="str">
        <f t="shared" si="467"/>
        <v/>
      </c>
      <c r="HT88" s="69" t="str">
        <f t="shared" si="468"/>
        <v/>
      </c>
      <c r="HU88" s="69" t="str">
        <f t="shared" si="578"/>
        <v/>
      </c>
      <c r="HV88" s="69" t="str">
        <f t="shared" si="469"/>
        <v/>
      </c>
      <c r="HW88" s="69" t="str">
        <f t="shared" si="470"/>
        <v/>
      </c>
      <c r="HX88" s="69" t="str">
        <f t="shared" si="579"/>
        <v/>
      </c>
      <c r="HY88" s="69" t="str">
        <f t="shared" si="471"/>
        <v/>
      </c>
      <c r="HZ88" s="69" t="str">
        <f t="shared" si="472"/>
        <v/>
      </c>
      <c r="IA88" s="69" t="str">
        <f t="shared" si="580"/>
        <v/>
      </c>
      <c r="IB88" s="69" t="str">
        <f t="shared" si="473"/>
        <v/>
      </c>
      <c r="IC88" s="69" t="str">
        <f t="shared" si="474"/>
        <v/>
      </c>
      <c r="ID88" s="69" t="str">
        <f t="shared" si="581"/>
        <v/>
      </c>
      <c r="IE88" s="69" t="str">
        <f t="shared" si="475"/>
        <v/>
      </c>
      <c r="IF88" s="69" t="str">
        <f t="shared" si="476"/>
        <v/>
      </c>
      <c r="IG88" s="69" t="str">
        <f t="shared" si="582"/>
        <v/>
      </c>
      <c r="IH88" s="69" t="str">
        <f t="shared" si="477"/>
        <v/>
      </c>
      <c r="II88" s="69" t="str">
        <f t="shared" si="478"/>
        <v/>
      </c>
      <c r="IJ88" s="69" t="str">
        <f t="shared" si="583"/>
        <v/>
      </c>
      <c r="IK88" s="69" t="str">
        <f t="shared" si="479"/>
        <v/>
      </c>
      <c r="IL88" s="69" t="str">
        <f t="shared" si="480"/>
        <v/>
      </c>
      <c r="IM88" s="69" t="str">
        <f t="shared" si="584"/>
        <v/>
      </c>
      <c r="IN88" s="69" t="str">
        <f t="shared" si="585"/>
        <v/>
      </c>
      <c r="IO88" s="69" t="str">
        <f t="shared" si="586"/>
        <v/>
      </c>
      <c r="IP88" s="69" t="str">
        <f t="shared" si="587"/>
        <v/>
      </c>
      <c r="IQ88" s="69" t="str">
        <f t="shared" si="588"/>
        <v/>
      </c>
      <c r="IR88" s="69" t="str">
        <f t="shared" si="589"/>
        <v/>
      </c>
      <c r="IS88" s="69" t="str">
        <f t="shared" si="590"/>
        <v/>
      </c>
      <c r="IT88" s="69" t="str">
        <f t="shared" si="591"/>
        <v/>
      </c>
      <c r="IU88" s="69" t="str">
        <f t="shared" si="592"/>
        <v/>
      </c>
      <c r="IV88" s="69" t="str">
        <f t="shared" si="593"/>
        <v/>
      </c>
    </row>
    <row r="89" spans="1:256" x14ac:dyDescent="0.2">
      <c r="A89" s="57" t="s">
        <v>92</v>
      </c>
      <c r="B89" s="178"/>
      <c r="C89" s="179"/>
      <c r="D89" s="179"/>
      <c r="E89" s="179"/>
      <c r="F89" s="179"/>
      <c r="G89" s="180"/>
      <c r="H89" s="180"/>
      <c r="I89" s="181"/>
      <c r="J89" s="182"/>
      <c r="K89" s="185"/>
      <c r="L89" s="68">
        <f t="shared" si="360"/>
        <v>0</v>
      </c>
      <c r="M89" s="69" t="str">
        <f t="shared" si="361"/>
        <v/>
      </c>
      <c r="N89" s="69" t="str">
        <f t="shared" si="481"/>
        <v/>
      </c>
      <c r="O89" s="69" t="str">
        <f t="shared" si="482"/>
        <v/>
      </c>
      <c r="P89" s="69" t="str">
        <f t="shared" si="483"/>
        <v/>
      </c>
      <c r="Q89" s="70" t="str">
        <f t="shared" si="362"/>
        <v/>
      </c>
      <c r="R89" s="71" t="str">
        <f t="shared" si="484"/>
        <v/>
      </c>
      <c r="S89" s="71" t="str">
        <f t="shared" si="485"/>
        <v/>
      </c>
      <c r="T89" s="70" t="str">
        <f t="shared" si="363"/>
        <v/>
      </c>
      <c r="U89" s="71" t="str">
        <f t="shared" si="486"/>
        <v/>
      </c>
      <c r="V89" s="71" t="str">
        <f t="shared" si="487"/>
        <v/>
      </c>
      <c r="W89" s="70" t="str">
        <f t="shared" si="364"/>
        <v/>
      </c>
      <c r="X89" s="71" t="str">
        <f t="shared" si="488"/>
        <v/>
      </c>
      <c r="Y89" s="71" t="str">
        <f t="shared" si="489"/>
        <v/>
      </c>
      <c r="Z89" s="70" t="str">
        <f t="shared" si="365"/>
        <v/>
      </c>
      <c r="AA89" s="71" t="str">
        <f t="shared" si="490"/>
        <v/>
      </c>
      <c r="AB89" s="71" t="str">
        <f t="shared" si="491"/>
        <v/>
      </c>
      <c r="AC89" s="70" t="str">
        <f t="shared" si="366"/>
        <v/>
      </c>
      <c r="AD89" s="71" t="str">
        <f t="shared" si="492"/>
        <v/>
      </c>
      <c r="AE89" s="71" t="str">
        <f t="shared" si="493"/>
        <v/>
      </c>
      <c r="AF89" s="70" t="str">
        <f t="shared" si="367"/>
        <v/>
      </c>
      <c r="AG89" s="71" t="str">
        <f t="shared" si="494"/>
        <v/>
      </c>
      <c r="AH89" s="71" t="str">
        <f t="shared" si="495"/>
        <v/>
      </c>
      <c r="AI89" s="70" t="str">
        <f t="shared" si="368"/>
        <v/>
      </c>
      <c r="AJ89" s="71" t="str">
        <f t="shared" si="496"/>
        <v/>
      </c>
      <c r="AK89" s="71" t="str">
        <f t="shared" si="497"/>
        <v/>
      </c>
      <c r="AL89" s="70" t="str">
        <f t="shared" si="498"/>
        <v/>
      </c>
      <c r="AM89" s="71" t="str">
        <f t="shared" si="499"/>
        <v/>
      </c>
      <c r="AN89" s="71" t="str">
        <f t="shared" si="500"/>
        <v/>
      </c>
      <c r="AO89" s="70" t="str">
        <f t="shared" si="501"/>
        <v/>
      </c>
      <c r="AP89" s="71" t="str">
        <f t="shared" si="502"/>
        <v/>
      </c>
      <c r="AQ89" s="71" t="str">
        <f t="shared" si="503"/>
        <v/>
      </c>
      <c r="AR89" s="70" t="str">
        <f t="shared" si="504"/>
        <v/>
      </c>
      <c r="AS89" s="71" t="str">
        <f t="shared" si="505"/>
        <v/>
      </c>
      <c r="AT89" s="71" t="str">
        <f t="shared" si="506"/>
        <v/>
      </c>
      <c r="AU89" s="69" t="str">
        <f t="shared" si="507"/>
        <v/>
      </c>
      <c r="AV89" s="131" t="str">
        <f t="shared" si="508"/>
        <v/>
      </c>
      <c r="AW89" s="69" t="str">
        <f t="shared" si="594"/>
        <v/>
      </c>
      <c r="AX89" s="132" t="str">
        <f t="shared" si="509"/>
        <v/>
      </c>
      <c r="AY89" s="132" t="str">
        <f t="shared" si="510"/>
        <v/>
      </c>
      <c r="AZ89" s="69" t="str">
        <f t="shared" si="369"/>
        <v/>
      </c>
      <c r="BA89" s="69" t="str">
        <f t="shared" si="370"/>
        <v/>
      </c>
      <c r="BB89" s="69" t="str">
        <f t="shared" si="511"/>
        <v/>
      </c>
      <c r="BC89" s="69" t="str">
        <f t="shared" si="371"/>
        <v/>
      </c>
      <c r="BD89" s="69" t="str">
        <f t="shared" si="372"/>
        <v/>
      </c>
      <c r="BE89" s="69" t="str">
        <f t="shared" si="512"/>
        <v/>
      </c>
      <c r="BF89" s="69" t="str">
        <f t="shared" si="373"/>
        <v/>
      </c>
      <c r="BG89" s="69" t="str">
        <f t="shared" si="374"/>
        <v/>
      </c>
      <c r="BH89" s="69" t="str">
        <f t="shared" si="513"/>
        <v/>
      </c>
      <c r="BI89" s="69" t="str">
        <f t="shared" si="375"/>
        <v/>
      </c>
      <c r="BJ89" s="69" t="str">
        <f t="shared" si="376"/>
        <v/>
      </c>
      <c r="BK89" s="69" t="str">
        <f t="shared" si="514"/>
        <v/>
      </c>
      <c r="BL89" s="69" t="str">
        <f t="shared" si="377"/>
        <v/>
      </c>
      <c r="BM89" s="69" t="str">
        <f t="shared" si="378"/>
        <v/>
      </c>
      <c r="BN89" s="69" t="str">
        <f t="shared" si="515"/>
        <v/>
      </c>
      <c r="BO89" s="69" t="str">
        <f t="shared" si="379"/>
        <v/>
      </c>
      <c r="BP89" s="69" t="str">
        <f t="shared" si="380"/>
        <v/>
      </c>
      <c r="BQ89" s="69" t="str">
        <f t="shared" si="516"/>
        <v/>
      </c>
      <c r="BR89" s="69" t="str">
        <f t="shared" si="381"/>
        <v/>
      </c>
      <c r="BS89" s="69" t="str">
        <f t="shared" si="382"/>
        <v/>
      </c>
      <c r="BT89" s="69" t="str">
        <f t="shared" si="517"/>
        <v/>
      </c>
      <c r="BU89" s="69" t="str">
        <f t="shared" si="383"/>
        <v/>
      </c>
      <c r="BV89" s="69" t="str">
        <f t="shared" si="384"/>
        <v/>
      </c>
      <c r="BW89" s="69" t="str">
        <f t="shared" si="518"/>
        <v/>
      </c>
      <c r="BX89" s="69" t="str">
        <f t="shared" si="385"/>
        <v/>
      </c>
      <c r="BY89" s="69" t="str">
        <f t="shared" si="386"/>
        <v/>
      </c>
      <c r="BZ89" s="69" t="str">
        <f t="shared" si="519"/>
        <v/>
      </c>
      <c r="CA89" s="69" t="str">
        <f t="shared" si="387"/>
        <v/>
      </c>
      <c r="CB89" s="69" t="str">
        <f t="shared" si="388"/>
        <v/>
      </c>
      <c r="CC89" s="69" t="str">
        <f t="shared" si="520"/>
        <v/>
      </c>
      <c r="CE89" s="69" t="str">
        <f t="shared" si="389"/>
        <v/>
      </c>
      <c r="CF89" s="69" t="str">
        <f t="shared" si="390"/>
        <v/>
      </c>
      <c r="CG89" s="69" t="str">
        <f t="shared" si="521"/>
        <v/>
      </c>
      <c r="CH89" s="69" t="str">
        <f t="shared" si="391"/>
        <v/>
      </c>
      <c r="CI89" s="69" t="str">
        <f t="shared" si="392"/>
        <v/>
      </c>
      <c r="CJ89" s="69" t="str">
        <f t="shared" si="522"/>
        <v/>
      </c>
      <c r="CK89" s="69" t="str">
        <f t="shared" si="393"/>
        <v/>
      </c>
      <c r="CL89" s="69" t="str">
        <f t="shared" si="394"/>
        <v/>
      </c>
      <c r="CM89" s="69" t="str">
        <f t="shared" si="523"/>
        <v/>
      </c>
      <c r="CN89" s="69" t="str">
        <f t="shared" si="395"/>
        <v/>
      </c>
      <c r="CO89" s="69" t="str">
        <f t="shared" si="396"/>
        <v/>
      </c>
      <c r="CP89" s="69" t="str">
        <f t="shared" si="524"/>
        <v/>
      </c>
      <c r="CQ89" s="69" t="str">
        <f t="shared" si="397"/>
        <v/>
      </c>
      <c r="CR89" s="69" t="str">
        <f t="shared" si="398"/>
        <v/>
      </c>
      <c r="CS89" s="69" t="str">
        <f t="shared" si="525"/>
        <v/>
      </c>
      <c r="CT89" s="69" t="str">
        <f t="shared" si="399"/>
        <v/>
      </c>
      <c r="CU89" s="69" t="str">
        <f t="shared" si="400"/>
        <v/>
      </c>
      <c r="CV89" s="69" t="str">
        <f t="shared" si="526"/>
        <v/>
      </c>
      <c r="CW89" s="69" t="str">
        <f t="shared" si="401"/>
        <v/>
      </c>
      <c r="CX89" s="69" t="str">
        <f t="shared" si="402"/>
        <v/>
      </c>
      <c r="CY89" s="69" t="str">
        <f t="shared" si="527"/>
        <v/>
      </c>
      <c r="CZ89" s="69" t="str">
        <f t="shared" si="403"/>
        <v/>
      </c>
      <c r="DA89" s="69" t="str">
        <f t="shared" si="404"/>
        <v/>
      </c>
      <c r="DB89" s="69" t="str">
        <f t="shared" si="528"/>
        <v/>
      </c>
      <c r="DC89" s="69" t="str">
        <f t="shared" si="405"/>
        <v/>
      </c>
      <c r="DD89" s="69" t="str">
        <f t="shared" si="406"/>
        <v/>
      </c>
      <c r="DE89" s="69" t="str">
        <f t="shared" si="529"/>
        <v/>
      </c>
      <c r="DG89" s="69" t="str">
        <f t="shared" si="407"/>
        <v/>
      </c>
      <c r="DH89" s="69" t="str">
        <f t="shared" si="408"/>
        <v/>
      </c>
      <c r="DI89" s="69" t="str">
        <f t="shared" si="530"/>
        <v/>
      </c>
      <c r="DJ89" s="69" t="str">
        <f t="shared" si="409"/>
        <v/>
      </c>
      <c r="DK89" s="69" t="str">
        <f t="shared" si="410"/>
        <v/>
      </c>
      <c r="DL89" s="69" t="str">
        <f t="shared" si="531"/>
        <v/>
      </c>
      <c r="DM89" s="69" t="str">
        <f t="shared" si="411"/>
        <v/>
      </c>
      <c r="DN89" s="69" t="str">
        <f t="shared" si="412"/>
        <v/>
      </c>
      <c r="DO89" s="69" t="str">
        <f t="shared" si="532"/>
        <v/>
      </c>
      <c r="DP89" s="69" t="str">
        <f t="shared" si="413"/>
        <v/>
      </c>
      <c r="DQ89" s="69" t="str">
        <f t="shared" si="414"/>
        <v/>
      </c>
      <c r="DR89" s="69" t="str">
        <f t="shared" si="533"/>
        <v/>
      </c>
      <c r="DS89" s="69" t="str">
        <f t="shared" si="415"/>
        <v/>
      </c>
      <c r="DT89" s="69" t="str">
        <f t="shared" si="416"/>
        <v/>
      </c>
      <c r="DU89" s="69" t="str">
        <f t="shared" si="534"/>
        <v/>
      </c>
      <c r="DV89" s="69" t="str">
        <f t="shared" si="417"/>
        <v/>
      </c>
      <c r="DW89" s="69" t="str">
        <f t="shared" si="418"/>
        <v/>
      </c>
      <c r="DX89" s="69" t="str">
        <f t="shared" si="535"/>
        <v/>
      </c>
      <c r="DY89" s="69" t="str">
        <f t="shared" si="419"/>
        <v/>
      </c>
      <c r="DZ89" s="69" t="str">
        <f t="shared" si="420"/>
        <v/>
      </c>
      <c r="EA89" s="69" t="str">
        <f t="shared" si="536"/>
        <v/>
      </c>
      <c r="EB89" s="69" t="str">
        <f t="shared" si="421"/>
        <v/>
      </c>
      <c r="EC89" s="69" t="str">
        <f t="shared" si="422"/>
        <v/>
      </c>
      <c r="ED89" s="69" t="str">
        <f t="shared" si="537"/>
        <v/>
      </c>
      <c r="EF89" s="69" t="str">
        <f t="shared" si="423"/>
        <v/>
      </c>
      <c r="EG89" s="69" t="str">
        <f t="shared" si="424"/>
        <v/>
      </c>
      <c r="EH89" s="69" t="str">
        <f t="shared" si="538"/>
        <v/>
      </c>
      <c r="EI89" s="69" t="str">
        <f t="shared" si="425"/>
        <v/>
      </c>
      <c r="EJ89" s="69" t="str">
        <f t="shared" si="426"/>
        <v/>
      </c>
      <c r="EK89" s="69" t="str">
        <f t="shared" si="539"/>
        <v/>
      </c>
      <c r="EL89" s="69" t="str">
        <f t="shared" si="427"/>
        <v/>
      </c>
      <c r="EM89" s="69" t="str">
        <f t="shared" si="428"/>
        <v/>
      </c>
      <c r="EN89" s="69" t="str">
        <f t="shared" si="540"/>
        <v/>
      </c>
      <c r="EO89" s="69" t="str">
        <f t="shared" si="429"/>
        <v/>
      </c>
      <c r="EP89" s="69" t="str">
        <f t="shared" si="430"/>
        <v/>
      </c>
      <c r="EQ89" s="69" t="str">
        <f t="shared" si="541"/>
        <v/>
      </c>
      <c r="ER89" s="69" t="str">
        <f t="shared" si="431"/>
        <v/>
      </c>
      <c r="ES89" s="69" t="str">
        <f t="shared" si="432"/>
        <v/>
      </c>
      <c r="ET89" s="69" t="str">
        <f t="shared" si="542"/>
        <v/>
      </c>
      <c r="EU89" s="69" t="str">
        <f t="shared" si="433"/>
        <v/>
      </c>
      <c r="EV89" s="69" t="str">
        <f t="shared" si="434"/>
        <v/>
      </c>
      <c r="EW89" s="69" t="str">
        <f t="shared" si="543"/>
        <v/>
      </c>
      <c r="EX89" s="69" t="str">
        <f t="shared" si="435"/>
        <v/>
      </c>
      <c r="EY89" s="69" t="str">
        <f t="shared" si="436"/>
        <v/>
      </c>
      <c r="EZ89" s="69" t="str">
        <f t="shared" si="544"/>
        <v/>
      </c>
      <c r="FB89" s="69" t="str">
        <f t="shared" si="437"/>
        <v/>
      </c>
      <c r="FC89" s="69" t="str">
        <f t="shared" si="438"/>
        <v/>
      </c>
      <c r="FD89" s="69" t="str">
        <f t="shared" si="545"/>
        <v/>
      </c>
      <c r="FE89" s="69" t="str">
        <f t="shared" si="439"/>
        <v/>
      </c>
      <c r="FF89" s="69" t="str">
        <f t="shared" si="440"/>
        <v/>
      </c>
      <c r="FG89" s="69" t="str">
        <f t="shared" si="546"/>
        <v/>
      </c>
      <c r="FH89" s="69" t="str">
        <f t="shared" si="441"/>
        <v/>
      </c>
      <c r="FI89" s="69" t="str">
        <f t="shared" si="442"/>
        <v/>
      </c>
      <c r="FJ89" s="69" t="str">
        <f t="shared" si="547"/>
        <v/>
      </c>
      <c r="FK89" s="69" t="str">
        <f t="shared" si="443"/>
        <v/>
      </c>
      <c r="FL89" s="69" t="str">
        <f t="shared" si="444"/>
        <v/>
      </c>
      <c r="FM89" s="69" t="str">
        <f t="shared" si="548"/>
        <v/>
      </c>
      <c r="FN89" s="69" t="str">
        <f t="shared" si="445"/>
        <v/>
      </c>
      <c r="FO89" s="69" t="str">
        <f t="shared" si="446"/>
        <v/>
      </c>
      <c r="FP89" s="69" t="str">
        <f t="shared" si="549"/>
        <v/>
      </c>
      <c r="FQ89" s="69" t="str">
        <f t="shared" si="447"/>
        <v/>
      </c>
      <c r="FR89" s="69" t="str">
        <f t="shared" si="448"/>
        <v/>
      </c>
      <c r="FS89" s="69" t="str">
        <f t="shared" si="550"/>
        <v/>
      </c>
      <c r="FU89" s="69" t="str">
        <f t="shared" si="449"/>
        <v/>
      </c>
      <c r="FV89" s="69" t="str">
        <f t="shared" si="450"/>
        <v/>
      </c>
      <c r="FW89" s="69" t="str">
        <f t="shared" si="551"/>
        <v/>
      </c>
      <c r="FX89" s="69" t="str">
        <f t="shared" si="451"/>
        <v/>
      </c>
      <c r="FY89" s="69" t="str">
        <f t="shared" si="452"/>
        <v/>
      </c>
      <c r="FZ89" s="69" t="str">
        <f t="shared" si="552"/>
        <v/>
      </c>
      <c r="GA89" s="69" t="str">
        <f t="shared" si="453"/>
        <v/>
      </c>
      <c r="GB89" s="69" t="str">
        <f t="shared" si="454"/>
        <v/>
      </c>
      <c r="GC89" s="69" t="str">
        <f t="shared" si="553"/>
        <v/>
      </c>
      <c r="GD89" s="69" t="str">
        <f t="shared" si="455"/>
        <v/>
      </c>
      <c r="GE89" s="69" t="str">
        <f t="shared" si="456"/>
        <v/>
      </c>
      <c r="GF89" s="69" t="str">
        <f t="shared" si="554"/>
        <v/>
      </c>
      <c r="GG89" s="69" t="str">
        <f t="shared" si="457"/>
        <v/>
      </c>
      <c r="GH89" s="69" t="str">
        <f t="shared" si="458"/>
        <v/>
      </c>
      <c r="GI89" s="69" t="str">
        <f t="shared" si="555"/>
        <v/>
      </c>
      <c r="GK89" s="69" t="str">
        <f t="shared" si="459"/>
        <v/>
      </c>
      <c r="GL89" s="69" t="str">
        <f t="shared" si="460"/>
        <v/>
      </c>
      <c r="GM89" s="69" t="str">
        <f t="shared" si="556"/>
        <v/>
      </c>
      <c r="GN89" s="69" t="str">
        <f t="shared" si="461"/>
        <v/>
      </c>
      <c r="GO89" s="69" t="str">
        <f t="shared" si="462"/>
        <v/>
      </c>
      <c r="GP89" s="69" t="str">
        <f t="shared" si="557"/>
        <v/>
      </c>
      <c r="GQ89" s="69" t="str">
        <f t="shared" si="463"/>
        <v/>
      </c>
      <c r="GR89" s="69" t="str">
        <f t="shared" si="464"/>
        <v/>
      </c>
      <c r="GS89" s="69" t="str">
        <f t="shared" si="558"/>
        <v/>
      </c>
      <c r="GT89" s="69" t="str">
        <f t="shared" si="465"/>
        <v/>
      </c>
      <c r="GU89" s="69" t="str">
        <f t="shared" si="466"/>
        <v/>
      </c>
      <c r="GV89" s="69" t="str">
        <f t="shared" si="559"/>
        <v/>
      </c>
      <c r="GX89" s="69" t="str">
        <f t="shared" si="560"/>
        <v/>
      </c>
      <c r="GY89" s="69" t="str">
        <f t="shared" si="561"/>
        <v/>
      </c>
      <c r="GZ89" s="69" t="str">
        <f t="shared" si="562"/>
        <v/>
      </c>
      <c r="HA89" s="69" t="str">
        <f t="shared" si="563"/>
        <v/>
      </c>
      <c r="HB89" s="69" t="str">
        <f t="shared" si="564"/>
        <v/>
      </c>
      <c r="HC89" s="69" t="str">
        <f t="shared" si="565"/>
        <v/>
      </c>
      <c r="HD89" s="69" t="str">
        <f t="shared" si="566"/>
        <v/>
      </c>
      <c r="HE89" s="69" t="str">
        <f t="shared" si="567"/>
        <v/>
      </c>
      <c r="HF89" s="69" t="str">
        <f t="shared" si="568"/>
        <v/>
      </c>
      <c r="HH89" s="69" t="str">
        <f t="shared" si="569"/>
        <v/>
      </c>
      <c r="HI89" s="69" t="str">
        <f t="shared" si="570"/>
        <v/>
      </c>
      <c r="HJ89" s="69" t="str">
        <f t="shared" si="571"/>
        <v/>
      </c>
      <c r="HK89" s="69" t="str">
        <f t="shared" si="572"/>
        <v/>
      </c>
      <c r="HL89" s="69" t="str">
        <f t="shared" si="573"/>
        <v/>
      </c>
      <c r="HM89" s="69" t="str">
        <f t="shared" si="574"/>
        <v/>
      </c>
      <c r="HO89" s="69" t="str">
        <f t="shared" si="575"/>
        <v/>
      </c>
      <c r="HP89" s="69" t="str">
        <f t="shared" si="576"/>
        <v/>
      </c>
      <c r="HQ89" s="69" t="str">
        <f t="shared" si="577"/>
        <v/>
      </c>
      <c r="HS89" s="69" t="str">
        <f t="shared" si="467"/>
        <v/>
      </c>
      <c r="HT89" s="69" t="str">
        <f t="shared" si="468"/>
        <v/>
      </c>
      <c r="HU89" s="69" t="str">
        <f t="shared" si="578"/>
        <v/>
      </c>
      <c r="HV89" s="69" t="str">
        <f t="shared" si="469"/>
        <v/>
      </c>
      <c r="HW89" s="69" t="str">
        <f t="shared" si="470"/>
        <v/>
      </c>
      <c r="HX89" s="69" t="str">
        <f t="shared" si="579"/>
        <v/>
      </c>
      <c r="HY89" s="69" t="str">
        <f t="shared" si="471"/>
        <v/>
      </c>
      <c r="HZ89" s="69" t="str">
        <f t="shared" si="472"/>
        <v/>
      </c>
      <c r="IA89" s="69" t="str">
        <f t="shared" si="580"/>
        <v/>
      </c>
      <c r="IB89" s="69" t="str">
        <f t="shared" si="473"/>
        <v/>
      </c>
      <c r="IC89" s="69" t="str">
        <f t="shared" si="474"/>
        <v/>
      </c>
      <c r="ID89" s="69" t="str">
        <f t="shared" si="581"/>
        <v/>
      </c>
      <c r="IE89" s="69" t="str">
        <f t="shared" si="475"/>
        <v/>
      </c>
      <c r="IF89" s="69" t="str">
        <f t="shared" si="476"/>
        <v/>
      </c>
      <c r="IG89" s="69" t="str">
        <f t="shared" si="582"/>
        <v/>
      </c>
      <c r="IH89" s="69" t="str">
        <f t="shared" si="477"/>
        <v/>
      </c>
      <c r="II89" s="69" t="str">
        <f t="shared" si="478"/>
        <v/>
      </c>
      <c r="IJ89" s="69" t="str">
        <f t="shared" si="583"/>
        <v/>
      </c>
      <c r="IK89" s="69" t="str">
        <f t="shared" si="479"/>
        <v/>
      </c>
      <c r="IL89" s="69" t="str">
        <f t="shared" si="480"/>
        <v/>
      </c>
      <c r="IM89" s="69" t="str">
        <f t="shared" si="584"/>
        <v/>
      </c>
      <c r="IN89" s="69" t="str">
        <f t="shared" si="585"/>
        <v/>
      </c>
      <c r="IO89" s="69" t="str">
        <f t="shared" si="586"/>
        <v/>
      </c>
      <c r="IP89" s="69" t="str">
        <f t="shared" si="587"/>
        <v/>
      </c>
      <c r="IQ89" s="69" t="str">
        <f t="shared" si="588"/>
        <v/>
      </c>
      <c r="IR89" s="69" t="str">
        <f t="shared" si="589"/>
        <v/>
      </c>
      <c r="IS89" s="69" t="str">
        <f t="shared" si="590"/>
        <v/>
      </c>
      <c r="IT89" s="69" t="str">
        <f t="shared" si="591"/>
        <v/>
      </c>
      <c r="IU89" s="69" t="str">
        <f t="shared" si="592"/>
        <v/>
      </c>
      <c r="IV89" s="69" t="str">
        <f t="shared" si="593"/>
        <v/>
      </c>
    </row>
    <row r="90" spans="1:256" x14ac:dyDescent="0.2">
      <c r="A90" s="57" t="s">
        <v>93</v>
      </c>
      <c r="B90" s="188"/>
      <c r="C90" s="182"/>
      <c r="D90" s="180"/>
      <c r="E90" s="181"/>
      <c r="F90" s="182"/>
      <c r="G90" s="180"/>
      <c r="H90" s="181"/>
      <c r="I90" s="181"/>
      <c r="J90" s="182"/>
      <c r="K90" s="186"/>
      <c r="L90" s="68">
        <f t="shared" ref="L90:L105" si="595">COUNT(B90:K90)</f>
        <v>0</v>
      </c>
      <c r="M90" s="69" t="str">
        <f t="shared" ref="M90:M105" si="596">IF(L90&gt;0,GEOMEAN(B90:K90),"")</f>
        <v/>
      </c>
      <c r="N90" s="69" t="str">
        <f t="shared" si="481"/>
        <v/>
      </c>
      <c r="O90" s="69" t="str">
        <f t="shared" si="482"/>
        <v/>
      </c>
      <c r="P90" s="69" t="str">
        <f t="shared" si="483"/>
        <v/>
      </c>
      <c r="Q90" s="70" t="str">
        <f t="shared" ref="Q90:Q105" si="597">IF((L90&gt;0)*AND(B$109&gt;0),B90,"")</f>
        <v/>
      </c>
      <c r="R90" s="71" t="str">
        <f t="shared" si="484"/>
        <v/>
      </c>
      <c r="S90" s="71" t="str">
        <f t="shared" si="485"/>
        <v/>
      </c>
      <c r="T90" s="70" t="str">
        <f t="shared" ref="T90:T105" si="598">IF((L90&gt;0)*AND(C$109&gt;0),C90,"")</f>
        <v/>
      </c>
      <c r="U90" s="71" t="str">
        <f t="shared" si="486"/>
        <v/>
      </c>
      <c r="V90" s="71" t="str">
        <f t="shared" si="487"/>
        <v/>
      </c>
      <c r="W90" s="70" t="str">
        <f t="shared" ref="W90:W105" si="599">IF((L90&gt;0)*AND(D$109&gt;0),D90,"")</f>
        <v/>
      </c>
      <c r="X90" s="71" t="str">
        <f t="shared" si="488"/>
        <v/>
      </c>
      <c r="Y90" s="71" t="str">
        <f t="shared" si="489"/>
        <v/>
      </c>
      <c r="Z90" s="70" t="str">
        <f t="shared" ref="Z90:Z105" si="600">IF((L90&gt;0)*AND(E$109&gt;0),E90,"")</f>
        <v/>
      </c>
      <c r="AA90" s="71" t="str">
        <f t="shared" si="490"/>
        <v/>
      </c>
      <c r="AB90" s="71" t="str">
        <f t="shared" si="491"/>
        <v/>
      </c>
      <c r="AC90" s="70" t="str">
        <f t="shared" ref="AC90:AC105" si="601">IF((L90&gt;0)*AND(F$109&gt;0),F90,"")</f>
        <v/>
      </c>
      <c r="AD90" s="71" t="str">
        <f t="shared" si="492"/>
        <v/>
      </c>
      <c r="AE90" s="71" t="str">
        <f t="shared" si="493"/>
        <v/>
      </c>
      <c r="AF90" s="70" t="str">
        <f t="shared" si="367"/>
        <v/>
      </c>
      <c r="AG90" s="71" t="str">
        <f t="shared" si="494"/>
        <v/>
      </c>
      <c r="AH90" s="71" t="str">
        <f t="shared" si="495"/>
        <v/>
      </c>
      <c r="AI90" s="70" t="str">
        <f t="shared" si="368"/>
        <v/>
      </c>
      <c r="AJ90" s="71" t="str">
        <f t="shared" si="496"/>
        <v/>
      </c>
      <c r="AK90" s="71" t="str">
        <f t="shared" si="497"/>
        <v/>
      </c>
      <c r="AL90" s="70" t="str">
        <f t="shared" si="498"/>
        <v/>
      </c>
      <c r="AM90" s="71" t="str">
        <f t="shared" si="499"/>
        <v/>
      </c>
      <c r="AN90" s="71" t="str">
        <f t="shared" si="500"/>
        <v/>
      </c>
      <c r="AO90" s="70" t="str">
        <f t="shared" si="501"/>
        <v/>
      </c>
      <c r="AP90" s="71" t="str">
        <f t="shared" si="502"/>
        <v/>
      </c>
      <c r="AQ90" s="71" t="str">
        <f t="shared" si="503"/>
        <v/>
      </c>
      <c r="AR90" s="70" t="str">
        <f t="shared" si="504"/>
        <v/>
      </c>
      <c r="AS90" s="71" t="str">
        <f t="shared" si="505"/>
        <v/>
      </c>
      <c r="AT90" s="71" t="str">
        <f t="shared" si="506"/>
        <v/>
      </c>
      <c r="AU90" s="69" t="str">
        <f t="shared" si="507"/>
        <v/>
      </c>
      <c r="AV90" s="131" t="str">
        <f t="shared" si="508"/>
        <v/>
      </c>
      <c r="AW90" s="69" t="str">
        <f t="shared" si="594"/>
        <v/>
      </c>
      <c r="AX90" s="132" t="str">
        <f t="shared" si="509"/>
        <v/>
      </c>
      <c r="AY90" s="132" t="str">
        <f t="shared" si="510"/>
        <v/>
      </c>
      <c r="AZ90" s="69" t="str">
        <f t="shared" ref="AZ90:AZ105" si="602">IF(AND(NOT($B90=""),NOT(C90="")),$B90,"")</f>
        <v/>
      </c>
      <c r="BA90" s="69" t="str">
        <f t="shared" ref="BA90:BA105" si="603">IF(AND(NOT($C90=""),NOT(B90="")),$C90,"")</f>
        <v/>
      </c>
      <c r="BB90" s="69" t="str">
        <f t="shared" si="511"/>
        <v/>
      </c>
      <c r="BC90" s="69" t="str">
        <f t="shared" ref="BC90:BC105" si="604">IF(AND(NOT($B90=""),NOT(D90="")),$B90,"")</f>
        <v/>
      </c>
      <c r="BD90" s="69" t="str">
        <f t="shared" ref="BD90:BD105" si="605">IF(AND(NOT($D90=""),NOT(B90="")),$D90,"")</f>
        <v/>
      </c>
      <c r="BE90" s="69" t="str">
        <f t="shared" si="512"/>
        <v/>
      </c>
      <c r="BF90" s="69" t="str">
        <f t="shared" ref="BF90:BF105" si="606">IF(AND(NOT($B90=""),NOT(E90="")),$B90,"")</f>
        <v/>
      </c>
      <c r="BG90" s="69" t="str">
        <f t="shared" ref="BG90:BG105" si="607">IF(AND(NOT($E90=""),NOT(B90="")),$E90,"")</f>
        <v/>
      </c>
      <c r="BH90" s="69" t="str">
        <f t="shared" si="513"/>
        <v/>
      </c>
      <c r="BI90" s="69" t="str">
        <f t="shared" ref="BI90:BI105" si="608">IF(AND(NOT($B90=""),NOT(F90="")),$B90,"")</f>
        <v/>
      </c>
      <c r="BJ90" s="69" t="str">
        <f t="shared" ref="BJ90:BJ105" si="609">IF(AND(NOT($F90=""),NOT(B90="")),$F90,"")</f>
        <v/>
      </c>
      <c r="BK90" s="69" t="str">
        <f t="shared" si="514"/>
        <v/>
      </c>
      <c r="BL90" s="69" t="str">
        <f t="shared" ref="BL90:BL105" si="610">IF(AND(NOT($B90=""),NOT(G90="")),$B90,"")</f>
        <v/>
      </c>
      <c r="BM90" s="69" t="str">
        <f t="shared" ref="BM90:BM105" si="611">IF(AND(NOT($G90=""),NOT(B90="")),$G90,"")</f>
        <v/>
      </c>
      <c r="BN90" s="69" t="str">
        <f t="shared" si="515"/>
        <v/>
      </c>
      <c r="BO90" s="69" t="str">
        <f t="shared" ref="BO90:BO105" si="612">IF(AND(NOT($B90=""),NOT(H90="")),$B90,"")</f>
        <v/>
      </c>
      <c r="BP90" s="69" t="str">
        <f t="shared" ref="BP90:BP105" si="613">IF(AND(NOT($H90=""),NOT(B90="")),$H90,"")</f>
        <v/>
      </c>
      <c r="BQ90" s="69" t="str">
        <f t="shared" si="516"/>
        <v/>
      </c>
      <c r="BR90" s="69" t="str">
        <f t="shared" ref="BR90:BR105" si="614">IF(AND(NOT($B90=""),NOT(I90="")),$B90,"")</f>
        <v/>
      </c>
      <c r="BS90" s="69" t="str">
        <f t="shared" ref="BS90:BS105" si="615">IF(AND(NOT($I90=""),NOT(B90="")),$I90,"")</f>
        <v/>
      </c>
      <c r="BT90" s="69" t="str">
        <f t="shared" si="517"/>
        <v/>
      </c>
      <c r="BU90" s="69" t="str">
        <f t="shared" ref="BU90:BU105" si="616">IF(AND(NOT($B90=""),NOT(J90="")),$B90,"")</f>
        <v/>
      </c>
      <c r="BV90" s="69" t="str">
        <f t="shared" ref="BV90:BV105" si="617">IF(AND(NOT($J90=""),NOT(B90="")),$J90,"")</f>
        <v/>
      </c>
      <c r="BW90" s="69" t="str">
        <f t="shared" si="518"/>
        <v/>
      </c>
      <c r="BX90" s="69" t="str">
        <f t="shared" ref="BX90:BX105" si="618">IF(AND(NOT($B90=""),NOT(K90="")),$B90,"")</f>
        <v/>
      </c>
      <c r="BY90" s="69" t="str">
        <f t="shared" ref="BY90:BY105" si="619">IF(AND(NOT($K90=""),NOT(B90="")),$K90,"")</f>
        <v/>
      </c>
      <c r="BZ90" s="69" t="str">
        <f t="shared" si="519"/>
        <v/>
      </c>
      <c r="CA90" s="69" t="str">
        <f t="shared" ref="CA90:CA105" si="620">IF(AND(NOT($B90=""),NOT(M90="")),$B90,"")</f>
        <v/>
      </c>
      <c r="CB90" s="69" t="str">
        <f t="shared" ref="CB90:CB105" si="621">IF(AND(NOT($M90=""),NOT(B90="")),$M90,"")</f>
        <v/>
      </c>
      <c r="CC90" s="69" t="str">
        <f t="shared" si="520"/>
        <v/>
      </c>
      <c r="CE90" s="69" t="str">
        <f t="shared" ref="CE90:CE105" si="622">IF(AND(NOT($C90=""),NOT(D90="")),$C90,"")</f>
        <v/>
      </c>
      <c r="CF90" s="69" t="str">
        <f t="shared" ref="CF90:CF105" si="623">IF(AND(NOT($D90=""),NOT(C90="")),$D90,"")</f>
        <v/>
      </c>
      <c r="CG90" s="69" t="str">
        <f t="shared" si="521"/>
        <v/>
      </c>
      <c r="CH90" s="69" t="str">
        <f t="shared" ref="CH90:CH105" si="624">IF(AND(NOT($C90=""),NOT(E90="")),$C90,"")</f>
        <v/>
      </c>
      <c r="CI90" s="69" t="str">
        <f t="shared" ref="CI90:CI105" si="625">IF(AND(NOT($E90=""),NOT(C90="")),$E90,"")</f>
        <v/>
      </c>
      <c r="CJ90" s="69" t="str">
        <f t="shared" si="522"/>
        <v/>
      </c>
      <c r="CK90" s="69" t="str">
        <f t="shared" ref="CK90:CK105" si="626">IF(AND(NOT($C90=""),NOT(F90="")),$C90,"")</f>
        <v/>
      </c>
      <c r="CL90" s="69" t="str">
        <f t="shared" ref="CL90:CL105" si="627">IF(AND(NOT($F90=""),NOT(C90="")),$F90,"")</f>
        <v/>
      </c>
      <c r="CM90" s="69" t="str">
        <f t="shared" si="523"/>
        <v/>
      </c>
      <c r="CN90" s="69" t="str">
        <f t="shared" ref="CN90:CN105" si="628">IF(AND(NOT($C90=""),NOT(G90="")),$C90,"")</f>
        <v/>
      </c>
      <c r="CO90" s="69" t="str">
        <f t="shared" ref="CO90:CO105" si="629">IF(AND(NOT($G90=""),NOT(C90="")),$G90,"")</f>
        <v/>
      </c>
      <c r="CP90" s="69" t="str">
        <f t="shared" si="524"/>
        <v/>
      </c>
      <c r="CQ90" s="69" t="str">
        <f t="shared" ref="CQ90:CQ105" si="630">IF(AND(NOT($C90=""),NOT(H90="")),$C90,"")</f>
        <v/>
      </c>
      <c r="CR90" s="69" t="str">
        <f t="shared" ref="CR90:CR105" si="631">IF(AND(NOT($H90=""),NOT(C90="")),$H90,"")</f>
        <v/>
      </c>
      <c r="CS90" s="69" t="str">
        <f t="shared" si="525"/>
        <v/>
      </c>
      <c r="CT90" s="69" t="str">
        <f t="shared" ref="CT90:CT105" si="632">IF(AND(NOT($C90=""),NOT(I90="")),$C90,"")</f>
        <v/>
      </c>
      <c r="CU90" s="69" t="str">
        <f t="shared" ref="CU90:CU105" si="633">IF(AND(NOT($I90=""),NOT(C90="")),$I90,"")</f>
        <v/>
      </c>
      <c r="CV90" s="69" t="str">
        <f t="shared" si="526"/>
        <v/>
      </c>
      <c r="CW90" s="69" t="str">
        <f t="shared" ref="CW90:CW105" si="634">IF(AND(NOT($C90=""),NOT(J90="")),$C90,"")</f>
        <v/>
      </c>
      <c r="CX90" s="69" t="str">
        <f t="shared" ref="CX90:CX105" si="635">IF(AND(NOT($J90=""),NOT(C90="")),$J90,"")</f>
        <v/>
      </c>
      <c r="CY90" s="69" t="str">
        <f t="shared" si="527"/>
        <v/>
      </c>
      <c r="CZ90" s="69" t="str">
        <f t="shared" ref="CZ90:CZ105" si="636">IF(AND(NOT($C90=""),NOT(K90="")),$C90,"")</f>
        <v/>
      </c>
      <c r="DA90" s="69" t="str">
        <f t="shared" ref="DA90:DA105" si="637">IF(AND(NOT($K90=""),NOT(C90="")),$K90,"")</f>
        <v/>
      </c>
      <c r="DB90" s="69" t="str">
        <f t="shared" si="528"/>
        <v/>
      </c>
      <c r="DC90" s="69" t="str">
        <f t="shared" ref="DC90:DC105" si="638">IF(AND(NOT($C90=""),NOT($M90="")),$C90,"")</f>
        <v/>
      </c>
      <c r="DD90" s="69" t="str">
        <f t="shared" ref="DD90:DD105" si="639">IF(AND(NOT($M90=""),NOT(C90="")),$M90,"")</f>
        <v/>
      </c>
      <c r="DE90" s="69" t="str">
        <f t="shared" si="529"/>
        <v/>
      </c>
      <c r="DG90" s="69" t="str">
        <f t="shared" ref="DG90:DG105" si="640">IF(AND(NOT($D90=""),NOT(E90="")),$D90,"")</f>
        <v/>
      </c>
      <c r="DH90" s="69" t="str">
        <f t="shared" ref="DH90:DH105" si="641">IF(AND(NOT($E90=""),NOT(D90="")),$E90,"")</f>
        <v/>
      </c>
      <c r="DI90" s="69" t="str">
        <f t="shared" si="530"/>
        <v/>
      </c>
      <c r="DJ90" s="69" t="str">
        <f t="shared" ref="DJ90:DJ105" si="642">IF(AND(NOT($D90=""),NOT(F90="")),$D90,"")</f>
        <v/>
      </c>
      <c r="DK90" s="69" t="str">
        <f t="shared" ref="DK90:DK105" si="643">IF(AND(NOT($F90=""),NOT(E90="")),$F90,"")</f>
        <v/>
      </c>
      <c r="DL90" s="69" t="str">
        <f t="shared" si="531"/>
        <v/>
      </c>
      <c r="DM90" s="69" t="str">
        <f t="shared" ref="DM90:DM105" si="644">IF(AND(NOT($D90=""),NOT(G90="")),$D90,"")</f>
        <v/>
      </c>
      <c r="DN90" s="69" t="str">
        <f t="shared" ref="DN90:DN105" si="645">IF(AND(NOT($G90=""),NOT(D90="")),$G90,"")</f>
        <v/>
      </c>
      <c r="DO90" s="69" t="str">
        <f t="shared" si="532"/>
        <v/>
      </c>
      <c r="DP90" s="69" t="str">
        <f t="shared" ref="DP90:DP105" si="646">IF(AND(NOT($D90=""),NOT(H90="")),$D90,"")</f>
        <v/>
      </c>
      <c r="DQ90" s="69" t="str">
        <f t="shared" ref="DQ90:DQ105" si="647">IF(AND(NOT($H90=""),NOT(D90="")),$H90,"")</f>
        <v/>
      </c>
      <c r="DR90" s="69" t="str">
        <f t="shared" si="533"/>
        <v/>
      </c>
      <c r="DS90" s="69" t="str">
        <f t="shared" ref="DS90:DS105" si="648">IF(AND(NOT($D90=""),NOT(I90="")),$D90,"")</f>
        <v/>
      </c>
      <c r="DT90" s="69" t="str">
        <f t="shared" ref="DT90:DT105" si="649">IF(AND(NOT($I90=""),NOT(D90="")),$I90,"")</f>
        <v/>
      </c>
      <c r="DU90" s="69" t="str">
        <f t="shared" si="534"/>
        <v/>
      </c>
      <c r="DV90" s="69" t="str">
        <f t="shared" ref="DV90:DV105" si="650">IF(AND(NOT($D90=""),NOT(J90="")),$D90,"")</f>
        <v/>
      </c>
      <c r="DW90" s="69" t="str">
        <f t="shared" ref="DW90:DW105" si="651">IF(AND(NOT($J90=""),NOT(D90="")),$J90,"")</f>
        <v/>
      </c>
      <c r="DX90" s="69" t="str">
        <f t="shared" si="535"/>
        <v/>
      </c>
      <c r="DY90" s="69" t="str">
        <f t="shared" ref="DY90:DY105" si="652">IF(AND(NOT($D90=""),NOT(K90="")),$D90,"")</f>
        <v/>
      </c>
      <c r="DZ90" s="69" t="str">
        <f t="shared" ref="DZ90:DZ105" si="653">IF(AND(NOT($K90=""),NOT(D90="")),$K90,"")</f>
        <v/>
      </c>
      <c r="EA90" s="69" t="str">
        <f t="shared" si="536"/>
        <v/>
      </c>
      <c r="EB90" s="69" t="str">
        <f t="shared" ref="EB90:EB105" si="654">IF(AND(NOT($D90=""),NOT(M90="")),$D90,"")</f>
        <v/>
      </c>
      <c r="EC90" s="69" t="str">
        <f t="shared" ref="EC90:EC105" si="655">IF(AND(NOT($M90=""),NOT(D90="")),$M90,"")</f>
        <v/>
      </c>
      <c r="ED90" s="69" t="str">
        <f t="shared" si="537"/>
        <v/>
      </c>
      <c r="EF90" s="69" t="str">
        <f t="shared" ref="EF90:EF105" si="656">IF(AND(NOT($E90=""),NOT(F90="")),$E90,"")</f>
        <v/>
      </c>
      <c r="EG90" s="69" t="str">
        <f t="shared" ref="EG90:EG105" si="657">IF(AND(NOT($F90=""),NOT(E90="")),$F90,"")</f>
        <v/>
      </c>
      <c r="EH90" s="69" t="str">
        <f t="shared" si="538"/>
        <v/>
      </c>
      <c r="EI90" s="69" t="str">
        <f t="shared" ref="EI90:EI105" si="658">IF(AND(NOT($E90=""),NOT(G90="")),$E90,"")</f>
        <v/>
      </c>
      <c r="EJ90" s="69" t="str">
        <f t="shared" ref="EJ90:EJ105" si="659">IF(AND(NOT($G90=""),NOT(E90="")),$G90,"")</f>
        <v/>
      </c>
      <c r="EK90" s="69" t="str">
        <f t="shared" si="539"/>
        <v/>
      </c>
      <c r="EL90" s="69" t="str">
        <f t="shared" ref="EL90:EL105" si="660">IF(AND(NOT($E90=""),NOT(H90="")),$E90,"")</f>
        <v/>
      </c>
      <c r="EM90" s="69" t="str">
        <f t="shared" ref="EM90:EM105" si="661">IF(AND(NOT($H90=""),NOT(E90="")),$H90,"")</f>
        <v/>
      </c>
      <c r="EN90" s="69" t="str">
        <f t="shared" si="540"/>
        <v/>
      </c>
      <c r="EO90" s="69" t="str">
        <f t="shared" ref="EO90:EO105" si="662">IF(AND(NOT($E90=""),NOT(I90="")),$E90,"")</f>
        <v/>
      </c>
      <c r="EP90" s="69" t="str">
        <f t="shared" ref="EP90:EP105" si="663">IF(AND(NOT($I90=""),NOT(E90="")),$I90,"")</f>
        <v/>
      </c>
      <c r="EQ90" s="69" t="str">
        <f t="shared" si="541"/>
        <v/>
      </c>
      <c r="ER90" s="69" t="str">
        <f t="shared" ref="ER90:ER105" si="664">IF(AND(NOT($E90=""),NOT(J90="")),$E90,"")</f>
        <v/>
      </c>
      <c r="ES90" s="69" t="str">
        <f t="shared" ref="ES90:ES105" si="665">IF(AND(NOT($J90=""),NOT(E90="")),$J90,"")</f>
        <v/>
      </c>
      <c r="ET90" s="69" t="str">
        <f t="shared" si="542"/>
        <v/>
      </c>
      <c r="EU90" s="69" t="str">
        <f t="shared" ref="EU90:EU105" si="666">IF(AND(NOT($E90=""),NOT(K90="")),$E90,"")</f>
        <v/>
      </c>
      <c r="EV90" s="69" t="str">
        <f t="shared" ref="EV90:EV105" si="667">IF(AND(NOT($K90=""),NOT(E90="")),$K90,"")</f>
        <v/>
      </c>
      <c r="EW90" s="69" t="str">
        <f t="shared" si="543"/>
        <v/>
      </c>
      <c r="EX90" s="69" t="str">
        <f t="shared" ref="EX90:EX105" si="668">IF(AND(NOT($E90=""),NOT(M90="")),$E90,"")</f>
        <v/>
      </c>
      <c r="EY90" s="69" t="str">
        <f t="shared" ref="EY90:EY105" si="669">IF(AND(NOT($M90=""),NOT(E90="")),$M90,"")</f>
        <v/>
      </c>
      <c r="EZ90" s="69" t="str">
        <f t="shared" si="544"/>
        <v/>
      </c>
      <c r="FB90" s="69" t="str">
        <f t="shared" ref="FB90:FB105" si="670">IF(AND(NOT($F90=""),NOT(G90="")),$F90,"")</f>
        <v/>
      </c>
      <c r="FC90" s="69" t="str">
        <f t="shared" ref="FC90:FC105" si="671">IF(AND(NOT($G90=""),NOT(F90="")),$G90,"")</f>
        <v/>
      </c>
      <c r="FD90" s="69" t="str">
        <f t="shared" si="545"/>
        <v/>
      </c>
      <c r="FE90" s="69" t="str">
        <f t="shared" ref="FE90:FE105" si="672">IF(AND(NOT($F90=""),NOT(H90="")),$F90,"")</f>
        <v/>
      </c>
      <c r="FF90" s="69" t="str">
        <f t="shared" ref="FF90:FF105" si="673">IF(AND(NOT($H90=""),NOT(F90="")),$H90,"")</f>
        <v/>
      </c>
      <c r="FG90" s="69" t="str">
        <f t="shared" si="546"/>
        <v/>
      </c>
      <c r="FH90" s="69" t="str">
        <f t="shared" ref="FH90:FH105" si="674">IF(AND(NOT($F90=""),NOT(I90="")),$F90,"")</f>
        <v/>
      </c>
      <c r="FI90" s="69" t="str">
        <f t="shared" ref="FI90:FI105" si="675">IF(AND(NOT($I90=""),NOT(F90="")),$I90,"")</f>
        <v/>
      </c>
      <c r="FJ90" s="69" t="str">
        <f t="shared" si="547"/>
        <v/>
      </c>
      <c r="FK90" s="69" t="str">
        <f t="shared" ref="FK90:FK105" si="676">IF(AND(NOT($F90=""),NOT(J90="")),$F90,"")</f>
        <v/>
      </c>
      <c r="FL90" s="69" t="str">
        <f t="shared" ref="FL90:FL105" si="677">IF(AND(NOT($J90=""),NOT(F90="")),$J90,"")</f>
        <v/>
      </c>
      <c r="FM90" s="69" t="str">
        <f t="shared" si="548"/>
        <v/>
      </c>
      <c r="FN90" s="69" t="str">
        <f t="shared" ref="FN90:FN105" si="678">IF(AND(NOT($F90=""),NOT(K90="")),$F90,"")</f>
        <v/>
      </c>
      <c r="FO90" s="69" t="str">
        <f t="shared" ref="FO90:FO105" si="679">IF(AND(NOT($K90=""),NOT(F90="")),$K90,"")</f>
        <v/>
      </c>
      <c r="FP90" s="69" t="str">
        <f t="shared" si="549"/>
        <v/>
      </c>
      <c r="FQ90" s="69" t="str">
        <f t="shared" ref="FQ90:FQ105" si="680">IF(AND(NOT($F90=""),NOT(M90="")),$F90,"")</f>
        <v/>
      </c>
      <c r="FR90" s="69" t="str">
        <f t="shared" ref="FR90:FR105" si="681">IF(AND(NOT($M90=""),NOT(F90="")),$M90,"")</f>
        <v/>
      </c>
      <c r="FS90" s="69" t="str">
        <f t="shared" si="550"/>
        <v/>
      </c>
      <c r="FU90" s="69" t="str">
        <f t="shared" si="449"/>
        <v/>
      </c>
      <c r="FV90" s="69" t="str">
        <f t="shared" si="450"/>
        <v/>
      </c>
      <c r="FW90" s="69" t="str">
        <f t="shared" si="551"/>
        <v/>
      </c>
      <c r="FX90" s="69" t="str">
        <f t="shared" si="451"/>
        <v/>
      </c>
      <c r="FY90" s="69" t="str">
        <f t="shared" si="452"/>
        <v/>
      </c>
      <c r="FZ90" s="69" t="str">
        <f t="shared" si="552"/>
        <v/>
      </c>
      <c r="GA90" s="69" t="str">
        <f t="shared" si="453"/>
        <v/>
      </c>
      <c r="GB90" s="69" t="str">
        <f t="shared" si="454"/>
        <v/>
      </c>
      <c r="GC90" s="69" t="str">
        <f t="shared" si="553"/>
        <v/>
      </c>
      <c r="GD90" s="69" t="str">
        <f t="shared" si="455"/>
        <v/>
      </c>
      <c r="GE90" s="69" t="str">
        <f t="shared" si="456"/>
        <v/>
      </c>
      <c r="GF90" s="69" t="str">
        <f t="shared" si="554"/>
        <v/>
      </c>
      <c r="GG90" s="69" t="str">
        <f t="shared" si="457"/>
        <v/>
      </c>
      <c r="GH90" s="69" t="str">
        <f t="shared" si="458"/>
        <v/>
      </c>
      <c r="GI90" s="69" t="str">
        <f t="shared" si="555"/>
        <v/>
      </c>
      <c r="GK90" s="69" t="str">
        <f t="shared" si="459"/>
        <v/>
      </c>
      <c r="GL90" s="69" t="str">
        <f t="shared" si="460"/>
        <v/>
      </c>
      <c r="GM90" s="69" t="str">
        <f t="shared" si="556"/>
        <v/>
      </c>
      <c r="GN90" s="69" t="str">
        <f t="shared" si="461"/>
        <v/>
      </c>
      <c r="GO90" s="69" t="str">
        <f t="shared" si="462"/>
        <v/>
      </c>
      <c r="GP90" s="69" t="str">
        <f t="shared" si="557"/>
        <v/>
      </c>
      <c r="GQ90" s="69" t="str">
        <f t="shared" si="463"/>
        <v/>
      </c>
      <c r="GR90" s="69" t="str">
        <f t="shared" si="464"/>
        <v/>
      </c>
      <c r="GS90" s="69" t="str">
        <f t="shared" si="558"/>
        <v/>
      </c>
      <c r="GT90" s="69" t="str">
        <f t="shared" si="465"/>
        <v/>
      </c>
      <c r="GU90" s="69" t="str">
        <f t="shared" si="466"/>
        <v/>
      </c>
      <c r="GV90" s="69" t="str">
        <f t="shared" si="559"/>
        <v/>
      </c>
      <c r="GX90" s="69" t="str">
        <f t="shared" si="560"/>
        <v/>
      </c>
      <c r="GY90" s="69" t="str">
        <f t="shared" si="561"/>
        <v/>
      </c>
      <c r="GZ90" s="69" t="str">
        <f t="shared" si="562"/>
        <v/>
      </c>
      <c r="HA90" s="69" t="str">
        <f t="shared" si="563"/>
        <v/>
      </c>
      <c r="HB90" s="69" t="str">
        <f t="shared" si="564"/>
        <v/>
      </c>
      <c r="HC90" s="69" t="str">
        <f t="shared" si="565"/>
        <v/>
      </c>
      <c r="HD90" s="69" t="str">
        <f t="shared" si="566"/>
        <v/>
      </c>
      <c r="HE90" s="69" t="str">
        <f t="shared" si="567"/>
        <v/>
      </c>
      <c r="HF90" s="69" t="str">
        <f t="shared" si="568"/>
        <v/>
      </c>
      <c r="HH90" s="69" t="str">
        <f t="shared" si="569"/>
        <v/>
      </c>
      <c r="HI90" s="69" t="str">
        <f t="shared" si="570"/>
        <v/>
      </c>
      <c r="HJ90" s="69" t="str">
        <f t="shared" si="571"/>
        <v/>
      </c>
      <c r="HK90" s="69" t="str">
        <f t="shared" si="572"/>
        <v/>
      </c>
      <c r="HL90" s="69" t="str">
        <f t="shared" si="573"/>
        <v/>
      </c>
      <c r="HM90" s="69" t="str">
        <f t="shared" si="574"/>
        <v/>
      </c>
      <c r="HO90" s="69" t="str">
        <f t="shared" si="575"/>
        <v/>
      </c>
      <c r="HP90" s="69" t="str">
        <f t="shared" si="576"/>
        <v/>
      </c>
      <c r="HQ90" s="69" t="str">
        <f t="shared" si="577"/>
        <v/>
      </c>
      <c r="HS90" s="69" t="str">
        <f t="shared" ref="HS90:HS105" si="682">IF(AND(NOT($M90=""),NOT(B90="")),$M90,"")</f>
        <v/>
      </c>
      <c r="HT90" s="69" t="str">
        <f t="shared" ref="HT90:HT105" si="683">IF(AND(NOT($B90=""),NOT($M90="")),$B90,"")</f>
        <v/>
      </c>
      <c r="HU90" s="69" t="str">
        <f t="shared" si="578"/>
        <v/>
      </c>
      <c r="HV90" s="69" t="str">
        <f t="shared" ref="HV90:HV105" si="684">IF(AND(NOT($M90=""),NOT($C90="")),$M90,"")</f>
        <v/>
      </c>
      <c r="HW90" s="69" t="str">
        <f t="shared" ref="HW90:HW105" si="685">IF(AND(NOT($C90=""),NOT(M90="")),$C90,"")</f>
        <v/>
      </c>
      <c r="HX90" s="69" t="str">
        <f t="shared" si="579"/>
        <v/>
      </c>
      <c r="HY90" s="69" t="str">
        <f t="shared" ref="HY90:HY105" si="686">IF(AND(NOT($M90=""),NOT(D90="")),$M90,"")</f>
        <v/>
      </c>
      <c r="HZ90" s="69" t="str">
        <f t="shared" ref="HZ90:HZ105" si="687">IF(AND(NOT($D90=""),NOT($M90="")),$D90,"")</f>
        <v/>
      </c>
      <c r="IA90" s="69" t="str">
        <f t="shared" si="580"/>
        <v/>
      </c>
      <c r="IB90" s="69" t="str">
        <f t="shared" ref="IB90:IB105" si="688">IF(AND(NOT($M90=""),NOT(E90="")),$M90,"")</f>
        <v/>
      </c>
      <c r="IC90" s="69" t="str">
        <f t="shared" ref="IC90:IC105" si="689">IF(AND(NOT($E90=""),NOT($M90="")),$E90,"")</f>
        <v/>
      </c>
      <c r="ID90" s="69" t="str">
        <f t="shared" si="581"/>
        <v/>
      </c>
      <c r="IE90" s="69" t="str">
        <f t="shared" ref="IE90:IE105" si="690">IF(AND(NOT($M90=""),NOT(F90="")),$M90,"")</f>
        <v/>
      </c>
      <c r="IF90" s="69" t="str">
        <f t="shared" ref="IF90:IF105" si="691">IF(AND(NOT($F90=""),NOT($M90="")),$F90,"")</f>
        <v/>
      </c>
      <c r="IG90" s="69" t="str">
        <f t="shared" si="582"/>
        <v/>
      </c>
      <c r="IH90" s="69" t="str">
        <f t="shared" si="477"/>
        <v/>
      </c>
      <c r="II90" s="69" t="str">
        <f t="shared" si="478"/>
        <v/>
      </c>
      <c r="IJ90" s="69" t="str">
        <f t="shared" si="583"/>
        <v/>
      </c>
      <c r="IK90" s="69" t="str">
        <f t="shared" si="479"/>
        <v/>
      </c>
      <c r="IL90" s="69" t="str">
        <f t="shared" si="480"/>
        <v/>
      </c>
      <c r="IM90" s="69" t="str">
        <f t="shared" si="584"/>
        <v/>
      </c>
      <c r="IN90" s="69" t="str">
        <f t="shared" si="585"/>
        <v/>
      </c>
      <c r="IO90" s="69" t="str">
        <f t="shared" si="586"/>
        <v/>
      </c>
      <c r="IP90" s="69" t="str">
        <f t="shared" si="587"/>
        <v/>
      </c>
      <c r="IQ90" s="69" t="str">
        <f t="shared" si="588"/>
        <v/>
      </c>
      <c r="IR90" s="69" t="str">
        <f t="shared" si="589"/>
        <v/>
      </c>
      <c r="IS90" s="69" t="str">
        <f t="shared" si="590"/>
        <v/>
      </c>
      <c r="IT90" s="69" t="str">
        <f t="shared" si="591"/>
        <v/>
      </c>
      <c r="IU90" s="69" t="str">
        <f t="shared" si="592"/>
        <v/>
      </c>
      <c r="IV90" s="69" t="str">
        <f t="shared" si="593"/>
        <v/>
      </c>
    </row>
    <row r="91" spans="1:256" x14ac:dyDescent="0.2">
      <c r="A91" s="57" t="s">
        <v>94</v>
      </c>
      <c r="B91" s="188"/>
      <c r="C91" s="182"/>
      <c r="D91" s="180"/>
      <c r="E91" s="181"/>
      <c r="F91" s="182"/>
      <c r="G91" s="180"/>
      <c r="H91" s="181"/>
      <c r="I91" s="181"/>
      <c r="J91" s="182"/>
      <c r="K91" s="186"/>
      <c r="L91" s="68">
        <f t="shared" si="595"/>
        <v>0</v>
      </c>
      <c r="M91" s="69" t="str">
        <f t="shared" si="596"/>
        <v/>
      </c>
      <c r="N91" s="69" t="str">
        <f t="shared" si="481"/>
        <v/>
      </c>
      <c r="O91" s="69" t="str">
        <f t="shared" si="482"/>
        <v/>
      </c>
      <c r="P91" s="69" t="str">
        <f t="shared" si="483"/>
        <v/>
      </c>
      <c r="Q91" s="70" t="str">
        <f t="shared" si="597"/>
        <v/>
      </c>
      <c r="R91" s="71" t="str">
        <f t="shared" si="484"/>
        <v/>
      </c>
      <c r="S91" s="71" t="str">
        <f t="shared" si="485"/>
        <v/>
      </c>
      <c r="T91" s="70" t="str">
        <f t="shared" si="598"/>
        <v/>
      </c>
      <c r="U91" s="71" t="str">
        <f t="shared" si="486"/>
        <v/>
      </c>
      <c r="V91" s="71" t="str">
        <f t="shared" si="487"/>
        <v/>
      </c>
      <c r="W91" s="70" t="str">
        <f t="shared" si="599"/>
        <v/>
      </c>
      <c r="X91" s="71" t="str">
        <f t="shared" si="488"/>
        <v/>
      </c>
      <c r="Y91" s="71" t="str">
        <f t="shared" si="489"/>
        <v/>
      </c>
      <c r="Z91" s="70" t="str">
        <f t="shared" si="600"/>
        <v/>
      </c>
      <c r="AA91" s="71" t="str">
        <f t="shared" si="490"/>
        <v/>
      </c>
      <c r="AB91" s="71" t="str">
        <f t="shared" si="491"/>
        <v/>
      </c>
      <c r="AC91" s="70" t="str">
        <f t="shared" si="601"/>
        <v/>
      </c>
      <c r="AD91" s="71" t="str">
        <f t="shared" si="492"/>
        <v/>
      </c>
      <c r="AE91" s="71" t="str">
        <f t="shared" si="493"/>
        <v/>
      </c>
      <c r="AF91" s="70" t="str">
        <f t="shared" si="367"/>
        <v/>
      </c>
      <c r="AG91" s="71" t="str">
        <f t="shared" si="494"/>
        <v/>
      </c>
      <c r="AH91" s="71" t="str">
        <f t="shared" si="495"/>
        <v/>
      </c>
      <c r="AI91" s="70" t="str">
        <f t="shared" si="368"/>
        <v/>
      </c>
      <c r="AJ91" s="71" t="str">
        <f t="shared" si="496"/>
        <v/>
      </c>
      <c r="AK91" s="71" t="str">
        <f t="shared" si="497"/>
        <v/>
      </c>
      <c r="AL91" s="70" t="str">
        <f t="shared" si="498"/>
        <v/>
      </c>
      <c r="AM91" s="71" t="str">
        <f t="shared" si="499"/>
        <v/>
      </c>
      <c r="AN91" s="71" t="str">
        <f t="shared" si="500"/>
        <v/>
      </c>
      <c r="AO91" s="70" t="str">
        <f t="shared" si="501"/>
        <v/>
      </c>
      <c r="AP91" s="71" t="str">
        <f t="shared" si="502"/>
        <v/>
      </c>
      <c r="AQ91" s="71" t="str">
        <f t="shared" si="503"/>
        <v/>
      </c>
      <c r="AR91" s="70" t="str">
        <f t="shared" si="504"/>
        <v/>
      </c>
      <c r="AS91" s="71" t="str">
        <f t="shared" si="505"/>
        <v/>
      </c>
      <c r="AT91" s="71" t="str">
        <f t="shared" si="506"/>
        <v/>
      </c>
      <c r="AU91" s="69" t="str">
        <f t="shared" si="507"/>
        <v/>
      </c>
      <c r="AV91" s="131" t="str">
        <f t="shared" si="508"/>
        <v/>
      </c>
      <c r="AW91" s="69" t="str">
        <f t="shared" si="594"/>
        <v/>
      </c>
      <c r="AX91" s="132" t="str">
        <f t="shared" si="509"/>
        <v/>
      </c>
      <c r="AY91" s="132" t="str">
        <f t="shared" si="510"/>
        <v/>
      </c>
      <c r="AZ91" s="69" t="str">
        <f t="shared" si="602"/>
        <v/>
      </c>
      <c r="BA91" s="69" t="str">
        <f t="shared" si="603"/>
        <v/>
      </c>
      <c r="BB91" s="69" t="str">
        <f t="shared" si="511"/>
        <v/>
      </c>
      <c r="BC91" s="69" t="str">
        <f t="shared" si="604"/>
        <v/>
      </c>
      <c r="BD91" s="69" t="str">
        <f t="shared" si="605"/>
        <v/>
      </c>
      <c r="BE91" s="69" t="str">
        <f t="shared" si="512"/>
        <v/>
      </c>
      <c r="BF91" s="69" t="str">
        <f t="shared" si="606"/>
        <v/>
      </c>
      <c r="BG91" s="69" t="str">
        <f t="shared" si="607"/>
        <v/>
      </c>
      <c r="BH91" s="69" t="str">
        <f t="shared" si="513"/>
        <v/>
      </c>
      <c r="BI91" s="69" t="str">
        <f t="shared" si="608"/>
        <v/>
      </c>
      <c r="BJ91" s="69" t="str">
        <f t="shared" si="609"/>
        <v/>
      </c>
      <c r="BK91" s="69" t="str">
        <f t="shared" si="514"/>
        <v/>
      </c>
      <c r="BL91" s="69" t="str">
        <f t="shared" si="610"/>
        <v/>
      </c>
      <c r="BM91" s="69" t="str">
        <f t="shared" si="611"/>
        <v/>
      </c>
      <c r="BN91" s="69" t="str">
        <f t="shared" si="515"/>
        <v/>
      </c>
      <c r="BO91" s="69" t="str">
        <f t="shared" si="612"/>
        <v/>
      </c>
      <c r="BP91" s="69" t="str">
        <f t="shared" si="613"/>
        <v/>
      </c>
      <c r="BQ91" s="69" t="str">
        <f t="shared" si="516"/>
        <v/>
      </c>
      <c r="BR91" s="69" t="str">
        <f t="shared" si="614"/>
        <v/>
      </c>
      <c r="BS91" s="69" t="str">
        <f t="shared" si="615"/>
        <v/>
      </c>
      <c r="BT91" s="69" t="str">
        <f t="shared" si="517"/>
        <v/>
      </c>
      <c r="BU91" s="69" t="str">
        <f t="shared" si="616"/>
        <v/>
      </c>
      <c r="BV91" s="69" t="str">
        <f t="shared" si="617"/>
        <v/>
      </c>
      <c r="BW91" s="69" t="str">
        <f t="shared" si="518"/>
        <v/>
      </c>
      <c r="BX91" s="69" t="str">
        <f t="shared" si="618"/>
        <v/>
      </c>
      <c r="BY91" s="69" t="str">
        <f t="shared" si="619"/>
        <v/>
      </c>
      <c r="BZ91" s="69" t="str">
        <f t="shared" si="519"/>
        <v/>
      </c>
      <c r="CA91" s="69" t="str">
        <f t="shared" si="620"/>
        <v/>
      </c>
      <c r="CB91" s="69" t="str">
        <f t="shared" si="621"/>
        <v/>
      </c>
      <c r="CC91" s="69" t="str">
        <f t="shared" si="520"/>
        <v/>
      </c>
      <c r="CE91" s="69" t="str">
        <f t="shared" si="622"/>
        <v/>
      </c>
      <c r="CF91" s="69" t="str">
        <f t="shared" si="623"/>
        <v/>
      </c>
      <c r="CG91" s="69" t="str">
        <f t="shared" si="521"/>
        <v/>
      </c>
      <c r="CH91" s="69" t="str">
        <f t="shared" si="624"/>
        <v/>
      </c>
      <c r="CI91" s="69" t="str">
        <f t="shared" si="625"/>
        <v/>
      </c>
      <c r="CJ91" s="69" t="str">
        <f t="shared" si="522"/>
        <v/>
      </c>
      <c r="CK91" s="69" t="str">
        <f t="shared" si="626"/>
        <v/>
      </c>
      <c r="CL91" s="69" t="str">
        <f t="shared" si="627"/>
        <v/>
      </c>
      <c r="CM91" s="69" t="str">
        <f t="shared" si="523"/>
        <v/>
      </c>
      <c r="CN91" s="69" t="str">
        <f t="shared" si="628"/>
        <v/>
      </c>
      <c r="CO91" s="69" t="str">
        <f t="shared" si="629"/>
        <v/>
      </c>
      <c r="CP91" s="69" t="str">
        <f t="shared" si="524"/>
        <v/>
      </c>
      <c r="CQ91" s="69" t="str">
        <f t="shared" si="630"/>
        <v/>
      </c>
      <c r="CR91" s="69" t="str">
        <f t="shared" si="631"/>
        <v/>
      </c>
      <c r="CS91" s="69" t="str">
        <f t="shared" si="525"/>
        <v/>
      </c>
      <c r="CT91" s="69" t="str">
        <f t="shared" si="632"/>
        <v/>
      </c>
      <c r="CU91" s="69" t="str">
        <f t="shared" si="633"/>
        <v/>
      </c>
      <c r="CV91" s="69" t="str">
        <f t="shared" si="526"/>
        <v/>
      </c>
      <c r="CW91" s="69" t="str">
        <f t="shared" si="634"/>
        <v/>
      </c>
      <c r="CX91" s="69" t="str">
        <f t="shared" si="635"/>
        <v/>
      </c>
      <c r="CY91" s="69" t="str">
        <f t="shared" si="527"/>
        <v/>
      </c>
      <c r="CZ91" s="69" t="str">
        <f t="shared" si="636"/>
        <v/>
      </c>
      <c r="DA91" s="69" t="str">
        <f t="shared" si="637"/>
        <v/>
      </c>
      <c r="DB91" s="69" t="str">
        <f t="shared" si="528"/>
        <v/>
      </c>
      <c r="DC91" s="69" t="str">
        <f t="shared" si="638"/>
        <v/>
      </c>
      <c r="DD91" s="69" t="str">
        <f t="shared" si="639"/>
        <v/>
      </c>
      <c r="DE91" s="69" t="str">
        <f t="shared" si="529"/>
        <v/>
      </c>
      <c r="DG91" s="69" t="str">
        <f t="shared" si="640"/>
        <v/>
      </c>
      <c r="DH91" s="69" t="str">
        <f t="shared" si="641"/>
        <v/>
      </c>
      <c r="DI91" s="69" t="str">
        <f t="shared" si="530"/>
        <v/>
      </c>
      <c r="DJ91" s="69" t="str">
        <f t="shared" si="642"/>
        <v/>
      </c>
      <c r="DK91" s="69" t="str">
        <f t="shared" si="643"/>
        <v/>
      </c>
      <c r="DL91" s="69" t="str">
        <f t="shared" si="531"/>
        <v/>
      </c>
      <c r="DM91" s="69" t="str">
        <f t="shared" si="644"/>
        <v/>
      </c>
      <c r="DN91" s="69" t="str">
        <f t="shared" si="645"/>
        <v/>
      </c>
      <c r="DO91" s="69" t="str">
        <f t="shared" si="532"/>
        <v/>
      </c>
      <c r="DP91" s="69" t="str">
        <f t="shared" si="646"/>
        <v/>
      </c>
      <c r="DQ91" s="69" t="str">
        <f t="shared" si="647"/>
        <v/>
      </c>
      <c r="DR91" s="69" t="str">
        <f t="shared" si="533"/>
        <v/>
      </c>
      <c r="DS91" s="69" t="str">
        <f t="shared" si="648"/>
        <v/>
      </c>
      <c r="DT91" s="69" t="str">
        <f t="shared" si="649"/>
        <v/>
      </c>
      <c r="DU91" s="69" t="str">
        <f t="shared" si="534"/>
        <v/>
      </c>
      <c r="DV91" s="69" t="str">
        <f t="shared" si="650"/>
        <v/>
      </c>
      <c r="DW91" s="69" t="str">
        <f t="shared" si="651"/>
        <v/>
      </c>
      <c r="DX91" s="69" t="str">
        <f t="shared" si="535"/>
        <v/>
      </c>
      <c r="DY91" s="69" t="str">
        <f t="shared" si="652"/>
        <v/>
      </c>
      <c r="DZ91" s="69" t="str">
        <f t="shared" si="653"/>
        <v/>
      </c>
      <c r="EA91" s="69" t="str">
        <f t="shared" si="536"/>
        <v/>
      </c>
      <c r="EB91" s="69" t="str">
        <f t="shared" si="654"/>
        <v/>
      </c>
      <c r="EC91" s="69" t="str">
        <f t="shared" si="655"/>
        <v/>
      </c>
      <c r="ED91" s="69" t="str">
        <f t="shared" si="537"/>
        <v/>
      </c>
      <c r="EF91" s="69" t="str">
        <f t="shared" si="656"/>
        <v/>
      </c>
      <c r="EG91" s="69" t="str">
        <f t="shared" si="657"/>
        <v/>
      </c>
      <c r="EH91" s="69" t="str">
        <f t="shared" si="538"/>
        <v/>
      </c>
      <c r="EI91" s="69" t="str">
        <f t="shared" si="658"/>
        <v/>
      </c>
      <c r="EJ91" s="69" t="str">
        <f t="shared" si="659"/>
        <v/>
      </c>
      <c r="EK91" s="69" t="str">
        <f t="shared" si="539"/>
        <v/>
      </c>
      <c r="EL91" s="69" t="str">
        <f t="shared" si="660"/>
        <v/>
      </c>
      <c r="EM91" s="69" t="str">
        <f t="shared" si="661"/>
        <v/>
      </c>
      <c r="EN91" s="69" t="str">
        <f t="shared" si="540"/>
        <v/>
      </c>
      <c r="EO91" s="69" t="str">
        <f t="shared" si="662"/>
        <v/>
      </c>
      <c r="EP91" s="69" t="str">
        <f t="shared" si="663"/>
        <v/>
      </c>
      <c r="EQ91" s="69" t="str">
        <f t="shared" si="541"/>
        <v/>
      </c>
      <c r="ER91" s="69" t="str">
        <f t="shared" si="664"/>
        <v/>
      </c>
      <c r="ES91" s="69" t="str">
        <f t="shared" si="665"/>
        <v/>
      </c>
      <c r="ET91" s="69" t="str">
        <f t="shared" si="542"/>
        <v/>
      </c>
      <c r="EU91" s="69" t="str">
        <f t="shared" si="666"/>
        <v/>
      </c>
      <c r="EV91" s="69" t="str">
        <f t="shared" si="667"/>
        <v/>
      </c>
      <c r="EW91" s="69" t="str">
        <f t="shared" si="543"/>
        <v/>
      </c>
      <c r="EX91" s="69" t="str">
        <f t="shared" si="668"/>
        <v/>
      </c>
      <c r="EY91" s="69" t="str">
        <f t="shared" si="669"/>
        <v/>
      </c>
      <c r="EZ91" s="69" t="str">
        <f t="shared" si="544"/>
        <v/>
      </c>
      <c r="FB91" s="69" t="str">
        <f t="shared" si="670"/>
        <v/>
      </c>
      <c r="FC91" s="69" t="str">
        <f t="shared" si="671"/>
        <v/>
      </c>
      <c r="FD91" s="69" t="str">
        <f t="shared" si="545"/>
        <v/>
      </c>
      <c r="FE91" s="69" t="str">
        <f t="shared" si="672"/>
        <v/>
      </c>
      <c r="FF91" s="69" t="str">
        <f t="shared" si="673"/>
        <v/>
      </c>
      <c r="FG91" s="69" t="str">
        <f t="shared" si="546"/>
        <v/>
      </c>
      <c r="FH91" s="69" t="str">
        <f t="shared" si="674"/>
        <v/>
      </c>
      <c r="FI91" s="69" t="str">
        <f t="shared" si="675"/>
        <v/>
      </c>
      <c r="FJ91" s="69" t="str">
        <f t="shared" si="547"/>
        <v/>
      </c>
      <c r="FK91" s="69" t="str">
        <f t="shared" si="676"/>
        <v/>
      </c>
      <c r="FL91" s="69" t="str">
        <f t="shared" si="677"/>
        <v/>
      </c>
      <c r="FM91" s="69" t="str">
        <f t="shared" si="548"/>
        <v/>
      </c>
      <c r="FN91" s="69" t="str">
        <f t="shared" si="678"/>
        <v/>
      </c>
      <c r="FO91" s="69" t="str">
        <f t="shared" si="679"/>
        <v/>
      </c>
      <c r="FP91" s="69" t="str">
        <f t="shared" si="549"/>
        <v/>
      </c>
      <c r="FQ91" s="69" t="str">
        <f t="shared" si="680"/>
        <v/>
      </c>
      <c r="FR91" s="69" t="str">
        <f t="shared" si="681"/>
        <v/>
      </c>
      <c r="FS91" s="69" t="str">
        <f t="shared" si="550"/>
        <v/>
      </c>
      <c r="FU91" s="69" t="str">
        <f t="shared" si="449"/>
        <v/>
      </c>
      <c r="FV91" s="69" t="str">
        <f t="shared" si="450"/>
        <v/>
      </c>
      <c r="FW91" s="69" t="str">
        <f t="shared" si="551"/>
        <v/>
      </c>
      <c r="FX91" s="69" t="str">
        <f t="shared" si="451"/>
        <v/>
      </c>
      <c r="FY91" s="69" t="str">
        <f t="shared" si="452"/>
        <v/>
      </c>
      <c r="FZ91" s="69" t="str">
        <f t="shared" si="552"/>
        <v/>
      </c>
      <c r="GA91" s="69" t="str">
        <f t="shared" si="453"/>
        <v/>
      </c>
      <c r="GB91" s="69" t="str">
        <f t="shared" si="454"/>
        <v/>
      </c>
      <c r="GC91" s="69" t="str">
        <f t="shared" si="553"/>
        <v/>
      </c>
      <c r="GD91" s="69" t="str">
        <f t="shared" si="455"/>
        <v/>
      </c>
      <c r="GE91" s="69" t="str">
        <f t="shared" si="456"/>
        <v/>
      </c>
      <c r="GF91" s="69" t="str">
        <f t="shared" si="554"/>
        <v/>
      </c>
      <c r="GG91" s="69" t="str">
        <f t="shared" si="457"/>
        <v/>
      </c>
      <c r="GH91" s="69" t="str">
        <f t="shared" si="458"/>
        <v/>
      </c>
      <c r="GI91" s="69" t="str">
        <f t="shared" si="555"/>
        <v/>
      </c>
      <c r="GK91" s="69" t="str">
        <f t="shared" si="459"/>
        <v/>
      </c>
      <c r="GL91" s="69" t="str">
        <f t="shared" si="460"/>
        <v/>
      </c>
      <c r="GM91" s="69" t="str">
        <f t="shared" si="556"/>
        <v/>
      </c>
      <c r="GN91" s="69" t="str">
        <f t="shared" si="461"/>
        <v/>
      </c>
      <c r="GO91" s="69" t="str">
        <f t="shared" si="462"/>
        <v/>
      </c>
      <c r="GP91" s="69" t="str">
        <f t="shared" si="557"/>
        <v/>
      </c>
      <c r="GQ91" s="69" t="str">
        <f t="shared" si="463"/>
        <v/>
      </c>
      <c r="GR91" s="69" t="str">
        <f t="shared" si="464"/>
        <v/>
      </c>
      <c r="GS91" s="69" t="str">
        <f t="shared" si="558"/>
        <v/>
      </c>
      <c r="GT91" s="69" t="str">
        <f t="shared" si="465"/>
        <v/>
      </c>
      <c r="GU91" s="69" t="str">
        <f t="shared" si="466"/>
        <v/>
      </c>
      <c r="GV91" s="69" t="str">
        <f t="shared" si="559"/>
        <v/>
      </c>
      <c r="GX91" s="69" t="str">
        <f t="shared" si="560"/>
        <v/>
      </c>
      <c r="GY91" s="69" t="str">
        <f t="shared" si="561"/>
        <v/>
      </c>
      <c r="GZ91" s="69" t="str">
        <f t="shared" si="562"/>
        <v/>
      </c>
      <c r="HA91" s="69" t="str">
        <f t="shared" si="563"/>
        <v/>
      </c>
      <c r="HB91" s="69" t="str">
        <f t="shared" si="564"/>
        <v/>
      </c>
      <c r="HC91" s="69" t="str">
        <f t="shared" si="565"/>
        <v/>
      </c>
      <c r="HD91" s="69" t="str">
        <f t="shared" si="566"/>
        <v/>
      </c>
      <c r="HE91" s="69" t="str">
        <f t="shared" si="567"/>
        <v/>
      </c>
      <c r="HF91" s="69" t="str">
        <f t="shared" si="568"/>
        <v/>
      </c>
      <c r="HH91" s="69" t="str">
        <f t="shared" si="569"/>
        <v/>
      </c>
      <c r="HI91" s="69" t="str">
        <f t="shared" si="570"/>
        <v/>
      </c>
      <c r="HJ91" s="69" t="str">
        <f t="shared" si="571"/>
        <v/>
      </c>
      <c r="HK91" s="69" t="str">
        <f t="shared" si="572"/>
        <v/>
      </c>
      <c r="HL91" s="69" t="str">
        <f t="shared" si="573"/>
        <v/>
      </c>
      <c r="HM91" s="69" t="str">
        <f t="shared" si="574"/>
        <v/>
      </c>
      <c r="HO91" s="69" t="str">
        <f t="shared" si="575"/>
        <v/>
      </c>
      <c r="HP91" s="69" t="str">
        <f t="shared" si="576"/>
        <v/>
      </c>
      <c r="HQ91" s="69" t="str">
        <f t="shared" si="577"/>
        <v/>
      </c>
      <c r="HS91" s="69" t="str">
        <f t="shared" si="682"/>
        <v/>
      </c>
      <c r="HT91" s="69" t="str">
        <f t="shared" si="683"/>
        <v/>
      </c>
      <c r="HU91" s="69" t="str">
        <f t="shared" si="578"/>
        <v/>
      </c>
      <c r="HV91" s="69" t="str">
        <f t="shared" si="684"/>
        <v/>
      </c>
      <c r="HW91" s="69" t="str">
        <f t="shared" si="685"/>
        <v/>
      </c>
      <c r="HX91" s="69" t="str">
        <f t="shared" si="579"/>
        <v/>
      </c>
      <c r="HY91" s="69" t="str">
        <f t="shared" si="686"/>
        <v/>
      </c>
      <c r="HZ91" s="69" t="str">
        <f t="shared" si="687"/>
        <v/>
      </c>
      <c r="IA91" s="69" t="str">
        <f t="shared" si="580"/>
        <v/>
      </c>
      <c r="IB91" s="69" t="str">
        <f t="shared" si="688"/>
        <v/>
      </c>
      <c r="IC91" s="69" t="str">
        <f t="shared" si="689"/>
        <v/>
      </c>
      <c r="ID91" s="69" t="str">
        <f t="shared" si="581"/>
        <v/>
      </c>
      <c r="IE91" s="69" t="str">
        <f t="shared" si="690"/>
        <v/>
      </c>
      <c r="IF91" s="69" t="str">
        <f t="shared" si="691"/>
        <v/>
      </c>
      <c r="IG91" s="69" t="str">
        <f t="shared" si="582"/>
        <v/>
      </c>
      <c r="IH91" s="69" t="str">
        <f t="shared" si="477"/>
        <v/>
      </c>
      <c r="II91" s="69" t="str">
        <f t="shared" si="478"/>
        <v/>
      </c>
      <c r="IJ91" s="69" t="str">
        <f t="shared" si="583"/>
        <v/>
      </c>
      <c r="IK91" s="69" t="str">
        <f t="shared" si="479"/>
        <v/>
      </c>
      <c r="IL91" s="69" t="str">
        <f t="shared" si="480"/>
        <v/>
      </c>
      <c r="IM91" s="69" t="str">
        <f t="shared" si="584"/>
        <v/>
      </c>
      <c r="IN91" s="69" t="str">
        <f t="shared" si="585"/>
        <v/>
      </c>
      <c r="IO91" s="69" t="str">
        <f t="shared" si="586"/>
        <v/>
      </c>
      <c r="IP91" s="69" t="str">
        <f t="shared" si="587"/>
        <v/>
      </c>
      <c r="IQ91" s="69" t="str">
        <f t="shared" si="588"/>
        <v/>
      </c>
      <c r="IR91" s="69" t="str">
        <f t="shared" si="589"/>
        <v/>
      </c>
      <c r="IS91" s="69" t="str">
        <f t="shared" si="590"/>
        <v/>
      </c>
      <c r="IT91" s="69" t="str">
        <f t="shared" si="591"/>
        <v/>
      </c>
      <c r="IU91" s="69" t="str">
        <f t="shared" si="592"/>
        <v/>
      </c>
      <c r="IV91" s="69" t="str">
        <f t="shared" si="593"/>
        <v/>
      </c>
    </row>
    <row r="92" spans="1:256" x14ac:dyDescent="0.2">
      <c r="A92" s="57" t="s">
        <v>95</v>
      </c>
      <c r="B92" s="188"/>
      <c r="C92" s="182"/>
      <c r="D92" s="180"/>
      <c r="E92" s="181"/>
      <c r="F92" s="182"/>
      <c r="G92" s="180"/>
      <c r="H92" s="181"/>
      <c r="I92" s="181"/>
      <c r="J92" s="182"/>
      <c r="K92" s="186"/>
      <c r="L92" s="68">
        <f t="shared" si="595"/>
        <v>0</v>
      </c>
      <c r="M92" s="69" t="str">
        <f t="shared" si="596"/>
        <v/>
      </c>
      <c r="N92" s="69" t="str">
        <f t="shared" si="481"/>
        <v/>
      </c>
      <c r="O92" s="69" t="str">
        <f t="shared" si="482"/>
        <v/>
      </c>
      <c r="P92" s="69" t="str">
        <f t="shared" si="483"/>
        <v/>
      </c>
      <c r="Q92" s="70" t="str">
        <f t="shared" si="597"/>
        <v/>
      </c>
      <c r="R92" s="71" t="str">
        <f t="shared" si="484"/>
        <v/>
      </c>
      <c r="S92" s="71" t="str">
        <f t="shared" si="485"/>
        <v/>
      </c>
      <c r="T92" s="70" t="str">
        <f t="shared" si="598"/>
        <v/>
      </c>
      <c r="U92" s="71" t="str">
        <f t="shared" si="486"/>
        <v/>
      </c>
      <c r="V92" s="71" t="str">
        <f t="shared" si="487"/>
        <v/>
      </c>
      <c r="W92" s="70" t="str">
        <f t="shared" si="599"/>
        <v/>
      </c>
      <c r="X92" s="71" t="str">
        <f t="shared" si="488"/>
        <v/>
      </c>
      <c r="Y92" s="71" t="str">
        <f t="shared" si="489"/>
        <v/>
      </c>
      <c r="Z92" s="70" t="str">
        <f t="shared" si="600"/>
        <v/>
      </c>
      <c r="AA92" s="71" t="str">
        <f t="shared" si="490"/>
        <v/>
      </c>
      <c r="AB92" s="71" t="str">
        <f t="shared" si="491"/>
        <v/>
      </c>
      <c r="AC92" s="70" t="str">
        <f t="shared" si="601"/>
        <v/>
      </c>
      <c r="AD92" s="71" t="str">
        <f t="shared" si="492"/>
        <v/>
      </c>
      <c r="AE92" s="71" t="str">
        <f t="shared" si="493"/>
        <v/>
      </c>
      <c r="AF92" s="70" t="str">
        <f t="shared" si="367"/>
        <v/>
      </c>
      <c r="AG92" s="71" t="str">
        <f t="shared" si="494"/>
        <v/>
      </c>
      <c r="AH92" s="71" t="str">
        <f t="shared" si="495"/>
        <v/>
      </c>
      <c r="AI92" s="70" t="str">
        <f t="shared" si="368"/>
        <v/>
      </c>
      <c r="AJ92" s="71" t="str">
        <f t="shared" si="496"/>
        <v/>
      </c>
      <c r="AK92" s="71" t="str">
        <f t="shared" si="497"/>
        <v/>
      </c>
      <c r="AL92" s="70" t="str">
        <f t="shared" si="498"/>
        <v/>
      </c>
      <c r="AM92" s="71" t="str">
        <f t="shared" si="499"/>
        <v/>
      </c>
      <c r="AN92" s="71" t="str">
        <f t="shared" si="500"/>
        <v/>
      </c>
      <c r="AO92" s="70" t="str">
        <f t="shared" si="501"/>
        <v/>
      </c>
      <c r="AP92" s="71" t="str">
        <f t="shared" si="502"/>
        <v/>
      </c>
      <c r="AQ92" s="71" t="str">
        <f t="shared" si="503"/>
        <v/>
      </c>
      <c r="AR92" s="70" t="str">
        <f t="shared" si="504"/>
        <v/>
      </c>
      <c r="AS92" s="71" t="str">
        <f t="shared" si="505"/>
        <v/>
      </c>
      <c r="AT92" s="71" t="str">
        <f t="shared" si="506"/>
        <v/>
      </c>
      <c r="AU92" s="69" t="str">
        <f t="shared" si="507"/>
        <v/>
      </c>
      <c r="AV92" s="131" t="str">
        <f t="shared" si="508"/>
        <v/>
      </c>
      <c r="AW92" s="69" t="str">
        <f t="shared" si="594"/>
        <v/>
      </c>
      <c r="AX92" s="132" t="str">
        <f t="shared" si="509"/>
        <v/>
      </c>
      <c r="AY92" s="132" t="str">
        <f t="shared" si="510"/>
        <v/>
      </c>
      <c r="AZ92" s="69" t="str">
        <f t="shared" si="602"/>
        <v/>
      </c>
      <c r="BA92" s="69" t="str">
        <f t="shared" si="603"/>
        <v/>
      </c>
      <c r="BB92" s="69" t="str">
        <f t="shared" si="511"/>
        <v/>
      </c>
      <c r="BC92" s="69" t="str">
        <f t="shared" si="604"/>
        <v/>
      </c>
      <c r="BD92" s="69" t="str">
        <f t="shared" si="605"/>
        <v/>
      </c>
      <c r="BE92" s="69" t="str">
        <f t="shared" si="512"/>
        <v/>
      </c>
      <c r="BF92" s="69" t="str">
        <f t="shared" si="606"/>
        <v/>
      </c>
      <c r="BG92" s="69" t="str">
        <f t="shared" si="607"/>
        <v/>
      </c>
      <c r="BH92" s="69" t="str">
        <f t="shared" si="513"/>
        <v/>
      </c>
      <c r="BI92" s="69" t="str">
        <f t="shared" si="608"/>
        <v/>
      </c>
      <c r="BJ92" s="69" t="str">
        <f t="shared" si="609"/>
        <v/>
      </c>
      <c r="BK92" s="69" t="str">
        <f t="shared" si="514"/>
        <v/>
      </c>
      <c r="BL92" s="69" t="str">
        <f t="shared" si="610"/>
        <v/>
      </c>
      <c r="BM92" s="69" t="str">
        <f t="shared" si="611"/>
        <v/>
      </c>
      <c r="BN92" s="69" t="str">
        <f t="shared" si="515"/>
        <v/>
      </c>
      <c r="BO92" s="69" t="str">
        <f t="shared" si="612"/>
        <v/>
      </c>
      <c r="BP92" s="69" t="str">
        <f t="shared" si="613"/>
        <v/>
      </c>
      <c r="BQ92" s="69" t="str">
        <f t="shared" si="516"/>
        <v/>
      </c>
      <c r="BR92" s="69" t="str">
        <f t="shared" si="614"/>
        <v/>
      </c>
      <c r="BS92" s="69" t="str">
        <f t="shared" si="615"/>
        <v/>
      </c>
      <c r="BT92" s="69" t="str">
        <f t="shared" si="517"/>
        <v/>
      </c>
      <c r="BU92" s="69" t="str">
        <f t="shared" si="616"/>
        <v/>
      </c>
      <c r="BV92" s="69" t="str">
        <f t="shared" si="617"/>
        <v/>
      </c>
      <c r="BW92" s="69" t="str">
        <f t="shared" si="518"/>
        <v/>
      </c>
      <c r="BX92" s="69" t="str">
        <f t="shared" si="618"/>
        <v/>
      </c>
      <c r="BY92" s="69" t="str">
        <f t="shared" si="619"/>
        <v/>
      </c>
      <c r="BZ92" s="69" t="str">
        <f t="shared" si="519"/>
        <v/>
      </c>
      <c r="CA92" s="69" t="str">
        <f t="shared" si="620"/>
        <v/>
      </c>
      <c r="CB92" s="69" t="str">
        <f t="shared" si="621"/>
        <v/>
      </c>
      <c r="CC92" s="69" t="str">
        <f t="shared" si="520"/>
        <v/>
      </c>
      <c r="CE92" s="69" t="str">
        <f t="shared" si="622"/>
        <v/>
      </c>
      <c r="CF92" s="69" t="str">
        <f t="shared" si="623"/>
        <v/>
      </c>
      <c r="CG92" s="69" t="str">
        <f t="shared" si="521"/>
        <v/>
      </c>
      <c r="CH92" s="69" t="str">
        <f t="shared" si="624"/>
        <v/>
      </c>
      <c r="CI92" s="69" t="str">
        <f t="shared" si="625"/>
        <v/>
      </c>
      <c r="CJ92" s="69" t="str">
        <f t="shared" si="522"/>
        <v/>
      </c>
      <c r="CK92" s="69" t="str">
        <f t="shared" si="626"/>
        <v/>
      </c>
      <c r="CL92" s="69" t="str">
        <f t="shared" si="627"/>
        <v/>
      </c>
      <c r="CM92" s="69" t="str">
        <f t="shared" si="523"/>
        <v/>
      </c>
      <c r="CN92" s="69" t="str">
        <f t="shared" si="628"/>
        <v/>
      </c>
      <c r="CO92" s="69" t="str">
        <f t="shared" si="629"/>
        <v/>
      </c>
      <c r="CP92" s="69" t="str">
        <f t="shared" si="524"/>
        <v/>
      </c>
      <c r="CQ92" s="69" t="str">
        <f t="shared" si="630"/>
        <v/>
      </c>
      <c r="CR92" s="69" t="str">
        <f t="shared" si="631"/>
        <v/>
      </c>
      <c r="CS92" s="69" t="str">
        <f t="shared" si="525"/>
        <v/>
      </c>
      <c r="CT92" s="69" t="str">
        <f t="shared" si="632"/>
        <v/>
      </c>
      <c r="CU92" s="69" t="str">
        <f t="shared" si="633"/>
        <v/>
      </c>
      <c r="CV92" s="69" t="str">
        <f t="shared" si="526"/>
        <v/>
      </c>
      <c r="CW92" s="69" t="str">
        <f t="shared" si="634"/>
        <v/>
      </c>
      <c r="CX92" s="69" t="str">
        <f t="shared" si="635"/>
        <v/>
      </c>
      <c r="CY92" s="69" t="str">
        <f t="shared" si="527"/>
        <v/>
      </c>
      <c r="CZ92" s="69" t="str">
        <f t="shared" si="636"/>
        <v/>
      </c>
      <c r="DA92" s="69" t="str">
        <f t="shared" si="637"/>
        <v/>
      </c>
      <c r="DB92" s="69" t="str">
        <f t="shared" si="528"/>
        <v/>
      </c>
      <c r="DC92" s="69" t="str">
        <f t="shared" si="638"/>
        <v/>
      </c>
      <c r="DD92" s="69" t="str">
        <f t="shared" si="639"/>
        <v/>
      </c>
      <c r="DE92" s="69" t="str">
        <f t="shared" si="529"/>
        <v/>
      </c>
      <c r="DG92" s="69" t="str">
        <f t="shared" si="640"/>
        <v/>
      </c>
      <c r="DH92" s="69" t="str">
        <f t="shared" si="641"/>
        <v/>
      </c>
      <c r="DI92" s="69" t="str">
        <f t="shared" si="530"/>
        <v/>
      </c>
      <c r="DJ92" s="69" t="str">
        <f t="shared" si="642"/>
        <v/>
      </c>
      <c r="DK92" s="69" t="str">
        <f t="shared" si="643"/>
        <v/>
      </c>
      <c r="DL92" s="69" t="str">
        <f t="shared" si="531"/>
        <v/>
      </c>
      <c r="DM92" s="69" t="str">
        <f t="shared" si="644"/>
        <v/>
      </c>
      <c r="DN92" s="69" t="str">
        <f t="shared" si="645"/>
        <v/>
      </c>
      <c r="DO92" s="69" t="str">
        <f t="shared" si="532"/>
        <v/>
      </c>
      <c r="DP92" s="69" t="str">
        <f t="shared" si="646"/>
        <v/>
      </c>
      <c r="DQ92" s="69" t="str">
        <f t="shared" si="647"/>
        <v/>
      </c>
      <c r="DR92" s="69" t="str">
        <f t="shared" si="533"/>
        <v/>
      </c>
      <c r="DS92" s="69" t="str">
        <f t="shared" si="648"/>
        <v/>
      </c>
      <c r="DT92" s="69" t="str">
        <f t="shared" si="649"/>
        <v/>
      </c>
      <c r="DU92" s="69" t="str">
        <f t="shared" si="534"/>
        <v/>
      </c>
      <c r="DV92" s="69" t="str">
        <f t="shared" si="650"/>
        <v/>
      </c>
      <c r="DW92" s="69" t="str">
        <f t="shared" si="651"/>
        <v/>
      </c>
      <c r="DX92" s="69" t="str">
        <f t="shared" si="535"/>
        <v/>
      </c>
      <c r="DY92" s="69" t="str">
        <f t="shared" si="652"/>
        <v/>
      </c>
      <c r="DZ92" s="69" t="str">
        <f t="shared" si="653"/>
        <v/>
      </c>
      <c r="EA92" s="69" t="str">
        <f t="shared" si="536"/>
        <v/>
      </c>
      <c r="EB92" s="69" t="str">
        <f t="shared" si="654"/>
        <v/>
      </c>
      <c r="EC92" s="69" t="str">
        <f t="shared" si="655"/>
        <v/>
      </c>
      <c r="ED92" s="69" t="str">
        <f t="shared" si="537"/>
        <v/>
      </c>
      <c r="EF92" s="69" t="str">
        <f t="shared" si="656"/>
        <v/>
      </c>
      <c r="EG92" s="69" t="str">
        <f t="shared" si="657"/>
        <v/>
      </c>
      <c r="EH92" s="69" t="str">
        <f t="shared" si="538"/>
        <v/>
      </c>
      <c r="EI92" s="69" t="str">
        <f t="shared" si="658"/>
        <v/>
      </c>
      <c r="EJ92" s="69" t="str">
        <f t="shared" si="659"/>
        <v/>
      </c>
      <c r="EK92" s="69" t="str">
        <f t="shared" si="539"/>
        <v/>
      </c>
      <c r="EL92" s="69" t="str">
        <f t="shared" si="660"/>
        <v/>
      </c>
      <c r="EM92" s="69" t="str">
        <f t="shared" si="661"/>
        <v/>
      </c>
      <c r="EN92" s="69" t="str">
        <f t="shared" si="540"/>
        <v/>
      </c>
      <c r="EO92" s="69" t="str">
        <f t="shared" si="662"/>
        <v/>
      </c>
      <c r="EP92" s="69" t="str">
        <f t="shared" si="663"/>
        <v/>
      </c>
      <c r="EQ92" s="69" t="str">
        <f t="shared" si="541"/>
        <v/>
      </c>
      <c r="ER92" s="69" t="str">
        <f t="shared" si="664"/>
        <v/>
      </c>
      <c r="ES92" s="69" t="str">
        <f t="shared" si="665"/>
        <v/>
      </c>
      <c r="ET92" s="69" t="str">
        <f t="shared" si="542"/>
        <v/>
      </c>
      <c r="EU92" s="69" t="str">
        <f t="shared" si="666"/>
        <v/>
      </c>
      <c r="EV92" s="69" t="str">
        <f t="shared" si="667"/>
        <v/>
      </c>
      <c r="EW92" s="69" t="str">
        <f t="shared" si="543"/>
        <v/>
      </c>
      <c r="EX92" s="69" t="str">
        <f t="shared" si="668"/>
        <v/>
      </c>
      <c r="EY92" s="69" t="str">
        <f t="shared" si="669"/>
        <v/>
      </c>
      <c r="EZ92" s="69" t="str">
        <f t="shared" si="544"/>
        <v/>
      </c>
      <c r="FB92" s="69" t="str">
        <f t="shared" si="670"/>
        <v/>
      </c>
      <c r="FC92" s="69" t="str">
        <f t="shared" si="671"/>
        <v/>
      </c>
      <c r="FD92" s="69" t="str">
        <f t="shared" si="545"/>
        <v/>
      </c>
      <c r="FE92" s="69" t="str">
        <f t="shared" si="672"/>
        <v/>
      </c>
      <c r="FF92" s="69" t="str">
        <f t="shared" si="673"/>
        <v/>
      </c>
      <c r="FG92" s="69" t="str">
        <f t="shared" si="546"/>
        <v/>
      </c>
      <c r="FH92" s="69" t="str">
        <f t="shared" si="674"/>
        <v/>
      </c>
      <c r="FI92" s="69" t="str">
        <f t="shared" si="675"/>
        <v/>
      </c>
      <c r="FJ92" s="69" t="str">
        <f t="shared" si="547"/>
        <v/>
      </c>
      <c r="FK92" s="69" t="str">
        <f t="shared" si="676"/>
        <v/>
      </c>
      <c r="FL92" s="69" t="str">
        <f t="shared" si="677"/>
        <v/>
      </c>
      <c r="FM92" s="69" t="str">
        <f t="shared" si="548"/>
        <v/>
      </c>
      <c r="FN92" s="69" t="str">
        <f t="shared" si="678"/>
        <v/>
      </c>
      <c r="FO92" s="69" t="str">
        <f t="shared" si="679"/>
        <v/>
      </c>
      <c r="FP92" s="69" t="str">
        <f t="shared" si="549"/>
        <v/>
      </c>
      <c r="FQ92" s="69" t="str">
        <f t="shared" si="680"/>
        <v/>
      </c>
      <c r="FR92" s="69" t="str">
        <f t="shared" si="681"/>
        <v/>
      </c>
      <c r="FS92" s="69" t="str">
        <f t="shared" si="550"/>
        <v/>
      </c>
      <c r="FU92" s="69" t="str">
        <f t="shared" si="449"/>
        <v/>
      </c>
      <c r="FV92" s="69" t="str">
        <f t="shared" si="450"/>
        <v/>
      </c>
      <c r="FW92" s="69" t="str">
        <f t="shared" si="551"/>
        <v/>
      </c>
      <c r="FX92" s="69" t="str">
        <f t="shared" si="451"/>
        <v/>
      </c>
      <c r="FY92" s="69" t="str">
        <f t="shared" si="452"/>
        <v/>
      </c>
      <c r="FZ92" s="69" t="str">
        <f t="shared" si="552"/>
        <v/>
      </c>
      <c r="GA92" s="69" t="str">
        <f t="shared" si="453"/>
        <v/>
      </c>
      <c r="GB92" s="69" t="str">
        <f t="shared" si="454"/>
        <v/>
      </c>
      <c r="GC92" s="69" t="str">
        <f t="shared" si="553"/>
        <v/>
      </c>
      <c r="GD92" s="69" t="str">
        <f t="shared" si="455"/>
        <v/>
      </c>
      <c r="GE92" s="69" t="str">
        <f t="shared" si="456"/>
        <v/>
      </c>
      <c r="GF92" s="69" t="str">
        <f t="shared" si="554"/>
        <v/>
      </c>
      <c r="GG92" s="69" t="str">
        <f t="shared" si="457"/>
        <v/>
      </c>
      <c r="GH92" s="69" t="str">
        <f t="shared" si="458"/>
        <v/>
      </c>
      <c r="GI92" s="69" t="str">
        <f t="shared" si="555"/>
        <v/>
      </c>
      <c r="GK92" s="69" t="str">
        <f t="shared" si="459"/>
        <v/>
      </c>
      <c r="GL92" s="69" t="str">
        <f t="shared" si="460"/>
        <v/>
      </c>
      <c r="GM92" s="69" t="str">
        <f t="shared" si="556"/>
        <v/>
      </c>
      <c r="GN92" s="69" t="str">
        <f t="shared" si="461"/>
        <v/>
      </c>
      <c r="GO92" s="69" t="str">
        <f t="shared" si="462"/>
        <v/>
      </c>
      <c r="GP92" s="69" t="str">
        <f t="shared" si="557"/>
        <v/>
      </c>
      <c r="GQ92" s="69" t="str">
        <f t="shared" si="463"/>
        <v/>
      </c>
      <c r="GR92" s="69" t="str">
        <f t="shared" si="464"/>
        <v/>
      </c>
      <c r="GS92" s="69" t="str">
        <f t="shared" si="558"/>
        <v/>
      </c>
      <c r="GT92" s="69" t="str">
        <f t="shared" si="465"/>
        <v/>
      </c>
      <c r="GU92" s="69" t="str">
        <f t="shared" si="466"/>
        <v/>
      </c>
      <c r="GV92" s="69" t="str">
        <f t="shared" si="559"/>
        <v/>
      </c>
      <c r="GX92" s="69" t="str">
        <f t="shared" si="560"/>
        <v/>
      </c>
      <c r="GY92" s="69" t="str">
        <f t="shared" si="561"/>
        <v/>
      </c>
      <c r="GZ92" s="69" t="str">
        <f t="shared" si="562"/>
        <v/>
      </c>
      <c r="HA92" s="69" t="str">
        <f t="shared" si="563"/>
        <v/>
      </c>
      <c r="HB92" s="69" t="str">
        <f t="shared" si="564"/>
        <v/>
      </c>
      <c r="HC92" s="69" t="str">
        <f t="shared" si="565"/>
        <v/>
      </c>
      <c r="HD92" s="69" t="str">
        <f t="shared" si="566"/>
        <v/>
      </c>
      <c r="HE92" s="69" t="str">
        <f t="shared" si="567"/>
        <v/>
      </c>
      <c r="HF92" s="69" t="str">
        <f t="shared" si="568"/>
        <v/>
      </c>
      <c r="HH92" s="69" t="str">
        <f t="shared" si="569"/>
        <v/>
      </c>
      <c r="HI92" s="69" t="str">
        <f t="shared" si="570"/>
        <v/>
      </c>
      <c r="HJ92" s="69" t="str">
        <f t="shared" si="571"/>
        <v/>
      </c>
      <c r="HK92" s="69" t="str">
        <f t="shared" si="572"/>
        <v/>
      </c>
      <c r="HL92" s="69" t="str">
        <f t="shared" si="573"/>
        <v/>
      </c>
      <c r="HM92" s="69" t="str">
        <f t="shared" si="574"/>
        <v/>
      </c>
      <c r="HO92" s="69" t="str">
        <f t="shared" si="575"/>
        <v/>
      </c>
      <c r="HP92" s="69" t="str">
        <f t="shared" si="576"/>
        <v/>
      </c>
      <c r="HQ92" s="69" t="str">
        <f t="shared" si="577"/>
        <v/>
      </c>
      <c r="HS92" s="69" t="str">
        <f t="shared" si="682"/>
        <v/>
      </c>
      <c r="HT92" s="69" t="str">
        <f t="shared" si="683"/>
        <v/>
      </c>
      <c r="HU92" s="69" t="str">
        <f t="shared" si="578"/>
        <v/>
      </c>
      <c r="HV92" s="69" t="str">
        <f t="shared" si="684"/>
        <v/>
      </c>
      <c r="HW92" s="69" t="str">
        <f t="shared" si="685"/>
        <v/>
      </c>
      <c r="HX92" s="69" t="str">
        <f t="shared" si="579"/>
        <v/>
      </c>
      <c r="HY92" s="69" t="str">
        <f t="shared" si="686"/>
        <v/>
      </c>
      <c r="HZ92" s="69" t="str">
        <f t="shared" si="687"/>
        <v/>
      </c>
      <c r="IA92" s="69" t="str">
        <f t="shared" si="580"/>
        <v/>
      </c>
      <c r="IB92" s="69" t="str">
        <f t="shared" si="688"/>
        <v/>
      </c>
      <c r="IC92" s="69" t="str">
        <f t="shared" si="689"/>
        <v/>
      </c>
      <c r="ID92" s="69" t="str">
        <f t="shared" si="581"/>
        <v/>
      </c>
      <c r="IE92" s="69" t="str">
        <f t="shared" si="690"/>
        <v/>
      </c>
      <c r="IF92" s="69" t="str">
        <f t="shared" si="691"/>
        <v/>
      </c>
      <c r="IG92" s="69" t="str">
        <f t="shared" si="582"/>
        <v/>
      </c>
      <c r="IH92" s="69" t="str">
        <f t="shared" si="477"/>
        <v/>
      </c>
      <c r="II92" s="69" t="str">
        <f t="shared" si="478"/>
        <v/>
      </c>
      <c r="IJ92" s="69" t="str">
        <f t="shared" si="583"/>
        <v/>
      </c>
      <c r="IK92" s="69" t="str">
        <f t="shared" si="479"/>
        <v/>
      </c>
      <c r="IL92" s="69" t="str">
        <f t="shared" si="480"/>
        <v/>
      </c>
      <c r="IM92" s="69" t="str">
        <f t="shared" si="584"/>
        <v/>
      </c>
      <c r="IN92" s="69" t="str">
        <f t="shared" si="585"/>
        <v/>
      </c>
      <c r="IO92" s="69" t="str">
        <f t="shared" si="586"/>
        <v/>
      </c>
      <c r="IP92" s="69" t="str">
        <f t="shared" si="587"/>
        <v/>
      </c>
      <c r="IQ92" s="69" t="str">
        <f t="shared" si="588"/>
        <v/>
      </c>
      <c r="IR92" s="69" t="str">
        <f t="shared" si="589"/>
        <v/>
      </c>
      <c r="IS92" s="69" t="str">
        <f t="shared" si="590"/>
        <v/>
      </c>
      <c r="IT92" s="69" t="str">
        <f t="shared" si="591"/>
        <v/>
      </c>
      <c r="IU92" s="69" t="str">
        <f t="shared" si="592"/>
        <v/>
      </c>
      <c r="IV92" s="69" t="str">
        <f t="shared" si="593"/>
        <v/>
      </c>
    </row>
    <row r="93" spans="1:256" x14ac:dyDescent="0.2">
      <c r="A93" s="57" t="s">
        <v>96</v>
      </c>
      <c r="B93" s="188"/>
      <c r="C93" s="182"/>
      <c r="D93" s="180"/>
      <c r="E93" s="181"/>
      <c r="F93" s="182"/>
      <c r="G93" s="180"/>
      <c r="H93" s="181"/>
      <c r="I93" s="181"/>
      <c r="J93" s="182"/>
      <c r="K93" s="186"/>
      <c r="L93" s="68">
        <f t="shared" si="595"/>
        <v>0</v>
      </c>
      <c r="M93" s="69" t="str">
        <f t="shared" si="596"/>
        <v/>
      </c>
      <c r="N93" s="69" t="str">
        <f t="shared" si="481"/>
        <v/>
      </c>
      <c r="O93" s="69" t="str">
        <f t="shared" si="482"/>
        <v/>
      </c>
      <c r="P93" s="69" t="str">
        <f t="shared" si="483"/>
        <v/>
      </c>
      <c r="Q93" s="70" t="str">
        <f t="shared" si="597"/>
        <v/>
      </c>
      <c r="R93" s="71" t="str">
        <f t="shared" si="484"/>
        <v/>
      </c>
      <c r="S93" s="71" t="str">
        <f t="shared" si="485"/>
        <v/>
      </c>
      <c r="T93" s="70" t="str">
        <f t="shared" si="598"/>
        <v/>
      </c>
      <c r="U93" s="71" t="str">
        <f t="shared" si="486"/>
        <v/>
      </c>
      <c r="V93" s="71" t="str">
        <f t="shared" si="487"/>
        <v/>
      </c>
      <c r="W93" s="70" t="str">
        <f t="shared" si="599"/>
        <v/>
      </c>
      <c r="X93" s="71" t="str">
        <f t="shared" si="488"/>
        <v/>
      </c>
      <c r="Y93" s="71" t="str">
        <f t="shared" si="489"/>
        <v/>
      </c>
      <c r="Z93" s="70" t="str">
        <f t="shared" si="600"/>
        <v/>
      </c>
      <c r="AA93" s="71" t="str">
        <f t="shared" si="490"/>
        <v/>
      </c>
      <c r="AB93" s="71" t="str">
        <f t="shared" si="491"/>
        <v/>
      </c>
      <c r="AC93" s="70" t="str">
        <f t="shared" si="601"/>
        <v/>
      </c>
      <c r="AD93" s="71" t="str">
        <f t="shared" si="492"/>
        <v/>
      </c>
      <c r="AE93" s="71" t="str">
        <f t="shared" si="493"/>
        <v/>
      </c>
      <c r="AF93" s="70" t="str">
        <f t="shared" si="367"/>
        <v/>
      </c>
      <c r="AG93" s="71" t="str">
        <f t="shared" si="494"/>
        <v/>
      </c>
      <c r="AH93" s="71" t="str">
        <f t="shared" si="495"/>
        <v/>
      </c>
      <c r="AI93" s="70" t="str">
        <f t="shared" si="368"/>
        <v/>
      </c>
      <c r="AJ93" s="71" t="str">
        <f t="shared" si="496"/>
        <v/>
      </c>
      <c r="AK93" s="71" t="str">
        <f t="shared" si="497"/>
        <v/>
      </c>
      <c r="AL93" s="70" t="str">
        <f t="shared" si="498"/>
        <v/>
      </c>
      <c r="AM93" s="71" t="str">
        <f t="shared" si="499"/>
        <v/>
      </c>
      <c r="AN93" s="71" t="str">
        <f t="shared" si="500"/>
        <v/>
      </c>
      <c r="AO93" s="70" t="str">
        <f t="shared" si="501"/>
        <v/>
      </c>
      <c r="AP93" s="71" t="str">
        <f t="shared" si="502"/>
        <v/>
      </c>
      <c r="AQ93" s="71" t="str">
        <f t="shared" si="503"/>
        <v/>
      </c>
      <c r="AR93" s="70" t="str">
        <f t="shared" si="504"/>
        <v/>
      </c>
      <c r="AS93" s="71" t="str">
        <f t="shared" si="505"/>
        <v/>
      </c>
      <c r="AT93" s="71" t="str">
        <f t="shared" si="506"/>
        <v/>
      </c>
      <c r="AU93" s="69" t="str">
        <f t="shared" si="507"/>
        <v/>
      </c>
      <c r="AV93" s="131" t="str">
        <f t="shared" si="508"/>
        <v/>
      </c>
      <c r="AW93" s="69" t="str">
        <f t="shared" si="594"/>
        <v/>
      </c>
      <c r="AX93" s="132" t="str">
        <f t="shared" si="509"/>
        <v/>
      </c>
      <c r="AY93" s="132" t="str">
        <f t="shared" si="510"/>
        <v/>
      </c>
      <c r="AZ93" s="69" t="str">
        <f t="shared" si="602"/>
        <v/>
      </c>
      <c r="BA93" s="69" t="str">
        <f t="shared" si="603"/>
        <v/>
      </c>
      <c r="BB93" s="69" t="str">
        <f t="shared" si="511"/>
        <v/>
      </c>
      <c r="BC93" s="69" t="str">
        <f t="shared" si="604"/>
        <v/>
      </c>
      <c r="BD93" s="69" t="str">
        <f t="shared" si="605"/>
        <v/>
      </c>
      <c r="BE93" s="69" t="str">
        <f t="shared" si="512"/>
        <v/>
      </c>
      <c r="BF93" s="69" t="str">
        <f t="shared" si="606"/>
        <v/>
      </c>
      <c r="BG93" s="69" t="str">
        <f t="shared" si="607"/>
        <v/>
      </c>
      <c r="BH93" s="69" t="str">
        <f t="shared" si="513"/>
        <v/>
      </c>
      <c r="BI93" s="69" t="str">
        <f t="shared" si="608"/>
        <v/>
      </c>
      <c r="BJ93" s="69" t="str">
        <f t="shared" si="609"/>
        <v/>
      </c>
      <c r="BK93" s="69" t="str">
        <f t="shared" si="514"/>
        <v/>
      </c>
      <c r="BL93" s="69" t="str">
        <f t="shared" si="610"/>
        <v/>
      </c>
      <c r="BM93" s="69" t="str">
        <f t="shared" si="611"/>
        <v/>
      </c>
      <c r="BN93" s="69" t="str">
        <f t="shared" si="515"/>
        <v/>
      </c>
      <c r="BO93" s="69" t="str">
        <f t="shared" si="612"/>
        <v/>
      </c>
      <c r="BP93" s="69" t="str">
        <f t="shared" si="613"/>
        <v/>
      </c>
      <c r="BQ93" s="69" t="str">
        <f t="shared" si="516"/>
        <v/>
      </c>
      <c r="BR93" s="69" t="str">
        <f t="shared" si="614"/>
        <v/>
      </c>
      <c r="BS93" s="69" t="str">
        <f t="shared" si="615"/>
        <v/>
      </c>
      <c r="BT93" s="69" t="str">
        <f t="shared" si="517"/>
        <v/>
      </c>
      <c r="BU93" s="69" t="str">
        <f t="shared" si="616"/>
        <v/>
      </c>
      <c r="BV93" s="69" t="str">
        <f t="shared" si="617"/>
        <v/>
      </c>
      <c r="BW93" s="69" t="str">
        <f t="shared" si="518"/>
        <v/>
      </c>
      <c r="BX93" s="69" t="str">
        <f t="shared" si="618"/>
        <v/>
      </c>
      <c r="BY93" s="69" t="str">
        <f t="shared" si="619"/>
        <v/>
      </c>
      <c r="BZ93" s="69" t="str">
        <f t="shared" si="519"/>
        <v/>
      </c>
      <c r="CA93" s="69" t="str">
        <f t="shared" si="620"/>
        <v/>
      </c>
      <c r="CB93" s="69" t="str">
        <f t="shared" si="621"/>
        <v/>
      </c>
      <c r="CC93" s="69" t="str">
        <f t="shared" si="520"/>
        <v/>
      </c>
      <c r="CE93" s="69" t="str">
        <f t="shared" si="622"/>
        <v/>
      </c>
      <c r="CF93" s="69" t="str">
        <f t="shared" si="623"/>
        <v/>
      </c>
      <c r="CG93" s="69" t="str">
        <f t="shared" si="521"/>
        <v/>
      </c>
      <c r="CH93" s="69" t="str">
        <f t="shared" si="624"/>
        <v/>
      </c>
      <c r="CI93" s="69" t="str">
        <f t="shared" si="625"/>
        <v/>
      </c>
      <c r="CJ93" s="69" t="str">
        <f t="shared" si="522"/>
        <v/>
      </c>
      <c r="CK93" s="69" t="str">
        <f t="shared" si="626"/>
        <v/>
      </c>
      <c r="CL93" s="69" t="str">
        <f t="shared" si="627"/>
        <v/>
      </c>
      <c r="CM93" s="69" t="str">
        <f t="shared" si="523"/>
        <v/>
      </c>
      <c r="CN93" s="69" t="str">
        <f t="shared" si="628"/>
        <v/>
      </c>
      <c r="CO93" s="69" t="str">
        <f t="shared" si="629"/>
        <v/>
      </c>
      <c r="CP93" s="69" t="str">
        <f t="shared" si="524"/>
        <v/>
      </c>
      <c r="CQ93" s="69" t="str">
        <f t="shared" si="630"/>
        <v/>
      </c>
      <c r="CR93" s="69" t="str">
        <f t="shared" si="631"/>
        <v/>
      </c>
      <c r="CS93" s="69" t="str">
        <f t="shared" si="525"/>
        <v/>
      </c>
      <c r="CT93" s="69" t="str">
        <f t="shared" si="632"/>
        <v/>
      </c>
      <c r="CU93" s="69" t="str">
        <f t="shared" si="633"/>
        <v/>
      </c>
      <c r="CV93" s="69" t="str">
        <f t="shared" si="526"/>
        <v/>
      </c>
      <c r="CW93" s="69" t="str">
        <f t="shared" si="634"/>
        <v/>
      </c>
      <c r="CX93" s="69" t="str">
        <f t="shared" si="635"/>
        <v/>
      </c>
      <c r="CY93" s="69" t="str">
        <f t="shared" si="527"/>
        <v/>
      </c>
      <c r="CZ93" s="69" t="str">
        <f t="shared" si="636"/>
        <v/>
      </c>
      <c r="DA93" s="69" t="str">
        <f t="shared" si="637"/>
        <v/>
      </c>
      <c r="DB93" s="69" t="str">
        <f t="shared" si="528"/>
        <v/>
      </c>
      <c r="DC93" s="69" t="str">
        <f t="shared" si="638"/>
        <v/>
      </c>
      <c r="DD93" s="69" t="str">
        <f t="shared" si="639"/>
        <v/>
      </c>
      <c r="DE93" s="69" t="str">
        <f t="shared" si="529"/>
        <v/>
      </c>
      <c r="DG93" s="69" t="str">
        <f t="shared" si="640"/>
        <v/>
      </c>
      <c r="DH93" s="69" t="str">
        <f t="shared" si="641"/>
        <v/>
      </c>
      <c r="DI93" s="69" t="str">
        <f t="shared" si="530"/>
        <v/>
      </c>
      <c r="DJ93" s="69" t="str">
        <f t="shared" si="642"/>
        <v/>
      </c>
      <c r="DK93" s="69" t="str">
        <f t="shared" si="643"/>
        <v/>
      </c>
      <c r="DL93" s="69" t="str">
        <f t="shared" si="531"/>
        <v/>
      </c>
      <c r="DM93" s="69" t="str">
        <f t="shared" si="644"/>
        <v/>
      </c>
      <c r="DN93" s="69" t="str">
        <f t="shared" si="645"/>
        <v/>
      </c>
      <c r="DO93" s="69" t="str">
        <f t="shared" si="532"/>
        <v/>
      </c>
      <c r="DP93" s="69" t="str">
        <f t="shared" si="646"/>
        <v/>
      </c>
      <c r="DQ93" s="69" t="str">
        <f t="shared" si="647"/>
        <v/>
      </c>
      <c r="DR93" s="69" t="str">
        <f t="shared" si="533"/>
        <v/>
      </c>
      <c r="DS93" s="69" t="str">
        <f t="shared" si="648"/>
        <v/>
      </c>
      <c r="DT93" s="69" t="str">
        <f t="shared" si="649"/>
        <v/>
      </c>
      <c r="DU93" s="69" t="str">
        <f t="shared" si="534"/>
        <v/>
      </c>
      <c r="DV93" s="69" t="str">
        <f t="shared" si="650"/>
        <v/>
      </c>
      <c r="DW93" s="69" t="str">
        <f t="shared" si="651"/>
        <v/>
      </c>
      <c r="DX93" s="69" t="str">
        <f t="shared" si="535"/>
        <v/>
      </c>
      <c r="DY93" s="69" t="str">
        <f t="shared" si="652"/>
        <v/>
      </c>
      <c r="DZ93" s="69" t="str">
        <f t="shared" si="653"/>
        <v/>
      </c>
      <c r="EA93" s="69" t="str">
        <f t="shared" si="536"/>
        <v/>
      </c>
      <c r="EB93" s="69" t="str">
        <f t="shared" si="654"/>
        <v/>
      </c>
      <c r="EC93" s="69" t="str">
        <f t="shared" si="655"/>
        <v/>
      </c>
      <c r="ED93" s="69" t="str">
        <f t="shared" si="537"/>
        <v/>
      </c>
      <c r="EF93" s="69" t="str">
        <f t="shared" si="656"/>
        <v/>
      </c>
      <c r="EG93" s="69" t="str">
        <f t="shared" si="657"/>
        <v/>
      </c>
      <c r="EH93" s="69" t="str">
        <f t="shared" si="538"/>
        <v/>
      </c>
      <c r="EI93" s="69" t="str">
        <f t="shared" si="658"/>
        <v/>
      </c>
      <c r="EJ93" s="69" t="str">
        <f t="shared" si="659"/>
        <v/>
      </c>
      <c r="EK93" s="69" t="str">
        <f t="shared" si="539"/>
        <v/>
      </c>
      <c r="EL93" s="69" t="str">
        <f t="shared" si="660"/>
        <v/>
      </c>
      <c r="EM93" s="69" t="str">
        <f t="shared" si="661"/>
        <v/>
      </c>
      <c r="EN93" s="69" t="str">
        <f t="shared" si="540"/>
        <v/>
      </c>
      <c r="EO93" s="69" t="str">
        <f t="shared" si="662"/>
        <v/>
      </c>
      <c r="EP93" s="69" t="str">
        <f t="shared" si="663"/>
        <v/>
      </c>
      <c r="EQ93" s="69" t="str">
        <f t="shared" si="541"/>
        <v/>
      </c>
      <c r="ER93" s="69" t="str">
        <f t="shared" si="664"/>
        <v/>
      </c>
      <c r="ES93" s="69" t="str">
        <f t="shared" si="665"/>
        <v/>
      </c>
      <c r="ET93" s="69" t="str">
        <f t="shared" si="542"/>
        <v/>
      </c>
      <c r="EU93" s="69" t="str">
        <f t="shared" si="666"/>
        <v/>
      </c>
      <c r="EV93" s="69" t="str">
        <f t="shared" si="667"/>
        <v/>
      </c>
      <c r="EW93" s="69" t="str">
        <f t="shared" si="543"/>
        <v/>
      </c>
      <c r="EX93" s="69" t="str">
        <f t="shared" si="668"/>
        <v/>
      </c>
      <c r="EY93" s="69" t="str">
        <f t="shared" si="669"/>
        <v/>
      </c>
      <c r="EZ93" s="69" t="str">
        <f t="shared" si="544"/>
        <v/>
      </c>
      <c r="FB93" s="69" t="str">
        <f t="shared" si="670"/>
        <v/>
      </c>
      <c r="FC93" s="69" t="str">
        <f t="shared" si="671"/>
        <v/>
      </c>
      <c r="FD93" s="69" t="str">
        <f t="shared" si="545"/>
        <v/>
      </c>
      <c r="FE93" s="69" t="str">
        <f t="shared" si="672"/>
        <v/>
      </c>
      <c r="FF93" s="69" t="str">
        <f t="shared" si="673"/>
        <v/>
      </c>
      <c r="FG93" s="69" t="str">
        <f t="shared" si="546"/>
        <v/>
      </c>
      <c r="FH93" s="69" t="str">
        <f t="shared" si="674"/>
        <v/>
      </c>
      <c r="FI93" s="69" t="str">
        <f t="shared" si="675"/>
        <v/>
      </c>
      <c r="FJ93" s="69" t="str">
        <f t="shared" si="547"/>
        <v/>
      </c>
      <c r="FK93" s="69" t="str">
        <f t="shared" si="676"/>
        <v/>
      </c>
      <c r="FL93" s="69" t="str">
        <f t="shared" si="677"/>
        <v/>
      </c>
      <c r="FM93" s="69" t="str">
        <f t="shared" si="548"/>
        <v/>
      </c>
      <c r="FN93" s="69" t="str">
        <f t="shared" si="678"/>
        <v/>
      </c>
      <c r="FO93" s="69" t="str">
        <f t="shared" si="679"/>
        <v/>
      </c>
      <c r="FP93" s="69" t="str">
        <f t="shared" si="549"/>
        <v/>
      </c>
      <c r="FQ93" s="69" t="str">
        <f t="shared" si="680"/>
        <v/>
      </c>
      <c r="FR93" s="69" t="str">
        <f t="shared" si="681"/>
        <v/>
      </c>
      <c r="FS93" s="69" t="str">
        <f t="shared" si="550"/>
        <v/>
      </c>
      <c r="FU93" s="69" t="str">
        <f t="shared" si="449"/>
        <v/>
      </c>
      <c r="FV93" s="69" t="str">
        <f t="shared" si="450"/>
        <v/>
      </c>
      <c r="FW93" s="69" t="str">
        <f t="shared" si="551"/>
        <v/>
      </c>
      <c r="FX93" s="69" t="str">
        <f t="shared" si="451"/>
        <v/>
      </c>
      <c r="FY93" s="69" t="str">
        <f t="shared" si="452"/>
        <v/>
      </c>
      <c r="FZ93" s="69" t="str">
        <f t="shared" si="552"/>
        <v/>
      </c>
      <c r="GA93" s="69" t="str">
        <f t="shared" si="453"/>
        <v/>
      </c>
      <c r="GB93" s="69" t="str">
        <f t="shared" si="454"/>
        <v/>
      </c>
      <c r="GC93" s="69" t="str">
        <f t="shared" si="553"/>
        <v/>
      </c>
      <c r="GD93" s="69" t="str">
        <f t="shared" si="455"/>
        <v/>
      </c>
      <c r="GE93" s="69" t="str">
        <f t="shared" si="456"/>
        <v/>
      </c>
      <c r="GF93" s="69" t="str">
        <f t="shared" si="554"/>
        <v/>
      </c>
      <c r="GG93" s="69" t="str">
        <f t="shared" si="457"/>
        <v/>
      </c>
      <c r="GH93" s="69" t="str">
        <f t="shared" si="458"/>
        <v/>
      </c>
      <c r="GI93" s="69" t="str">
        <f t="shared" si="555"/>
        <v/>
      </c>
      <c r="GK93" s="69" t="str">
        <f t="shared" si="459"/>
        <v/>
      </c>
      <c r="GL93" s="69" t="str">
        <f t="shared" si="460"/>
        <v/>
      </c>
      <c r="GM93" s="69" t="str">
        <f t="shared" si="556"/>
        <v/>
      </c>
      <c r="GN93" s="69" t="str">
        <f t="shared" si="461"/>
        <v/>
      </c>
      <c r="GO93" s="69" t="str">
        <f t="shared" si="462"/>
        <v/>
      </c>
      <c r="GP93" s="69" t="str">
        <f t="shared" si="557"/>
        <v/>
      </c>
      <c r="GQ93" s="69" t="str">
        <f t="shared" si="463"/>
        <v/>
      </c>
      <c r="GR93" s="69" t="str">
        <f t="shared" si="464"/>
        <v/>
      </c>
      <c r="GS93" s="69" t="str">
        <f t="shared" si="558"/>
        <v/>
      </c>
      <c r="GT93" s="69" t="str">
        <f t="shared" si="465"/>
        <v/>
      </c>
      <c r="GU93" s="69" t="str">
        <f t="shared" si="466"/>
        <v/>
      </c>
      <c r="GV93" s="69" t="str">
        <f t="shared" si="559"/>
        <v/>
      </c>
      <c r="GX93" s="69" t="str">
        <f t="shared" si="560"/>
        <v/>
      </c>
      <c r="GY93" s="69" t="str">
        <f t="shared" si="561"/>
        <v/>
      </c>
      <c r="GZ93" s="69" t="str">
        <f t="shared" si="562"/>
        <v/>
      </c>
      <c r="HA93" s="69" t="str">
        <f t="shared" si="563"/>
        <v/>
      </c>
      <c r="HB93" s="69" t="str">
        <f t="shared" si="564"/>
        <v/>
      </c>
      <c r="HC93" s="69" t="str">
        <f t="shared" si="565"/>
        <v/>
      </c>
      <c r="HD93" s="69" t="str">
        <f t="shared" si="566"/>
        <v/>
      </c>
      <c r="HE93" s="69" t="str">
        <f t="shared" si="567"/>
        <v/>
      </c>
      <c r="HF93" s="69" t="str">
        <f t="shared" si="568"/>
        <v/>
      </c>
      <c r="HH93" s="69" t="str">
        <f t="shared" si="569"/>
        <v/>
      </c>
      <c r="HI93" s="69" t="str">
        <f t="shared" si="570"/>
        <v/>
      </c>
      <c r="HJ93" s="69" t="str">
        <f t="shared" si="571"/>
        <v/>
      </c>
      <c r="HK93" s="69" t="str">
        <f t="shared" si="572"/>
        <v/>
      </c>
      <c r="HL93" s="69" t="str">
        <f t="shared" si="573"/>
        <v/>
      </c>
      <c r="HM93" s="69" t="str">
        <f t="shared" si="574"/>
        <v/>
      </c>
      <c r="HO93" s="69" t="str">
        <f t="shared" si="575"/>
        <v/>
      </c>
      <c r="HP93" s="69" t="str">
        <f t="shared" si="576"/>
        <v/>
      </c>
      <c r="HQ93" s="69" t="str">
        <f t="shared" si="577"/>
        <v/>
      </c>
      <c r="HS93" s="69" t="str">
        <f t="shared" si="682"/>
        <v/>
      </c>
      <c r="HT93" s="69" t="str">
        <f t="shared" si="683"/>
        <v/>
      </c>
      <c r="HU93" s="69" t="str">
        <f t="shared" si="578"/>
        <v/>
      </c>
      <c r="HV93" s="69" t="str">
        <f t="shared" si="684"/>
        <v/>
      </c>
      <c r="HW93" s="69" t="str">
        <f t="shared" si="685"/>
        <v/>
      </c>
      <c r="HX93" s="69" t="str">
        <f t="shared" si="579"/>
        <v/>
      </c>
      <c r="HY93" s="69" t="str">
        <f t="shared" si="686"/>
        <v/>
      </c>
      <c r="HZ93" s="69" t="str">
        <f t="shared" si="687"/>
        <v/>
      </c>
      <c r="IA93" s="69" t="str">
        <f t="shared" si="580"/>
        <v/>
      </c>
      <c r="IB93" s="69" t="str">
        <f t="shared" si="688"/>
        <v/>
      </c>
      <c r="IC93" s="69" t="str">
        <f t="shared" si="689"/>
        <v/>
      </c>
      <c r="ID93" s="69" t="str">
        <f t="shared" si="581"/>
        <v/>
      </c>
      <c r="IE93" s="69" t="str">
        <f t="shared" si="690"/>
        <v/>
      </c>
      <c r="IF93" s="69" t="str">
        <f t="shared" si="691"/>
        <v/>
      </c>
      <c r="IG93" s="69" t="str">
        <f t="shared" si="582"/>
        <v/>
      </c>
      <c r="IH93" s="69" t="str">
        <f t="shared" si="477"/>
        <v/>
      </c>
      <c r="II93" s="69" t="str">
        <f t="shared" si="478"/>
        <v/>
      </c>
      <c r="IJ93" s="69" t="str">
        <f t="shared" si="583"/>
        <v/>
      </c>
      <c r="IK93" s="69" t="str">
        <f t="shared" si="479"/>
        <v/>
      </c>
      <c r="IL93" s="69" t="str">
        <f t="shared" si="480"/>
        <v/>
      </c>
      <c r="IM93" s="69" t="str">
        <f t="shared" si="584"/>
        <v/>
      </c>
      <c r="IN93" s="69" t="str">
        <f t="shared" si="585"/>
        <v/>
      </c>
      <c r="IO93" s="69" t="str">
        <f t="shared" si="586"/>
        <v/>
      </c>
      <c r="IP93" s="69" t="str">
        <f t="shared" si="587"/>
        <v/>
      </c>
      <c r="IQ93" s="69" t="str">
        <f t="shared" si="588"/>
        <v/>
      </c>
      <c r="IR93" s="69" t="str">
        <f t="shared" si="589"/>
        <v/>
      </c>
      <c r="IS93" s="69" t="str">
        <f t="shared" si="590"/>
        <v/>
      </c>
      <c r="IT93" s="69" t="str">
        <f t="shared" si="591"/>
        <v/>
      </c>
      <c r="IU93" s="69" t="str">
        <f t="shared" si="592"/>
        <v/>
      </c>
      <c r="IV93" s="69" t="str">
        <f t="shared" si="593"/>
        <v/>
      </c>
    </row>
    <row r="94" spans="1:256" x14ac:dyDescent="0.2">
      <c r="A94" s="57" t="s">
        <v>97</v>
      </c>
      <c r="B94" s="188"/>
      <c r="C94" s="182"/>
      <c r="D94" s="180"/>
      <c r="E94" s="181"/>
      <c r="F94" s="182"/>
      <c r="G94" s="180"/>
      <c r="H94" s="181"/>
      <c r="I94" s="181"/>
      <c r="J94" s="182"/>
      <c r="K94" s="186"/>
      <c r="L94" s="68">
        <f t="shared" si="595"/>
        <v>0</v>
      </c>
      <c r="M94" s="69" t="str">
        <f t="shared" si="596"/>
        <v/>
      </c>
      <c r="N94" s="69" t="str">
        <f t="shared" si="481"/>
        <v/>
      </c>
      <c r="O94" s="69" t="str">
        <f t="shared" si="482"/>
        <v/>
      </c>
      <c r="P94" s="69" t="str">
        <f t="shared" si="483"/>
        <v/>
      </c>
      <c r="Q94" s="70" t="str">
        <f t="shared" si="597"/>
        <v/>
      </c>
      <c r="R94" s="71" t="str">
        <f t="shared" si="484"/>
        <v/>
      </c>
      <c r="S94" s="71" t="str">
        <f t="shared" si="485"/>
        <v/>
      </c>
      <c r="T94" s="70" t="str">
        <f t="shared" si="598"/>
        <v/>
      </c>
      <c r="U94" s="71" t="str">
        <f t="shared" si="486"/>
        <v/>
      </c>
      <c r="V94" s="71" t="str">
        <f t="shared" si="487"/>
        <v/>
      </c>
      <c r="W94" s="70" t="str">
        <f t="shared" si="599"/>
        <v/>
      </c>
      <c r="X94" s="71" t="str">
        <f t="shared" si="488"/>
        <v/>
      </c>
      <c r="Y94" s="71" t="str">
        <f t="shared" si="489"/>
        <v/>
      </c>
      <c r="Z94" s="70" t="str">
        <f t="shared" si="600"/>
        <v/>
      </c>
      <c r="AA94" s="71" t="str">
        <f t="shared" si="490"/>
        <v/>
      </c>
      <c r="AB94" s="71" t="str">
        <f t="shared" si="491"/>
        <v/>
      </c>
      <c r="AC94" s="70" t="str">
        <f t="shared" si="601"/>
        <v/>
      </c>
      <c r="AD94" s="71" t="str">
        <f t="shared" si="492"/>
        <v/>
      </c>
      <c r="AE94" s="71" t="str">
        <f t="shared" si="493"/>
        <v/>
      </c>
      <c r="AF94" s="70" t="str">
        <f t="shared" si="367"/>
        <v/>
      </c>
      <c r="AG94" s="71" t="str">
        <f t="shared" si="494"/>
        <v/>
      </c>
      <c r="AH94" s="71" t="str">
        <f t="shared" si="495"/>
        <v/>
      </c>
      <c r="AI94" s="70" t="str">
        <f t="shared" si="368"/>
        <v/>
      </c>
      <c r="AJ94" s="71" t="str">
        <f t="shared" si="496"/>
        <v/>
      </c>
      <c r="AK94" s="71" t="str">
        <f t="shared" si="497"/>
        <v/>
      </c>
      <c r="AL94" s="70" t="str">
        <f t="shared" si="498"/>
        <v/>
      </c>
      <c r="AM94" s="71" t="str">
        <f t="shared" si="499"/>
        <v/>
      </c>
      <c r="AN94" s="71" t="str">
        <f t="shared" si="500"/>
        <v/>
      </c>
      <c r="AO94" s="70" t="str">
        <f t="shared" si="501"/>
        <v/>
      </c>
      <c r="AP94" s="71" t="str">
        <f t="shared" si="502"/>
        <v/>
      </c>
      <c r="AQ94" s="71" t="str">
        <f t="shared" si="503"/>
        <v/>
      </c>
      <c r="AR94" s="70" t="str">
        <f t="shared" si="504"/>
        <v/>
      </c>
      <c r="AS94" s="71" t="str">
        <f t="shared" si="505"/>
        <v/>
      </c>
      <c r="AT94" s="71" t="str">
        <f t="shared" si="506"/>
        <v/>
      </c>
      <c r="AU94" s="69" t="str">
        <f t="shared" si="507"/>
        <v/>
      </c>
      <c r="AV94" s="131" t="str">
        <f t="shared" si="508"/>
        <v/>
      </c>
      <c r="AW94" s="69" t="str">
        <f t="shared" si="594"/>
        <v/>
      </c>
      <c r="AX94" s="132" t="str">
        <f t="shared" si="509"/>
        <v/>
      </c>
      <c r="AY94" s="132" t="str">
        <f t="shared" si="510"/>
        <v/>
      </c>
      <c r="AZ94" s="69" t="str">
        <f t="shared" si="602"/>
        <v/>
      </c>
      <c r="BA94" s="69" t="str">
        <f t="shared" si="603"/>
        <v/>
      </c>
      <c r="BB94" s="69" t="str">
        <f t="shared" si="511"/>
        <v/>
      </c>
      <c r="BC94" s="69" t="str">
        <f t="shared" si="604"/>
        <v/>
      </c>
      <c r="BD94" s="69" t="str">
        <f t="shared" si="605"/>
        <v/>
      </c>
      <c r="BE94" s="69" t="str">
        <f t="shared" si="512"/>
        <v/>
      </c>
      <c r="BF94" s="69" t="str">
        <f t="shared" si="606"/>
        <v/>
      </c>
      <c r="BG94" s="69" t="str">
        <f t="shared" si="607"/>
        <v/>
      </c>
      <c r="BH94" s="69" t="str">
        <f t="shared" si="513"/>
        <v/>
      </c>
      <c r="BI94" s="69" t="str">
        <f t="shared" si="608"/>
        <v/>
      </c>
      <c r="BJ94" s="69" t="str">
        <f t="shared" si="609"/>
        <v/>
      </c>
      <c r="BK94" s="69" t="str">
        <f t="shared" si="514"/>
        <v/>
      </c>
      <c r="BL94" s="69" t="str">
        <f t="shared" si="610"/>
        <v/>
      </c>
      <c r="BM94" s="69" t="str">
        <f t="shared" si="611"/>
        <v/>
      </c>
      <c r="BN94" s="69" t="str">
        <f t="shared" si="515"/>
        <v/>
      </c>
      <c r="BO94" s="69" t="str">
        <f t="shared" si="612"/>
        <v/>
      </c>
      <c r="BP94" s="69" t="str">
        <f t="shared" si="613"/>
        <v/>
      </c>
      <c r="BQ94" s="69" t="str">
        <f t="shared" si="516"/>
        <v/>
      </c>
      <c r="BR94" s="69" t="str">
        <f t="shared" si="614"/>
        <v/>
      </c>
      <c r="BS94" s="69" t="str">
        <f t="shared" si="615"/>
        <v/>
      </c>
      <c r="BT94" s="69" t="str">
        <f t="shared" si="517"/>
        <v/>
      </c>
      <c r="BU94" s="69" t="str">
        <f t="shared" si="616"/>
        <v/>
      </c>
      <c r="BV94" s="69" t="str">
        <f t="shared" si="617"/>
        <v/>
      </c>
      <c r="BW94" s="69" t="str">
        <f t="shared" si="518"/>
        <v/>
      </c>
      <c r="BX94" s="69" t="str">
        <f t="shared" si="618"/>
        <v/>
      </c>
      <c r="BY94" s="69" t="str">
        <f t="shared" si="619"/>
        <v/>
      </c>
      <c r="BZ94" s="69" t="str">
        <f t="shared" si="519"/>
        <v/>
      </c>
      <c r="CA94" s="69" t="str">
        <f t="shared" si="620"/>
        <v/>
      </c>
      <c r="CB94" s="69" t="str">
        <f t="shared" si="621"/>
        <v/>
      </c>
      <c r="CC94" s="69" t="str">
        <f t="shared" si="520"/>
        <v/>
      </c>
      <c r="CE94" s="69" t="str">
        <f t="shared" si="622"/>
        <v/>
      </c>
      <c r="CF94" s="69" t="str">
        <f t="shared" si="623"/>
        <v/>
      </c>
      <c r="CG94" s="69" t="str">
        <f t="shared" si="521"/>
        <v/>
      </c>
      <c r="CH94" s="69" t="str">
        <f t="shared" si="624"/>
        <v/>
      </c>
      <c r="CI94" s="69" t="str">
        <f t="shared" si="625"/>
        <v/>
      </c>
      <c r="CJ94" s="69" t="str">
        <f t="shared" si="522"/>
        <v/>
      </c>
      <c r="CK94" s="69" t="str">
        <f t="shared" si="626"/>
        <v/>
      </c>
      <c r="CL94" s="69" t="str">
        <f t="shared" si="627"/>
        <v/>
      </c>
      <c r="CM94" s="69" t="str">
        <f t="shared" si="523"/>
        <v/>
      </c>
      <c r="CN94" s="69" t="str">
        <f t="shared" si="628"/>
        <v/>
      </c>
      <c r="CO94" s="69" t="str">
        <f t="shared" si="629"/>
        <v/>
      </c>
      <c r="CP94" s="69" t="str">
        <f t="shared" si="524"/>
        <v/>
      </c>
      <c r="CQ94" s="69" t="str">
        <f t="shared" si="630"/>
        <v/>
      </c>
      <c r="CR94" s="69" t="str">
        <f t="shared" si="631"/>
        <v/>
      </c>
      <c r="CS94" s="69" t="str">
        <f t="shared" si="525"/>
        <v/>
      </c>
      <c r="CT94" s="69" t="str">
        <f t="shared" si="632"/>
        <v/>
      </c>
      <c r="CU94" s="69" t="str">
        <f t="shared" si="633"/>
        <v/>
      </c>
      <c r="CV94" s="69" t="str">
        <f t="shared" si="526"/>
        <v/>
      </c>
      <c r="CW94" s="69" t="str">
        <f t="shared" si="634"/>
        <v/>
      </c>
      <c r="CX94" s="69" t="str">
        <f t="shared" si="635"/>
        <v/>
      </c>
      <c r="CY94" s="69" t="str">
        <f t="shared" si="527"/>
        <v/>
      </c>
      <c r="CZ94" s="69" t="str">
        <f t="shared" si="636"/>
        <v/>
      </c>
      <c r="DA94" s="69" t="str">
        <f t="shared" si="637"/>
        <v/>
      </c>
      <c r="DB94" s="69" t="str">
        <f t="shared" si="528"/>
        <v/>
      </c>
      <c r="DC94" s="69" t="str">
        <f t="shared" si="638"/>
        <v/>
      </c>
      <c r="DD94" s="69" t="str">
        <f t="shared" si="639"/>
        <v/>
      </c>
      <c r="DE94" s="69" t="str">
        <f t="shared" si="529"/>
        <v/>
      </c>
      <c r="DG94" s="69" t="str">
        <f t="shared" si="640"/>
        <v/>
      </c>
      <c r="DH94" s="69" t="str">
        <f t="shared" si="641"/>
        <v/>
      </c>
      <c r="DI94" s="69" t="str">
        <f t="shared" si="530"/>
        <v/>
      </c>
      <c r="DJ94" s="69" t="str">
        <f t="shared" si="642"/>
        <v/>
      </c>
      <c r="DK94" s="69" t="str">
        <f t="shared" si="643"/>
        <v/>
      </c>
      <c r="DL94" s="69" t="str">
        <f t="shared" si="531"/>
        <v/>
      </c>
      <c r="DM94" s="69" t="str">
        <f t="shared" si="644"/>
        <v/>
      </c>
      <c r="DN94" s="69" t="str">
        <f t="shared" si="645"/>
        <v/>
      </c>
      <c r="DO94" s="69" t="str">
        <f t="shared" si="532"/>
        <v/>
      </c>
      <c r="DP94" s="69" t="str">
        <f t="shared" si="646"/>
        <v/>
      </c>
      <c r="DQ94" s="69" t="str">
        <f t="shared" si="647"/>
        <v/>
      </c>
      <c r="DR94" s="69" t="str">
        <f t="shared" si="533"/>
        <v/>
      </c>
      <c r="DS94" s="69" t="str">
        <f t="shared" si="648"/>
        <v/>
      </c>
      <c r="DT94" s="69" t="str">
        <f t="shared" si="649"/>
        <v/>
      </c>
      <c r="DU94" s="69" t="str">
        <f t="shared" si="534"/>
        <v/>
      </c>
      <c r="DV94" s="69" t="str">
        <f t="shared" si="650"/>
        <v/>
      </c>
      <c r="DW94" s="69" t="str">
        <f t="shared" si="651"/>
        <v/>
      </c>
      <c r="DX94" s="69" t="str">
        <f t="shared" si="535"/>
        <v/>
      </c>
      <c r="DY94" s="69" t="str">
        <f t="shared" si="652"/>
        <v/>
      </c>
      <c r="DZ94" s="69" t="str">
        <f t="shared" si="653"/>
        <v/>
      </c>
      <c r="EA94" s="69" t="str">
        <f t="shared" si="536"/>
        <v/>
      </c>
      <c r="EB94" s="69" t="str">
        <f t="shared" si="654"/>
        <v/>
      </c>
      <c r="EC94" s="69" t="str">
        <f t="shared" si="655"/>
        <v/>
      </c>
      <c r="ED94" s="69" t="str">
        <f t="shared" si="537"/>
        <v/>
      </c>
      <c r="EF94" s="69" t="str">
        <f t="shared" si="656"/>
        <v/>
      </c>
      <c r="EG94" s="69" t="str">
        <f t="shared" si="657"/>
        <v/>
      </c>
      <c r="EH94" s="69" t="str">
        <f t="shared" si="538"/>
        <v/>
      </c>
      <c r="EI94" s="69" t="str">
        <f t="shared" si="658"/>
        <v/>
      </c>
      <c r="EJ94" s="69" t="str">
        <f t="shared" si="659"/>
        <v/>
      </c>
      <c r="EK94" s="69" t="str">
        <f t="shared" si="539"/>
        <v/>
      </c>
      <c r="EL94" s="69" t="str">
        <f t="shared" si="660"/>
        <v/>
      </c>
      <c r="EM94" s="69" t="str">
        <f t="shared" si="661"/>
        <v/>
      </c>
      <c r="EN94" s="69" t="str">
        <f t="shared" si="540"/>
        <v/>
      </c>
      <c r="EO94" s="69" t="str">
        <f t="shared" si="662"/>
        <v/>
      </c>
      <c r="EP94" s="69" t="str">
        <f t="shared" si="663"/>
        <v/>
      </c>
      <c r="EQ94" s="69" t="str">
        <f t="shared" si="541"/>
        <v/>
      </c>
      <c r="ER94" s="69" t="str">
        <f t="shared" si="664"/>
        <v/>
      </c>
      <c r="ES94" s="69" t="str">
        <f t="shared" si="665"/>
        <v/>
      </c>
      <c r="ET94" s="69" t="str">
        <f t="shared" si="542"/>
        <v/>
      </c>
      <c r="EU94" s="69" t="str">
        <f t="shared" si="666"/>
        <v/>
      </c>
      <c r="EV94" s="69" t="str">
        <f t="shared" si="667"/>
        <v/>
      </c>
      <c r="EW94" s="69" t="str">
        <f t="shared" si="543"/>
        <v/>
      </c>
      <c r="EX94" s="69" t="str">
        <f t="shared" si="668"/>
        <v/>
      </c>
      <c r="EY94" s="69" t="str">
        <f t="shared" si="669"/>
        <v/>
      </c>
      <c r="EZ94" s="69" t="str">
        <f t="shared" si="544"/>
        <v/>
      </c>
      <c r="FB94" s="69" t="str">
        <f t="shared" si="670"/>
        <v/>
      </c>
      <c r="FC94" s="69" t="str">
        <f t="shared" si="671"/>
        <v/>
      </c>
      <c r="FD94" s="69" t="str">
        <f t="shared" si="545"/>
        <v/>
      </c>
      <c r="FE94" s="69" t="str">
        <f t="shared" si="672"/>
        <v/>
      </c>
      <c r="FF94" s="69" t="str">
        <f t="shared" si="673"/>
        <v/>
      </c>
      <c r="FG94" s="69" t="str">
        <f t="shared" si="546"/>
        <v/>
      </c>
      <c r="FH94" s="69" t="str">
        <f t="shared" si="674"/>
        <v/>
      </c>
      <c r="FI94" s="69" t="str">
        <f t="shared" si="675"/>
        <v/>
      </c>
      <c r="FJ94" s="69" t="str">
        <f t="shared" si="547"/>
        <v/>
      </c>
      <c r="FK94" s="69" t="str">
        <f t="shared" si="676"/>
        <v/>
      </c>
      <c r="FL94" s="69" t="str">
        <f t="shared" si="677"/>
        <v/>
      </c>
      <c r="FM94" s="69" t="str">
        <f t="shared" si="548"/>
        <v/>
      </c>
      <c r="FN94" s="69" t="str">
        <f t="shared" si="678"/>
        <v/>
      </c>
      <c r="FO94" s="69" t="str">
        <f t="shared" si="679"/>
        <v/>
      </c>
      <c r="FP94" s="69" t="str">
        <f t="shared" si="549"/>
        <v/>
      </c>
      <c r="FQ94" s="69" t="str">
        <f t="shared" si="680"/>
        <v/>
      </c>
      <c r="FR94" s="69" t="str">
        <f t="shared" si="681"/>
        <v/>
      </c>
      <c r="FS94" s="69" t="str">
        <f t="shared" si="550"/>
        <v/>
      </c>
      <c r="FU94" s="69" t="str">
        <f t="shared" si="449"/>
        <v/>
      </c>
      <c r="FV94" s="69" t="str">
        <f t="shared" si="450"/>
        <v/>
      </c>
      <c r="FW94" s="69" t="str">
        <f t="shared" si="551"/>
        <v/>
      </c>
      <c r="FX94" s="69" t="str">
        <f t="shared" si="451"/>
        <v/>
      </c>
      <c r="FY94" s="69" t="str">
        <f t="shared" si="452"/>
        <v/>
      </c>
      <c r="FZ94" s="69" t="str">
        <f t="shared" si="552"/>
        <v/>
      </c>
      <c r="GA94" s="69" t="str">
        <f t="shared" si="453"/>
        <v/>
      </c>
      <c r="GB94" s="69" t="str">
        <f t="shared" si="454"/>
        <v/>
      </c>
      <c r="GC94" s="69" t="str">
        <f t="shared" si="553"/>
        <v/>
      </c>
      <c r="GD94" s="69" t="str">
        <f t="shared" si="455"/>
        <v/>
      </c>
      <c r="GE94" s="69" t="str">
        <f t="shared" si="456"/>
        <v/>
      </c>
      <c r="GF94" s="69" t="str">
        <f t="shared" si="554"/>
        <v/>
      </c>
      <c r="GG94" s="69" t="str">
        <f t="shared" si="457"/>
        <v/>
      </c>
      <c r="GH94" s="69" t="str">
        <f t="shared" si="458"/>
        <v/>
      </c>
      <c r="GI94" s="69" t="str">
        <f t="shared" si="555"/>
        <v/>
      </c>
      <c r="GK94" s="69" t="str">
        <f t="shared" si="459"/>
        <v/>
      </c>
      <c r="GL94" s="69" t="str">
        <f t="shared" si="460"/>
        <v/>
      </c>
      <c r="GM94" s="69" t="str">
        <f t="shared" si="556"/>
        <v/>
      </c>
      <c r="GN94" s="69" t="str">
        <f t="shared" si="461"/>
        <v/>
      </c>
      <c r="GO94" s="69" t="str">
        <f t="shared" si="462"/>
        <v/>
      </c>
      <c r="GP94" s="69" t="str">
        <f t="shared" si="557"/>
        <v/>
      </c>
      <c r="GQ94" s="69" t="str">
        <f t="shared" si="463"/>
        <v/>
      </c>
      <c r="GR94" s="69" t="str">
        <f t="shared" si="464"/>
        <v/>
      </c>
      <c r="GS94" s="69" t="str">
        <f t="shared" si="558"/>
        <v/>
      </c>
      <c r="GT94" s="69" t="str">
        <f t="shared" si="465"/>
        <v/>
      </c>
      <c r="GU94" s="69" t="str">
        <f t="shared" si="466"/>
        <v/>
      </c>
      <c r="GV94" s="69" t="str">
        <f t="shared" si="559"/>
        <v/>
      </c>
      <c r="GX94" s="69" t="str">
        <f t="shared" si="560"/>
        <v/>
      </c>
      <c r="GY94" s="69" t="str">
        <f t="shared" si="561"/>
        <v/>
      </c>
      <c r="GZ94" s="69" t="str">
        <f t="shared" si="562"/>
        <v/>
      </c>
      <c r="HA94" s="69" t="str">
        <f t="shared" si="563"/>
        <v/>
      </c>
      <c r="HB94" s="69" t="str">
        <f t="shared" si="564"/>
        <v/>
      </c>
      <c r="HC94" s="69" t="str">
        <f t="shared" si="565"/>
        <v/>
      </c>
      <c r="HD94" s="69" t="str">
        <f t="shared" si="566"/>
        <v/>
      </c>
      <c r="HE94" s="69" t="str">
        <f t="shared" si="567"/>
        <v/>
      </c>
      <c r="HF94" s="69" t="str">
        <f t="shared" si="568"/>
        <v/>
      </c>
      <c r="HH94" s="69" t="str">
        <f t="shared" si="569"/>
        <v/>
      </c>
      <c r="HI94" s="69" t="str">
        <f t="shared" si="570"/>
        <v/>
      </c>
      <c r="HJ94" s="69" t="str">
        <f t="shared" si="571"/>
        <v/>
      </c>
      <c r="HK94" s="69" t="str">
        <f t="shared" si="572"/>
        <v/>
      </c>
      <c r="HL94" s="69" t="str">
        <f t="shared" si="573"/>
        <v/>
      </c>
      <c r="HM94" s="69" t="str">
        <f t="shared" si="574"/>
        <v/>
      </c>
      <c r="HO94" s="69" t="str">
        <f t="shared" si="575"/>
        <v/>
      </c>
      <c r="HP94" s="69" t="str">
        <f t="shared" si="576"/>
        <v/>
      </c>
      <c r="HQ94" s="69" t="str">
        <f t="shared" si="577"/>
        <v/>
      </c>
      <c r="HS94" s="69" t="str">
        <f t="shared" si="682"/>
        <v/>
      </c>
      <c r="HT94" s="69" t="str">
        <f t="shared" si="683"/>
        <v/>
      </c>
      <c r="HU94" s="69" t="str">
        <f t="shared" si="578"/>
        <v/>
      </c>
      <c r="HV94" s="69" t="str">
        <f t="shared" si="684"/>
        <v/>
      </c>
      <c r="HW94" s="69" t="str">
        <f t="shared" si="685"/>
        <v/>
      </c>
      <c r="HX94" s="69" t="str">
        <f t="shared" si="579"/>
        <v/>
      </c>
      <c r="HY94" s="69" t="str">
        <f t="shared" si="686"/>
        <v/>
      </c>
      <c r="HZ94" s="69" t="str">
        <f t="shared" si="687"/>
        <v/>
      </c>
      <c r="IA94" s="69" t="str">
        <f t="shared" si="580"/>
        <v/>
      </c>
      <c r="IB94" s="69" t="str">
        <f t="shared" si="688"/>
        <v/>
      </c>
      <c r="IC94" s="69" t="str">
        <f t="shared" si="689"/>
        <v/>
      </c>
      <c r="ID94" s="69" t="str">
        <f t="shared" si="581"/>
        <v/>
      </c>
      <c r="IE94" s="69" t="str">
        <f t="shared" si="690"/>
        <v/>
      </c>
      <c r="IF94" s="69" t="str">
        <f t="shared" si="691"/>
        <v/>
      </c>
      <c r="IG94" s="69" t="str">
        <f t="shared" si="582"/>
        <v/>
      </c>
      <c r="IH94" s="69" t="str">
        <f t="shared" si="477"/>
        <v/>
      </c>
      <c r="II94" s="69" t="str">
        <f t="shared" si="478"/>
        <v/>
      </c>
      <c r="IJ94" s="69" t="str">
        <f t="shared" si="583"/>
        <v/>
      </c>
      <c r="IK94" s="69" t="str">
        <f t="shared" si="479"/>
        <v/>
      </c>
      <c r="IL94" s="69" t="str">
        <f t="shared" si="480"/>
        <v/>
      </c>
      <c r="IM94" s="69" t="str">
        <f t="shared" si="584"/>
        <v/>
      </c>
      <c r="IN94" s="69" t="str">
        <f t="shared" si="585"/>
        <v/>
      </c>
      <c r="IO94" s="69" t="str">
        <f t="shared" si="586"/>
        <v/>
      </c>
      <c r="IP94" s="69" t="str">
        <f t="shared" si="587"/>
        <v/>
      </c>
      <c r="IQ94" s="69" t="str">
        <f t="shared" si="588"/>
        <v/>
      </c>
      <c r="IR94" s="69" t="str">
        <f t="shared" si="589"/>
        <v/>
      </c>
      <c r="IS94" s="69" t="str">
        <f t="shared" si="590"/>
        <v/>
      </c>
      <c r="IT94" s="69" t="str">
        <f t="shared" si="591"/>
        <v/>
      </c>
      <c r="IU94" s="69" t="str">
        <f t="shared" si="592"/>
        <v/>
      </c>
      <c r="IV94" s="69" t="str">
        <f t="shared" si="593"/>
        <v/>
      </c>
    </row>
    <row r="95" spans="1:256" x14ac:dyDescent="0.2">
      <c r="A95" s="57" t="s">
        <v>98</v>
      </c>
      <c r="B95" s="188"/>
      <c r="C95" s="187"/>
      <c r="D95" s="180"/>
      <c r="E95" s="181"/>
      <c r="F95" s="187"/>
      <c r="G95" s="180"/>
      <c r="H95" s="181"/>
      <c r="I95" s="181"/>
      <c r="J95" s="187"/>
      <c r="K95" s="186"/>
      <c r="L95" s="68">
        <f t="shared" si="595"/>
        <v>0</v>
      </c>
      <c r="M95" s="69" t="str">
        <f t="shared" si="596"/>
        <v/>
      </c>
      <c r="N95" s="69" t="str">
        <f t="shared" si="481"/>
        <v/>
      </c>
      <c r="O95" s="69" t="str">
        <f t="shared" si="482"/>
        <v/>
      </c>
      <c r="P95" s="69" t="str">
        <f t="shared" si="483"/>
        <v/>
      </c>
      <c r="Q95" s="70" t="str">
        <f t="shared" si="597"/>
        <v/>
      </c>
      <c r="R95" s="71" t="str">
        <f t="shared" si="484"/>
        <v/>
      </c>
      <c r="S95" s="71" t="str">
        <f t="shared" si="485"/>
        <v/>
      </c>
      <c r="T95" s="70" t="str">
        <f t="shared" si="598"/>
        <v/>
      </c>
      <c r="U95" s="71" t="str">
        <f t="shared" si="486"/>
        <v/>
      </c>
      <c r="V95" s="71" t="str">
        <f t="shared" si="487"/>
        <v/>
      </c>
      <c r="W95" s="70" t="str">
        <f t="shared" si="599"/>
        <v/>
      </c>
      <c r="X95" s="71" t="str">
        <f t="shared" si="488"/>
        <v/>
      </c>
      <c r="Y95" s="71" t="str">
        <f t="shared" si="489"/>
        <v/>
      </c>
      <c r="Z95" s="70" t="str">
        <f t="shared" si="600"/>
        <v/>
      </c>
      <c r="AA95" s="71" t="str">
        <f t="shared" si="490"/>
        <v/>
      </c>
      <c r="AB95" s="71" t="str">
        <f t="shared" si="491"/>
        <v/>
      </c>
      <c r="AC95" s="70" t="str">
        <f t="shared" si="601"/>
        <v/>
      </c>
      <c r="AD95" s="71" t="str">
        <f t="shared" si="492"/>
        <v/>
      </c>
      <c r="AE95" s="71" t="str">
        <f t="shared" si="493"/>
        <v/>
      </c>
      <c r="AF95" s="70" t="str">
        <f t="shared" si="367"/>
        <v/>
      </c>
      <c r="AG95" s="71" t="str">
        <f t="shared" si="494"/>
        <v/>
      </c>
      <c r="AH95" s="71" t="str">
        <f t="shared" si="495"/>
        <v/>
      </c>
      <c r="AI95" s="70" t="str">
        <f t="shared" si="368"/>
        <v/>
      </c>
      <c r="AJ95" s="71" t="str">
        <f t="shared" si="496"/>
        <v/>
      </c>
      <c r="AK95" s="71" t="str">
        <f t="shared" si="497"/>
        <v/>
      </c>
      <c r="AL95" s="70" t="str">
        <f t="shared" si="498"/>
        <v/>
      </c>
      <c r="AM95" s="71" t="str">
        <f t="shared" si="499"/>
        <v/>
      </c>
      <c r="AN95" s="71" t="str">
        <f t="shared" si="500"/>
        <v/>
      </c>
      <c r="AO95" s="70" t="str">
        <f t="shared" si="501"/>
        <v/>
      </c>
      <c r="AP95" s="71" t="str">
        <f t="shared" si="502"/>
        <v/>
      </c>
      <c r="AQ95" s="71" t="str">
        <f t="shared" si="503"/>
        <v/>
      </c>
      <c r="AR95" s="70" t="str">
        <f t="shared" si="504"/>
        <v/>
      </c>
      <c r="AS95" s="71" t="str">
        <f t="shared" si="505"/>
        <v/>
      </c>
      <c r="AT95" s="71" t="str">
        <f t="shared" si="506"/>
        <v/>
      </c>
      <c r="AU95" s="69" t="str">
        <f t="shared" si="507"/>
        <v/>
      </c>
      <c r="AV95" s="131" t="str">
        <f t="shared" si="508"/>
        <v/>
      </c>
      <c r="AW95" s="69" t="str">
        <f t="shared" si="594"/>
        <v/>
      </c>
      <c r="AX95" s="132" t="str">
        <f t="shared" si="509"/>
        <v/>
      </c>
      <c r="AY95" s="132" t="str">
        <f t="shared" si="510"/>
        <v/>
      </c>
      <c r="AZ95" s="69" t="str">
        <f t="shared" si="602"/>
        <v/>
      </c>
      <c r="BA95" s="69" t="str">
        <f t="shared" si="603"/>
        <v/>
      </c>
      <c r="BB95" s="69" t="str">
        <f t="shared" si="511"/>
        <v/>
      </c>
      <c r="BC95" s="69" t="str">
        <f t="shared" si="604"/>
        <v/>
      </c>
      <c r="BD95" s="69" t="str">
        <f t="shared" si="605"/>
        <v/>
      </c>
      <c r="BE95" s="69" t="str">
        <f t="shared" si="512"/>
        <v/>
      </c>
      <c r="BF95" s="69" t="str">
        <f t="shared" si="606"/>
        <v/>
      </c>
      <c r="BG95" s="69" t="str">
        <f t="shared" si="607"/>
        <v/>
      </c>
      <c r="BH95" s="69" t="str">
        <f t="shared" si="513"/>
        <v/>
      </c>
      <c r="BI95" s="69" t="str">
        <f t="shared" si="608"/>
        <v/>
      </c>
      <c r="BJ95" s="69" t="str">
        <f t="shared" si="609"/>
        <v/>
      </c>
      <c r="BK95" s="69" t="str">
        <f t="shared" si="514"/>
        <v/>
      </c>
      <c r="BL95" s="69" t="str">
        <f t="shared" si="610"/>
        <v/>
      </c>
      <c r="BM95" s="69" t="str">
        <f t="shared" si="611"/>
        <v/>
      </c>
      <c r="BN95" s="69" t="str">
        <f t="shared" si="515"/>
        <v/>
      </c>
      <c r="BO95" s="69" t="str">
        <f t="shared" si="612"/>
        <v/>
      </c>
      <c r="BP95" s="69" t="str">
        <f t="shared" si="613"/>
        <v/>
      </c>
      <c r="BQ95" s="69" t="str">
        <f t="shared" si="516"/>
        <v/>
      </c>
      <c r="BR95" s="69" t="str">
        <f t="shared" si="614"/>
        <v/>
      </c>
      <c r="BS95" s="69" t="str">
        <f t="shared" si="615"/>
        <v/>
      </c>
      <c r="BT95" s="69" t="str">
        <f t="shared" si="517"/>
        <v/>
      </c>
      <c r="BU95" s="69" t="str">
        <f t="shared" si="616"/>
        <v/>
      </c>
      <c r="BV95" s="69" t="str">
        <f t="shared" si="617"/>
        <v/>
      </c>
      <c r="BW95" s="69" t="str">
        <f t="shared" si="518"/>
        <v/>
      </c>
      <c r="BX95" s="69" t="str">
        <f t="shared" si="618"/>
        <v/>
      </c>
      <c r="BY95" s="69" t="str">
        <f t="shared" si="619"/>
        <v/>
      </c>
      <c r="BZ95" s="69" t="str">
        <f t="shared" si="519"/>
        <v/>
      </c>
      <c r="CA95" s="69" t="str">
        <f t="shared" si="620"/>
        <v/>
      </c>
      <c r="CB95" s="69" t="str">
        <f t="shared" si="621"/>
        <v/>
      </c>
      <c r="CC95" s="69" t="str">
        <f t="shared" si="520"/>
        <v/>
      </c>
      <c r="CE95" s="69" t="str">
        <f t="shared" si="622"/>
        <v/>
      </c>
      <c r="CF95" s="69" t="str">
        <f t="shared" si="623"/>
        <v/>
      </c>
      <c r="CG95" s="69" t="str">
        <f t="shared" si="521"/>
        <v/>
      </c>
      <c r="CH95" s="69" t="str">
        <f t="shared" si="624"/>
        <v/>
      </c>
      <c r="CI95" s="69" t="str">
        <f t="shared" si="625"/>
        <v/>
      </c>
      <c r="CJ95" s="69" t="str">
        <f t="shared" si="522"/>
        <v/>
      </c>
      <c r="CK95" s="69" t="str">
        <f t="shared" si="626"/>
        <v/>
      </c>
      <c r="CL95" s="69" t="str">
        <f t="shared" si="627"/>
        <v/>
      </c>
      <c r="CM95" s="69" t="str">
        <f t="shared" si="523"/>
        <v/>
      </c>
      <c r="CN95" s="69" t="str">
        <f t="shared" si="628"/>
        <v/>
      </c>
      <c r="CO95" s="69" t="str">
        <f t="shared" si="629"/>
        <v/>
      </c>
      <c r="CP95" s="69" t="str">
        <f t="shared" si="524"/>
        <v/>
      </c>
      <c r="CQ95" s="69" t="str">
        <f t="shared" si="630"/>
        <v/>
      </c>
      <c r="CR95" s="69" t="str">
        <f t="shared" si="631"/>
        <v/>
      </c>
      <c r="CS95" s="69" t="str">
        <f t="shared" si="525"/>
        <v/>
      </c>
      <c r="CT95" s="69" t="str">
        <f t="shared" si="632"/>
        <v/>
      </c>
      <c r="CU95" s="69" t="str">
        <f t="shared" si="633"/>
        <v/>
      </c>
      <c r="CV95" s="69" t="str">
        <f t="shared" si="526"/>
        <v/>
      </c>
      <c r="CW95" s="69" t="str">
        <f t="shared" si="634"/>
        <v/>
      </c>
      <c r="CX95" s="69" t="str">
        <f t="shared" si="635"/>
        <v/>
      </c>
      <c r="CY95" s="69" t="str">
        <f t="shared" si="527"/>
        <v/>
      </c>
      <c r="CZ95" s="69" t="str">
        <f t="shared" si="636"/>
        <v/>
      </c>
      <c r="DA95" s="69" t="str">
        <f t="shared" si="637"/>
        <v/>
      </c>
      <c r="DB95" s="69" t="str">
        <f t="shared" si="528"/>
        <v/>
      </c>
      <c r="DC95" s="69" t="str">
        <f t="shared" si="638"/>
        <v/>
      </c>
      <c r="DD95" s="69" t="str">
        <f t="shared" si="639"/>
        <v/>
      </c>
      <c r="DE95" s="69" t="str">
        <f t="shared" si="529"/>
        <v/>
      </c>
      <c r="DG95" s="69" t="str">
        <f t="shared" si="640"/>
        <v/>
      </c>
      <c r="DH95" s="69" t="str">
        <f t="shared" si="641"/>
        <v/>
      </c>
      <c r="DI95" s="69" t="str">
        <f t="shared" si="530"/>
        <v/>
      </c>
      <c r="DJ95" s="69" t="str">
        <f t="shared" si="642"/>
        <v/>
      </c>
      <c r="DK95" s="69" t="str">
        <f t="shared" si="643"/>
        <v/>
      </c>
      <c r="DL95" s="69" t="str">
        <f t="shared" si="531"/>
        <v/>
      </c>
      <c r="DM95" s="69" t="str">
        <f t="shared" si="644"/>
        <v/>
      </c>
      <c r="DN95" s="69" t="str">
        <f t="shared" si="645"/>
        <v/>
      </c>
      <c r="DO95" s="69" t="str">
        <f t="shared" si="532"/>
        <v/>
      </c>
      <c r="DP95" s="69" t="str">
        <f t="shared" si="646"/>
        <v/>
      </c>
      <c r="DQ95" s="69" t="str">
        <f t="shared" si="647"/>
        <v/>
      </c>
      <c r="DR95" s="69" t="str">
        <f t="shared" si="533"/>
        <v/>
      </c>
      <c r="DS95" s="69" t="str">
        <f t="shared" si="648"/>
        <v/>
      </c>
      <c r="DT95" s="69" t="str">
        <f t="shared" si="649"/>
        <v/>
      </c>
      <c r="DU95" s="69" t="str">
        <f t="shared" si="534"/>
        <v/>
      </c>
      <c r="DV95" s="69" t="str">
        <f t="shared" si="650"/>
        <v/>
      </c>
      <c r="DW95" s="69" t="str">
        <f t="shared" si="651"/>
        <v/>
      </c>
      <c r="DX95" s="69" t="str">
        <f t="shared" si="535"/>
        <v/>
      </c>
      <c r="DY95" s="69" t="str">
        <f t="shared" si="652"/>
        <v/>
      </c>
      <c r="DZ95" s="69" t="str">
        <f t="shared" si="653"/>
        <v/>
      </c>
      <c r="EA95" s="69" t="str">
        <f t="shared" si="536"/>
        <v/>
      </c>
      <c r="EB95" s="69" t="str">
        <f t="shared" si="654"/>
        <v/>
      </c>
      <c r="EC95" s="69" t="str">
        <f t="shared" si="655"/>
        <v/>
      </c>
      <c r="ED95" s="69" t="str">
        <f t="shared" si="537"/>
        <v/>
      </c>
      <c r="EF95" s="69" t="str">
        <f t="shared" si="656"/>
        <v/>
      </c>
      <c r="EG95" s="69" t="str">
        <f t="shared" si="657"/>
        <v/>
      </c>
      <c r="EH95" s="69" t="str">
        <f t="shared" si="538"/>
        <v/>
      </c>
      <c r="EI95" s="69" t="str">
        <f t="shared" si="658"/>
        <v/>
      </c>
      <c r="EJ95" s="69" t="str">
        <f t="shared" si="659"/>
        <v/>
      </c>
      <c r="EK95" s="69" t="str">
        <f t="shared" si="539"/>
        <v/>
      </c>
      <c r="EL95" s="69" t="str">
        <f t="shared" si="660"/>
        <v/>
      </c>
      <c r="EM95" s="69" t="str">
        <f t="shared" si="661"/>
        <v/>
      </c>
      <c r="EN95" s="69" t="str">
        <f t="shared" si="540"/>
        <v/>
      </c>
      <c r="EO95" s="69" t="str">
        <f t="shared" si="662"/>
        <v/>
      </c>
      <c r="EP95" s="69" t="str">
        <f t="shared" si="663"/>
        <v/>
      </c>
      <c r="EQ95" s="69" t="str">
        <f t="shared" si="541"/>
        <v/>
      </c>
      <c r="ER95" s="69" t="str">
        <f t="shared" si="664"/>
        <v/>
      </c>
      <c r="ES95" s="69" t="str">
        <f t="shared" si="665"/>
        <v/>
      </c>
      <c r="ET95" s="69" t="str">
        <f t="shared" si="542"/>
        <v/>
      </c>
      <c r="EU95" s="69" t="str">
        <f t="shared" si="666"/>
        <v/>
      </c>
      <c r="EV95" s="69" t="str">
        <f t="shared" si="667"/>
        <v/>
      </c>
      <c r="EW95" s="69" t="str">
        <f t="shared" si="543"/>
        <v/>
      </c>
      <c r="EX95" s="69" t="str">
        <f t="shared" si="668"/>
        <v/>
      </c>
      <c r="EY95" s="69" t="str">
        <f t="shared" si="669"/>
        <v/>
      </c>
      <c r="EZ95" s="69" t="str">
        <f t="shared" si="544"/>
        <v/>
      </c>
      <c r="FB95" s="69" t="str">
        <f t="shared" si="670"/>
        <v/>
      </c>
      <c r="FC95" s="69" t="str">
        <f t="shared" si="671"/>
        <v/>
      </c>
      <c r="FD95" s="69" t="str">
        <f t="shared" si="545"/>
        <v/>
      </c>
      <c r="FE95" s="69" t="str">
        <f t="shared" si="672"/>
        <v/>
      </c>
      <c r="FF95" s="69" t="str">
        <f t="shared" si="673"/>
        <v/>
      </c>
      <c r="FG95" s="69" t="str">
        <f t="shared" si="546"/>
        <v/>
      </c>
      <c r="FH95" s="69" t="str">
        <f t="shared" si="674"/>
        <v/>
      </c>
      <c r="FI95" s="69" t="str">
        <f t="shared" si="675"/>
        <v/>
      </c>
      <c r="FJ95" s="69" t="str">
        <f t="shared" si="547"/>
        <v/>
      </c>
      <c r="FK95" s="69" t="str">
        <f t="shared" si="676"/>
        <v/>
      </c>
      <c r="FL95" s="69" t="str">
        <f t="shared" si="677"/>
        <v/>
      </c>
      <c r="FM95" s="69" t="str">
        <f t="shared" si="548"/>
        <v/>
      </c>
      <c r="FN95" s="69" t="str">
        <f t="shared" si="678"/>
        <v/>
      </c>
      <c r="FO95" s="69" t="str">
        <f t="shared" si="679"/>
        <v/>
      </c>
      <c r="FP95" s="69" t="str">
        <f t="shared" si="549"/>
        <v/>
      </c>
      <c r="FQ95" s="69" t="str">
        <f t="shared" si="680"/>
        <v/>
      </c>
      <c r="FR95" s="69" t="str">
        <f t="shared" si="681"/>
        <v/>
      </c>
      <c r="FS95" s="69" t="str">
        <f t="shared" si="550"/>
        <v/>
      </c>
      <c r="FU95" s="69" t="str">
        <f t="shared" si="449"/>
        <v/>
      </c>
      <c r="FV95" s="69" t="str">
        <f t="shared" si="450"/>
        <v/>
      </c>
      <c r="FW95" s="69" t="str">
        <f t="shared" si="551"/>
        <v/>
      </c>
      <c r="FX95" s="69" t="str">
        <f t="shared" si="451"/>
        <v/>
      </c>
      <c r="FY95" s="69" t="str">
        <f t="shared" si="452"/>
        <v/>
      </c>
      <c r="FZ95" s="69" t="str">
        <f t="shared" si="552"/>
        <v/>
      </c>
      <c r="GA95" s="69" t="str">
        <f t="shared" si="453"/>
        <v/>
      </c>
      <c r="GB95" s="69" t="str">
        <f t="shared" si="454"/>
        <v/>
      </c>
      <c r="GC95" s="69" t="str">
        <f t="shared" si="553"/>
        <v/>
      </c>
      <c r="GD95" s="69" t="str">
        <f t="shared" si="455"/>
        <v/>
      </c>
      <c r="GE95" s="69" t="str">
        <f t="shared" si="456"/>
        <v/>
      </c>
      <c r="GF95" s="69" t="str">
        <f t="shared" si="554"/>
        <v/>
      </c>
      <c r="GG95" s="69" t="str">
        <f t="shared" si="457"/>
        <v/>
      </c>
      <c r="GH95" s="69" t="str">
        <f t="shared" si="458"/>
        <v/>
      </c>
      <c r="GI95" s="69" t="str">
        <f t="shared" si="555"/>
        <v/>
      </c>
      <c r="GK95" s="69" t="str">
        <f t="shared" si="459"/>
        <v/>
      </c>
      <c r="GL95" s="69" t="str">
        <f t="shared" si="460"/>
        <v/>
      </c>
      <c r="GM95" s="69" t="str">
        <f t="shared" si="556"/>
        <v/>
      </c>
      <c r="GN95" s="69" t="str">
        <f t="shared" si="461"/>
        <v/>
      </c>
      <c r="GO95" s="69" t="str">
        <f t="shared" si="462"/>
        <v/>
      </c>
      <c r="GP95" s="69" t="str">
        <f t="shared" si="557"/>
        <v/>
      </c>
      <c r="GQ95" s="69" t="str">
        <f t="shared" si="463"/>
        <v/>
      </c>
      <c r="GR95" s="69" t="str">
        <f t="shared" si="464"/>
        <v/>
      </c>
      <c r="GS95" s="69" t="str">
        <f t="shared" si="558"/>
        <v/>
      </c>
      <c r="GT95" s="69" t="str">
        <f t="shared" si="465"/>
        <v/>
      </c>
      <c r="GU95" s="69" t="str">
        <f t="shared" si="466"/>
        <v/>
      </c>
      <c r="GV95" s="69" t="str">
        <f t="shared" si="559"/>
        <v/>
      </c>
      <c r="GX95" s="69" t="str">
        <f t="shared" si="560"/>
        <v/>
      </c>
      <c r="GY95" s="69" t="str">
        <f t="shared" si="561"/>
        <v/>
      </c>
      <c r="GZ95" s="69" t="str">
        <f t="shared" si="562"/>
        <v/>
      </c>
      <c r="HA95" s="69" t="str">
        <f t="shared" si="563"/>
        <v/>
      </c>
      <c r="HB95" s="69" t="str">
        <f t="shared" si="564"/>
        <v/>
      </c>
      <c r="HC95" s="69" t="str">
        <f t="shared" si="565"/>
        <v/>
      </c>
      <c r="HD95" s="69" t="str">
        <f t="shared" si="566"/>
        <v/>
      </c>
      <c r="HE95" s="69" t="str">
        <f t="shared" si="567"/>
        <v/>
      </c>
      <c r="HF95" s="69" t="str">
        <f t="shared" si="568"/>
        <v/>
      </c>
      <c r="HH95" s="69" t="str">
        <f t="shared" si="569"/>
        <v/>
      </c>
      <c r="HI95" s="69" t="str">
        <f t="shared" si="570"/>
        <v/>
      </c>
      <c r="HJ95" s="69" t="str">
        <f t="shared" si="571"/>
        <v/>
      </c>
      <c r="HK95" s="69" t="str">
        <f t="shared" si="572"/>
        <v/>
      </c>
      <c r="HL95" s="69" t="str">
        <f t="shared" si="573"/>
        <v/>
      </c>
      <c r="HM95" s="69" t="str">
        <f t="shared" si="574"/>
        <v/>
      </c>
      <c r="HO95" s="69" t="str">
        <f t="shared" si="575"/>
        <v/>
      </c>
      <c r="HP95" s="69" t="str">
        <f t="shared" si="576"/>
        <v/>
      </c>
      <c r="HQ95" s="69" t="str">
        <f t="shared" si="577"/>
        <v/>
      </c>
      <c r="HS95" s="69" t="str">
        <f t="shared" si="682"/>
        <v/>
      </c>
      <c r="HT95" s="69" t="str">
        <f t="shared" si="683"/>
        <v/>
      </c>
      <c r="HU95" s="69" t="str">
        <f t="shared" si="578"/>
        <v/>
      </c>
      <c r="HV95" s="69" t="str">
        <f t="shared" si="684"/>
        <v/>
      </c>
      <c r="HW95" s="69" t="str">
        <f t="shared" si="685"/>
        <v/>
      </c>
      <c r="HX95" s="69" t="str">
        <f t="shared" si="579"/>
        <v/>
      </c>
      <c r="HY95" s="69" t="str">
        <f t="shared" si="686"/>
        <v/>
      </c>
      <c r="HZ95" s="69" t="str">
        <f t="shared" si="687"/>
        <v/>
      </c>
      <c r="IA95" s="69" t="str">
        <f t="shared" si="580"/>
        <v/>
      </c>
      <c r="IB95" s="69" t="str">
        <f t="shared" si="688"/>
        <v/>
      </c>
      <c r="IC95" s="69" t="str">
        <f t="shared" si="689"/>
        <v/>
      </c>
      <c r="ID95" s="69" t="str">
        <f t="shared" si="581"/>
        <v/>
      </c>
      <c r="IE95" s="69" t="str">
        <f t="shared" si="690"/>
        <v/>
      </c>
      <c r="IF95" s="69" t="str">
        <f t="shared" si="691"/>
        <v/>
      </c>
      <c r="IG95" s="69" t="str">
        <f t="shared" si="582"/>
        <v/>
      </c>
      <c r="IH95" s="69" t="str">
        <f t="shared" si="477"/>
        <v/>
      </c>
      <c r="II95" s="69" t="str">
        <f t="shared" si="478"/>
        <v/>
      </c>
      <c r="IJ95" s="69" t="str">
        <f t="shared" si="583"/>
        <v/>
      </c>
      <c r="IK95" s="69" t="str">
        <f t="shared" si="479"/>
        <v/>
      </c>
      <c r="IL95" s="69" t="str">
        <f t="shared" si="480"/>
        <v/>
      </c>
      <c r="IM95" s="69" t="str">
        <f t="shared" si="584"/>
        <v/>
      </c>
      <c r="IN95" s="69" t="str">
        <f t="shared" si="585"/>
        <v/>
      </c>
      <c r="IO95" s="69" t="str">
        <f t="shared" si="586"/>
        <v/>
      </c>
      <c r="IP95" s="69" t="str">
        <f t="shared" si="587"/>
        <v/>
      </c>
      <c r="IQ95" s="69" t="str">
        <f t="shared" si="588"/>
        <v/>
      </c>
      <c r="IR95" s="69" t="str">
        <f t="shared" si="589"/>
        <v/>
      </c>
      <c r="IS95" s="69" t="str">
        <f t="shared" si="590"/>
        <v/>
      </c>
      <c r="IT95" s="69" t="str">
        <f t="shared" si="591"/>
        <v/>
      </c>
      <c r="IU95" s="69" t="str">
        <f t="shared" si="592"/>
        <v/>
      </c>
      <c r="IV95" s="69" t="str">
        <f t="shared" si="593"/>
        <v/>
      </c>
    </row>
    <row r="96" spans="1:256" x14ac:dyDescent="0.2">
      <c r="A96" s="57" t="s">
        <v>99</v>
      </c>
      <c r="B96" s="188"/>
      <c r="C96" s="187"/>
      <c r="D96" s="180"/>
      <c r="E96" s="181"/>
      <c r="F96" s="187"/>
      <c r="G96" s="180"/>
      <c r="H96" s="181"/>
      <c r="I96" s="181"/>
      <c r="J96" s="187"/>
      <c r="K96" s="186"/>
      <c r="L96" s="68">
        <f t="shared" si="595"/>
        <v>0</v>
      </c>
      <c r="M96" s="69" t="str">
        <f t="shared" si="596"/>
        <v/>
      </c>
      <c r="N96" s="69" t="str">
        <f t="shared" si="481"/>
        <v/>
      </c>
      <c r="O96" s="69" t="str">
        <f t="shared" si="482"/>
        <v/>
      </c>
      <c r="P96" s="69" t="str">
        <f t="shared" si="483"/>
        <v/>
      </c>
      <c r="Q96" s="70" t="str">
        <f t="shared" si="597"/>
        <v/>
      </c>
      <c r="R96" s="71" t="str">
        <f t="shared" si="484"/>
        <v/>
      </c>
      <c r="S96" s="71" t="str">
        <f t="shared" si="485"/>
        <v/>
      </c>
      <c r="T96" s="70" t="str">
        <f t="shared" si="598"/>
        <v/>
      </c>
      <c r="U96" s="71" t="str">
        <f t="shared" si="486"/>
        <v/>
      </c>
      <c r="V96" s="71" t="str">
        <f t="shared" si="487"/>
        <v/>
      </c>
      <c r="W96" s="70" t="str">
        <f t="shared" si="599"/>
        <v/>
      </c>
      <c r="X96" s="71" t="str">
        <f t="shared" si="488"/>
        <v/>
      </c>
      <c r="Y96" s="71" t="str">
        <f t="shared" si="489"/>
        <v/>
      </c>
      <c r="Z96" s="70" t="str">
        <f t="shared" si="600"/>
        <v/>
      </c>
      <c r="AA96" s="71" t="str">
        <f t="shared" si="490"/>
        <v/>
      </c>
      <c r="AB96" s="71" t="str">
        <f t="shared" si="491"/>
        <v/>
      </c>
      <c r="AC96" s="70" t="str">
        <f t="shared" si="601"/>
        <v/>
      </c>
      <c r="AD96" s="71" t="str">
        <f t="shared" si="492"/>
        <v/>
      </c>
      <c r="AE96" s="71" t="str">
        <f t="shared" si="493"/>
        <v/>
      </c>
      <c r="AF96" s="70" t="str">
        <f t="shared" si="367"/>
        <v/>
      </c>
      <c r="AG96" s="71" t="str">
        <f t="shared" si="494"/>
        <v/>
      </c>
      <c r="AH96" s="71" t="str">
        <f t="shared" si="495"/>
        <v/>
      </c>
      <c r="AI96" s="70" t="str">
        <f t="shared" si="368"/>
        <v/>
      </c>
      <c r="AJ96" s="71" t="str">
        <f t="shared" si="496"/>
        <v/>
      </c>
      <c r="AK96" s="71" t="str">
        <f t="shared" si="497"/>
        <v/>
      </c>
      <c r="AL96" s="70" t="str">
        <f t="shared" si="498"/>
        <v/>
      </c>
      <c r="AM96" s="71" t="str">
        <f t="shared" si="499"/>
        <v/>
      </c>
      <c r="AN96" s="71" t="str">
        <f t="shared" si="500"/>
        <v/>
      </c>
      <c r="AO96" s="70" t="str">
        <f t="shared" si="501"/>
        <v/>
      </c>
      <c r="AP96" s="71" t="str">
        <f t="shared" si="502"/>
        <v/>
      </c>
      <c r="AQ96" s="71" t="str">
        <f t="shared" si="503"/>
        <v/>
      </c>
      <c r="AR96" s="70" t="str">
        <f t="shared" si="504"/>
        <v/>
      </c>
      <c r="AS96" s="71" t="str">
        <f t="shared" si="505"/>
        <v/>
      </c>
      <c r="AT96" s="71" t="str">
        <f t="shared" si="506"/>
        <v/>
      </c>
      <c r="AU96" s="69" t="str">
        <f t="shared" si="507"/>
        <v/>
      </c>
      <c r="AV96" s="131" t="str">
        <f t="shared" si="508"/>
        <v/>
      </c>
      <c r="AW96" s="69" t="str">
        <f t="shared" si="594"/>
        <v/>
      </c>
      <c r="AX96" s="132" t="str">
        <f t="shared" si="509"/>
        <v/>
      </c>
      <c r="AY96" s="132" t="str">
        <f t="shared" si="510"/>
        <v/>
      </c>
      <c r="AZ96" s="69" t="str">
        <f t="shared" si="602"/>
        <v/>
      </c>
      <c r="BA96" s="69" t="str">
        <f t="shared" si="603"/>
        <v/>
      </c>
      <c r="BB96" s="69" t="str">
        <f t="shared" si="511"/>
        <v/>
      </c>
      <c r="BC96" s="69" t="str">
        <f t="shared" si="604"/>
        <v/>
      </c>
      <c r="BD96" s="69" t="str">
        <f t="shared" si="605"/>
        <v/>
      </c>
      <c r="BE96" s="69" t="str">
        <f t="shared" si="512"/>
        <v/>
      </c>
      <c r="BF96" s="69" t="str">
        <f t="shared" si="606"/>
        <v/>
      </c>
      <c r="BG96" s="69" t="str">
        <f t="shared" si="607"/>
        <v/>
      </c>
      <c r="BH96" s="69" t="str">
        <f t="shared" si="513"/>
        <v/>
      </c>
      <c r="BI96" s="69" t="str">
        <f t="shared" si="608"/>
        <v/>
      </c>
      <c r="BJ96" s="69" t="str">
        <f t="shared" si="609"/>
        <v/>
      </c>
      <c r="BK96" s="69" t="str">
        <f t="shared" si="514"/>
        <v/>
      </c>
      <c r="BL96" s="69" t="str">
        <f t="shared" si="610"/>
        <v/>
      </c>
      <c r="BM96" s="69" t="str">
        <f t="shared" si="611"/>
        <v/>
      </c>
      <c r="BN96" s="69" t="str">
        <f t="shared" si="515"/>
        <v/>
      </c>
      <c r="BO96" s="69" t="str">
        <f t="shared" si="612"/>
        <v/>
      </c>
      <c r="BP96" s="69" t="str">
        <f t="shared" si="613"/>
        <v/>
      </c>
      <c r="BQ96" s="69" t="str">
        <f t="shared" si="516"/>
        <v/>
      </c>
      <c r="BR96" s="69" t="str">
        <f t="shared" si="614"/>
        <v/>
      </c>
      <c r="BS96" s="69" t="str">
        <f t="shared" si="615"/>
        <v/>
      </c>
      <c r="BT96" s="69" t="str">
        <f t="shared" si="517"/>
        <v/>
      </c>
      <c r="BU96" s="69" t="str">
        <f t="shared" si="616"/>
        <v/>
      </c>
      <c r="BV96" s="69" t="str">
        <f t="shared" si="617"/>
        <v/>
      </c>
      <c r="BW96" s="69" t="str">
        <f t="shared" si="518"/>
        <v/>
      </c>
      <c r="BX96" s="69" t="str">
        <f t="shared" si="618"/>
        <v/>
      </c>
      <c r="BY96" s="69" t="str">
        <f t="shared" si="619"/>
        <v/>
      </c>
      <c r="BZ96" s="69" t="str">
        <f t="shared" si="519"/>
        <v/>
      </c>
      <c r="CA96" s="69" t="str">
        <f t="shared" si="620"/>
        <v/>
      </c>
      <c r="CB96" s="69" t="str">
        <f t="shared" si="621"/>
        <v/>
      </c>
      <c r="CC96" s="69" t="str">
        <f t="shared" si="520"/>
        <v/>
      </c>
      <c r="CE96" s="69" t="str">
        <f t="shared" si="622"/>
        <v/>
      </c>
      <c r="CF96" s="69" t="str">
        <f t="shared" si="623"/>
        <v/>
      </c>
      <c r="CG96" s="69" t="str">
        <f t="shared" si="521"/>
        <v/>
      </c>
      <c r="CH96" s="69" t="str">
        <f t="shared" si="624"/>
        <v/>
      </c>
      <c r="CI96" s="69" t="str">
        <f t="shared" si="625"/>
        <v/>
      </c>
      <c r="CJ96" s="69" t="str">
        <f t="shared" si="522"/>
        <v/>
      </c>
      <c r="CK96" s="69" t="str">
        <f t="shared" si="626"/>
        <v/>
      </c>
      <c r="CL96" s="69" t="str">
        <f t="shared" si="627"/>
        <v/>
      </c>
      <c r="CM96" s="69" t="str">
        <f t="shared" si="523"/>
        <v/>
      </c>
      <c r="CN96" s="69" t="str">
        <f t="shared" si="628"/>
        <v/>
      </c>
      <c r="CO96" s="69" t="str">
        <f t="shared" si="629"/>
        <v/>
      </c>
      <c r="CP96" s="69" t="str">
        <f t="shared" si="524"/>
        <v/>
      </c>
      <c r="CQ96" s="69" t="str">
        <f t="shared" si="630"/>
        <v/>
      </c>
      <c r="CR96" s="69" t="str">
        <f t="shared" si="631"/>
        <v/>
      </c>
      <c r="CS96" s="69" t="str">
        <f t="shared" si="525"/>
        <v/>
      </c>
      <c r="CT96" s="69" t="str">
        <f t="shared" si="632"/>
        <v/>
      </c>
      <c r="CU96" s="69" t="str">
        <f t="shared" si="633"/>
        <v/>
      </c>
      <c r="CV96" s="69" t="str">
        <f t="shared" si="526"/>
        <v/>
      </c>
      <c r="CW96" s="69" t="str">
        <f t="shared" si="634"/>
        <v/>
      </c>
      <c r="CX96" s="69" t="str">
        <f t="shared" si="635"/>
        <v/>
      </c>
      <c r="CY96" s="69" t="str">
        <f t="shared" si="527"/>
        <v/>
      </c>
      <c r="CZ96" s="69" t="str">
        <f t="shared" si="636"/>
        <v/>
      </c>
      <c r="DA96" s="69" t="str">
        <f t="shared" si="637"/>
        <v/>
      </c>
      <c r="DB96" s="69" t="str">
        <f t="shared" si="528"/>
        <v/>
      </c>
      <c r="DC96" s="69" t="str">
        <f t="shared" si="638"/>
        <v/>
      </c>
      <c r="DD96" s="69" t="str">
        <f t="shared" si="639"/>
        <v/>
      </c>
      <c r="DE96" s="69" t="str">
        <f t="shared" si="529"/>
        <v/>
      </c>
      <c r="DG96" s="69" t="str">
        <f t="shared" si="640"/>
        <v/>
      </c>
      <c r="DH96" s="69" t="str">
        <f t="shared" si="641"/>
        <v/>
      </c>
      <c r="DI96" s="69" t="str">
        <f t="shared" si="530"/>
        <v/>
      </c>
      <c r="DJ96" s="69" t="str">
        <f t="shared" si="642"/>
        <v/>
      </c>
      <c r="DK96" s="69" t="str">
        <f t="shared" si="643"/>
        <v/>
      </c>
      <c r="DL96" s="69" t="str">
        <f t="shared" si="531"/>
        <v/>
      </c>
      <c r="DM96" s="69" t="str">
        <f t="shared" si="644"/>
        <v/>
      </c>
      <c r="DN96" s="69" t="str">
        <f t="shared" si="645"/>
        <v/>
      </c>
      <c r="DO96" s="69" t="str">
        <f t="shared" si="532"/>
        <v/>
      </c>
      <c r="DP96" s="69" t="str">
        <f t="shared" si="646"/>
        <v/>
      </c>
      <c r="DQ96" s="69" t="str">
        <f t="shared" si="647"/>
        <v/>
      </c>
      <c r="DR96" s="69" t="str">
        <f t="shared" si="533"/>
        <v/>
      </c>
      <c r="DS96" s="69" t="str">
        <f t="shared" si="648"/>
        <v/>
      </c>
      <c r="DT96" s="69" t="str">
        <f t="shared" si="649"/>
        <v/>
      </c>
      <c r="DU96" s="69" t="str">
        <f t="shared" si="534"/>
        <v/>
      </c>
      <c r="DV96" s="69" t="str">
        <f t="shared" si="650"/>
        <v/>
      </c>
      <c r="DW96" s="69" t="str">
        <f t="shared" si="651"/>
        <v/>
      </c>
      <c r="DX96" s="69" t="str">
        <f t="shared" si="535"/>
        <v/>
      </c>
      <c r="DY96" s="69" t="str">
        <f t="shared" si="652"/>
        <v/>
      </c>
      <c r="DZ96" s="69" t="str">
        <f t="shared" si="653"/>
        <v/>
      </c>
      <c r="EA96" s="69" t="str">
        <f t="shared" si="536"/>
        <v/>
      </c>
      <c r="EB96" s="69" t="str">
        <f t="shared" si="654"/>
        <v/>
      </c>
      <c r="EC96" s="69" t="str">
        <f t="shared" si="655"/>
        <v/>
      </c>
      <c r="ED96" s="69" t="str">
        <f t="shared" si="537"/>
        <v/>
      </c>
      <c r="EF96" s="69" t="str">
        <f t="shared" si="656"/>
        <v/>
      </c>
      <c r="EG96" s="69" t="str">
        <f t="shared" si="657"/>
        <v/>
      </c>
      <c r="EH96" s="69" t="str">
        <f t="shared" si="538"/>
        <v/>
      </c>
      <c r="EI96" s="69" t="str">
        <f t="shared" si="658"/>
        <v/>
      </c>
      <c r="EJ96" s="69" t="str">
        <f t="shared" si="659"/>
        <v/>
      </c>
      <c r="EK96" s="69" t="str">
        <f t="shared" si="539"/>
        <v/>
      </c>
      <c r="EL96" s="69" t="str">
        <f t="shared" si="660"/>
        <v/>
      </c>
      <c r="EM96" s="69" t="str">
        <f t="shared" si="661"/>
        <v/>
      </c>
      <c r="EN96" s="69" t="str">
        <f t="shared" si="540"/>
        <v/>
      </c>
      <c r="EO96" s="69" t="str">
        <f t="shared" si="662"/>
        <v/>
      </c>
      <c r="EP96" s="69" t="str">
        <f t="shared" si="663"/>
        <v/>
      </c>
      <c r="EQ96" s="69" t="str">
        <f t="shared" si="541"/>
        <v/>
      </c>
      <c r="ER96" s="69" t="str">
        <f t="shared" si="664"/>
        <v/>
      </c>
      <c r="ES96" s="69" t="str">
        <f t="shared" si="665"/>
        <v/>
      </c>
      <c r="ET96" s="69" t="str">
        <f t="shared" si="542"/>
        <v/>
      </c>
      <c r="EU96" s="69" t="str">
        <f t="shared" si="666"/>
        <v/>
      </c>
      <c r="EV96" s="69" t="str">
        <f t="shared" si="667"/>
        <v/>
      </c>
      <c r="EW96" s="69" t="str">
        <f t="shared" si="543"/>
        <v/>
      </c>
      <c r="EX96" s="69" t="str">
        <f t="shared" si="668"/>
        <v/>
      </c>
      <c r="EY96" s="69" t="str">
        <f t="shared" si="669"/>
        <v/>
      </c>
      <c r="EZ96" s="69" t="str">
        <f t="shared" si="544"/>
        <v/>
      </c>
      <c r="FB96" s="69" t="str">
        <f t="shared" si="670"/>
        <v/>
      </c>
      <c r="FC96" s="69" t="str">
        <f t="shared" si="671"/>
        <v/>
      </c>
      <c r="FD96" s="69" t="str">
        <f t="shared" si="545"/>
        <v/>
      </c>
      <c r="FE96" s="69" t="str">
        <f t="shared" si="672"/>
        <v/>
      </c>
      <c r="FF96" s="69" t="str">
        <f t="shared" si="673"/>
        <v/>
      </c>
      <c r="FG96" s="69" t="str">
        <f t="shared" si="546"/>
        <v/>
      </c>
      <c r="FH96" s="69" t="str">
        <f t="shared" si="674"/>
        <v/>
      </c>
      <c r="FI96" s="69" t="str">
        <f t="shared" si="675"/>
        <v/>
      </c>
      <c r="FJ96" s="69" t="str">
        <f t="shared" si="547"/>
        <v/>
      </c>
      <c r="FK96" s="69" t="str">
        <f t="shared" si="676"/>
        <v/>
      </c>
      <c r="FL96" s="69" t="str">
        <f t="shared" si="677"/>
        <v/>
      </c>
      <c r="FM96" s="69" t="str">
        <f t="shared" si="548"/>
        <v/>
      </c>
      <c r="FN96" s="69" t="str">
        <f t="shared" si="678"/>
        <v/>
      </c>
      <c r="FO96" s="69" t="str">
        <f t="shared" si="679"/>
        <v/>
      </c>
      <c r="FP96" s="69" t="str">
        <f t="shared" si="549"/>
        <v/>
      </c>
      <c r="FQ96" s="69" t="str">
        <f t="shared" si="680"/>
        <v/>
      </c>
      <c r="FR96" s="69" t="str">
        <f t="shared" si="681"/>
        <v/>
      </c>
      <c r="FS96" s="69" t="str">
        <f t="shared" si="550"/>
        <v/>
      </c>
      <c r="FU96" s="69" t="str">
        <f t="shared" si="449"/>
        <v/>
      </c>
      <c r="FV96" s="69" t="str">
        <f t="shared" si="450"/>
        <v/>
      </c>
      <c r="FW96" s="69" t="str">
        <f t="shared" si="551"/>
        <v/>
      </c>
      <c r="FX96" s="69" t="str">
        <f t="shared" si="451"/>
        <v/>
      </c>
      <c r="FY96" s="69" t="str">
        <f t="shared" si="452"/>
        <v/>
      </c>
      <c r="FZ96" s="69" t="str">
        <f t="shared" si="552"/>
        <v/>
      </c>
      <c r="GA96" s="69" t="str">
        <f t="shared" si="453"/>
        <v/>
      </c>
      <c r="GB96" s="69" t="str">
        <f t="shared" si="454"/>
        <v/>
      </c>
      <c r="GC96" s="69" t="str">
        <f t="shared" si="553"/>
        <v/>
      </c>
      <c r="GD96" s="69" t="str">
        <f t="shared" si="455"/>
        <v/>
      </c>
      <c r="GE96" s="69" t="str">
        <f t="shared" si="456"/>
        <v/>
      </c>
      <c r="GF96" s="69" t="str">
        <f t="shared" si="554"/>
        <v/>
      </c>
      <c r="GG96" s="69" t="str">
        <f t="shared" si="457"/>
        <v/>
      </c>
      <c r="GH96" s="69" t="str">
        <f t="shared" si="458"/>
        <v/>
      </c>
      <c r="GI96" s="69" t="str">
        <f t="shared" si="555"/>
        <v/>
      </c>
      <c r="GK96" s="69" t="str">
        <f t="shared" si="459"/>
        <v/>
      </c>
      <c r="GL96" s="69" t="str">
        <f t="shared" si="460"/>
        <v/>
      </c>
      <c r="GM96" s="69" t="str">
        <f t="shared" si="556"/>
        <v/>
      </c>
      <c r="GN96" s="69" t="str">
        <f t="shared" si="461"/>
        <v/>
      </c>
      <c r="GO96" s="69" t="str">
        <f t="shared" si="462"/>
        <v/>
      </c>
      <c r="GP96" s="69" t="str">
        <f t="shared" si="557"/>
        <v/>
      </c>
      <c r="GQ96" s="69" t="str">
        <f t="shared" si="463"/>
        <v/>
      </c>
      <c r="GR96" s="69" t="str">
        <f t="shared" si="464"/>
        <v/>
      </c>
      <c r="GS96" s="69" t="str">
        <f t="shared" si="558"/>
        <v/>
      </c>
      <c r="GT96" s="69" t="str">
        <f t="shared" si="465"/>
        <v/>
      </c>
      <c r="GU96" s="69" t="str">
        <f t="shared" si="466"/>
        <v/>
      </c>
      <c r="GV96" s="69" t="str">
        <f t="shared" si="559"/>
        <v/>
      </c>
      <c r="GX96" s="69" t="str">
        <f t="shared" si="560"/>
        <v/>
      </c>
      <c r="GY96" s="69" t="str">
        <f t="shared" si="561"/>
        <v/>
      </c>
      <c r="GZ96" s="69" t="str">
        <f t="shared" si="562"/>
        <v/>
      </c>
      <c r="HA96" s="69" t="str">
        <f t="shared" si="563"/>
        <v/>
      </c>
      <c r="HB96" s="69" t="str">
        <f t="shared" si="564"/>
        <v/>
      </c>
      <c r="HC96" s="69" t="str">
        <f t="shared" si="565"/>
        <v/>
      </c>
      <c r="HD96" s="69" t="str">
        <f t="shared" si="566"/>
        <v/>
      </c>
      <c r="HE96" s="69" t="str">
        <f t="shared" si="567"/>
        <v/>
      </c>
      <c r="HF96" s="69" t="str">
        <f t="shared" si="568"/>
        <v/>
      </c>
      <c r="HH96" s="69" t="str">
        <f t="shared" si="569"/>
        <v/>
      </c>
      <c r="HI96" s="69" t="str">
        <f t="shared" si="570"/>
        <v/>
      </c>
      <c r="HJ96" s="69" t="str">
        <f t="shared" si="571"/>
        <v/>
      </c>
      <c r="HK96" s="69" t="str">
        <f t="shared" si="572"/>
        <v/>
      </c>
      <c r="HL96" s="69" t="str">
        <f t="shared" si="573"/>
        <v/>
      </c>
      <c r="HM96" s="69" t="str">
        <f t="shared" si="574"/>
        <v/>
      </c>
      <c r="HO96" s="69" t="str">
        <f t="shared" si="575"/>
        <v/>
      </c>
      <c r="HP96" s="69" t="str">
        <f t="shared" si="576"/>
        <v/>
      </c>
      <c r="HQ96" s="69" t="str">
        <f t="shared" si="577"/>
        <v/>
      </c>
      <c r="HS96" s="69" t="str">
        <f t="shared" si="682"/>
        <v/>
      </c>
      <c r="HT96" s="69" t="str">
        <f t="shared" si="683"/>
        <v/>
      </c>
      <c r="HU96" s="69" t="str">
        <f t="shared" si="578"/>
        <v/>
      </c>
      <c r="HV96" s="69" t="str">
        <f t="shared" si="684"/>
        <v/>
      </c>
      <c r="HW96" s="69" t="str">
        <f t="shared" si="685"/>
        <v/>
      </c>
      <c r="HX96" s="69" t="str">
        <f t="shared" si="579"/>
        <v/>
      </c>
      <c r="HY96" s="69" t="str">
        <f t="shared" si="686"/>
        <v/>
      </c>
      <c r="HZ96" s="69" t="str">
        <f t="shared" si="687"/>
        <v/>
      </c>
      <c r="IA96" s="69" t="str">
        <f t="shared" si="580"/>
        <v/>
      </c>
      <c r="IB96" s="69" t="str">
        <f t="shared" si="688"/>
        <v/>
      </c>
      <c r="IC96" s="69" t="str">
        <f t="shared" si="689"/>
        <v/>
      </c>
      <c r="ID96" s="69" t="str">
        <f t="shared" si="581"/>
        <v/>
      </c>
      <c r="IE96" s="69" t="str">
        <f t="shared" si="690"/>
        <v/>
      </c>
      <c r="IF96" s="69" t="str">
        <f t="shared" si="691"/>
        <v/>
      </c>
      <c r="IG96" s="69" t="str">
        <f t="shared" si="582"/>
        <v/>
      </c>
      <c r="IH96" s="69" t="str">
        <f t="shared" si="477"/>
        <v/>
      </c>
      <c r="II96" s="69" t="str">
        <f t="shared" si="478"/>
        <v/>
      </c>
      <c r="IJ96" s="69" t="str">
        <f t="shared" si="583"/>
        <v/>
      </c>
      <c r="IK96" s="69" t="str">
        <f t="shared" si="479"/>
        <v/>
      </c>
      <c r="IL96" s="69" t="str">
        <f t="shared" si="480"/>
        <v/>
      </c>
      <c r="IM96" s="69" t="str">
        <f t="shared" si="584"/>
        <v/>
      </c>
      <c r="IN96" s="69" t="str">
        <f t="shared" si="585"/>
        <v/>
      </c>
      <c r="IO96" s="69" t="str">
        <f t="shared" si="586"/>
        <v/>
      </c>
      <c r="IP96" s="69" t="str">
        <f t="shared" si="587"/>
        <v/>
      </c>
      <c r="IQ96" s="69" t="str">
        <f t="shared" si="588"/>
        <v/>
      </c>
      <c r="IR96" s="69" t="str">
        <f t="shared" si="589"/>
        <v/>
      </c>
      <c r="IS96" s="69" t="str">
        <f t="shared" si="590"/>
        <v/>
      </c>
      <c r="IT96" s="69" t="str">
        <f t="shared" si="591"/>
        <v/>
      </c>
      <c r="IU96" s="69" t="str">
        <f t="shared" si="592"/>
        <v/>
      </c>
      <c r="IV96" s="69" t="str">
        <f t="shared" si="593"/>
        <v/>
      </c>
    </row>
    <row r="97" spans="1:256" x14ac:dyDescent="0.2">
      <c r="A97" s="57" t="s">
        <v>100</v>
      </c>
      <c r="B97" s="188"/>
      <c r="C97" s="187"/>
      <c r="D97" s="180"/>
      <c r="E97" s="181"/>
      <c r="F97" s="187"/>
      <c r="G97" s="180"/>
      <c r="H97" s="181"/>
      <c r="I97" s="181"/>
      <c r="J97" s="187"/>
      <c r="K97" s="186"/>
      <c r="L97" s="68">
        <f t="shared" si="595"/>
        <v>0</v>
      </c>
      <c r="M97" s="69" t="str">
        <f t="shared" si="596"/>
        <v/>
      </c>
      <c r="N97" s="69" t="str">
        <f t="shared" si="481"/>
        <v/>
      </c>
      <c r="O97" s="69" t="str">
        <f t="shared" si="482"/>
        <v/>
      </c>
      <c r="P97" s="69" t="str">
        <f t="shared" si="483"/>
        <v/>
      </c>
      <c r="Q97" s="70" t="str">
        <f t="shared" si="597"/>
        <v/>
      </c>
      <c r="R97" s="71" t="str">
        <f t="shared" si="484"/>
        <v/>
      </c>
      <c r="S97" s="71" t="str">
        <f t="shared" si="485"/>
        <v/>
      </c>
      <c r="T97" s="70" t="str">
        <f t="shared" si="598"/>
        <v/>
      </c>
      <c r="U97" s="71" t="str">
        <f t="shared" si="486"/>
        <v/>
      </c>
      <c r="V97" s="71" t="str">
        <f t="shared" si="487"/>
        <v/>
      </c>
      <c r="W97" s="70" t="str">
        <f t="shared" si="599"/>
        <v/>
      </c>
      <c r="X97" s="71" t="str">
        <f t="shared" si="488"/>
        <v/>
      </c>
      <c r="Y97" s="71" t="str">
        <f t="shared" si="489"/>
        <v/>
      </c>
      <c r="Z97" s="70" t="str">
        <f t="shared" si="600"/>
        <v/>
      </c>
      <c r="AA97" s="71" t="str">
        <f t="shared" si="490"/>
        <v/>
      </c>
      <c r="AB97" s="71" t="str">
        <f t="shared" si="491"/>
        <v/>
      </c>
      <c r="AC97" s="70" t="str">
        <f t="shared" si="601"/>
        <v/>
      </c>
      <c r="AD97" s="71" t="str">
        <f t="shared" si="492"/>
        <v/>
      </c>
      <c r="AE97" s="71" t="str">
        <f t="shared" si="493"/>
        <v/>
      </c>
      <c r="AF97" s="70" t="str">
        <f t="shared" si="367"/>
        <v/>
      </c>
      <c r="AG97" s="71" t="str">
        <f t="shared" si="494"/>
        <v/>
      </c>
      <c r="AH97" s="71" t="str">
        <f t="shared" si="495"/>
        <v/>
      </c>
      <c r="AI97" s="70" t="str">
        <f t="shared" si="368"/>
        <v/>
      </c>
      <c r="AJ97" s="71" t="str">
        <f t="shared" si="496"/>
        <v/>
      </c>
      <c r="AK97" s="71" t="str">
        <f t="shared" si="497"/>
        <v/>
      </c>
      <c r="AL97" s="70" t="str">
        <f t="shared" si="498"/>
        <v/>
      </c>
      <c r="AM97" s="71" t="str">
        <f t="shared" si="499"/>
        <v/>
      </c>
      <c r="AN97" s="71" t="str">
        <f t="shared" si="500"/>
        <v/>
      </c>
      <c r="AO97" s="70" t="str">
        <f t="shared" si="501"/>
        <v/>
      </c>
      <c r="AP97" s="71" t="str">
        <f t="shared" si="502"/>
        <v/>
      </c>
      <c r="AQ97" s="71" t="str">
        <f t="shared" si="503"/>
        <v/>
      </c>
      <c r="AR97" s="70" t="str">
        <f t="shared" si="504"/>
        <v/>
      </c>
      <c r="AS97" s="71" t="str">
        <f t="shared" si="505"/>
        <v/>
      </c>
      <c r="AT97" s="71" t="str">
        <f t="shared" si="506"/>
        <v/>
      </c>
      <c r="AU97" s="69" t="str">
        <f t="shared" si="507"/>
        <v/>
      </c>
      <c r="AV97" s="131" t="str">
        <f t="shared" si="508"/>
        <v/>
      </c>
      <c r="AW97" s="69" t="str">
        <f t="shared" si="594"/>
        <v/>
      </c>
      <c r="AX97" s="132" t="str">
        <f t="shared" si="509"/>
        <v/>
      </c>
      <c r="AY97" s="132" t="str">
        <f t="shared" si="510"/>
        <v/>
      </c>
      <c r="AZ97" s="69" t="str">
        <f t="shared" si="602"/>
        <v/>
      </c>
      <c r="BA97" s="69" t="str">
        <f t="shared" si="603"/>
        <v/>
      </c>
      <c r="BB97" s="69" t="str">
        <f t="shared" si="511"/>
        <v/>
      </c>
      <c r="BC97" s="69" t="str">
        <f t="shared" si="604"/>
        <v/>
      </c>
      <c r="BD97" s="69" t="str">
        <f t="shared" si="605"/>
        <v/>
      </c>
      <c r="BE97" s="69" t="str">
        <f t="shared" si="512"/>
        <v/>
      </c>
      <c r="BF97" s="69" t="str">
        <f t="shared" si="606"/>
        <v/>
      </c>
      <c r="BG97" s="69" t="str">
        <f t="shared" si="607"/>
        <v/>
      </c>
      <c r="BH97" s="69" t="str">
        <f t="shared" si="513"/>
        <v/>
      </c>
      <c r="BI97" s="69" t="str">
        <f t="shared" si="608"/>
        <v/>
      </c>
      <c r="BJ97" s="69" t="str">
        <f t="shared" si="609"/>
        <v/>
      </c>
      <c r="BK97" s="69" t="str">
        <f t="shared" si="514"/>
        <v/>
      </c>
      <c r="BL97" s="69" t="str">
        <f t="shared" si="610"/>
        <v/>
      </c>
      <c r="BM97" s="69" t="str">
        <f t="shared" si="611"/>
        <v/>
      </c>
      <c r="BN97" s="69" t="str">
        <f t="shared" si="515"/>
        <v/>
      </c>
      <c r="BO97" s="69" t="str">
        <f t="shared" si="612"/>
        <v/>
      </c>
      <c r="BP97" s="69" t="str">
        <f t="shared" si="613"/>
        <v/>
      </c>
      <c r="BQ97" s="69" t="str">
        <f t="shared" si="516"/>
        <v/>
      </c>
      <c r="BR97" s="69" t="str">
        <f t="shared" si="614"/>
        <v/>
      </c>
      <c r="BS97" s="69" t="str">
        <f t="shared" si="615"/>
        <v/>
      </c>
      <c r="BT97" s="69" t="str">
        <f t="shared" si="517"/>
        <v/>
      </c>
      <c r="BU97" s="69" t="str">
        <f t="shared" si="616"/>
        <v/>
      </c>
      <c r="BV97" s="69" t="str">
        <f t="shared" si="617"/>
        <v/>
      </c>
      <c r="BW97" s="69" t="str">
        <f t="shared" si="518"/>
        <v/>
      </c>
      <c r="BX97" s="69" t="str">
        <f t="shared" si="618"/>
        <v/>
      </c>
      <c r="BY97" s="69" t="str">
        <f t="shared" si="619"/>
        <v/>
      </c>
      <c r="BZ97" s="69" t="str">
        <f t="shared" si="519"/>
        <v/>
      </c>
      <c r="CA97" s="69" t="str">
        <f t="shared" si="620"/>
        <v/>
      </c>
      <c r="CB97" s="69" t="str">
        <f t="shared" si="621"/>
        <v/>
      </c>
      <c r="CC97" s="69" t="str">
        <f t="shared" si="520"/>
        <v/>
      </c>
      <c r="CE97" s="69" t="str">
        <f t="shared" si="622"/>
        <v/>
      </c>
      <c r="CF97" s="69" t="str">
        <f t="shared" si="623"/>
        <v/>
      </c>
      <c r="CG97" s="69" t="str">
        <f t="shared" si="521"/>
        <v/>
      </c>
      <c r="CH97" s="69" t="str">
        <f t="shared" si="624"/>
        <v/>
      </c>
      <c r="CI97" s="69" t="str">
        <f t="shared" si="625"/>
        <v/>
      </c>
      <c r="CJ97" s="69" t="str">
        <f t="shared" si="522"/>
        <v/>
      </c>
      <c r="CK97" s="69" t="str">
        <f t="shared" si="626"/>
        <v/>
      </c>
      <c r="CL97" s="69" t="str">
        <f t="shared" si="627"/>
        <v/>
      </c>
      <c r="CM97" s="69" t="str">
        <f t="shared" si="523"/>
        <v/>
      </c>
      <c r="CN97" s="69" t="str">
        <f t="shared" si="628"/>
        <v/>
      </c>
      <c r="CO97" s="69" t="str">
        <f t="shared" si="629"/>
        <v/>
      </c>
      <c r="CP97" s="69" t="str">
        <f t="shared" si="524"/>
        <v/>
      </c>
      <c r="CQ97" s="69" t="str">
        <f t="shared" si="630"/>
        <v/>
      </c>
      <c r="CR97" s="69" t="str">
        <f t="shared" si="631"/>
        <v/>
      </c>
      <c r="CS97" s="69" t="str">
        <f t="shared" si="525"/>
        <v/>
      </c>
      <c r="CT97" s="69" t="str">
        <f t="shared" si="632"/>
        <v/>
      </c>
      <c r="CU97" s="69" t="str">
        <f t="shared" si="633"/>
        <v/>
      </c>
      <c r="CV97" s="69" t="str">
        <f t="shared" si="526"/>
        <v/>
      </c>
      <c r="CW97" s="69" t="str">
        <f t="shared" si="634"/>
        <v/>
      </c>
      <c r="CX97" s="69" t="str">
        <f t="shared" si="635"/>
        <v/>
      </c>
      <c r="CY97" s="69" t="str">
        <f t="shared" si="527"/>
        <v/>
      </c>
      <c r="CZ97" s="69" t="str">
        <f t="shared" si="636"/>
        <v/>
      </c>
      <c r="DA97" s="69" t="str">
        <f t="shared" si="637"/>
        <v/>
      </c>
      <c r="DB97" s="69" t="str">
        <f t="shared" si="528"/>
        <v/>
      </c>
      <c r="DC97" s="69" t="str">
        <f t="shared" si="638"/>
        <v/>
      </c>
      <c r="DD97" s="69" t="str">
        <f t="shared" si="639"/>
        <v/>
      </c>
      <c r="DE97" s="69" t="str">
        <f t="shared" si="529"/>
        <v/>
      </c>
      <c r="DG97" s="69" t="str">
        <f t="shared" si="640"/>
        <v/>
      </c>
      <c r="DH97" s="69" t="str">
        <f t="shared" si="641"/>
        <v/>
      </c>
      <c r="DI97" s="69" t="str">
        <f t="shared" si="530"/>
        <v/>
      </c>
      <c r="DJ97" s="69" t="str">
        <f t="shared" si="642"/>
        <v/>
      </c>
      <c r="DK97" s="69" t="str">
        <f t="shared" si="643"/>
        <v/>
      </c>
      <c r="DL97" s="69" t="str">
        <f t="shared" si="531"/>
        <v/>
      </c>
      <c r="DM97" s="69" t="str">
        <f t="shared" si="644"/>
        <v/>
      </c>
      <c r="DN97" s="69" t="str">
        <f t="shared" si="645"/>
        <v/>
      </c>
      <c r="DO97" s="69" t="str">
        <f t="shared" si="532"/>
        <v/>
      </c>
      <c r="DP97" s="69" t="str">
        <f t="shared" si="646"/>
        <v/>
      </c>
      <c r="DQ97" s="69" t="str">
        <f t="shared" si="647"/>
        <v/>
      </c>
      <c r="DR97" s="69" t="str">
        <f t="shared" si="533"/>
        <v/>
      </c>
      <c r="DS97" s="69" t="str">
        <f t="shared" si="648"/>
        <v/>
      </c>
      <c r="DT97" s="69" t="str">
        <f t="shared" si="649"/>
        <v/>
      </c>
      <c r="DU97" s="69" t="str">
        <f t="shared" si="534"/>
        <v/>
      </c>
      <c r="DV97" s="69" t="str">
        <f t="shared" si="650"/>
        <v/>
      </c>
      <c r="DW97" s="69" t="str">
        <f t="shared" si="651"/>
        <v/>
      </c>
      <c r="DX97" s="69" t="str">
        <f t="shared" si="535"/>
        <v/>
      </c>
      <c r="DY97" s="69" t="str">
        <f t="shared" si="652"/>
        <v/>
      </c>
      <c r="DZ97" s="69" t="str">
        <f t="shared" si="653"/>
        <v/>
      </c>
      <c r="EA97" s="69" t="str">
        <f t="shared" si="536"/>
        <v/>
      </c>
      <c r="EB97" s="69" t="str">
        <f t="shared" si="654"/>
        <v/>
      </c>
      <c r="EC97" s="69" t="str">
        <f t="shared" si="655"/>
        <v/>
      </c>
      <c r="ED97" s="69" t="str">
        <f t="shared" si="537"/>
        <v/>
      </c>
      <c r="EF97" s="69" t="str">
        <f t="shared" si="656"/>
        <v/>
      </c>
      <c r="EG97" s="69" t="str">
        <f t="shared" si="657"/>
        <v/>
      </c>
      <c r="EH97" s="69" t="str">
        <f t="shared" si="538"/>
        <v/>
      </c>
      <c r="EI97" s="69" t="str">
        <f t="shared" si="658"/>
        <v/>
      </c>
      <c r="EJ97" s="69" t="str">
        <f t="shared" si="659"/>
        <v/>
      </c>
      <c r="EK97" s="69" t="str">
        <f t="shared" si="539"/>
        <v/>
      </c>
      <c r="EL97" s="69" t="str">
        <f t="shared" si="660"/>
        <v/>
      </c>
      <c r="EM97" s="69" t="str">
        <f t="shared" si="661"/>
        <v/>
      </c>
      <c r="EN97" s="69" t="str">
        <f t="shared" si="540"/>
        <v/>
      </c>
      <c r="EO97" s="69" t="str">
        <f t="shared" si="662"/>
        <v/>
      </c>
      <c r="EP97" s="69" t="str">
        <f t="shared" si="663"/>
        <v/>
      </c>
      <c r="EQ97" s="69" t="str">
        <f t="shared" si="541"/>
        <v/>
      </c>
      <c r="ER97" s="69" t="str">
        <f t="shared" si="664"/>
        <v/>
      </c>
      <c r="ES97" s="69" t="str">
        <f t="shared" si="665"/>
        <v/>
      </c>
      <c r="ET97" s="69" t="str">
        <f t="shared" si="542"/>
        <v/>
      </c>
      <c r="EU97" s="69" t="str">
        <f t="shared" si="666"/>
        <v/>
      </c>
      <c r="EV97" s="69" t="str">
        <f t="shared" si="667"/>
        <v/>
      </c>
      <c r="EW97" s="69" t="str">
        <f t="shared" si="543"/>
        <v/>
      </c>
      <c r="EX97" s="69" t="str">
        <f t="shared" si="668"/>
        <v/>
      </c>
      <c r="EY97" s="69" t="str">
        <f t="shared" si="669"/>
        <v/>
      </c>
      <c r="EZ97" s="69" t="str">
        <f t="shared" si="544"/>
        <v/>
      </c>
      <c r="FB97" s="69" t="str">
        <f t="shared" si="670"/>
        <v/>
      </c>
      <c r="FC97" s="69" t="str">
        <f t="shared" si="671"/>
        <v/>
      </c>
      <c r="FD97" s="69" t="str">
        <f t="shared" si="545"/>
        <v/>
      </c>
      <c r="FE97" s="69" t="str">
        <f t="shared" si="672"/>
        <v/>
      </c>
      <c r="FF97" s="69" t="str">
        <f t="shared" si="673"/>
        <v/>
      </c>
      <c r="FG97" s="69" t="str">
        <f t="shared" si="546"/>
        <v/>
      </c>
      <c r="FH97" s="69" t="str">
        <f t="shared" si="674"/>
        <v/>
      </c>
      <c r="FI97" s="69" t="str">
        <f t="shared" si="675"/>
        <v/>
      </c>
      <c r="FJ97" s="69" t="str">
        <f t="shared" si="547"/>
        <v/>
      </c>
      <c r="FK97" s="69" t="str">
        <f t="shared" si="676"/>
        <v/>
      </c>
      <c r="FL97" s="69" t="str">
        <f t="shared" si="677"/>
        <v/>
      </c>
      <c r="FM97" s="69" t="str">
        <f t="shared" si="548"/>
        <v/>
      </c>
      <c r="FN97" s="69" t="str">
        <f t="shared" si="678"/>
        <v/>
      </c>
      <c r="FO97" s="69" t="str">
        <f t="shared" si="679"/>
        <v/>
      </c>
      <c r="FP97" s="69" t="str">
        <f t="shared" si="549"/>
        <v/>
      </c>
      <c r="FQ97" s="69" t="str">
        <f t="shared" si="680"/>
        <v/>
      </c>
      <c r="FR97" s="69" t="str">
        <f t="shared" si="681"/>
        <v/>
      </c>
      <c r="FS97" s="69" t="str">
        <f t="shared" si="550"/>
        <v/>
      </c>
      <c r="FU97" s="69" t="str">
        <f t="shared" si="449"/>
        <v/>
      </c>
      <c r="FV97" s="69" t="str">
        <f t="shared" si="450"/>
        <v/>
      </c>
      <c r="FW97" s="69" t="str">
        <f t="shared" si="551"/>
        <v/>
      </c>
      <c r="FX97" s="69" t="str">
        <f t="shared" si="451"/>
        <v/>
      </c>
      <c r="FY97" s="69" t="str">
        <f t="shared" si="452"/>
        <v/>
      </c>
      <c r="FZ97" s="69" t="str">
        <f t="shared" si="552"/>
        <v/>
      </c>
      <c r="GA97" s="69" t="str">
        <f t="shared" si="453"/>
        <v/>
      </c>
      <c r="GB97" s="69" t="str">
        <f t="shared" si="454"/>
        <v/>
      </c>
      <c r="GC97" s="69" t="str">
        <f t="shared" si="553"/>
        <v/>
      </c>
      <c r="GD97" s="69" t="str">
        <f t="shared" si="455"/>
        <v/>
      </c>
      <c r="GE97" s="69" t="str">
        <f t="shared" si="456"/>
        <v/>
      </c>
      <c r="GF97" s="69" t="str">
        <f t="shared" si="554"/>
        <v/>
      </c>
      <c r="GG97" s="69" t="str">
        <f t="shared" si="457"/>
        <v/>
      </c>
      <c r="GH97" s="69" t="str">
        <f t="shared" si="458"/>
        <v/>
      </c>
      <c r="GI97" s="69" t="str">
        <f t="shared" si="555"/>
        <v/>
      </c>
      <c r="GK97" s="69" t="str">
        <f t="shared" si="459"/>
        <v/>
      </c>
      <c r="GL97" s="69" t="str">
        <f t="shared" si="460"/>
        <v/>
      </c>
      <c r="GM97" s="69" t="str">
        <f t="shared" si="556"/>
        <v/>
      </c>
      <c r="GN97" s="69" t="str">
        <f t="shared" si="461"/>
        <v/>
      </c>
      <c r="GO97" s="69" t="str">
        <f t="shared" si="462"/>
        <v/>
      </c>
      <c r="GP97" s="69" t="str">
        <f t="shared" si="557"/>
        <v/>
      </c>
      <c r="GQ97" s="69" t="str">
        <f t="shared" si="463"/>
        <v/>
      </c>
      <c r="GR97" s="69" t="str">
        <f t="shared" si="464"/>
        <v/>
      </c>
      <c r="GS97" s="69" t="str">
        <f t="shared" si="558"/>
        <v/>
      </c>
      <c r="GT97" s="69" t="str">
        <f t="shared" si="465"/>
        <v/>
      </c>
      <c r="GU97" s="69" t="str">
        <f t="shared" si="466"/>
        <v/>
      </c>
      <c r="GV97" s="69" t="str">
        <f t="shared" si="559"/>
        <v/>
      </c>
      <c r="GX97" s="69" t="str">
        <f t="shared" si="560"/>
        <v/>
      </c>
      <c r="GY97" s="69" t="str">
        <f t="shared" si="561"/>
        <v/>
      </c>
      <c r="GZ97" s="69" t="str">
        <f t="shared" si="562"/>
        <v/>
      </c>
      <c r="HA97" s="69" t="str">
        <f t="shared" si="563"/>
        <v/>
      </c>
      <c r="HB97" s="69" t="str">
        <f t="shared" si="564"/>
        <v/>
      </c>
      <c r="HC97" s="69" t="str">
        <f t="shared" si="565"/>
        <v/>
      </c>
      <c r="HD97" s="69" t="str">
        <f t="shared" si="566"/>
        <v/>
      </c>
      <c r="HE97" s="69" t="str">
        <f t="shared" si="567"/>
        <v/>
      </c>
      <c r="HF97" s="69" t="str">
        <f t="shared" si="568"/>
        <v/>
      </c>
      <c r="HH97" s="69" t="str">
        <f t="shared" si="569"/>
        <v/>
      </c>
      <c r="HI97" s="69" t="str">
        <f t="shared" si="570"/>
        <v/>
      </c>
      <c r="HJ97" s="69" t="str">
        <f t="shared" si="571"/>
        <v/>
      </c>
      <c r="HK97" s="69" t="str">
        <f t="shared" si="572"/>
        <v/>
      </c>
      <c r="HL97" s="69" t="str">
        <f t="shared" si="573"/>
        <v/>
      </c>
      <c r="HM97" s="69" t="str">
        <f t="shared" si="574"/>
        <v/>
      </c>
      <c r="HO97" s="69" t="str">
        <f t="shared" si="575"/>
        <v/>
      </c>
      <c r="HP97" s="69" t="str">
        <f t="shared" si="576"/>
        <v/>
      </c>
      <c r="HQ97" s="69" t="str">
        <f t="shared" si="577"/>
        <v/>
      </c>
      <c r="HS97" s="69" t="str">
        <f t="shared" si="682"/>
        <v/>
      </c>
      <c r="HT97" s="69" t="str">
        <f t="shared" si="683"/>
        <v/>
      </c>
      <c r="HU97" s="69" t="str">
        <f t="shared" si="578"/>
        <v/>
      </c>
      <c r="HV97" s="69" t="str">
        <f t="shared" si="684"/>
        <v/>
      </c>
      <c r="HW97" s="69" t="str">
        <f t="shared" si="685"/>
        <v/>
      </c>
      <c r="HX97" s="69" t="str">
        <f t="shared" si="579"/>
        <v/>
      </c>
      <c r="HY97" s="69" t="str">
        <f t="shared" si="686"/>
        <v/>
      </c>
      <c r="HZ97" s="69" t="str">
        <f t="shared" si="687"/>
        <v/>
      </c>
      <c r="IA97" s="69" t="str">
        <f t="shared" si="580"/>
        <v/>
      </c>
      <c r="IB97" s="69" t="str">
        <f t="shared" si="688"/>
        <v/>
      </c>
      <c r="IC97" s="69" t="str">
        <f t="shared" si="689"/>
        <v/>
      </c>
      <c r="ID97" s="69" t="str">
        <f t="shared" si="581"/>
        <v/>
      </c>
      <c r="IE97" s="69" t="str">
        <f t="shared" si="690"/>
        <v/>
      </c>
      <c r="IF97" s="69" t="str">
        <f t="shared" si="691"/>
        <v/>
      </c>
      <c r="IG97" s="69" t="str">
        <f t="shared" si="582"/>
        <v/>
      </c>
      <c r="IH97" s="69" t="str">
        <f t="shared" si="477"/>
        <v/>
      </c>
      <c r="II97" s="69" t="str">
        <f t="shared" si="478"/>
        <v/>
      </c>
      <c r="IJ97" s="69" t="str">
        <f t="shared" si="583"/>
        <v/>
      </c>
      <c r="IK97" s="69" t="str">
        <f t="shared" si="479"/>
        <v/>
      </c>
      <c r="IL97" s="69" t="str">
        <f t="shared" si="480"/>
        <v/>
      </c>
      <c r="IM97" s="69" t="str">
        <f t="shared" si="584"/>
        <v/>
      </c>
      <c r="IN97" s="69" t="str">
        <f t="shared" si="585"/>
        <v/>
      </c>
      <c r="IO97" s="69" t="str">
        <f t="shared" si="586"/>
        <v/>
      </c>
      <c r="IP97" s="69" t="str">
        <f t="shared" si="587"/>
        <v/>
      </c>
      <c r="IQ97" s="69" t="str">
        <f t="shared" si="588"/>
        <v/>
      </c>
      <c r="IR97" s="69" t="str">
        <f t="shared" si="589"/>
        <v/>
      </c>
      <c r="IS97" s="69" t="str">
        <f t="shared" si="590"/>
        <v/>
      </c>
      <c r="IT97" s="69" t="str">
        <f t="shared" si="591"/>
        <v/>
      </c>
      <c r="IU97" s="69" t="str">
        <f t="shared" si="592"/>
        <v/>
      </c>
      <c r="IV97" s="69" t="str">
        <f t="shared" si="593"/>
        <v/>
      </c>
    </row>
    <row r="98" spans="1:256" x14ac:dyDescent="0.2">
      <c r="A98" s="57" t="s">
        <v>101</v>
      </c>
      <c r="B98" s="188"/>
      <c r="C98" s="182"/>
      <c r="D98" s="180"/>
      <c r="E98" s="181"/>
      <c r="F98" s="182"/>
      <c r="G98" s="180"/>
      <c r="H98" s="181"/>
      <c r="I98" s="181"/>
      <c r="J98" s="182"/>
      <c r="K98" s="186"/>
      <c r="L98" s="68">
        <f t="shared" si="595"/>
        <v>0</v>
      </c>
      <c r="M98" s="69" t="str">
        <f t="shared" si="596"/>
        <v/>
      </c>
      <c r="N98" s="69" t="str">
        <f t="shared" si="481"/>
        <v/>
      </c>
      <c r="O98" s="69" t="str">
        <f t="shared" si="482"/>
        <v/>
      </c>
      <c r="P98" s="69" t="str">
        <f t="shared" si="483"/>
        <v/>
      </c>
      <c r="Q98" s="70" t="str">
        <f t="shared" si="597"/>
        <v/>
      </c>
      <c r="R98" s="71" t="str">
        <f t="shared" si="484"/>
        <v/>
      </c>
      <c r="S98" s="71" t="str">
        <f t="shared" si="485"/>
        <v/>
      </c>
      <c r="T98" s="70" t="str">
        <f t="shared" si="598"/>
        <v/>
      </c>
      <c r="U98" s="71" t="str">
        <f t="shared" si="486"/>
        <v/>
      </c>
      <c r="V98" s="71" t="str">
        <f t="shared" si="487"/>
        <v/>
      </c>
      <c r="W98" s="70" t="str">
        <f t="shared" si="599"/>
        <v/>
      </c>
      <c r="X98" s="71" t="str">
        <f t="shared" si="488"/>
        <v/>
      </c>
      <c r="Y98" s="71" t="str">
        <f t="shared" si="489"/>
        <v/>
      </c>
      <c r="Z98" s="70" t="str">
        <f t="shared" si="600"/>
        <v/>
      </c>
      <c r="AA98" s="71" t="str">
        <f t="shared" si="490"/>
        <v/>
      </c>
      <c r="AB98" s="71" t="str">
        <f t="shared" si="491"/>
        <v/>
      </c>
      <c r="AC98" s="70" t="str">
        <f t="shared" si="601"/>
        <v/>
      </c>
      <c r="AD98" s="71" t="str">
        <f t="shared" si="492"/>
        <v/>
      </c>
      <c r="AE98" s="71" t="str">
        <f t="shared" si="493"/>
        <v/>
      </c>
      <c r="AF98" s="70" t="str">
        <f t="shared" si="367"/>
        <v/>
      </c>
      <c r="AG98" s="71" t="str">
        <f t="shared" si="494"/>
        <v/>
      </c>
      <c r="AH98" s="71" t="str">
        <f t="shared" si="495"/>
        <v/>
      </c>
      <c r="AI98" s="70" t="str">
        <f t="shared" si="368"/>
        <v/>
      </c>
      <c r="AJ98" s="71" t="str">
        <f t="shared" si="496"/>
        <v/>
      </c>
      <c r="AK98" s="71" t="str">
        <f t="shared" si="497"/>
        <v/>
      </c>
      <c r="AL98" s="70" t="str">
        <f t="shared" si="498"/>
        <v/>
      </c>
      <c r="AM98" s="71" t="str">
        <f t="shared" si="499"/>
        <v/>
      </c>
      <c r="AN98" s="71" t="str">
        <f t="shared" si="500"/>
        <v/>
      </c>
      <c r="AO98" s="70" t="str">
        <f t="shared" si="501"/>
        <v/>
      </c>
      <c r="AP98" s="71" t="str">
        <f t="shared" si="502"/>
        <v/>
      </c>
      <c r="AQ98" s="71" t="str">
        <f t="shared" si="503"/>
        <v/>
      </c>
      <c r="AR98" s="70" t="str">
        <f t="shared" si="504"/>
        <v/>
      </c>
      <c r="AS98" s="71" t="str">
        <f t="shared" si="505"/>
        <v/>
      </c>
      <c r="AT98" s="71" t="str">
        <f t="shared" si="506"/>
        <v/>
      </c>
      <c r="AU98" s="69" t="str">
        <f t="shared" si="507"/>
        <v/>
      </c>
      <c r="AV98" s="131" t="str">
        <f t="shared" si="508"/>
        <v/>
      </c>
      <c r="AW98" s="69" t="str">
        <f t="shared" si="594"/>
        <v/>
      </c>
      <c r="AX98" s="132" t="str">
        <f t="shared" si="509"/>
        <v/>
      </c>
      <c r="AY98" s="132" t="str">
        <f t="shared" si="510"/>
        <v/>
      </c>
      <c r="AZ98" s="69" t="str">
        <f t="shared" si="602"/>
        <v/>
      </c>
      <c r="BA98" s="69" t="str">
        <f t="shared" si="603"/>
        <v/>
      </c>
      <c r="BB98" s="69" t="str">
        <f t="shared" si="511"/>
        <v/>
      </c>
      <c r="BC98" s="69" t="str">
        <f t="shared" si="604"/>
        <v/>
      </c>
      <c r="BD98" s="69" t="str">
        <f t="shared" si="605"/>
        <v/>
      </c>
      <c r="BE98" s="69" t="str">
        <f t="shared" si="512"/>
        <v/>
      </c>
      <c r="BF98" s="69" t="str">
        <f t="shared" si="606"/>
        <v/>
      </c>
      <c r="BG98" s="69" t="str">
        <f t="shared" si="607"/>
        <v/>
      </c>
      <c r="BH98" s="69" t="str">
        <f t="shared" si="513"/>
        <v/>
      </c>
      <c r="BI98" s="69" t="str">
        <f t="shared" si="608"/>
        <v/>
      </c>
      <c r="BJ98" s="69" t="str">
        <f t="shared" si="609"/>
        <v/>
      </c>
      <c r="BK98" s="69" t="str">
        <f t="shared" si="514"/>
        <v/>
      </c>
      <c r="BL98" s="69" t="str">
        <f t="shared" si="610"/>
        <v/>
      </c>
      <c r="BM98" s="69" t="str">
        <f t="shared" si="611"/>
        <v/>
      </c>
      <c r="BN98" s="69" t="str">
        <f t="shared" si="515"/>
        <v/>
      </c>
      <c r="BO98" s="69" t="str">
        <f t="shared" si="612"/>
        <v/>
      </c>
      <c r="BP98" s="69" t="str">
        <f t="shared" si="613"/>
        <v/>
      </c>
      <c r="BQ98" s="69" t="str">
        <f t="shared" si="516"/>
        <v/>
      </c>
      <c r="BR98" s="69" t="str">
        <f t="shared" si="614"/>
        <v/>
      </c>
      <c r="BS98" s="69" t="str">
        <f t="shared" si="615"/>
        <v/>
      </c>
      <c r="BT98" s="69" t="str">
        <f t="shared" si="517"/>
        <v/>
      </c>
      <c r="BU98" s="69" t="str">
        <f t="shared" si="616"/>
        <v/>
      </c>
      <c r="BV98" s="69" t="str">
        <f t="shared" si="617"/>
        <v/>
      </c>
      <c r="BW98" s="69" t="str">
        <f t="shared" si="518"/>
        <v/>
      </c>
      <c r="BX98" s="69" t="str">
        <f t="shared" si="618"/>
        <v/>
      </c>
      <c r="BY98" s="69" t="str">
        <f t="shared" si="619"/>
        <v/>
      </c>
      <c r="BZ98" s="69" t="str">
        <f t="shared" si="519"/>
        <v/>
      </c>
      <c r="CA98" s="69" t="str">
        <f t="shared" si="620"/>
        <v/>
      </c>
      <c r="CB98" s="69" t="str">
        <f t="shared" si="621"/>
        <v/>
      </c>
      <c r="CC98" s="69" t="str">
        <f t="shared" si="520"/>
        <v/>
      </c>
      <c r="CE98" s="69" t="str">
        <f t="shared" si="622"/>
        <v/>
      </c>
      <c r="CF98" s="69" t="str">
        <f t="shared" si="623"/>
        <v/>
      </c>
      <c r="CG98" s="69" t="str">
        <f t="shared" si="521"/>
        <v/>
      </c>
      <c r="CH98" s="69" t="str">
        <f t="shared" si="624"/>
        <v/>
      </c>
      <c r="CI98" s="69" t="str">
        <f t="shared" si="625"/>
        <v/>
      </c>
      <c r="CJ98" s="69" t="str">
        <f t="shared" si="522"/>
        <v/>
      </c>
      <c r="CK98" s="69" t="str">
        <f t="shared" si="626"/>
        <v/>
      </c>
      <c r="CL98" s="69" t="str">
        <f t="shared" si="627"/>
        <v/>
      </c>
      <c r="CM98" s="69" t="str">
        <f t="shared" si="523"/>
        <v/>
      </c>
      <c r="CN98" s="69" t="str">
        <f t="shared" si="628"/>
        <v/>
      </c>
      <c r="CO98" s="69" t="str">
        <f t="shared" si="629"/>
        <v/>
      </c>
      <c r="CP98" s="69" t="str">
        <f t="shared" si="524"/>
        <v/>
      </c>
      <c r="CQ98" s="69" t="str">
        <f t="shared" si="630"/>
        <v/>
      </c>
      <c r="CR98" s="69" t="str">
        <f t="shared" si="631"/>
        <v/>
      </c>
      <c r="CS98" s="69" t="str">
        <f t="shared" si="525"/>
        <v/>
      </c>
      <c r="CT98" s="69" t="str">
        <f t="shared" si="632"/>
        <v/>
      </c>
      <c r="CU98" s="69" t="str">
        <f t="shared" si="633"/>
        <v/>
      </c>
      <c r="CV98" s="69" t="str">
        <f t="shared" si="526"/>
        <v/>
      </c>
      <c r="CW98" s="69" t="str">
        <f t="shared" si="634"/>
        <v/>
      </c>
      <c r="CX98" s="69" t="str">
        <f t="shared" si="635"/>
        <v/>
      </c>
      <c r="CY98" s="69" t="str">
        <f t="shared" si="527"/>
        <v/>
      </c>
      <c r="CZ98" s="69" t="str">
        <f t="shared" si="636"/>
        <v/>
      </c>
      <c r="DA98" s="69" t="str">
        <f t="shared" si="637"/>
        <v/>
      </c>
      <c r="DB98" s="69" t="str">
        <f t="shared" si="528"/>
        <v/>
      </c>
      <c r="DC98" s="69" t="str">
        <f t="shared" si="638"/>
        <v/>
      </c>
      <c r="DD98" s="69" t="str">
        <f t="shared" si="639"/>
        <v/>
      </c>
      <c r="DE98" s="69" t="str">
        <f t="shared" si="529"/>
        <v/>
      </c>
      <c r="DG98" s="69" t="str">
        <f t="shared" si="640"/>
        <v/>
      </c>
      <c r="DH98" s="69" t="str">
        <f t="shared" si="641"/>
        <v/>
      </c>
      <c r="DI98" s="69" t="str">
        <f t="shared" si="530"/>
        <v/>
      </c>
      <c r="DJ98" s="69" t="str">
        <f t="shared" si="642"/>
        <v/>
      </c>
      <c r="DK98" s="69" t="str">
        <f t="shared" si="643"/>
        <v/>
      </c>
      <c r="DL98" s="69" t="str">
        <f t="shared" si="531"/>
        <v/>
      </c>
      <c r="DM98" s="69" t="str">
        <f t="shared" si="644"/>
        <v/>
      </c>
      <c r="DN98" s="69" t="str">
        <f t="shared" si="645"/>
        <v/>
      </c>
      <c r="DO98" s="69" t="str">
        <f t="shared" si="532"/>
        <v/>
      </c>
      <c r="DP98" s="69" t="str">
        <f t="shared" si="646"/>
        <v/>
      </c>
      <c r="DQ98" s="69" t="str">
        <f t="shared" si="647"/>
        <v/>
      </c>
      <c r="DR98" s="69" t="str">
        <f t="shared" si="533"/>
        <v/>
      </c>
      <c r="DS98" s="69" t="str">
        <f t="shared" si="648"/>
        <v/>
      </c>
      <c r="DT98" s="69" t="str">
        <f t="shared" si="649"/>
        <v/>
      </c>
      <c r="DU98" s="69" t="str">
        <f t="shared" si="534"/>
        <v/>
      </c>
      <c r="DV98" s="69" t="str">
        <f t="shared" si="650"/>
        <v/>
      </c>
      <c r="DW98" s="69" t="str">
        <f t="shared" si="651"/>
        <v/>
      </c>
      <c r="DX98" s="69" t="str">
        <f t="shared" si="535"/>
        <v/>
      </c>
      <c r="DY98" s="69" t="str">
        <f t="shared" si="652"/>
        <v/>
      </c>
      <c r="DZ98" s="69" t="str">
        <f t="shared" si="653"/>
        <v/>
      </c>
      <c r="EA98" s="69" t="str">
        <f t="shared" si="536"/>
        <v/>
      </c>
      <c r="EB98" s="69" t="str">
        <f t="shared" si="654"/>
        <v/>
      </c>
      <c r="EC98" s="69" t="str">
        <f t="shared" si="655"/>
        <v/>
      </c>
      <c r="ED98" s="69" t="str">
        <f t="shared" si="537"/>
        <v/>
      </c>
      <c r="EF98" s="69" t="str">
        <f t="shared" si="656"/>
        <v/>
      </c>
      <c r="EG98" s="69" t="str">
        <f t="shared" si="657"/>
        <v/>
      </c>
      <c r="EH98" s="69" t="str">
        <f t="shared" si="538"/>
        <v/>
      </c>
      <c r="EI98" s="69" t="str">
        <f t="shared" si="658"/>
        <v/>
      </c>
      <c r="EJ98" s="69" t="str">
        <f t="shared" si="659"/>
        <v/>
      </c>
      <c r="EK98" s="69" t="str">
        <f t="shared" si="539"/>
        <v/>
      </c>
      <c r="EL98" s="69" t="str">
        <f t="shared" si="660"/>
        <v/>
      </c>
      <c r="EM98" s="69" t="str">
        <f t="shared" si="661"/>
        <v/>
      </c>
      <c r="EN98" s="69" t="str">
        <f t="shared" si="540"/>
        <v/>
      </c>
      <c r="EO98" s="69" t="str">
        <f t="shared" si="662"/>
        <v/>
      </c>
      <c r="EP98" s="69" t="str">
        <f t="shared" si="663"/>
        <v/>
      </c>
      <c r="EQ98" s="69" t="str">
        <f t="shared" si="541"/>
        <v/>
      </c>
      <c r="ER98" s="69" t="str">
        <f t="shared" si="664"/>
        <v/>
      </c>
      <c r="ES98" s="69" t="str">
        <f t="shared" si="665"/>
        <v/>
      </c>
      <c r="ET98" s="69" t="str">
        <f t="shared" si="542"/>
        <v/>
      </c>
      <c r="EU98" s="69" t="str">
        <f t="shared" si="666"/>
        <v/>
      </c>
      <c r="EV98" s="69" t="str">
        <f t="shared" si="667"/>
        <v/>
      </c>
      <c r="EW98" s="69" t="str">
        <f t="shared" si="543"/>
        <v/>
      </c>
      <c r="EX98" s="69" t="str">
        <f t="shared" si="668"/>
        <v/>
      </c>
      <c r="EY98" s="69" t="str">
        <f t="shared" si="669"/>
        <v/>
      </c>
      <c r="EZ98" s="69" t="str">
        <f t="shared" si="544"/>
        <v/>
      </c>
      <c r="FB98" s="69" t="str">
        <f t="shared" si="670"/>
        <v/>
      </c>
      <c r="FC98" s="69" t="str">
        <f t="shared" si="671"/>
        <v/>
      </c>
      <c r="FD98" s="69" t="str">
        <f t="shared" si="545"/>
        <v/>
      </c>
      <c r="FE98" s="69" t="str">
        <f t="shared" si="672"/>
        <v/>
      </c>
      <c r="FF98" s="69" t="str">
        <f t="shared" si="673"/>
        <v/>
      </c>
      <c r="FG98" s="69" t="str">
        <f t="shared" si="546"/>
        <v/>
      </c>
      <c r="FH98" s="69" t="str">
        <f t="shared" si="674"/>
        <v/>
      </c>
      <c r="FI98" s="69" t="str">
        <f t="shared" si="675"/>
        <v/>
      </c>
      <c r="FJ98" s="69" t="str">
        <f t="shared" si="547"/>
        <v/>
      </c>
      <c r="FK98" s="69" t="str">
        <f t="shared" si="676"/>
        <v/>
      </c>
      <c r="FL98" s="69" t="str">
        <f t="shared" si="677"/>
        <v/>
      </c>
      <c r="FM98" s="69" t="str">
        <f t="shared" si="548"/>
        <v/>
      </c>
      <c r="FN98" s="69" t="str">
        <f t="shared" si="678"/>
        <v/>
      </c>
      <c r="FO98" s="69" t="str">
        <f t="shared" si="679"/>
        <v/>
      </c>
      <c r="FP98" s="69" t="str">
        <f t="shared" si="549"/>
        <v/>
      </c>
      <c r="FQ98" s="69" t="str">
        <f t="shared" si="680"/>
        <v/>
      </c>
      <c r="FR98" s="69" t="str">
        <f t="shared" si="681"/>
        <v/>
      </c>
      <c r="FS98" s="69" t="str">
        <f t="shared" si="550"/>
        <v/>
      </c>
      <c r="FU98" s="69" t="str">
        <f t="shared" si="449"/>
        <v/>
      </c>
      <c r="FV98" s="69" t="str">
        <f t="shared" si="450"/>
        <v/>
      </c>
      <c r="FW98" s="69" t="str">
        <f t="shared" si="551"/>
        <v/>
      </c>
      <c r="FX98" s="69" t="str">
        <f t="shared" si="451"/>
        <v/>
      </c>
      <c r="FY98" s="69" t="str">
        <f t="shared" si="452"/>
        <v/>
      </c>
      <c r="FZ98" s="69" t="str">
        <f t="shared" si="552"/>
        <v/>
      </c>
      <c r="GA98" s="69" t="str">
        <f t="shared" si="453"/>
        <v/>
      </c>
      <c r="GB98" s="69" t="str">
        <f t="shared" si="454"/>
        <v/>
      </c>
      <c r="GC98" s="69" t="str">
        <f t="shared" si="553"/>
        <v/>
      </c>
      <c r="GD98" s="69" t="str">
        <f t="shared" si="455"/>
        <v/>
      </c>
      <c r="GE98" s="69" t="str">
        <f t="shared" si="456"/>
        <v/>
      </c>
      <c r="GF98" s="69" t="str">
        <f t="shared" si="554"/>
        <v/>
      </c>
      <c r="GG98" s="69" t="str">
        <f t="shared" si="457"/>
        <v/>
      </c>
      <c r="GH98" s="69" t="str">
        <f t="shared" si="458"/>
        <v/>
      </c>
      <c r="GI98" s="69" t="str">
        <f t="shared" si="555"/>
        <v/>
      </c>
      <c r="GK98" s="69" t="str">
        <f t="shared" si="459"/>
        <v/>
      </c>
      <c r="GL98" s="69" t="str">
        <f t="shared" si="460"/>
        <v/>
      </c>
      <c r="GM98" s="69" t="str">
        <f t="shared" si="556"/>
        <v/>
      </c>
      <c r="GN98" s="69" t="str">
        <f t="shared" si="461"/>
        <v/>
      </c>
      <c r="GO98" s="69" t="str">
        <f t="shared" si="462"/>
        <v/>
      </c>
      <c r="GP98" s="69" t="str">
        <f t="shared" si="557"/>
        <v/>
      </c>
      <c r="GQ98" s="69" t="str">
        <f t="shared" si="463"/>
        <v/>
      </c>
      <c r="GR98" s="69" t="str">
        <f t="shared" si="464"/>
        <v/>
      </c>
      <c r="GS98" s="69" t="str">
        <f t="shared" si="558"/>
        <v/>
      </c>
      <c r="GT98" s="69" t="str">
        <f t="shared" si="465"/>
        <v/>
      </c>
      <c r="GU98" s="69" t="str">
        <f t="shared" si="466"/>
        <v/>
      </c>
      <c r="GV98" s="69" t="str">
        <f t="shared" si="559"/>
        <v/>
      </c>
      <c r="GX98" s="69" t="str">
        <f t="shared" si="560"/>
        <v/>
      </c>
      <c r="GY98" s="69" t="str">
        <f t="shared" si="561"/>
        <v/>
      </c>
      <c r="GZ98" s="69" t="str">
        <f t="shared" si="562"/>
        <v/>
      </c>
      <c r="HA98" s="69" t="str">
        <f t="shared" si="563"/>
        <v/>
      </c>
      <c r="HB98" s="69" t="str">
        <f t="shared" si="564"/>
        <v/>
      </c>
      <c r="HC98" s="69" t="str">
        <f t="shared" si="565"/>
        <v/>
      </c>
      <c r="HD98" s="69" t="str">
        <f t="shared" si="566"/>
        <v/>
      </c>
      <c r="HE98" s="69" t="str">
        <f t="shared" si="567"/>
        <v/>
      </c>
      <c r="HF98" s="69" t="str">
        <f t="shared" si="568"/>
        <v/>
      </c>
      <c r="HH98" s="69" t="str">
        <f t="shared" si="569"/>
        <v/>
      </c>
      <c r="HI98" s="69" t="str">
        <f t="shared" si="570"/>
        <v/>
      </c>
      <c r="HJ98" s="69" t="str">
        <f t="shared" si="571"/>
        <v/>
      </c>
      <c r="HK98" s="69" t="str">
        <f t="shared" si="572"/>
        <v/>
      </c>
      <c r="HL98" s="69" t="str">
        <f t="shared" si="573"/>
        <v/>
      </c>
      <c r="HM98" s="69" t="str">
        <f t="shared" si="574"/>
        <v/>
      </c>
      <c r="HO98" s="69" t="str">
        <f t="shared" si="575"/>
        <v/>
      </c>
      <c r="HP98" s="69" t="str">
        <f t="shared" si="576"/>
        <v/>
      </c>
      <c r="HQ98" s="69" t="str">
        <f t="shared" si="577"/>
        <v/>
      </c>
      <c r="HS98" s="69" t="str">
        <f t="shared" si="682"/>
        <v/>
      </c>
      <c r="HT98" s="69" t="str">
        <f t="shared" si="683"/>
        <v/>
      </c>
      <c r="HU98" s="69" t="str">
        <f t="shared" si="578"/>
        <v/>
      </c>
      <c r="HV98" s="69" t="str">
        <f t="shared" si="684"/>
        <v/>
      </c>
      <c r="HW98" s="69" t="str">
        <f t="shared" si="685"/>
        <v/>
      </c>
      <c r="HX98" s="69" t="str">
        <f t="shared" si="579"/>
        <v/>
      </c>
      <c r="HY98" s="69" t="str">
        <f t="shared" si="686"/>
        <v/>
      </c>
      <c r="HZ98" s="69" t="str">
        <f t="shared" si="687"/>
        <v/>
      </c>
      <c r="IA98" s="69" t="str">
        <f t="shared" si="580"/>
        <v/>
      </c>
      <c r="IB98" s="69" t="str">
        <f t="shared" si="688"/>
        <v/>
      </c>
      <c r="IC98" s="69" t="str">
        <f t="shared" si="689"/>
        <v/>
      </c>
      <c r="ID98" s="69" t="str">
        <f t="shared" si="581"/>
        <v/>
      </c>
      <c r="IE98" s="69" t="str">
        <f t="shared" si="690"/>
        <v/>
      </c>
      <c r="IF98" s="69" t="str">
        <f t="shared" si="691"/>
        <v/>
      </c>
      <c r="IG98" s="69" t="str">
        <f t="shared" si="582"/>
        <v/>
      </c>
      <c r="IH98" s="69" t="str">
        <f t="shared" si="477"/>
        <v/>
      </c>
      <c r="II98" s="69" t="str">
        <f t="shared" si="478"/>
        <v/>
      </c>
      <c r="IJ98" s="69" t="str">
        <f t="shared" si="583"/>
        <v/>
      </c>
      <c r="IK98" s="69" t="str">
        <f t="shared" si="479"/>
        <v/>
      </c>
      <c r="IL98" s="69" t="str">
        <f t="shared" si="480"/>
        <v/>
      </c>
      <c r="IM98" s="69" t="str">
        <f t="shared" si="584"/>
        <v/>
      </c>
      <c r="IN98" s="69" t="str">
        <f t="shared" si="585"/>
        <v/>
      </c>
      <c r="IO98" s="69" t="str">
        <f t="shared" si="586"/>
        <v/>
      </c>
      <c r="IP98" s="69" t="str">
        <f t="shared" si="587"/>
        <v/>
      </c>
      <c r="IQ98" s="69" t="str">
        <f t="shared" si="588"/>
        <v/>
      </c>
      <c r="IR98" s="69" t="str">
        <f t="shared" si="589"/>
        <v/>
      </c>
      <c r="IS98" s="69" t="str">
        <f t="shared" si="590"/>
        <v/>
      </c>
      <c r="IT98" s="69" t="str">
        <f t="shared" si="591"/>
        <v/>
      </c>
      <c r="IU98" s="69" t="str">
        <f t="shared" si="592"/>
        <v/>
      </c>
      <c r="IV98" s="69" t="str">
        <f t="shared" si="593"/>
        <v/>
      </c>
    </row>
    <row r="99" spans="1:256" x14ac:dyDescent="0.2">
      <c r="A99" s="57" t="s">
        <v>102</v>
      </c>
      <c r="B99" s="188"/>
      <c r="C99" s="182"/>
      <c r="D99" s="180"/>
      <c r="E99" s="181"/>
      <c r="F99" s="182"/>
      <c r="G99" s="180"/>
      <c r="H99" s="181"/>
      <c r="I99" s="181"/>
      <c r="J99" s="182"/>
      <c r="K99" s="186"/>
      <c r="L99" s="68">
        <f t="shared" si="595"/>
        <v>0</v>
      </c>
      <c r="M99" s="69" t="str">
        <f t="shared" si="596"/>
        <v/>
      </c>
      <c r="N99" s="69" t="str">
        <f t="shared" si="481"/>
        <v/>
      </c>
      <c r="O99" s="69" t="str">
        <f t="shared" si="482"/>
        <v/>
      </c>
      <c r="P99" s="69" t="str">
        <f t="shared" si="483"/>
        <v/>
      </c>
      <c r="Q99" s="70" t="str">
        <f t="shared" si="597"/>
        <v/>
      </c>
      <c r="R99" s="71" t="str">
        <f t="shared" si="484"/>
        <v/>
      </c>
      <c r="S99" s="71" t="str">
        <f t="shared" si="485"/>
        <v/>
      </c>
      <c r="T99" s="70" t="str">
        <f t="shared" si="598"/>
        <v/>
      </c>
      <c r="U99" s="71" t="str">
        <f t="shared" si="486"/>
        <v/>
      </c>
      <c r="V99" s="71" t="str">
        <f t="shared" si="487"/>
        <v/>
      </c>
      <c r="W99" s="70" t="str">
        <f t="shared" si="599"/>
        <v/>
      </c>
      <c r="X99" s="71" t="str">
        <f t="shared" si="488"/>
        <v/>
      </c>
      <c r="Y99" s="71" t="str">
        <f t="shared" si="489"/>
        <v/>
      </c>
      <c r="Z99" s="70" t="str">
        <f t="shared" si="600"/>
        <v/>
      </c>
      <c r="AA99" s="71" t="str">
        <f t="shared" si="490"/>
        <v/>
      </c>
      <c r="AB99" s="71" t="str">
        <f t="shared" si="491"/>
        <v/>
      </c>
      <c r="AC99" s="70" t="str">
        <f t="shared" si="601"/>
        <v/>
      </c>
      <c r="AD99" s="71" t="str">
        <f t="shared" si="492"/>
        <v/>
      </c>
      <c r="AE99" s="71" t="str">
        <f t="shared" si="493"/>
        <v/>
      </c>
      <c r="AF99" s="70" t="str">
        <f t="shared" si="367"/>
        <v/>
      </c>
      <c r="AG99" s="71" t="str">
        <f t="shared" si="494"/>
        <v/>
      </c>
      <c r="AH99" s="71" t="str">
        <f t="shared" si="495"/>
        <v/>
      </c>
      <c r="AI99" s="70" t="str">
        <f t="shared" si="368"/>
        <v/>
      </c>
      <c r="AJ99" s="71" t="str">
        <f t="shared" si="496"/>
        <v/>
      </c>
      <c r="AK99" s="71" t="str">
        <f t="shared" si="497"/>
        <v/>
      </c>
      <c r="AL99" s="70" t="str">
        <f t="shared" si="498"/>
        <v/>
      </c>
      <c r="AM99" s="71" t="str">
        <f t="shared" si="499"/>
        <v/>
      </c>
      <c r="AN99" s="71" t="str">
        <f t="shared" si="500"/>
        <v/>
      </c>
      <c r="AO99" s="70" t="str">
        <f t="shared" si="501"/>
        <v/>
      </c>
      <c r="AP99" s="71" t="str">
        <f t="shared" si="502"/>
        <v/>
      </c>
      <c r="AQ99" s="71" t="str">
        <f t="shared" si="503"/>
        <v/>
      </c>
      <c r="AR99" s="70" t="str">
        <f t="shared" si="504"/>
        <v/>
      </c>
      <c r="AS99" s="71" t="str">
        <f t="shared" si="505"/>
        <v/>
      </c>
      <c r="AT99" s="71" t="str">
        <f t="shared" si="506"/>
        <v/>
      </c>
      <c r="AU99" s="69" t="str">
        <f t="shared" si="507"/>
        <v/>
      </c>
      <c r="AV99" s="131" t="str">
        <f t="shared" si="508"/>
        <v/>
      </c>
      <c r="AW99" s="69" t="str">
        <f t="shared" si="594"/>
        <v/>
      </c>
      <c r="AX99" s="132" t="str">
        <f t="shared" si="509"/>
        <v/>
      </c>
      <c r="AY99" s="132" t="str">
        <f t="shared" si="510"/>
        <v/>
      </c>
      <c r="AZ99" s="69" t="str">
        <f t="shared" si="602"/>
        <v/>
      </c>
      <c r="BA99" s="69" t="str">
        <f t="shared" si="603"/>
        <v/>
      </c>
      <c r="BB99" s="69" t="str">
        <f t="shared" si="511"/>
        <v/>
      </c>
      <c r="BC99" s="69" t="str">
        <f t="shared" si="604"/>
        <v/>
      </c>
      <c r="BD99" s="69" t="str">
        <f t="shared" si="605"/>
        <v/>
      </c>
      <c r="BE99" s="69" t="str">
        <f t="shared" si="512"/>
        <v/>
      </c>
      <c r="BF99" s="69" t="str">
        <f t="shared" si="606"/>
        <v/>
      </c>
      <c r="BG99" s="69" t="str">
        <f t="shared" si="607"/>
        <v/>
      </c>
      <c r="BH99" s="69" t="str">
        <f t="shared" si="513"/>
        <v/>
      </c>
      <c r="BI99" s="69" t="str">
        <f t="shared" si="608"/>
        <v/>
      </c>
      <c r="BJ99" s="69" t="str">
        <f t="shared" si="609"/>
        <v/>
      </c>
      <c r="BK99" s="69" t="str">
        <f t="shared" si="514"/>
        <v/>
      </c>
      <c r="BL99" s="69" t="str">
        <f t="shared" si="610"/>
        <v/>
      </c>
      <c r="BM99" s="69" t="str">
        <f t="shared" si="611"/>
        <v/>
      </c>
      <c r="BN99" s="69" t="str">
        <f t="shared" si="515"/>
        <v/>
      </c>
      <c r="BO99" s="69" t="str">
        <f t="shared" si="612"/>
        <v/>
      </c>
      <c r="BP99" s="69" t="str">
        <f t="shared" si="613"/>
        <v/>
      </c>
      <c r="BQ99" s="69" t="str">
        <f t="shared" si="516"/>
        <v/>
      </c>
      <c r="BR99" s="69" t="str">
        <f t="shared" si="614"/>
        <v/>
      </c>
      <c r="BS99" s="69" t="str">
        <f t="shared" si="615"/>
        <v/>
      </c>
      <c r="BT99" s="69" t="str">
        <f t="shared" si="517"/>
        <v/>
      </c>
      <c r="BU99" s="69" t="str">
        <f t="shared" si="616"/>
        <v/>
      </c>
      <c r="BV99" s="69" t="str">
        <f t="shared" si="617"/>
        <v/>
      </c>
      <c r="BW99" s="69" t="str">
        <f t="shared" si="518"/>
        <v/>
      </c>
      <c r="BX99" s="69" t="str">
        <f t="shared" si="618"/>
        <v/>
      </c>
      <c r="BY99" s="69" t="str">
        <f t="shared" si="619"/>
        <v/>
      </c>
      <c r="BZ99" s="69" t="str">
        <f t="shared" si="519"/>
        <v/>
      </c>
      <c r="CA99" s="69" t="str">
        <f t="shared" si="620"/>
        <v/>
      </c>
      <c r="CB99" s="69" t="str">
        <f t="shared" si="621"/>
        <v/>
      </c>
      <c r="CC99" s="69" t="str">
        <f t="shared" si="520"/>
        <v/>
      </c>
      <c r="CE99" s="69" t="str">
        <f t="shared" si="622"/>
        <v/>
      </c>
      <c r="CF99" s="69" t="str">
        <f t="shared" si="623"/>
        <v/>
      </c>
      <c r="CG99" s="69" t="str">
        <f t="shared" si="521"/>
        <v/>
      </c>
      <c r="CH99" s="69" t="str">
        <f t="shared" si="624"/>
        <v/>
      </c>
      <c r="CI99" s="69" t="str">
        <f t="shared" si="625"/>
        <v/>
      </c>
      <c r="CJ99" s="69" t="str">
        <f t="shared" si="522"/>
        <v/>
      </c>
      <c r="CK99" s="69" t="str">
        <f t="shared" si="626"/>
        <v/>
      </c>
      <c r="CL99" s="69" t="str">
        <f t="shared" si="627"/>
        <v/>
      </c>
      <c r="CM99" s="69" t="str">
        <f t="shared" si="523"/>
        <v/>
      </c>
      <c r="CN99" s="69" t="str">
        <f t="shared" si="628"/>
        <v/>
      </c>
      <c r="CO99" s="69" t="str">
        <f t="shared" si="629"/>
        <v/>
      </c>
      <c r="CP99" s="69" t="str">
        <f t="shared" si="524"/>
        <v/>
      </c>
      <c r="CQ99" s="69" t="str">
        <f t="shared" si="630"/>
        <v/>
      </c>
      <c r="CR99" s="69" t="str">
        <f t="shared" si="631"/>
        <v/>
      </c>
      <c r="CS99" s="69" t="str">
        <f t="shared" si="525"/>
        <v/>
      </c>
      <c r="CT99" s="69" t="str">
        <f t="shared" si="632"/>
        <v/>
      </c>
      <c r="CU99" s="69" t="str">
        <f t="shared" si="633"/>
        <v/>
      </c>
      <c r="CV99" s="69" t="str">
        <f t="shared" si="526"/>
        <v/>
      </c>
      <c r="CW99" s="69" t="str">
        <f t="shared" si="634"/>
        <v/>
      </c>
      <c r="CX99" s="69" t="str">
        <f t="shared" si="635"/>
        <v/>
      </c>
      <c r="CY99" s="69" t="str">
        <f t="shared" si="527"/>
        <v/>
      </c>
      <c r="CZ99" s="69" t="str">
        <f t="shared" si="636"/>
        <v/>
      </c>
      <c r="DA99" s="69" t="str">
        <f t="shared" si="637"/>
        <v/>
      </c>
      <c r="DB99" s="69" t="str">
        <f t="shared" si="528"/>
        <v/>
      </c>
      <c r="DC99" s="69" t="str">
        <f t="shared" si="638"/>
        <v/>
      </c>
      <c r="DD99" s="69" t="str">
        <f t="shared" si="639"/>
        <v/>
      </c>
      <c r="DE99" s="69" t="str">
        <f t="shared" si="529"/>
        <v/>
      </c>
      <c r="DG99" s="69" t="str">
        <f t="shared" si="640"/>
        <v/>
      </c>
      <c r="DH99" s="69" t="str">
        <f t="shared" si="641"/>
        <v/>
      </c>
      <c r="DI99" s="69" t="str">
        <f t="shared" si="530"/>
        <v/>
      </c>
      <c r="DJ99" s="69" t="str">
        <f t="shared" si="642"/>
        <v/>
      </c>
      <c r="DK99" s="69" t="str">
        <f t="shared" si="643"/>
        <v/>
      </c>
      <c r="DL99" s="69" t="str">
        <f t="shared" si="531"/>
        <v/>
      </c>
      <c r="DM99" s="69" t="str">
        <f t="shared" si="644"/>
        <v/>
      </c>
      <c r="DN99" s="69" t="str">
        <f t="shared" si="645"/>
        <v/>
      </c>
      <c r="DO99" s="69" t="str">
        <f t="shared" si="532"/>
        <v/>
      </c>
      <c r="DP99" s="69" t="str">
        <f t="shared" si="646"/>
        <v/>
      </c>
      <c r="DQ99" s="69" t="str">
        <f t="shared" si="647"/>
        <v/>
      </c>
      <c r="DR99" s="69" t="str">
        <f t="shared" si="533"/>
        <v/>
      </c>
      <c r="DS99" s="69" t="str">
        <f t="shared" si="648"/>
        <v/>
      </c>
      <c r="DT99" s="69" t="str">
        <f t="shared" si="649"/>
        <v/>
      </c>
      <c r="DU99" s="69" t="str">
        <f t="shared" si="534"/>
        <v/>
      </c>
      <c r="DV99" s="69" t="str">
        <f t="shared" si="650"/>
        <v/>
      </c>
      <c r="DW99" s="69" t="str">
        <f t="shared" si="651"/>
        <v/>
      </c>
      <c r="DX99" s="69" t="str">
        <f t="shared" si="535"/>
        <v/>
      </c>
      <c r="DY99" s="69" t="str">
        <f t="shared" si="652"/>
        <v/>
      </c>
      <c r="DZ99" s="69" t="str">
        <f t="shared" si="653"/>
        <v/>
      </c>
      <c r="EA99" s="69" t="str">
        <f t="shared" si="536"/>
        <v/>
      </c>
      <c r="EB99" s="69" t="str">
        <f t="shared" si="654"/>
        <v/>
      </c>
      <c r="EC99" s="69" t="str">
        <f t="shared" si="655"/>
        <v/>
      </c>
      <c r="ED99" s="69" t="str">
        <f t="shared" si="537"/>
        <v/>
      </c>
      <c r="EF99" s="69" t="str">
        <f t="shared" si="656"/>
        <v/>
      </c>
      <c r="EG99" s="69" t="str">
        <f t="shared" si="657"/>
        <v/>
      </c>
      <c r="EH99" s="69" t="str">
        <f t="shared" si="538"/>
        <v/>
      </c>
      <c r="EI99" s="69" t="str">
        <f t="shared" si="658"/>
        <v/>
      </c>
      <c r="EJ99" s="69" t="str">
        <f t="shared" si="659"/>
        <v/>
      </c>
      <c r="EK99" s="69" t="str">
        <f t="shared" si="539"/>
        <v/>
      </c>
      <c r="EL99" s="69" t="str">
        <f t="shared" si="660"/>
        <v/>
      </c>
      <c r="EM99" s="69" t="str">
        <f t="shared" si="661"/>
        <v/>
      </c>
      <c r="EN99" s="69" t="str">
        <f t="shared" si="540"/>
        <v/>
      </c>
      <c r="EO99" s="69" t="str">
        <f t="shared" si="662"/>
        <v/>
      </c>
      <c r="EP99" s="69" t="str">
        <f t="shared" si="663"/>
        <v/>
      </c>
      <c r="EQ99" s="69" t="str">
        <f t="shared" si="541"/>
        <v/>
      </c>
      <c r="ER99" s="69" t="str">
        <f t="shared" si="664"/>
        <v/>
      </c>
      <c r="ES99" s="69" t="str">
        <f t="shared" si="665"/>
        <v/>
      </c>
      <c r="ET99" s="69" t="str">
        <f t="shared" si="542"/>
        <v/>
      </c>
      <c r="EU99" s="69" t="str">
        <f t="shared" si="666"/>
        <v/>
      </c>
      <c r="EV99" s="69" t="str">
        <f t="shared" si="667"/>
        <v/>
      </c>
      <c r="EW99" s="69" t="str">
        <f t="shared" si="543"/>
        <v/>
      </c>
      <c r="EX99" s="69" t="str">
        <f t="shared" si="668"/>
        <v/>
      </c>
      <c r="EY99" s="69" t="str">
        <f t="shared" si="669"/>
        <v/>
      </c>
      <c r="EZ99" s="69" t="str">
        <f t="shared" si="544"/>
        <v/>
      </c>
      <c r="FB99" s="69" t="str">
        <f t="shared" si="670"/>
        <v/>
      </c>
      <c r="FC99" s="69" t="str">
        <f t="shared" si="671"/>
        <v/>
      </c>
      <c r="FD99" s="69" t="str">
        <f t="shared" si="545"/>
        <v/>
      </c>
      <c r="FE99" s="69" t="str">
        <f t="shared" si="672"/>
        <v/>
      </c>
      <c r="FF99" s="69" t="str">
        <f t="shared" si="673"/>
        <v/>
      </c>
      <c r="FG99" s="69" t="str">
        <f t="shared" si="546"/>
        <v/>
      </c>
      <c r="FH99" s="69" t="str">
        <f t="shared" si="674"/>
        <v/>
      </c>
      <c r="FI99" s="69" t="str">
        <f t="shared" si="675"/>
        <v/>
      </c>
      <c r="FJ99" s="69" t="str">
        <f t="shared" si="547"/>
        <v/>
      </c>
      <c r="FK99" s="69" t="str">
        <f t="shared" si="676"/>
        <v/>
      </c>
      <c r="FL99" s="69" t="str">
        <f t="shared" si="677"/>
        <v/>
      </c>
      <c r="FM99" s="69" t="str">
        <f t="shared" si="548"/>
        <v/>
      </c>
      <c r="FN99" s="69" t="str">
        <f t="shared" si="678"/>
        <v/>
      </c>
      <c r="FO99" s="69" t="str">
        <f t="shared" si="679"/>
        <v/>
      </c>
      <c r="FP99" s="69" t="str">
        <f t="shared" si="549"/>
        <v/>
      </c>
      <c r="FQ99" s="69" t="str">
        <f t="shared" si="680"/>
        <v/>
      </c>
      <c r="FR99" s="69" t="str">
        <f t="shared" si="681"/>
        <v/>
      </c>
      <c r="FS99" s="69" t="str">
        <f t="shared" si="550"/>
        <v/>
      </c>
      <c r="FU99" s="69" t="str">
        <f t="shared" si="449"/>
        <v/>
      </c>
      <c r="FV99" s="69" t="str">
        <f t="shared" si="450"/>
        <v/>
      </c>
      <c r="FW99" s="69" t="str">
        <f t="shared" si="551"/>
        <v/>
      </c>
      <c r="FX99" s="69" t="str">
        <f t="shared" si="451"/>
        <v/>
      </c>
      <c r="FY99" s="69" t="str">
        <f t="shared" si="452"/>
        <v/>
      </c>
      <c r="FZ99" s="69" t="str">
        <f t="shared" si="552"/>
        <v/>
      </c>
      <c r="GA99" s="69" t="str">
        <f t="shared" si="453"/>
        <v/>
      </c>
      <c r="GB99" s="69" t="str">
        <f t="shared" si="454"/>
        <v/>
      </c>
      <c r="GC99" s="69" t="str">
        <f t="shared" si="553"/>
        <v/>
      </c>
      <c r="GD99" s="69" t="str">
        <f t="shared" si="455"/>
        <v/>
      </c>
      <c r="GE99" s="69" t="str">
        <f t="shared" si="456"/>
        <v/>
      </c>
      <c r="GF99" s="69" t="str">
        <f t="shared" si="554"/>
        <v/>
      </c>
      <c r="GG99" s="69" t="str">
        <f t="shared" si="457"/>
        <v/>
      </c>
      <c r="GH99" s="69" t="str">
        <f t="shared" si="458"/>
        <v/>
      </c>
      <c r="GI99" s="69" t="str">
        <f t="shared" si="555"/>
        <v/>
      </c>
      <c r="GK99" s="69" t="str">
        <f t="shared" si="459"/>
        <v/>
      </c>
      <c r="GL99" s="69" t="str">
        <f t="shared" si="460"/>
        <v/>
      </c>
      <c r="GM99" s="69" t="str">
        <f t="shared" si="556"/>
        <v/>
      </c>
      <c r="GN99" s="69" t="str">
        <f t="shared" si="461"/>
        <v/>
      </c>
      <c r="GO99" s="69" t="str">
        <f t="shared" si="462"/>
        <v/>
      </c>
      <c r="GP99" s="69" t="str">
        <f t="shared" si="557"/>
        <v/>
      </c>
      <c r="GQ99" s="69" t="str">
        <f t="shared" si="463"/>
        <v/>
      </c>
      <c r="GR99" s="69" t="str">
        <f t="shared" si="464"/>
        <v/>
      </c>
      <c r="GS99" s="69" t="str">
        <f t="shared" si="558"/>
        <v/>
      </c>
      <c r="GT99" s="69" t="str">
        <f t="shared" si="465"/>
        <v/>
      </c>
      <c r="GU99" s="69" t="str">
        <f t="shared" si="466"/>
        <v/>
      </c>
      <c r="GV99" s="69" t="str">
        <f t="shared" si="559"/>
        <v/>
      </c>
      <c r="GX99" s="69" t="str">
        <f t="shared" si="560"/>
        <v/>
      </c>
      <c r="GY99" s="69" t="str">
        <f t="shared" si="561"/>
        <v/>
      </c>
      <c r="GZ99" s="69" t="str">
        <f t="shared" si="562"/>
        <v/>
      </c>
      <c r="HA99" s="69" t="str">
        <f t="shared" si="563"/>
        <v/>
      </c>
      <c r="HB99" s="69" t="str">
        <f t="shared" si="564"/>
        <v/>
      </c>
      <c r="HC99" s="69" t="str">
        <f t="shared" si="565"/>
        <v/>
      </c>
      <c r="HD99" s="69" t="str">
        <f t="shared" si="566"/>
        <v/>
      </c>
      <c r="HE99" s="69" t="str">
        <f t="shared" si="567"/>
        <v/>
      </c>
      <c r="HF99" s="69" t="str">
        <f t="shared" si="568"/>
        <v/>
      </c>
      <c r="HH99" s="69" t="str">
        <f t="shared" si="569"/>
        <v/>
      </c>
      <c r="HI99" s="69" t="str">
        <f t="shared" si="570"/>
        <v/>
      </c>
      <c r="HJ99" s="69" t="str">
        <f t="shared" si="571"/>
        <v/>
      </c>
      <c r="HK99" s="69" t="str">
        <f t="shared" si="572"/>
        <v/>
      </c>
      <c r="HL99" s="69" t="str">
        <f t="shared" si="573"/>
        <v/>
      </c>
      <c r="HM99" s="69" t="str">
        <f t="shared" si="574"/>
        <v/>
      </c>
      <c r="HO99" s="69" t="str">
        <f t="shared" si="575"/>
        <v/>
      </c>
      <c r="HP99" s="69" t="str">
        <f t="shared" si="576"/>
        <v/>
      </c>
      <c r="HQ99" s="69" t="str">
        <f t="shared" si="577"/>
        <v/>
      </c>
      <c r="HS99" s="69" t="str">
        <f t="shared" si="682"/>
        <v/>
      </c>
      <c r="HT99" s="69" t="str">
        <f t="shared" si="683"/>
        <v/>
      </c>
      <c r="HU99" s="69" t="str">
        <f t="shared" si="578"/>
        <v/>
      </c>
      <c r="HV99" s="69" t="str">
        <f t="shared" si="684"/>
        <v/>
      </c>
      <c r="HW99" s="69" t="str">
        <f t="shared" si="685"/>
        <v/>
      </c>
      <c r="HX99" s="69" t="str">
        <f t="shared" si="579"/>
        <v/>
      </c>
      <c r="HY99" s="69" t="str">
        <f t="shared" si="686"/>
        <v/>
      </c>
      <c r="HZ99" s="69" t="str">
        <f t="shared" si="687"/>
        <v/>
      </c>
      <c r="IA99" s="69" t="str">
        <f t="shared" si="580"/>
        <v/>
      </c>
      <c r="IB99" s="69" t="str">
        <f t="shared" si="688"/>
        <v/>
      </c>
      <c r="IC99" s="69" t="str">
        <f t="shared" si="689"/>
        <v/>
      </c>
      <c r="ID99" s="69" t="str">
        <f t="shared" si="581"/>
        <v/>
      </c>
      <c r="IE99" s="69" t="str">
        <f t="shared" si="690"/>
        <v/>
      </c>
      <c r="IF99" s="69" t="str">
        <f t="shared" si="691"/>
        <v/>
      </c>
      <c r="IG99" s="69" t="str">
        <f t="shared" si="582"/>
        <v/>
      </c>
      <c r="IH99" s="69" t="str">
        <f t="shared" si="477"/>
        <v/>
      </c>
      <c r="II99" s="69" t="str">
        <f t="shared" si="478"/>
        <v/>
      </c>
      <c r="IJ99" s="69" t="str">
        <f t="shared" si="583"/>
        <v/>
      </c>
      <c r="IK99" s="69" t="str">
        <f t="shared" si="479"/>
        <v/>
      </c>
      <c r="IL99" s="69" t="str">
        <f t="shared" si="480"/>
        <v/>
      </c>
      <c r="IM99" s="69" t="str">
        <f t="shared" si="584"/>
        <v/>
      </c>
      <c r="IN99" s="69" t="str">
        <f t="shared" si="585"/>
        <v/>
      </c>
      <c r="IO99" s="69" t="str">
        <f t="shared" si="586"/>
        <v/>
      </c>
      <c r="IP99" s="69" t="str">
        <f t="shared" si="587"/>
        <v/>
      </c>
      <c r="IQ99" s="69" t="str">
        <f t="shared" si="588"/>
        <v/>
      </c>
      <c r="IR99" s="69" t="str">
        <f t="shared" si="589"/>
        <v/>
      </c>
      <c r="IS99" s="69" t="str">
        <f t="shared" si="590"/>
        <v/>
      </c>
      <c r="IT99" s="69" t="str">
        <f t="shared" si="591"/>
        <v/>
      </c>
      <c r="IU99" s="69" t="str">
        <f t="shared" si="592"/>
        <v/>
      </c>
      <c r="IV99" s="69" t="str">
        <f t="shared" si="593"/>
        <v/>
      </c>
    </row>
    <row r="100" spans="1:256" x14ac:dyDescent="0.2">
      <c r="A100" s="57" t="s">
        <v>103</v>
      </c>
      <c r="B100" s="188"/>
      <c r="C100" s="182"/>
      <c r="D100" s="180"/>
      <c r="E100" s="181"/>
      <c r="F100" s="182"/>
      <c r="G100" s="180"/>
      <c r="H100" s="181"/>
      <c r="I100" s="181"/>
      <c r="J100" s="182"/>
      <c r="K100" s="186"/>
      <c r="L100" s="68">
        <f t="shared" si="595"/>
        <v>0</v>
      </c>
      <c r="M100" s="69" t="str">
        <f t="shared" si="596"/>
        <v/>
      </c>
      <c r="N100" s="69" t="str">
        <f t="shared" si="481"/>
        <v/>
      </c>
      <c r="O100" s="69" t="str">
        <f t="shared" si="482"/>
        <v/>
      </c>
      <c r="P100" s="69" t="str">
        <f t="shared" si="483"/>
        <v/>
      </c>
      <c r="Q100" s="70" t="str">
        <f t="shared" si="597"/>
        <v/>
      </c>
      <c r="R100" s="71" t="str">
        <f t="shared" si="484"/>
        <v/>
      </c>
      <c r="S100" s="71" t="str">
        <f t="shared" si="485"/>
        <v/>
      </c>
      <c r="T100" s="70" t="str">
        <f t="shared" si="598"/>
        <v/>
      </c>
      <c r="U100" s="71" t="str">
        <f t="shared" si="486"/>
        <v/>
      </c>
      <c r="V100" s="71" t="str">
        <f t="shared" si="487"/>
        <v/>
      </c>
      <c r="W100" s="70" t="str">
        <f t="shared" si="599"/>
        <v/>
      </c>
      <c r="X100" s="71" t="str">
        <f t="shared" si="488"/>
        <v/>
      </c>
      <c r="Y100" s="71" t="str">
        <f t="shared" si="489"/>
        <v/>
      </c>
      <c r="Z100" s="70" t="str">
        <f t="shared" si="600"/>
        <v/>
      </c>
      <c r="AA100" s="71" t="str">
        <f t="shared" si="490"/>
        <v/>
      </c>
      <c r="AB100" s="71" t="str">
        <f t="shared" si="491"/>
        <v/>
      </c>
      <c r="AC100" s="70" t="str">
        <f t="shared" si="601"/>
        <v/>
      </c>
      <c r="AD100" s="71" t="str">
        <f t="shared" si="492"/>
        <v/>
      </c>
      <c r="AE100" s="71" t="str">
        <f t="shared" si="493"/>
        <v/>
      </c>
      <c r="AF100" s="70" t="str">
        <f t="shared" si="367"/>
        <v/>
      </c>
      <c r="AG100" s="71" t="str">
        <f t="shared" si="494"/>
        <v/>
      </c>
      <c r="AH100" s="71" t="str">
        <f t="shared" si="495"/>
        <v/>
      </c>
      <c r="AI100" s="70" t="str">
        <f t="shared" si="368"/>
        <v/>
      </c>
      <c r="AJ100" s="71" t="str">
        <f t="shared" si="496"/>
        <v/>
      </c>
      <c r="AK100" s="71" t="str">
        <f t="shared" si="497"/>
        <v/>
      </c>
      <c r="AL100" s="70" t="str">
        <f t="shared" si="498"/>
        <v/>
      </c>
      <c r="AM100" s="71" t="str">
        <f t="shared" si="499"/>
        <v/>
      </c>
      <c r="AN100" s="71" t="str">
        <f t="shared" si="500"/>
        <v/>
      </c>
      <c r="AO100" s="70" t="str">
        <f t="shared" si="501"/>
        <v/>
      </c>
      <c r="AP100" s="71" t="str">
        <f t="shared" si="502"/>
        <v/>
      </c>
      <c r="AQ100" s="71" t="str">
        <f t="shared" si="503"/>
        <v/>
      </c>
      <c r="AR100" s="70" t="str">
        <f t="shared" si="504"/>
        <v/>
      </c>
      <c r="AS100" s="71" t="str">
        <f t="shared" si="505"/>
        <v/>
      </c>
      <c r="AT100" s="71" t="str">
        <f t="shared" si="506"/>
        <v/>
      </c>
      <c r="AU100" s="69" t="str">
        <f t="shared" si="507"/>
        <v/>
      </c>
      <c r="AV100" s="131" t="str">
        <f t="shared" si="508"/>
        <v/>
      </c>
      <c r="AW100" s="69" t="str">
        <f t="shared" si="594"/>
        <v/>
      </c>
      <c r="AX100" s="132" t="str">
        <f t="shared" si="509"/>
        <v/>
      </c>
      <c r="AY100" s="132" t="str">
        <f t="shared" si="510"/>
        <v/>
      </c>
      <c r="AZ100" s="69" t="str">
        <f t="shared" si="602"/>
        <v/>
      </c>
      <c r="BA100" s="69" t="str">
        <f t="shared" si="603"/>
        <v/>
      </c>
      <c r="BB100" s="69" t="str">
        <f t="shared" si="511"/>
        <v/>
      </c>
      <c r="BC100" s="69" t="str">
        <f t="shared" si="604"/>
        <v/>
      </c>
      <c r="BD100" s="69" t="str">
        <f t="shared" si="605"/>
        <v/>
      </c>
      <c r="BE100" s="69" t="str">
        <f t="shared" si="512"/>
        <v/>
      </c>
      <c r="BF100" s="69" t="str">
        <f t="shared" si="606"/>
        <v/>
      </c>
      <c r="BG100" s="69" t="str">
        <f t="shared" si="607"/>
        <v/>
      </c>
      <c r="BH100" s="69" t="str">
        <f t="shared" si="513"/>
        <v/>
      </c>
      <c r="BI100" s="69" t="str">
        <f t="shared" si="608"/>
        <v/>
      </c>
      <c r="BJ100" s="69" t="str">
        <f t="shared" si="609"/>
        <v/>
      </c>
      <c r="BK100" s="69" t="str">
        <f t="shared" si="514"/>
        <v/>
      </c>
      <c r="BL100" s="69" t="str">
        <f t="shared" si="610"/>
        <v/>
      </c>
      <c r="BM100" s="69" t="str">
        <f t="shared" si="611"/>
        <v/>
      </c>
      <c r="BN100" s="69" t="str">
        <f t="shared" si="515"/>
        <v/>
      </c>
      <c r="BO100" s="69" t="str">
        <f t="shared" si="612"/>
        <v/>
      </c>
      <c r="BP100" s="69" t="str">
        <f t="shared" si="613"/>
        <v/>
      </c>
      <c r="BQ100" s="69" t="str">
        <f t="shared" si="516"/>
        <v/>
      </c>
      <c r="BR100" s="69" t="str">
        <f t="shared" si="614"/>
        <v/>
      </c>
      <c r="BS100" s="69" t="str">
        <f t="shared" si="615"/>
        <v/>
      </c>
      <c r="BT100" s="69" t="str">
        <f t="shared" si="517"/>
        <v/>
      </c>
      <c r="BU100" s="69" t="str">
        <f t="shared" si="616"/>
        <v/>
      </c>
      <c r="BV100" s="69" t="str">
        <f t="shared" si="617"/>
        <v/>
      </c>
      <c r="BW100" s="69" t="str">
        <f t="shared" si="518"/>
        <v/>
      </c>
      <c r="BX100" s="69" t="str">
        <f t="shared" si="618"/>
        <v/>
      </c>
      <c r="BY100" s="69" t="str">
        <f t="shared" si="619"/>
        <v/>
      </c>
      <c r="BZ100" s="69" t="str">
        <f t="shared" si="519"/>
        <v/>
      </c>
      <c r="CA100" s="69" t="str">
        <f t="shared" si="620"/>
        <v/>
      </c>
      <c r="CB100" s="69" t="str">
        <f t="shared" si="621"/>
        <v/>
      </c>
      <c r="CC100" s="69" t="str">
        <f t="shared" si="520"/>
        <v/>
      </c>
      <c r="CE100" s="69" t="str">
        <f t="shared" si="622"/>
        <v/>
      </c>
      <c r="CF100" s="69" t="str">
        <f t="shared" si="623"/>
        <v/>
      </c>
      <c r="CG100" s="69" t="str">
        <f t="shared" si="521"/>
        <v/>
      </c>
      <c r="CH100" s="69" t="str">
        <f t="shared" si="624"/>
        <v/>
      </c>
      <c r="CI100" s="69" t="str">
        <f t="shared" si="625"/>
        <v/>
      </c>
      <c r="CJ100" s="69" t="str">
        <f t="shared" si="522"/>
        <v/>
      </c>
      <c r="CK100" s="69" t="str">
        <f t="shared" si="626"/>
        <v/>
      </c>
      <c r="CL100" s="69" t="str">
        <f t="shared" si="627"/>
        <v/>
      </c>
      <c r="CM100" s="69" t="str">
        <f t="shared" si="523"/>
        <v/>
      </c>
      <c r="CN100" s="69" t="str">
        <f t="shared" si="628"/>
        <v/>
      </c>
      <c r="CO100" s="69" t="str">
        <f t="shared" si="629"/>
        <v/>
      </c>
      <c r="CP100" s="69" t="str">
        <f t="shared" si="524"/>
        <v/>
      </c>
      <c r="CQ100" s="69" t="str">
        <f t="shared" si="630"/>
        <v/>
      </c>
      <c r="CR100" s="69" t="str">
        <f t="shared" si="631"/>
        <v/>
      </c>
      <c r="CS100" s="69" t="str">
        <f t="shared" si="525"/>
        <v/>
      </c>
      <c r="CT100" s="69" t="str">
        <f t="shared" si="632"/>
        <v/>
      </c>
      <c r="CU100" s="69" t="str">
        <f t="shared" si="633"/>
        <v/>
      </c>
      <c r="CV100" s="69" t="str">
        <f t="shared" si="526"/>
        <v/>
      </c>
      <c r="CW100" s="69" t="str">
        <f t="shared" si="634"/>
        <v/>
      </c>
      <c r="CX100" s="69" t="str">
        <f t="shared" si="635"/>
        <v/>
      </c>
      <c r="CY100" s="69" t="str">
        <f t="shared" si="527"/>
        <v/>
      </c>
      <c r="CZ100" s="69" t="str">
        <f t="shared" si="636"/>
        <v/>
      </c>
      <c r="DA100" s="69" t="str">
        <f t="shared" si="637"/>
        <v/>
      </c>
      <c r="DB100" s="69" t="str">
        <f t="shared" si="528"/>
        <v/>
      </c>
      <c r="DC100" s="69" t="str">
        <f t="shared" si="638"/>
        <v/>
      </c>
      <c r="DD100" s="69" t="str">
        <f t="shared" si="639"/>
        <v/>
      </c>
      <c r="DE100" s="69" t="str">
        <f t="shared" si="529"/>
        <v/>
      </c>
      <c r="DG100" s="69" t="str">
        <f t="shared" si="640"/>
        <v/>
      </c>
      <c r="DH100" s="69" t="str">
        <f t="shared" si="641"/>
        <v/>
      </c>
      <c r="DI100" s="69" t="str">
        <f t="shared" si="530"/>
        <v/>
      </c>
      <c r="DJ100" s="69" t="str">
        <f t="shared" si="642"/>
        <v/>
      </c>
      <c r="DK100" s="69" t="str">
        <f t="shared" si="643"/>
        <v/>
      </c>
      <c r="DL100" s="69" t="str">
        <f t="shared" si="531"/>
        <v/>
      </c>
      <c r="DM100" s="69" t="str">
        <f t="shared" si="644"/>
        <v/>
      </c>
      <c r="DN100" s="69" t="str">
        <f t="shared" si="645"/>
        <v/>
      </c>
      <c r="DO100" s="69" t="str">
        <f t="shared" si="532"/>
        <v/>
      </c>
      <c r="DP100" s="69" t="str">
        <f t="shared" si="646"/>
        <v/>
      </c>
      <c r="DQ100" s="69" t="str">
        <f t="shared" si="647"/>
        <v/>
      </c>
      <c r="DR100" s="69" t="str">
        <f t="shared" si="533"/>
        <v/>
      </c>
      <c r="DS100" s="69" t="str">
        <f t="shared" si="648"/>
        <v/>
      </c>
      <c r="DT100" s="69" t="str">
        <f t="shared" si="649"/>
        <v/>
      </c>
      <c r="DU100" s="69" t="str">
        <f t="shared" si="534"/>
        <v/>
      </c>
      <c r="DV100" s="69" t="str">
        <f t="shared" si="650"/>
        <v/>
      </c>
      <c r="DW100" s="69" t="str">
        <f t="shared" si="651"/>
        <v/>
      </c>
      <c r="DX100" s="69" t="str">
        <f t="shared" si="535"/>
        <v/>
      </c>
      <c r="DY100" s="69" t="str">
        <f t="shared" si="652"/>
        <v/>
      </c>
      <c r="DZ100" s="69" t="str">
        <f t="shared" si="653"/>
        <v/>
      </c>
      <c r="EA100" s="69" t="str">
        <f t="shared" si="536"/>
        <v/>
      </c>
      <c r="EB100" s="69" t="str">
        <f t="shared" si="654"/>
        <v/>
      </c>
      <c r="EC100" s="69" t="str">
        <f t="shared" si="655"/>
        <v/>
      </c>
      <c r="ED100" s="69" t="str">
        <f t="shared" si="537"/>
        <v/>
      </c>
      <c r="EF100" s="69" t="str">
        <f t="shared" si="656"/>
        <v/>
      </c>
      <c r="EG100" s="69" t="str">
        <f t="shared" si="657"/>
        <v/>
      </c>
      <c r="EH100" s="69" t="str">
        <f t="shared" si="538"/>
        <v/>
      </c>
      <c r="EI100" s="69" t="str">
        <f t="shared" si="658"/>
        <v/>
      </c>
      <c r="EJ100" s="69" t="str">
        <f t="shared" si="659"/>
        <v/>
      </c>
      <c r="EK100" s="69" t="str">
        <f t="shared" si="539"/>
        <v/>
      </c>
      <c r="EL100" s="69" t="str">
        <f t="shared" si="660"/>
        <v/>
      </c>
      <c r="EM100" s="69" t="str">
        <f t="shared" si="661"/>
        <v/>
      </c>
      <c r="EN100" s="69" t="str">
        <f t="shared" si="540"/>
        <v/>
      </c>
      <c r="EO100" s="69" t="str">
        <f t="shared" si="662"/>
        <v/>
      </c>
      <c r="EP100" s="69" t="str">
        <f t="shared" si="663"/>
        <v/>
      </c>
      <c r="EQ100" s="69" t="str">
        <f t="shared" si="541"/>
        <v/>
      </c>
      <c r="ER100" s="69" t="str">
        <f t="shared" si="664"/>
        <v/>
      </c>
      <c r="ES100" s="69" t="str">
        <f t="shared" si="665"/>
        <v/>
      </c>
      <c r="ET100" s="69" t="str">
        <f t="shared" si="542"/>
        <v/>
      </c>
      <c r="EU100" s="69" t="str">
        <f t="shared" si="666"/>
        <v/>
      </c>
      <c r="EV100" s="69" t="str">
        <f t="shared" si="667"/>
        <v/>
      </c>
      <c r="EW100" s="69" t="str">
        <f t="shared" si="543"/>
        <v/>
      </c>
      <c r="EX100" s="69" t="str">
        <f t="shared" si="668"/>
        <v/>
      </c>
      <c r="EY100" s="69" t="str">
        <f t="shared" si="669"/>
        <v/>
      </c>
      <c r="EZ100" s="69" t="str">
        <f t="shared" si="544"/>
        <v/>
      </c>
      <c r="FB100" s="69" t="str">
        <f t="shared" si="670"/>
        <v/>
      </c>
      <c r="FC100" s="69" t="str">
        <f t="shared" si="671"/>
        <v/>
      </c>
      <c r="FD100" s="69" t="str">
        <f t="shared" si="545"/>
        <v/>
      </c>
      <c r="FE100" s="69" t="str">
        <f t="shared" si="672"/>
        <v/>
      </c>
      <c r="FF100" s="69" t="str">
        <f t="shared" si="673"/>
        <v/>
      </c>
      <c r="FG100" s="69" t="str">
        <f t="shared" si="546"/>
        <v/>
      </c>
      <c r="FH100" s="69" t="str">
        <f t="shared" si="674"/>
        <v/>
      </c>
      <c r="FI100" s="69" t="str">
        <f t="shared" si="675"/>
        <v/>
      </c>
      <c r="FJ100" s="69" t="str">
        <f t="shared" si="547"/>
        <v/>
      </c>
      <c r="FK100" s="69" t="str">
        <f t="shared" si="676"/>
        <v/>
      </c>
      <c r="FL100" s="69" t="str">
        <f t="shared" si="677"/>
        <v/>
      </c>
      <c r="FM100" s="69" t="str">
        <f t="shared" si="548"/>
        <v/>
      </c>
      <c r="FN100" s="69" t="str">
        <f t="shared" si="678"/>
        <v/>
      </c>
      <c r="FO100" s="69" t="str">
        <f t="shared" si="679"/>
        <v/>
      </c>
      <c r="FP100" s="69" t="str">
        <f t="shared" si="549"/>
        <v/>
      </c>
      <c r="FQ100" s="69" t="str">
        <f t="shared" si="680"/>
        <v/>
      </c>
      <c r="FR100" s="69" t="str">
        <f t="shared" si="681"/>
        <v/>
      </c>
      <c r="FS100" s="69" t="str">
        <f t="shared" si="550"/>
        <v/>
      </c>
      <c r="FU100" s="69" t="str">
        <f t="shared" si="449"/>
        <v/>
      </c>
      <c r="FV100" s="69" t="str">
        <f t="shared" si="450"/>
        <v/>
      </c>
      <c r="FW100" s="69" t="str">
        <f t="shared" si="551"/>
        <v/>
      </c>
      <c r="FX100" s="69" t="str">
        <f t="shared" si="451"/>
        <v/>
      </c>
      <c r="FY100" s="69" t="str">
        <f t="shared" si="452"/>
        <v/>
      </c>
      <c r="FZ100" s="69" t="str">
        <f t="shared" si="552"/>
        <v/>
      </c>
      <c r="GA100" s="69" t="str">
        <f t="shared" si="453"/>
        <v/>
      </c>
      <c r="GB100" s="69" t="str">
        <f t="shared" si="454"/>
        <v/>
      </c>
      <c r="GC100" s="69" t="str">
        <f t="shared" si="553"/>
        <v/>
      </c>
      <c r="GD100" s="69" t="str">
        <f t="shared" si="455"/>
        <v/>
      </c>
      <c r="GE100" s="69" t="str">
        <f t="shared" si="456"/>
        <v/>
      </c>
      <c r="GF100" s="69" t="str">
        <f t="shared" si="554"/>
        <v/>
      </c>
      <c r="GG100" s="69" t="str">
        <f t="shared" si="457"/>
        <v/>
      </c>
      <c r="GH100" s="69" t="str">
        <f t="shared" si="458"/>
        <v/>
      </c>
      <c r="GI100" s="69" t="str">
        <f t="shared" si="555"/>
        <v/>
      </c>
      <c r="GK100" s="69" t="str">
        <f t="shared" si="459"/>
        <v/>
      </c>
      <c r="GL100" s="69" t="str">
        <f t="shared" si="460"/>
        <v/>
      </c>
      <c r="GM100" s="69" t="str">
        <f t="shared" si="556"/>
        <v/>
      </c>
      <c r="GN100" s="69" t="str">
        <f t="shared" si="461"/>
        <v/>
      </c>
      <c r="GO100" s="69" t="str">
        <f t="shared" si="462"/>
        <v/>
      </c>
      <c r="GP100" s="69" t="str">
        <f t="shared" si="557"/>
        <v/>
      </c>
      <c r="GQ100" s="69" t="str">
        <f t="shared" si="463"/>
        <v/>
      </c>
      <c r="GR100" s="69" t="str">
        <f t="shared" si="464"/>
        <v/>
      </c>
      <c r="GS100" s="69" t="str">
        <f t="shared" si="558"/>
        <v/>
      </c>
      <c r="GT100" s="69" t="str">
        <f t="shared" si="465"/>
        <v/>
      </c>
      <c r="GU100" s="69" t="str">
        <f t="shared" si="466"/>
        <v/>
      </c>
      <c r="GV100" s="69" t="str">
        <f t="shared" si="559"/>
        <v/>
      </c>
      <c r="GX100" s="69" t="str">
        <f t="shared" si="560"/>
        <v/>
      </c>
      <c r="GY100" s="69" t="str">
        <f t="shared" si="561"/>
        <v/>
      </c>
      <c r="GZ100" s="69" t="str">
        <f t="shared" si="562"/>
        <v/>
      </c>
      <c r="HA100" s="69" t="str">
        <f t="shared" si="563"/>
        <v/>
      </c>
      <c r="HB100" s="69" t="str">
        <f t="shared" si="564"/>
        <v/>
      </c>
      <c r="HC100" s="69" t="str">
        <f t="shared" si="565"/>
        <v/>
      </c>
      <c r="HD100" s="69" t="str">
        <f t="shared" si="566"/>
        <v/>
      </c>
      <c r="HE100" s="69" t="str">
        <f t="shared" si="567"/>
        <v/>
      </c>
      <c r="HF100" s="69" t="str">
        <f t="shared" si="568"/>
        <v/>
      </c>
      <c r="HH100" s="69" t="str">
        <f t="shared" si="569"/>
        <v/>
      </c>
      <c r="HI100" s="69" t="str">
        <f t="shared" si="570"/>
        <v/>
      </c>
      <c r="HJ100" s="69" t="str">
        <f t="shared" si="571"/>
        <v/>
      </c>
      <c r="HK100" s="69" t="str">
        <f t="shared" si="572"/>
        <v/>
      </c>
      <c r="HL100" s="69" t="str">
        <f t="shared" si="573"/>
        <v/>
      </c>
      <c r="HM100" s="69" t="str">
        <f t="shared" si="574"/>
        <v/>
      </c>
      <c r="HO100" s="69" t="str">
        <f t="shared" si="575"/>
        <v/>
      </c>
      <c r="HP100" s="69" t="str">
        <f t="shared" si="576"/>
        <v/>
      </c>
      <c r="HQ100" s="69" t="str">
        <f t="shared" si="577"/>
        <v/>
      </c>
      <c r="HS100" s="69" t="str">
        <f t="shared" si="682"/>
        <v/>
      </c>
      <c r="HT100" s="69" t="str">
        <f t="shared" si="683"/>
        <v/>
      </c>
      <c r="HU100" s="69" t="str">
        <f t="shared" si="578"/>
        <v/>
      </c>
      <c r="HV100" s="69" t="str">
        <f t="shared" si="684"/>
        <v/>
      </c>
      <c r="HW100" s="69" t="str">
        <f t="shared" si="685"/>
        <v/>
      </c>
      <c r="HX100" s="69" t="str">
        <f t="shared" si="579"/>
        <v/>
      </c>
      <c r="HY100" s="69" t="str">
        <f t="shared" si="686"/>
        <v/>
      </c>
      <c r="HZ100" s="69" t="str">
        <f t="shared" si="687"/>
        <v/>
      </c>
      <c r="IA100" s="69" t="str">
        <f t="shared" si="580"/>
        <v/>
      </c>
      <c r="IB100" s="69" t="str">
        <f t="shared" si="688"/>
        <v/>
      </c>
      <c r="IC100" s="69" t="str">
        <f t="shared" si="689"/>
        <v/>
      </c>
      <c r="ID100" s="69" t="str">
        <f t="shared" si="581"/>
        <v/>
      </c>
      <c r="IE100" s="69" t="str">
        <f t="shared" si="690"/>
        <v/>
      </c>
      <c r="IF100" s="69" t="str">
        <f t="shared" si="691"/>
        <v/>
      </c>
      <c r="IG100" s="69" t="str">
        <f t="shared" si="582"/>
        <v/>
      </c>
      <c r="IH100" s="69" t="str">
        <f t="shared" si="477"/>
        <v/>
      </c>
      <c r="II100" s="69" t="str">
        <f t="shared" si="478"/>
        <v/>
      </c>
      <c r="IJ100" s="69" t="str">
        <f t="shared" si="583"/>
        <v/>
      </c>
      <c r="IK100" s="69" t="str">
        <f t="shared" si="479"/>
        <v/>
      </c>
      <c r="IL100" s="69" t="str">
        <f t="shared" si="480"/>
        <v/>
      </c>
      <c r="IM100" s="69" t="str">
        <f t="shared" si="584"/>
        <v/>
      </c>
      <c r="IN100" s="69" t="str">
        <f t="shared" si="585"/>
        <v/>
      </c>
      <c r="IO100" s="69" t="str">
        <f t="shared" si="586"/>
        <v/>
      </c>
      <c r="IP100" s="69" t="str">
        <f t="shared" si="587"/>
        <v/>
      </c>
      <c r="IQ100" s="69" t="str">
        <f t="shared" si="588"/>
        <v/>
      </c>
      <c r="IR100" s="69" t="str">
        <f t="shared" si="589"/>
        <v/>
      </c>
      <c r="IS100" s="69" t="str">
        <f t="shared" si="590"/>
        <v/>
      </c>
      <c r="IT100" s="69" t="str">
        <f t="shared" si="591"/>
        <v/>
      </c>
      <c r="IU100" s="69" t="str">
        <f t="shared" si="592"/>
        <v/>
      </c>
      <c r="IV100" s="69" t="str">
        <f t="shared" si="593"/>
        <v/>
      </c>
    </row>
    <row r="101" spans="1:256" x14ac:dyDescent="0.2">
      <c r="A101" s="57" t="s">
        <v>104</v>
      </c>
      <c r="B101" s="188"/>
      <c r="C101" s="182"/>
      <c r="D101" s="180"/>
      <c r="E101" s="181"/>
      <c r="F101" s="182"/>
      <c r="G101" s="180"/>
      <c r="H101" s="181"/>
      <c r="I101" s="181"/>
      <c r="J101" s="182"/>
      <c r="K101" s="186"/>
      <c r="L101" s="68">
        <f t="shared" si="595"/>
        <v>0</v>
      </c>
      <c r="M101" s="69" t="str">
        <f t="shared" si="596"/>
        <v/>
      </c>
      <c r="N101" s="69" t="str">
        <f t="shared" si="481"/>
        <v/>
      </c>
      <c r="O101" s="69" t="str">
        <f t="shared" si="482"/>
        <v/>
      </c>
      <c r="P101" s="69" t="str">
        <f t="shared" si="483"/>
        <v/>
      </c>
      <c r="Q101" s="70" t="str">
        <f t="shared" si="597"/>
        <v/>
      </c>
      <c r="R101" s="71" t="str">
        <f t="shared" si="484"/>
        <v/>
      </c>
      <c r="S101" s="71" t="str">
        <f t="shared" si="485"/>
        <v/>
      </c>
      <c r="T101" s="70" t="str">
        <f t="shared" si="598"/>
        <v/>
      </c>
      <c r="U101" s="71" t="str">
        <f t="shared" si="486"/>
        <v/>
      </c>
      <c r="V101" s="71" t="str">
        <f t="shared" si="487"/>
        <v/>
      </c>
      <c r="W101" s="70" t="str">
        <f t="shared" si="599"/>
        <v/>
      </c>
      <c r="X101" s="71" t="str">
        <f t="shared" si="488"/>
        <v/>
      </c>
      <c r="Y101" s="71" t="str">
        <f t="shared" si="489"/>
        <v/>
      </c>
      <c r="Z101" s="70" t="str">
        <f t="shared" si="600"/>
        <v/>
      </c>
      <c r="AA101" s="71" t="str">
        <f t="shared" si="490"/>
        <v/>
      </c>
      <c r="AB101" s="71" t="str">
        <f t="shared" si="491"/>
        <v/>
      </c>
      <c r="AC101" s="70" t="str">
        <f t="shared" si="601"/>
        <v/>
      </c>
      <c r="AD101" s="71" t="str">
        <f t="shared" si="492"/>
        <v/>
      </c>
      <c r="AE101" s="71" t="str">
        <f t="shared" si="493"/>
        <v/>
      </c>
      <c r="AF101" s="70" t="str">
        <f t="shared" si="367"/>
        <v/>
      </c>
      <c r="AG101" s="71" t="str">
        <f t="shared" si="494"/>
        <v/>
      </c>
      <c r="AH101" s="71" t="str">
        <f t="shared" si="495"/>
        <v/>
      </c>
      <c r="AI101" s="70" t="str">
        <f t="shared" si="368"/>
        <v/>
      </c>
      <c r="AJ101" s="71" t="str">
        <f t="shared" si="496"/>
        <v/>
      </c>
      <c r="AK101" s="71" t="str">
        <f t="shared" si="497"/>
        <v/>
      </c>
      <c r="AL101" s="70" t="str">
        <f t="shared" si="498"/>
        <v/>
      </c>
      <c r="AM101" s="71" t="str">
        <f t="shared" si="499"/>
        <v/>
      </c>
      <c r="AN101" s="71" t="str">
        <f t="shared" si="500"/>
        <v/>
      </c>
      <c r="AO101" s="70" t="str">
        <f t="shared" si="501"/>
        <v/>
      </c>
      <c r="AP101" s="71" t="str">
        <f t="shared" si="502"/>
        <v/>
      </c>
      <c r="AQ101" s="71" t="str">
        <f t="shared" si="503"/>
        <v/>
      </c>
      <c r="AR101" s="70" t="str">
        <f t="shared" si="504"/>
        <v/>
      </c>
      <c r="AS101" s="71" t="str">
        <f t="shared" si="505"/>
        <v/>
      </c>
      <c r="AT101" s="71" t="str">
        <f t="shared" si="506"/>
        <v/>
      </c>
      <c r="AU101" s="69" t="str">
        <f t="shared" si="507"/>
        <v/>
      </c>
      <c r="AV101" s="131" t="str">
        <f t="shared" si="508"/>
        <v/>
      </c>
      <c r="AW101" s="69" t="str">
        <f t="shared" si="594"/>
        <v/>
      </c>
      <c r="AX101" s="132" t="str">
        <f t="shared" si="509"/>
        <v/>
      </c>
      <c r="AY101" s="132" t="str">
        <f t="shared" si="510"/>
        <v/>
      </c>
      <c r="AZ101" s="69" t="str">
        <f t="shared" si="602"/>
        <v/>
      </c>
      <c r="BA101" s="69" t="str">
        <f t="shared" si="603"/>
        <v/>
      </c>
      <c r="BB101" s="69" t="str">
        <f t="shared" si="511"/>
        <v/>
      </c>
      <c r="BC101" s="69" t="str">
        <f t="shared" si="604"/>
        <v/>
      </c>
      <c r="BD101" s="69" t="str">
        <f t="shared" si="605"/>
        <v/>
      </c>
      <c r="BE101" s="69" t="str">
        <f t="shared" si="512"/>
        <v/>
      </c>
      <c r="BF101" s="69" t="str">
        <f t="shared" si="606"/>
        <v/>
      </c>
      <c r="BG101" s="69" t="str">
        <f t="shared" si="607"/>
        <v/>
      </c>
      <c r="BH101" s="69" t="str">
        <f t="shared" si="513"/>
        <v/>
      </c>
      <c r="BI101" s="69" t="str">
        <f t="shared" si="608"/>
        <v/>
      </c>
      <c r="BJ101" s="69" t="str">
        <f t="shared" si="609"/>
        <v/>
      </c>
      <c r="BK101" s="69" t="str">
        <f t="shared" si="514"/>
        <v/>
      </c>
      <c r="BL101" s="69" t="str">
        <f t="shared" si="610"/>
        <v/>
      </c>
      <c r="BM101" s="69" t="str">
        <f t="shared" si="611"/>
        <v/>
      </c>
      <c r="BN101" s="69" t="str">
        <f t="shared" si="515"/>
        <v/>
      </c>
      <c r="BO101" s="69" t="str">
        <f t="shared" si="612"/>
        <v/>
      </c>
      <c r="BP101" s="69" t="str">
        <f t="shared" si="613"/>
        <v/>
      </c>
      <c r="BQ101" s="69" t="str">
        <f t="shared" si="516"/>
        <v/>
      </c>
      <c r="BR101" s="69" t="str">
        <f t="shared" si="614"/>
        <v/>
      </c>
      <c r="BS101" s="69" t="str">
        <f t="shared" si="615"/>
        <v/>
      </c>
      <c r="BT101" s="69" t="str">
        <f t="shared" si="517"/>
        <v/>
      </c>
      <c r="BU101" s="69" t="str">
        <f t="shared" si="616"/>
        <v/>
      </c>
      <c r="BV101" s="69" t="str">
        <f t="shared" si="617"/>
        <v/>
      </c>
      <c r="BW101" s="69" t="str">
        <f t="shared" si="518"/>
        <v/>
      </c>
      <c r="BX101" s="69" t="str">
        <f t="shared" si="618"/>
        <v/>
      </c>
      <c r="BY101" s="69" t="str">
        <f t="shared" si="619"/>
        <v/>
      </c>
      <c r="BZ101" s="69" t="str">
        <f t="shared" si="519"/>
        <v/>
      </c>
      <c r="CA101" s="69" t="str">
        <f t="shared" si="620"/>
        <v/>
      </c>
      <c r="CB101" s="69" t="str">
        <f t="shared" si="621"/>
        <v/>
      </c>
      <c r="CC101" s="69" t="str">
        <f t="shared" si="520"/>
        <v/>
      </c>
      <c r="CE101" s="69" t="str">
        <f t="shared" si="622"/>
        <v/>
      </c>
      <c r="CF101" s="69" t="str">
        <f t="shared" si="623"/>
        <v/>
      </c>
      <c r="CG101" s="69" t="str">
        <f t="shared" si="521"/>
        <v/>
      </c>
      <c r="CH101" s="69" t="str">
        <f t="shared" si="624"/>
        <v/>
      </c>
      <c r="CI101" s="69" t="str">
        <f t="shared" si="625"/>
        <v/>
      </c>
      <c r="CJ101" s="69" t="str">
        <f t="shared" si="522"/>
        <v/>
      </c>
      <c r="CK101" s="69" t="str">
        <f t="shared" si="626"/>
        <v/>
      </c>
      <c r="CL101" s="69" t="str">
        <f t="shared" si="627"/>
        <v/>
      </c>
      <c r="CM101" s="69" t="str">
        <f t="shared" si="523"/>
        <v/>
      </c>
      <c r="CN101" s="69" t="str">
        <f t="shared" si="628"/>
        <v/>
      </c>
      <c r="CO101" s="69" t="str">
        <f t="shared" si="629"/>
        <v/>
      </c>
      <c r="CP101" s="69" t="str">
        <f t="shared" si="524"/>
        <v/>
      </c>
      <c r="CQ101" s="69" t="str">
        <f t="shared" si="630"/>
        <v/>
      </c>
      <c r="CR101" s="69" t="str">
        <f t="shared" si="631"/>
        <v/>
      </c>
      <c r="CS101" s="69" t="str">
        <f t="shared" si="525"/>
        <v/>
      </c>
      <c r="CT101" s="69" t="str">
        <f t="shared" si="632"/>
        <v/>
      </c>
      <c r="CU101" s="69" t="str">
        <f t="shared" si="633"/>
        <v/>
      </c>
      <c r="CV101" s="69" t="str">
        <f t="shared" si="526"/>
        <v/>
      </c>
      <c r="CW101" s="69" t="str">
        <f t="shared" si="634"/>
        <v/>
      </c>
      <c r="CX101" s="69" t="str">
        <f t="shared" si="635"/>
        <v/>
      </c>
      <c r="CY101" s="69" t="str">
        <f t="shared" si="527"/>
        <v/>
      </c>
      <c r="CZ101" s="69" t="str">
        <f t="shared" si="636"/>
        <v/>
      </c>
      <c r="DA101" s="69" t="str">
        <f t="shared" si="637"/>
        <v/>
      </c>
      <c r="DB101" s="69" t="str">
        <f t="shared" si="528"/>
        <v/>
      </c>
      <c r="DC101" s="69" t="str">
        <f t="shared" si="638"/>
        <v/>
      </c>
      <c r="DD101" s="69" t="str">
        <f t="shared" si="639"/>
        <v/>
      </c>
      <c r="DE101" s="69" t="str">
        <f t="shared" si="529"/>
        <v/>
      </c>
      <c r="DG101" s="69" t="str">
        <f t="shared" si="640"/>
        <v/>
      </c>
      <c r="DH101" s="69" t="str">
        <f t="shared" si="641"/>
        <v/>
      </c>
      <c r="DI101" s="69" t="str">
        <f t="shared" si="530"/>
        <v/>
      </c>
      <c r="DJ101" s="69" t="str">
        <f t="shared" si="642"/>
        <v/>
      </c>
      <c r="DK101" s="69" t="str">
        <f t="shared" si="643"/>
        <v/>
      </c>
      <c r="DL101" s="69" t="str">
        <f t="shared" si="531"/>
        <v/>
      </c>
      <c r="DM101" s="69" t="str">
        <f t="shared" si="644"/>
        <v/>
      </c>
      <c r="DN101" s="69" t="str">
        <f t="shared" si="645"/>
        <v/>
      </c>
      <c r="DO101" s="69" t="str">
        <f t="shared" si="532"/>
        <v/>
      </c>
      <c r="DP101" s="69" t="str">
        <f t="shared" si="646"/>
        <v/>
      </c>
      <c r="DQ101" s="69" t="str">
        <f t="shared" si="647"/>
        <v/>
      </c>
      <c r="DR101" s="69" t="str">
        <f t="shared" si="533"/>
        <v/>
      </c>
      <c r="DS101" s="69" t="str">
        <f t="shared" si="648"/>
        <v/>
      </c>
      <c r="DT101" s="69" t="str">
        <f t="shared" si="649"/>
        <v/>
      </c>
      <c r="DU101" s="69" t="str">
        <f t="shared" si="534"/>
        <v/>
      </c>
      <c r="DV101" s="69" t="str">
        <f t="shared" si="650"/>
        <v/>
      </c>
      <c r="DW101" s="69" t="str">
        <f t="shared" si="651"/>
        <v/>
      </c>
      <c r="DX101" s="69" t="str">
        <f t="shared" si="535"/>
        <v/>
      </c>
      <c r="DY101" s="69" t="str">
        <f t="shared" si="652"/>
        <v/>
      </c>
      <c r="DZ101" s="69" t="str">
        <f t="shared" si="653"/>
        <v/>
      </c>
      <c r="EA101" s="69" t="str">
        <f t="shared" si="536"/>
        <v/>
      </c>
      <c r="EB101" s="69" t="str">
        <f t="shared" si="654"/>
        <v/>
      </c>
      <c r="EC101" s="69" t="str">
        <f t="shared" si="655"/>
        <v/>
      </c>
      <c r="ED101" s="69" t="str">
        <f t="shared" si="537"/>
        <v/>
      </c>
      <c r="EF101" s="69" t="str">
        <f t="shared" si="656"/>
        <v/>
      </c>
      <c r="EG101" s="69" t="str">
        <f t="shared" si="657"/>
        <v/>
      </c>
      <c r="EH101" s="69" t="str">
        <f t="shared" si="538"/>
        <v/>
      </c>
      <c r="EI101" s="69" t="str">
        <f t="shared" si="658"/>
        <v/>
      </c>
      <c r="EJ101" s="69" t="str">
        <f t="shared" si="659"/>
        <v/>
      </c>
      <c r="EK101" s="69" t="str">
        <f t="shared" si="539"/>
        <v/>
      </c>
      <c r="EL101" s="69" t="str">
        <f t="shared" si="660"/>
        <v/>
      </c>
      <c r="EM101" s="69" t="str">
        <f t="shared" si="661"/>
        <v/>
      </c>
      <c r="EN101" s="69" t="str">
        <f t="shared" si="540"/>
        <v/>
      </c>
      <c r="EO101" s="69" t="str">
        <f t="shared" si="662"/>
        <v/>
      </c>
      <c r="EP101" s="69" t="str">
        <f t="shared" si="663"/>
        <v/>
      </c>
      <c r="EQ101" s="69" t="str">
        <f t="shared" si="541"/>
        <v/>
      </c>
      <c r="ER101" s="69" t="str">
        <f t="shared" si="664"/>
        <v/>
      </c>
      <c r="ES101" s="69" t="str">
        <f t="shared" si="665"/>
        <v/>
      </c>
      <c r="ET101" s="69" t="str">
        <f t="shared" si="542"/>
        <v/>
      </c>
      <c r="EU101" s="69" t="str">
        <f t="shared" si="666"/>
        <v/>
      </c>
      <c r="EV101" s="69" t="str">
        <f t="shared" si="667"/>
        <v/>
      </c>
      <c r="EW101" s="69" t="str">
        <f t="shared" si="543"/>
        <v/>
      </c>
      <c r="EX101" s="69" t="str">
        <f t="shared" si="668"/>
        <v/>
      </c>
      <c r="EY101" s="69" t="str">
        <f t="shared" si="669"/>
        <v/>
      </c>
      <c r="EZ101" s="69" t="str">
        <f t="shared" si="544"/>
        <v/>
      </c>
      <c r="FB101" s="69" t="str">
        <f t="shared" si="670"/>
        <v/>
      </c>
      <c r="FC101" s="69" t="str">
        <f t="shared" si="671"/>
        <v/>
      </c>
      <c r="FD101" s="69" t="str">
        <f t="shared" si="545"/>
        <v/>
      </c>
      <c r="FE101" s="69" t="str">
        <f t="shared" si="672"/>
        <v/>
      </c>
      <c r="FF101" s="69" t="str">
        <f t="shared" si="673"/>
        <v/>
      </c>
      <c r="FG101" s="69" t="str">
        <f t="shared" si="546"/>
        <v/>
      </c>
      <c r="FH101" s="69" t="str">
        <f t="shared" si="674"/>
        <v/>
      </c>
      <c r="FI101" s="69" t="str">
        <f t="shared" si="675"/>
        <v/>
      </c>
      <c r="FJ101" s="69" t="str">
        <f t="shared" si="547"/>
        <v/>
      </c>
      <c r="FK101" s="69" t="str">
        <f t="shared" si="676"/>
        <v/>
      </c>
      <c r="FL101" s="69" t="str">
        <f t="shared" si="677"/>
        <v/>
      </c>
      <c r="FM101" s="69" t="str">
        <f t="shared" si="548"/>
        <v/>
      </c>
      <c r="FN101" s="69" t="str">
        <f t="shared" si="678"/>
        <v/>
      </c>
      <c r="FO101" s="69" t="str">
        <f t="shared" si="679"/>
        <v/>
      </c>
      <c r="FP101" s="69" t="str">
        <f t="shared" si="549"/>
        <v/>
      </c>
      <c r="FQ101" s="69" t="str">
        <f t="shared" si="680"/>
        <v/>
      </c>
      <c r="FR101" s="69" t="str">
        <f t="shared" si="681"/>
        <v/>
      </c>
      <c r="FS101" s="69" t="str">
        <f t="shared" si="550"/>
        <v/>
      </c>
      <c r="FU101" s="69" t="str">
        <f t="shared" si="449"/>
        <v/>
      </c>
      <c r="FV101" s="69" t="str">
        <f t="shared" si="450"/>
        <v/>
      </c>
      <c r="FW101" s="69" t="str">
        <f t="shared" si="551"/>
        <v/>
      </c>
      <c r="FX101" s="69" t="str">
        <f t="shared" si="451"/>
        <v/>
      </c>
      <c r="FY101" s="69" t="str">
        <f t="shared" si="452"/>
        <v/>
      </c>
      <c r="FZ101" s="69" t="str">
        <f t="shared" si="552"/>
        <v/>
      </c>
      <c r="GA101" s="69" t="str">
        <f t="shared" si="453"/>
        <v/>
      </c>
      <c r="GB101" s="69" t="str">
        <f t="shared" si="454"/>
        <v/>
      </c>
      <c r="GC101" s="69" t="str">
        <f t="shared" si="553"/>
        <v/>
      </c>
      <c r="GD101" s="69" t="str">
        <f t="shared" si="455"/>
        <v/>
      </c>
      <c r="GE101" s="69" t="str">
        <f t="shared" si="456"/>
        <v/>
      </c>
      <c r="GF101" s="69" t="str">
        <f t="shared" si="554"/>
        <v/>
      </c>
      <c r="GG101" s="69" t="str">
        <f t="shared" si="457"/>
        <v/>
      </c>
      <c r="GH101" s="69" t="str">
        <f t="shared" si="458"/>
        <v/>
      </c>
      <c r="GI101" s="69" t="str">
        <f t="shared" si="555"/>
        <v/>
      </c>
      <c r="GK101" s="69" t="str">
        <f t="shared" si="459"/>
        <v/>
      </c>
      <c r="GL101" s="69" t="str">
        <f t="shared" si="460"/>
        <v/>
      </c>
      <c r="GM101" s="69" t="str">
        <f t="shared" si="556"/>
        <v/>
      </c>
      <c r="GN101" s="69" t="str">
        <f t="shared" si="461"/>
        <v/>
      </c>
      <c r="GO101" s="69" t="str">
        <f t="shared" si="462"/>
        <v/>
      </c>
      <c r="GP101" s="69" t="str">
        <f t="shared" si="557"/>
        <v/>
      </c>
      <c r="GQ101" s="69" t="str">
        <f t="shared" si="463"/>
        <v/>
      </c>
      <c r="GR101" s="69" t="str">
        <f t="shared" si="464"/>
        <v/>
      </c>
      <c r="GS101" s="69" t="str">
        <f t="shared" si="558"/>
        <v/>
      </c>
      <c r="GT101" s="69" t="str">
        <f t="shared" si="465"/>
        <v/>
      </c>
      <c r="GU101" s="69" t="str">
        <f t="shared" si="466"/>
        <v/>
      </c>
      <c r="GV101" s="69" t="str">
        <f t="shared" si="559"/>
        <v/>
      </c>
      <c r="GX101" s="69" t="str">
        <f t="shared" si="560"/>
        <v/>
      </c>
      <c r="GY101" s="69" t="str">
        <f t="shared" si="561"/>
        <v/>
      </c>
      <c r="GZ101" s="69" t="str">
        <f t="shared" si="562"/>
        <v/>
      </c>
      <c r="HA101" s="69" t="str">
        <f t="shared" si="563"/>
        <v/>
      </c>
      <c r="HB101" s="69" t="str">
        <f t="shared" si="564"/>
        <v/>
      </c>
      <c r="HC101" s="69" t="str">
        <f t="shared" si="565"/>
        <v/>
      </c>
      <c r="HD101" s="69" t="str">
        <f t="shared" si="566"/>
        <v/>
      </c>
      <c r="HE101" s="69" t="str">
        <f t="shared" si="567"/>
        <v/>
      </c>
      <c r="HF101" s="69" t="str">
        <f t="shared" si="568"/>
        <v/>
      </c>
      <c r="HH101" s="69" t="str">
        <f t="shared" si="569"/>
        <v/>
      </c>
      <c r="HI101" s="69" t="str">
        <f t="shared" si="570"/>
        <v/>
      </c>
      <c r="HJ101" s="69" t="str">
        <f t="shared" si="571"/>
        <v/>
      </c>
      <c r="HK101" s="69" t="str">
        <f t="shared" si="572"/>
        <v/>
      </c>
      <c r="HL101" s="69" t="str">
        <f t="shared" si="573"/>
        <v/>
      </c>
      <c r="HM101" s="69" t="str">
        <f t="shared" si="574"/>
        <v/>
      </c>
      <c r="HO101" s="69" t="str">
        <f t="shared" si="575"/>
        <v/>
      </c>
      <c r="HP101" s="69" t="str">
        <f t="shared" si="576"/>
        <v/>
      </c>
      <c r="HQ101" s="69" t="str">
        <f t="shared" si="577"/>
        <v/>
      </c>
      <c r="HS101" s="69" t="str">
        <f t="shared" si="682"/>
        <v/>
      </c>
      <c r="HT101" s="69" t="str">
        <f t="shared" si="683"/>
        <v/>
      </c>
      <c r="HU101" s="69" t="str">
        <f t="shared" si="578"/>
        <v/>
      </c>
      <c r="HV101" s="69" t="str">
        <f t="shared" si="684"/>
        <v/>
      </c>
      <c r="HW101" s="69" t="str">
        <f t="shared" si="685"/>
        <v/>
      </c>
      <c r="HX101" s="69" t="str">
        <f t="shared" si="579"/>
        <v/>
      </c>
      <c r="HY101" s="69" t="str">
        <f t="shared" si="686"/>
        <v/>
      </c>
      <c r="HZ101" s="69" t="str">
        <f t="shared" si="687"/>
        <v/>
      </c>
      <c r="IA101" s="69" t="str">
        <f t="shared" si="580"/>
        <v/>
      </c>
      <c r="IB101" s="69" t="str">
        <f t="shared" si="688"/>
        <v/>
      </c>
      <c r="IC101" s="69" t="str">
        <f t="shared" si="689"/>
        <v/>
      </c>
      <c r="ID101" s="69" t="str">
        <f t="shared" si="581"/>
        <v/>
      </c>
      <c r="IE101" s="69" t="str">
        <f t="shared" si="690"/>
        <v/>
      </c>
      <c r="IF101" s="69" t="str">
        <f t="shared" si="691"/>
        <v/>
      </c>
      <c r="IG101" s="69" t="str">
        <f t="shared" si="582"/>
        <v/>
      </c>
      <c r="IH101" s="69" t="str">
        <f t="shared" si="477"/>
        <v/>
      </c>
      <c r="II101" s="69" t="str">
        <f t="shared" si="478"/>
        <v/>
      </c>
      <c r="IJ101" s="69" t="str">
        <f t="shared" si="583"/>
        <v/>
      </c>
      <c r="IK101" s="69" t="str">
        <f t="shared" si="479"/>
        <v/>
      </c>
      <c r="IL101" s="69" t="str">
        <f t="shared" si="480"/>
        <v/>
      </c>
      <c r="IM101" s="69" t="str">
        <f t="shared" si="584"/>
        <v/>
      </c>
      <c r="IN101" s="69" t="str">
        <f t="shared" si="585"/>
        <v/>
      </c>
      <c r="IO101" s="69" t="str">
        <f t="shared" si="586"/>
        <v/>
      </c>
      <c r="IP101" s="69" t="str">
        <f t="shared" si="587"/>
        <v/>
      </c>
      <c r="IQ101" s="69" t="str">
        <f t="shared" si="588"/>
        <v/>
      </c>
      <c r="IR101" s="69" t="str">
        <f t="shared" si="589"/>
        <v/>
      </c>
      <c r="IS101" s="69" t="str">
        <f t="shared" si="590"/>
        <v/>
      </c>
      <c r="IT101" s="69" t="str">
        <f t="shared" si="591"/>
        <v/>
      </c>
      <c r="IU101" s="69" t="str">
        <f t="shared" si="592"/>
        <v/>
      </c>
      <c r="IV101" s="69" t="str">
        <f t="shared" si="593"/>
        <v/>
      </c>
    </row>
    <row r="102" spans="1:256" x14ac:dyDescent="0.2">
      <c r="A102" s="57" t="s">
        <v>105</v>
      </c>
      <c r="B102" s="188"/>
      <c r="C102" s="182"/>
      <c r="D102" s="180"/>
      <c r="E102" s="181"/>
      <c r="F102" s="182"/>
      <c r="G102" s="180"/>
      <c r="H102" s="181"/>
      <c r="I102" s="181"/>
      <c r="J102" s="182"/>
      <c r="K102" s="186"/>
      <c r="L102" s="68">
        <f t="shared" si="595"/>
        <v>0</v>
      </c>
      <c r="M102" s="69" t="str">
        <f t="shared" si="596"/>
        <v/>
      </c>
      <c r="N102" s="69" t="str">
        <f t="shared" si="481"/>
        <v/>
      </c>
      <c r="O102" s="69" t="str">
        <f t="shared" si="482"/>
        <v/>
      </c>
      <c r="P102" s="69" t="str">
        <f t="shared" si="483"/>
        <v/>
      </c>
      <c r="Q102" s="70" t="str">
        <f t="shared" si="597"/>
        <v/>
      </c>
      <c r="R102" s="71" t="str">
        <f t="shared" si="484"/>
        <v/>
      </c>
      <c r="S102" s="71" t="str">
        <f t="shared" si="485"/>
        <v/>
      </c>
      <c r="T102" s="70" t="str">
        <f t="shared" si="598"/>
        <v/>
      </c>
      <c r="U102" s="71" t="str">
        <f t="shared" si="486"/>
        <v/>
      </c>
      <c r="V102" s="71" t="str">
        <f t="shared" si="487"/>
        <v/>
      </c>
      <c r="W102" s="70" t="str">
        <f t="shared" si="599"/>
        <v/>
      </c>
      <c r="X102" s="71" t="str">
        <f t="shared" si="488"/>
        <v/>
      </c>
      <c r="Y102" s="71" t="str">
        <f t="shared" si="489"/>
        <v/>
      </c>
      <c r="Z102" s="70" t="str">
        <f t="shared" si="600"/>
        <v/>
      </c>
      <c r="AA102" s="71" t="str">
        <f t="shared" si="490"/>
        <v/>
      </c>
      <c r="AB102" s="71" t="str">
        <f t="shared" si="491"/>
        <v/>
      </c>
      <c r="AC102" s="70" t="str">
        <f t="shared" si="601"/>
        <v/>
      </c>
      <c r="AD102" s="71" t="str">
        <f t="shared" si="492"/>
        <v/>
      </c>
      <c r="AE102" s="71" t="str">
        <f t="shared" si="493"/>
        <v/>
      </c>
      <c r="AF102" s="70" t="str">
        <f t="shared" si="367"/>
        <v/>
      </c>
      <c r="AG102" s="71" t="str">
        <f t="shared" si="494"/>
        <v/>
      </c>
      <c r="AH102" s="71" t="str">
        <f t="shared" si="495"/>
        <v/>
      </c>
      <c r="AI102" s="70" t="str">
        <f t="shared" si="368"/>
        <v/>
      </c>
      <c r="AJ102" s="71" t="str">
        <f t="shared" si="496"/>
        <v/>
      </c>
      <c r="AK102" s="71" t="str">
        <f t="shared" si="497"/>
        <v/>
      </c>
      <c r="AL102" s="70" t="str">
        <f t="shared" si="498"/>
        <v/>
      </c>
      <c r="AM102" s="71" t="str">
        <f t="shared" si="499"/>
        <v/>
      </c>
      <c r="AN102" s="71" t="str">
        <f t="shared" si="500"/>
        <v/>
      </c>
      <c r="AO102" s="70" t="str">
        <f t="shared" si="501"/>
        <v/>
      </c>
      <c r="AP102" s="71" t="str">
        <f t="shared" si="502"/>
        <v/>
      </c>
      <c r="AQ102" s="71" t="str">
        <f t="shared" si="503"/>
        <v/>
      </c>
      <c r="AR102" s="70" t="str">
        <f t="shared" si="504"/>
        <v/>
      </c>
      <c r="AS102" s="71" t="str">
        <f t="shared" si="505"/>
        <v/>
      </c>
      <c r="AT102" s="71" t="str">
        <f t="shared" si="506"/>
        <v/>
      </c>
      <c r="AU102" s="69" t="str">
        <f t="shared" si="507"/>
        <v/>
      </c>
      <c r="AV102" s="131" t="str">
        <f t="shared" si="508"/>
        <v/>
      </c>
      <c r="AW102" s="69" t="str">
        <f t="shared" si="594"/>
        <v/>
      </c>
      <c r="AX102" s="132" t="str">
        <f t="shared" si="509"/>
        <v/>
      </c>
      <c r="AY102" s="132" t="str">
        <f t="shared" si="510"/>
        <v/>
      </c>
      <c r="AZ102" s="69" t="str">
        <f t="shared" si="602"/>
        <v/>
      </c>
      <c r="BA102" s="69" t="str">
        <f t="shared" si="603"/>
        <v/>
      </c>
      <c r="BB102" s="69" t="str">
        <f t="shared" si="511"/>
        <v/>
      </c>
      <c r="BC102" s="69" t="str">
        <f t="shared" si="604"/>
        <v/>
      </c>
      <c r="BD102" s="69" t="str">
        <f t="shared" si="605"/>
        <v/>
      </c>
      <c r="BE102" s="69" t="str">
        <f t="shared" si="512"/>
        <v/>
      </c>
      <c r="BF102" s="69" t="str">
        <f t="shared" si="606"/>
        <v/>
      </c>
      <c r="BG102" s="69" t="str">
        <f t="shared" si="607"/>
        <v/>
      </c>
      <c r="BH102" s="69" t="str">
        <f t="shared" si="513"/>
        <v/>
      </c>
      <c r="BI102" s="69" t="str">
        <f t="shared" si="608"/>
        <v/>
      </c>
      <c r="BJ102" s="69" t="str">
        <f t="shared" si="609"/>
        <v/>
      </c>
      <c r="BK102" s="69" t="str">
        <f t="shared" si="514"/>
        <v/>
      </c>
      <c r="BL102" s="69" t="str">
        <f t="shared" si="610"/>
        <v/>
      </c>
      <c r="BM102" s="69" t="str">
        <f t="shared" si="611"/>
        <v/>
      </c>
      <c r="BN102" s="69" t="str">
        <f t="shared" si="515"/>
        <v/>
      </c>
      <c r="BO102" s="69" t="str">
        <f t="shared" si="612"/>
        <v/>
      </c>
      <c r="BP102" s="69" t="str">
        <f t="shared" si="613"/>
        <v/>
      </c>
      <c r="BQ102" s="69" t="str">
        <f t="shared" si="516"/>
        <v/>
      </c>
      <c r="BR102" s="69" t="str">
        <f t="shared" si="614"/>
        <v/>
      </c>
      <c r="BS102" s="69" t="str">
        <f t="shared" si="615"/>
        <v/>
      </c>
      <c r="BT102" s="69" t="str">
        <f t="shared" si="517"/>
        <v/>
      </c>
      <c r="BU102" s="69" t="str">
        <f t="shared" si="616"/>
        <v/>
      </c>
      <c r="BV102" s="69" t="str">
        <f t="shared" si="617"/>
        <v/>
      </c>
      <c r="BW102" s="69" t="str">
        <f t="shared" si="518"/>
        <v/>
      </c>
      <c r="BX102" s="69" t="str">
        <f t="shared" si="618"/>
        <v/>
      </c>
      <c r="BY102" s="69" t="str">
        <f t="shared" si="619"/>
        <v/>
      </c>
      <c r="BZ102" s="69" t="str">
        <f t="shared" si="519"/>
        <v/>
      </c>
      <c r="CA102" s="69" t="str">
        <f t="shared" si="620"/>
        <v/>
      </c>
      <c r="CB102" s="69" t="str">
        <f t="shared" si="621"/>
        <v/>
      </c>
      <c r="CC102" s="69" t="str">
        <f t="shared" si="520"/>
        <v/>
      </c>
      <c r="CE102" s="69" t="str">
        <f t="shared" si="622"/>
        <v/>
      </c>
      <c r="CF102" s="69" t="str">
        <f t="shared" si="623"/>
        <v/>
      </c>
      <c r="CG102" s="69" t="str">
        <f t="shared" si="521"/>
        <v/>
      </c>
      <c r="CH102" s="69" t="str">
        <f t="shared" si="624"/>
        <v/>
      </c>
      <c r="CI102" s="69" t="str">
        <f t="shared" si="625"/>
        <v/>
      </c>
      <c r="CJ102" s="69" t="str">
        <f t="shared" si="522"/>
        <v/>
      </c>
      <c r="CK102" s="69" t="str">
        <f t="shared" si="626"/>
        <v/>
      </c>
      <c r="CL102" s="69" t="str">
        <f t="shared" si="627"/>
        <v/>
      </c>
      <c r="CM102" s="69" t="str">
        <f t="shared" si="523"/>
        <v/>
      </c>
      <c r="CN102" s="69" t="str">
        <f t="shared" si="628"/>
        <v/>
      </c>
      <c r="CO102" s="69" t="str">
        <f t="shared" si="629"/>
        <v/>
      </c>
      <c r="CP102" s="69" t="str">
        <f t="shared" si="524"/>
        <v/>
      </c>
      <c r="CQ102" s="69" t="str">
        <f t="shared" si="630"/>
        <v/>
      </c>
      <c r="CR102" s="69" t="str">
        <f t="shared" si="631"/>
        <v/>
      </c>
      <c r="CS102" s="69" t="str">
        <f t="shared" si="525"/>
        <v/>
      </c>
      <c r="CT102" s="69" t="str">
        <f t="shared" si="632"/>
        <v/>
      </c>
      <c r="CU102" s="69" t="str">
        <f t="shared" si="633"/>
        <v/>
      </c>
      <c r="CV102" s="69" t="str">
        <f t="shared" si="526"/>
        <v/>
      </c>
      <c r="CW102" s="69" t="str">
        <f t="shared" si="634"/>
        <v/>
      </c>
      <c r="CX102" s="69" t="str">
        <f t="shared" si="635"/>
        <v/>
      </c>
      <c r="CY102" s="69" t="str">
        <f t="shared" si="527"/>
        <v/>
      </c>
      <c r="CZ102" s="69" t="str">
        <f t="shared" si="636"/>
        <v/>
      </c>
      <c r="DA102" s="69" t="str">
        <f t="shared" si="637"/>
        <v/>
      </c>
      <c r="DB102" s="69" t="str">
        <f t="shared" si="528"/>
        <v/>
      </c>
      <c r="DC102" s="69" t="str">
        <f t="shared" si="638"/>
        <v/>
      </c>
      <c r="DD102" s="69" t="str">
        <f t="shared" si="639"/>
        <v/>
      </c>
      <c r="DE102" s="69" t="str">
        <f t="shared" si="529"/>
        <v/>
      </c>
      <c r="DG102" s="69" t="str">
        <f t="shared" si="640"/>
        <v/>
      </c>
      <c r="DH102" s="69" t="str">
        <f t="shared" si="641"/>
        <v/>
      </c>
      <c r="DI102" s="69" t="str">
        <f t="shared" si="530"/>
        <v/>
      </c>
      <c r="DJ102" s="69" t="str">
        <f t="shared" si="642"/>
        <v/>
      </c>
      <c r="DK102" s="69" t="str">
        <f t="shared" si="643"/>
        <v/>
      </c>
      <c r="DL102" s="69" t="str">
        <f t="shared" si="531"/>
        <v/>
      </c>
      <c r="DM102" s="69" t="str">
        <f t="shared" si="644"/>
        <v/>
      </c>
      <c r="DN102" s="69" t="str">
        <f t="shared" si="645"/>
        <v/>
      </c>
      <c r="DO102" s="69" t="str">
        <f t="shared" si="532"/>
        <v/>
      </c>
      <c r="DP102" s="69" t="str">
        <f t="shared" si="646"/>
        <v/>
      </c>
      <c r="DQ102" s="69" t="str">
        <f t="shared" si="647"/>
        <v/>
      </c>
      <c r="DR102" s="69" t="str">
        <f t="shared" si="533"/>
        <v/>
      </c>
      <c r="DS102" s="69" t="str">
        <f t="shared" si="648"/>
        <v/>
      </c>
      <c r="DT102" s="69" t="str">
        <f t="shared" si="649"/>
        <v/>
      </c>
      <c r="DU102" s="69" t="str">
        <f t="shared" si="534"/>
        <v/>
      </c>
      <c r="DV102" s="69" t="str">
        <f t="shared" si="650"/>
        <v/>
      </c>
      <c r="DW102" s="69" t="str">
        <f t="shared" si="651"/>
        <v/>
      </c>
      <c r="DX102" s="69" t="str">
        <f t="shared" si="535"/>
        <v/>
      </c>
      <c r="DY102" s="69" t="str">
        <f t="shared" si="652"/>
        <v/>
      </c>
      <c r="DZ102" s="69" t="str">
        <f t="shared" si="653"/>
        <v/>
      </c>
      <c r="EA102" s="69" t="str">
        <f t="shared" si="536"/>
        <v/>
      </c>
      <c r="EB102" s="69" t="str">
        <f t="shared" si="654"/>
        <v/>
      </c>
      <c r="EC102" s="69" t="str">
        <f t="shared" si="655"/>
        <v/>
      </c>
      <c r="ED102" s="69" t="str">
        <f t="shared" si="537"/>
        <v/>
      </c>
      <c r="EF102" s="69" t="str">
        <f t="shared" si="656"/>
        <v/>
      </c>
      <c r="EG102" s="69" t="str">
        <f t="shared" si="657"/>
        <v/>
      </c>
      <c r="EH102" s="69" t="str">
        <f t="shared" si="538"/>
        <v/>
      </c>
      <c r="EI102" s="69" t="str">
        <f t="shared" si="658"/>
        <v/>
      </c>
      <c r="EJ102" s="69" t="str">
        <f t="shared" si="659"/>
        <v/>
      </c>
      <c r="EK102" s="69" t="str">
        <f t="shared" si="539"/>
        <v/>
      </c>
      <c r="EL102" s="69" t="str">
        <f t="shared" si="660"/>
        <v/>
      </c>
      <c r="EM102" s="69" t="str">
        <f t="shared" si="661"/>
        <v/>
      </c>
      <c r="EN102" s="69" t="str">
        <f t="shared" si="540"/>
        <v/>
      </c>
      <c r="EO102" s="69" t="str">
        <f t="shared" si="662"/>
        <v/>
      </c>
      <c r="EP102" s="69" t="str">
        <f t="shared" si="663"/>
        <v/>
      </c>
      <c r="EQ102" s="69" t="str">
        <f t="shared" si="541"/>
        <v/>
      </c>
      <c r="ER102" s="69" t="str">
        <f t="shared" si="664"/>
        <v/>
      </c>
      <c r="ES102" s="69" t="str">
        <f t="shared" si="665"/>
        <v/>
      </c>
      <c r="ET102" s="69" t="str">
        <f t="shared" si="542"/>
        <v/>
      </c>
      <c r="EU102" s="69" t="str">
        <f t="shared" si="666"/>
        <v/>
      </c>
      <c r="EV102" s="69" t="str">
        <f t="shared" si="667"/>
        <v/>
      </c>
      <c r="EW102" s="69" t="str">
        <f t="shared" si="543"/>
        <v/>
      </c>
      <c r="EX102" s="69" t="str">
        <f t="shared" si="668"/>
        <v/>
      </c>
      <c r="EY102" s="69" t="str">
        <f t="shared" si="669"/>
        <v/>
      </c>
      <c r="EZ102" s="69" t="str">
        <f t="shared" si="544"/>
        <v/>
      </c>
      <c r="FB102" s="69" t="str">
        <f t="shared" si="670"/>
        <v/>
      </c>
      <c r="FC102" s="69" t="str">
        <f t="shared" si="671"/>
        <v/>
      </c>
      <c r="FD102" s="69" t="str">
        <f t="shared" si="545"/>
        <v/>
      </c>
      <c r="FE102" s="69" t="str">
        <f t="shared" si="672"/>
        <v/>
      </c>
      <c r="FF102" s="69" t="str">
        <f t="shared" si="673"/>
        <v/>
      </c>
      <c r="FG102" s="69" t="str">
        <f t="shared" si="546"/>
        <v/>
      </c>
      <c r="FH102" s="69" t="str">
        <f t="shared" si="674"/>
        <v/>
      </c>
      <c r="FI102" s="69" t="str">
        <f t="shared" si="675"/>
        <v/>
      </c>
      <c r="FJ102" s="69" t="str">
        <f t="shared" si="547"/>
        <v/>
      </c>
      <c r="FK102" s="69" t="str">
        <f t="shared" si="676"/>
        <v/>
      </c>
      <c r="FL102" s="69" t="str">
        <f t="shared" si="677"/>
        <v/>
      </c>
      <c r="FM102" s="69" t="str">
        <f t="shared" si="548"/>
        <v/>
      </c>
      <c r="FN102" s="69" t="str">
        <f t="shared" si="678"/>
        <v/>
      </c>
      <c r="FO102" s="69" t="str">
        <f t="shared" si="679"/>
        <v/>
      </c>
      <c r="FP102" s="69" t="str">
        <f t="shared" si="549"/>
        <v/>
      </c>
      <c r="FQ102" s="69" t="str">
        <f t="shared" si="680"/>
        <v/>
      </c>
      <c r="FR102" s="69" t="str">
        <f t="shared" si="681"/>
        <v/>
      </c>
      <c r="FS102" s="69" t="str">
        <f t="shared" si="550"/>
        <v/>
      </c>
      <c r="FU102" s="69" t="str">
        <f t="shared" si="449"/>
        <v/>
      </c>
      <c r="FV102" s="69" t="str">
        <f t="shared" si="450"/>
        <v/>
      </c>
      <c r="FW102" s="69" t="str">
        <f t="shared" si="551"/>
        <v/>
      </c>
      <c r="FX102" s="69" t="str">
        <f t="shared" si="451"/>
        <v/>
      </c>
      <c r="FY102" s="69" t="str">
        <f t="shared" si="452"/>
        <v/>
      </c>
      <c r="FZ102" s="69" t="str">
        <f t="shared" si="552"/>
        <v/>
      </c>
      <c r="GA102" s="69" t="str">
        <f t="shared" si="453"/>
        <v/>
      </c>
      <c r="GB102" s="69" t="str">
        <f t="shared" si="454"/>
        <v/>
      </c>
      <c r="GC102" s="69" t="str">
        <f t="shared" si="553"/>
        <v/>
      </c>
      <c r="GD102" s="69" t="str">
        <f t="shared" si="455"/>
        <v/>
      </c>
      <c r="GE102" s="69" t="str">
        <f t="shared" si="456"/>
        <v/>
      </c>
      <c r="GF102" s="69" t="str">
        <f t="shared" si="554"/>
        <v/>
      </c>
      <c r="GG102" s="69" t="str">
        <f t="shared" si="457"/>
        <v/>
      </c>
      <c r="GH102" s="69" t="str">
        <f t="shared" si="458"/>
        <v/>
      </c>
      <c r="GI102" s="69" t="str">
        <f t="shared" si="555"/>
        <v/>
      </c>
      <c r="GK102" s="69" t="str">
        <f t="shared" si="459"/>
        <v/>
      </c>
      <c r="GL102" s="69" t="str">
        <f t="shared" si="460"/>
        <v/>
      </c>
      <c r="GM102" s="69" t="str">
        <f t="shared" si="556"/>
        <v/>
      </c>
      <c r="GN102" s="69" t="str">
        <f t="shared" si="461"/>
        <v/>
      </c>
      <c r="GO102" s="69" t="str">
        <f t="shared" si="462"/>
        <v/>
      </c>
      <c r="GP102" s="69" t="str">
        <f t="shared" si="557"/>
        <v/>
      </c>
      <c r="GQ102" s="69" t="str">
        <f t="shared" si="463"/>
        <v/>
      </c>
      <c r="GR102" s="69" t="str">
        <f t="shared" si="464"/>
        <v/>
      </c>
      <c r="GS102" s="69" t="str">
        <f t="shared" si="558"/>
        <v/>
      </c>
      <c r="GT102" s="69" t="str">
        <f t="shared" si="465"/>
        <v/>
      </c>
      <c r="GU102" s="69" t="str">
        <f t="shared" si="466"/>
        <v/>
      </c>
      <c r="GV102" s="69" t="str">
        <f t="shared" si="559"/>
        <v/>
      </c>
      <c r="GX102" s="69" t="str">
        <f t="shared" si="560"/>
        <v/>
      </c>
      <c r="GY102" s="69" t="str">
        <f t="shared" si="561"/>
        <v/>
      </c>
      <c r="GZ102" s="69" t="str">
        <f t="shared" si="562"/>
        <v/>
      </c>
      <c r="HA102" s="69" t="str">
        <f t="shared" si="563"/>
        <v/>
      </c>
      <c r="HB102" s="69" t="str">
        <f t="shared" si="564"/>
        <v/>
      </c>
      <c r="HC102" s="69" t="str">
        <f t="shared" si="565"/>
        <v/>
      </c>
      <c r="HD102" s="69" t="str">
        <f t="shared" si="566"/>
        <v/>
      </c>
      <c r="HE102" s="69" t="str">
        <f t="shared" si="567"/>
        <v/>
      </c>
      <c r="HF102" s="69" t="str">
        <f t="shared" si="568"/>
        <v/>
      </c>
      <c r="HH102" s="69" t="str">
        <f t="shared" si="569"/>
        <v/>
      </c>
      <c r="HI102" s="69" t="str">
        <f t="shared" si="570"/>
        <v/>
      </c>
      <c r="HJ102" s="69" t="str">
        <f t="shared" si="571"/>
        <v/>
      </c>
      <c r="HK102" s="69" t="str">
        <f t="shared" si="572"/>
        <v/>
      </c>
      <c r="HL102" s="69" t="str">
        <f t="shared" si="573"/>
        <v/>
      </c>
      <c r="HM102" s="69" t="str">
        <f t="shared" si="574"/>
        <v/>
      </c>
      <c r="HO102" s="69" t="str">
        <f t="shared" si="575"/>
        <v/>
      </c>
      <c r="HP102" s="69" t="str">
        <f t="shared" si="576"/>
        <v/>
      </c>
      <c r="HQ102" s="69" t="str">
        <f t="shared" si="577"/>
        <v/>
      </c>
      <c r="HS102" s="69" t="str">
        <f t="shared" si="682"/>
        <v/>
      </c>
      <c r="HT102" s="69" t="str">
        <f t="shared" si="683"/>
        <v/>
      </c>
      <c r="HU102" s="69" t="str">
        <f t="shared" si="578"/>
        <v/>
      </c>
      <c r="HV102" s="69" t="str">
        <f t="shared" si="684"/>
        <v/>
      </c>
      <c r="HW102" s="69" t="str">
        <f t="shared" si="685"/>
        <v/>
      </c>
      <c r="HX102" s="69" t="str">
        <f t="shared" si="579"/>
        <v/>
      </c>
      <c r="HY102" s="69" t="str">
        <f t="shared" si="686"/>
        <v/>
      </c>
      <c r="HZ102" s="69" t="str">
        <f t="shared" si="687"/>
        <v/>
      </c>
      <c r="IA102" s="69" t="str">
        <f t="shared" si="580"/>
        <v/>
      </c>
      <c r="IB102" s="69" t="str">
        <f t="shared" si="688"/>
        <v/>
      </c>
      <c r="IC102" s="69" t="str">
        <f t="shared" si="689"/>
        <v/>
      </c>
      <c r="ID102" s="69" t="str">
        <f t="shared" si="581"/>
        <v/>
      </c>
      <c r="IE102" s="69" t="str">
        <f t="shared" si="690"/>
        <v/>
      </c>
      <c r="IF102" s="69" t="str">
        <f t="shared" si="691"/>
        <v/>
      </c>
      <c r="IG102" s="69" t="str">
        <f t="shared" si="582"/>
        <v/>
      </c>
      <c r="IH102" s="69" t="str">
        <f t="shared" si="477"/>
        <v/>
      </c>
      <c r="II102" s="69" t="str">
        <f t="shared" si="478"/>
        <v/>
      </c>
      <c r="IJ102" s="69" t="str">
        <f t="shared" si="583"/>
        <v/>
      </c>
      <c r="IK102" s="69" t="str">
        <f t="shared" si="479"/>
        <v/>
      </c>
      <c r="IL102" s="69" t="str">
        <f t="shared" si="480"/>
        <v/>
      </c>
      <c r="IM102" s="69" t="str">
        <f t="shared" si="584"/>
        <v/>
      </c>
      <c r="IN102" s="69" t="str">
        <f t="shared" si="585"/>
        <v/>
      </c>
      <c r="IO102" s="69" t="str">
        <f t="shared" si="586"/>
        <v/>
      </c>
      <c r="IP102" s="69" t="str">
        <f t="shared" si="587"/>
        <v/>
      </c>
      <c r="IQ102" s="69" t="str">
        <f t="shared" si="588"/>
        <v/>
      </c>
      <c r="IR102" s="69" t="str">
        <f t="shared" si="589"/>
        <v/>
      </c>
      <c r="IS102" s="69" t="str">
        <f t="shared" si="590"/>
        <v/>
      </c>
      <c r="IT102" s="69" t="str">
        <f t="shared" si="591"/>
        <v/>
      </c>
      <c r="IU102" s="69" t="str">
        <f t="shared" si="592"/>
        <v/>
      </c>
      <c r="IV102" s="69" t="str">
        <f t="shared" si="593"/>
        <v/>
      </c>
    </row>
    <row r="103" spans="1:256" x14ac:dyDescent="0.2">
      <c r="A103" s="57" t="s">
        <v>106</v>
      </c>
      <c r="B103" s="188"/>
      <c r="C103" s="182"/>
      <c r="D103" s="180"/>
      <c r="E103" s="181"/>
      <c r="F103" s="182"/>
      <c r="G103" s="180"/>
      <c r="H103" s="181"/>
      <c r="I103" s="181"/>
      <c r="J103" s="182"/>
      <c r="K103" s="186"/>
      <c r="L103" s="68">
        <f t="shared" si="595"/>
        <v>0</v>
      </c>
      <c r="M103" s="69" t="str">
        <f t="shared" si="596"/>
        <v/>
      </c>
      <c r="N103" s="69" t="str">
        <f t="shared" si="481"/>
        <v/>
      </c>
      <c r="O103" s="69" t="str">
        <f t="shared" si="482"/>
        <v/>
      </c>
      <c r="P103" s="69" t="str">
        <f t="shared" si="483"/>
        <v/>
      </c>
      <c r="Q103" s="70" t="str">
        <f t="shared" si="597"/>
        <v/>
      </c>
      <c r="R103" s="71" t="str">
        <f t="shared" si="484"/>
        <v/>
      </c>
      <c r="S103" s="71" t="str">
        <f t="shared" si="485"/>
        <v/>
      </c>
      <c r="T103" s="70" t="str">
        <f t="shared" si="598"/>
        <v/>
      </c>
      <c r="U103" s="71" t="str">
        <f t="shared" si="486"/>
        <v/>
      </c>
      <c r="V103" s="71" t="str">
        <f t="shared" si="487"/>
        <v/>
      </c>
      <c r="W103" s="70" t="str">
        <f t="shared" si="599"/>
        <v/>
      </c>
      <c r="X103" s="71" t="str">
        <f t="shared" si="488"/>
        <v/>
      </c>
      <c r="Y103" s="71" t="str">
        <f t="shared" si="489"/>
        <v/>
      </c>
      <c r="Z103" s="70" t="str">
        <f t="shared" si="600"/>
        <v/>
      </c>
      <c r="AA103" s="71" t="str">
        <f t="shared" si="490"/>
        <v/>
      </c>
      <c r="AB103" s="71" t="str">
        <f t="shared" si="491"/>
        <v/>
      </c>
      <c r="AC103" s="70" t="str">
        <f t="shared" si="601"/>
        <v/>
      </c>
      <c r="AD103" s="71" t="str">
        <f t="shared" si="492"/>
        <v/>
      </c>
      <c r="AE103" s="71" t="str">
        <f t="shared" si="493"/>
        <v/>
      </c>
      <c r="AF103" s="70" t="str">
        <f t="shared" si="367"/>
        <v/>
      </c>
      <c r="AG103" s="71" t="str">
        <f t="shared" si="494"/>
        <v/>
      </c>
      <c r="AH103" s="71" t="str">
        <f t="shared" si="495"/>
        <v/>
      </c>
      <c r="AI103" s="70" t="str">
        <f t="shared" si="368"/>
        <v/>
      </c>
      <c r="AJ103" s="71" t="str">
        <f t="shared" si="496"/>
        <v/>
      </c>
      <c r="AK103" s="71" t="str">
        <f t="shared" si="497"/>
        <v/>
      </c>
      <c r="AL103" s="70" t="str">
        <f t="shared" si="498"/>
        <v/>
      </c>
      <c r="AM103" s="71" t="str">
        <f t="shared" si="499"/>
        <v/>
      </c>
      <c r="AN103" s="71" t="str">
        <f t="shared" si="500"/>
        <v/>
      </c>
      <c r="AO103" s="70" t="str">
        <f t="shared" si="501"/>
        <v/>
      </c>
      <c r="AP103" s="71" t="str">
        <f t="shared" si="502"/>
        <v/>
      </c>
      <c r="AQ103" s="71" t="str">
        <f t="shared" si="503"/>
        <v/>
      </c>
      <c r="AR103" s="70" t="str">
        <f t="shared" si="504"/>
        <v/>
      </c>
      <c r="AS103" s="71" t="str">
        <f t="shared" si="505"/>
        <v/>
      </c>
      <c r="AT103" s="71" t="str">
        <f t="shared" si="506"/>
        <v/>
      </c>
      <c r="AU103" s="69" t="str">
        <f t="shared" si="507"/>
        <v/>
      </c>
      <c r="AV103" s="131" t="str">
        <f t="shared" si="508"/>
        <v/>
      </c>
      <c r="AW103" s="69" t="str">
        <f t="shared" si="594"/>
        <v/>
      </c>
      <c r="AX103" s="132" t="str">
        <f t="shared" si="509"/>
        <v/>
      </c>
      <c r="AY103" s="132" t="str">
        <f t="shared" si="510"/>
        <v/>
      </c>
      <c r="AZ103" s="69" t="str">
        <f t="shared" si="602"/>
        <v/>
      </c>
      <c r="BA103" s="69" t="str">
        <f t="shared" si="603"/>
        <v/>
      </c>
      <c r="BB103" s="69" t="str">
        <f t="shared" si="511"/>
        <v/>
      </c>
      <c r="BC103" s="69" t="str">
        <f t="shared" si="604"/>
        <v/>
      </c>
      <c r="BD103" s="69" t="str">
        <f t="shared" si="605"/>
        <v/>
      </c>
      <c r="BE103" s="69" t="str">
        <f t="shared" si="512"/>
        <v/>
      </c>
      <c r="BF103" s="69" t="str">
        <f t="shared" si="606"/>
        <v/>
      </c>
      <c r="BG103" s="69" t="str">
        <f t="shared" si="607"/>
        <v/>
      </c>
      <c r="BH103" s="69" t="str">
        <f t="shared" si="513"/>
        <v/>
      </c>
      <c r="BI103" s="69" t="str">
        <f t="shared" si="608"/>
        <v/>
      </c>
      <c r="BJ103" s="69" t="str">
        <f t="shared" si="609"/>
        <v/>
      </c>
      <c r="BK103" s="69" t="str">
        <f t="shared" si="514"/>
        <v/>
      </c>
      <c r="BL103" s="69" t="str">
        <f t="shared" si="610"/>
        <v/>
      </c>
      <c r="BM103" s="69" t="str">
        <f t="shared" si="611"/>
        <v/>
      </c>
      <c r="BN103" s="69" t="str">
        <f t="shared" si="515"/>
        <v/>
      </c>
      <c r="BO103" s="69" t="str">
        <f t="shared" si="612"/>
        <v/>
      </c>
      <c r="BP103" s="69" t="str">
        <f t="shared" si="613"/>
        <v/>
      </c>
      <c r="BQ103" s="69" t="str">
        <f t="shared" si="516"/>
        <v/>
      </c>
      <c r="BR103" s="69" t="str">
        <f t="shared" si="614"/>
        <v/>
      </c>
      <c r="BS103" s="69" t="str">
        <f t="shared" si="615"/>
        <v/>
      </c>
      <c r="BT103" s="69" t="str">
        <f t="shared" si="517"/>
        <v/>
      </c>
      <c r="BU103" s="69" t="str">
        <f t="shared" si="616"/>
        <v/>
      </c>
      <c r="BV103" s="69" t="str">
        <f t="shared" si="617"/>
        <v/>
      </c>
      <c r="BW103" s="69" t="str">
        <f t="shared" si="518"/>
        <v/>
      </c>
      <c r="BX103" s="69" t="str">
        <f t="shared" si="618"/>
        <v/>
      </c>
      <c r="BY103" s="69" t="str">
        <f t="shared" si="619"/>
        <v/>
      </c>
      <c r="BZ103" s="69" t="str">
        <f t="shared" si="519"/>
        <v/>
      </c>
      <c r="CA103" s="69" t="str">
        <f t="shared" si="620"/>
        <v/>
      </c>
      <c r="CB103" s="69" t="str">
        <f t="shared" si="621"/>
        <v/>
      </c>
      <c r="CC103" s="69" t="str">
        <f t="shared" si="520"/>
        <v/>
      </c>
      <c r="CE103" s="69" t="str">
        <f t="shared" si="622"/>
        <v/>
      </c>
      <c r="CF103" s="69" t="str">
        <f t="shared" si="623"/>
        <v/>
      </c>
      <c r="CG103" s="69" t="str">
        <f t="shared" si="521"/>
        <v/>
      </c>
      <c r="CH103" s="69" t="str">
        <f t="shared" si="624"/>
        <v/>
      </c>
      <c r="CI103" s="69" t="str">
        <f t="shared" si="625"/>
        <v/>
      </c>
      <c r="CJ103" s="69" t="str">
        <f t="shared" si="522"/>
        <v/>
      </c>
      <c r="CK103" s="69" t="str">
        <f t="shared" si="626"/>
        <v/>
      </c>
      <c r="CL103" s="69" t="str">
        <f t="shared" si="627"/>
        <v/>
      </c>
      <c r="CM103" s="69" t="str">
        <f t="shared" si="523"/>
        <v/>
      </c>
      <c r="CN103" s="69" t="str">
        <f t="shared" si="628"/>
        <v/>
      </c>
      <c r="CO103" s="69" t="str">
        <f t="shared" si="629"/>
        <v/>
      </c>
      <c r="CP103" s="69" t="str">
        <f t="shared" si="524"/>
        <v/>
      </c>
      <c r="CQ103" s="69" t="str">
        <f t="shared" si="630"/>
        <v/>
      </c>
      <c r="CR103" s="69" t="str">
        <f t="shared" si="631"/>
        <v/>
      </c>
      <c r="CS103" s="69" t="str">
        <f t="shared" si="525"/>
        <v/>
      </c>
      <c r="CT103" s="69" t="str">
        <f t="shared" si="632"/>
        <v/>
      </c>
      <c r="CU103" s="69" t="str">
        <f t="shared" si="633"/>
        <v/>
      </c>
      <c r="CV103" s="69" t="str">
        <f t="shared" si="526"/>
        <v/>
      </c>
      <c r="CW103" s="69" t="str">
        <f t="shared" si="634"/>
        <v/>
      </c>
      <c r="CX103" s="69" t="str">
        <f t="shared" si="635"/>
        <v/>
      </c>
      <c r="CY103" s="69" t="str">
        <f t="shared" si="527"/>
        <v/>
      </c>
      <c r="CZ103" s="69" t="str">
        <f t="shared" si="636"/>
        <v/>
      </c>
      <c r="DA103" s="69" t="str">
        <f t="shared" si="637"/>
        <v/>
      </c>
      <c r="DB103" s="69" t="str">
        <f t="shared" si="528"/>
        <v/>
      </c>
      <c r="DC103" s="69" t="str">
        <f t="shared" si="638"/>
        <v/>
      </c>
      <c r="DD103" s="69" t="str">
        <f t="shared" si="639"/>
        <v/>
      </c>
      <c r="DE103" s="69" t="str">
        <f t="shared" si="529"/>
        <v/>
      </c>
      <c r="DG103" s="69" t="str">
        <f t="shared" si="640"/>
        <v/>
      </c>
      <c r="DH103" s="69" t="str">
        <f t="shared" si="641"/>
        <v/>
      </c>
      <c r="DI103" s="69" t="str">
        <f t="shared" si="530"/>
        <v/>
      </c>
      <c r="DJ103" s="69" t="str">
        <f t="shared" si="642"/>
        <v/>
      </c>
      <c r="DK103" s="69" t="str">
        <f t="shared" si="643"/>
        <v/>
      </c>
      <c r="DL103" s="69" t="str">
        <f t="shared" si="531"/>
        <v/>
      </c>
      <c r="DM103" s="69" t="str">
        <f t="shared" si="644"/>
        <v/>
      </c>
      <c r="DN103" s="69" t="str">
        <f t="shared" si="645"/>
        <v/>
      </c>
      <c r="DO103" s="69" t="str">
        <f t="shared" si="532"/>
        <v/>
      </c>
      <c r="DP103" s="69" t="str">
        <f t="shared" si="646"/>
        <v/>
      </c>
      <c r="DQ103" s="69" t="str">
        <f t="shared" si="647"/>
        <v/>
      </c>
      <c r="DR103" s="69" t="str">
        <f t="shared" si="533"/>
        <v/>
      </c>
      <c r="DS103" s="69" t="str">
        <f t="shared" si="648"/>
        <v/>
      </c>
      <c r="DT103" s="69" t="str">
        <f t="shared" si="649"/>
        <v/>
      </c>
      <c r="DU103" s="69" t="str">
        <f t="shared" si="534"/>
        <v/>
      </c>
      <c r="DV103" s="69" t="str">
        <f t="shared" si="650"/>
        <v/>
      </c>
      <c r="DW103" s="69" t="str">
        <f t="shared" si="651"/>
        <v/>
      </c>
      <c r="DX103" s="69" t="str">
        <f t="shared" si="535"/>
        <v/>
      </c>
      <c r="DY103" s="69" t="str">
        <f t="shared" si="652"/>
        <v/>
      </c>
      <c r="DZ103" s="69" t="str">
        <f t="shared" si="653"/>
        <v/>
      </c>
      <c r="EA103" s="69" t="str">
        <f t="shared" si="536"/>
        <v/>
      </c>
      <c r="EB103" s="69" t="str">
        <f t="shared" si="654"/>
        <v/>
      </c>
      <c r="EC103" s="69" t="str">
        <f t="shared" si="655"/>
        <v/>
      </c>
      <c r="ED103" s="69" t="str">
        <f t="shared" si="537"/>
        <v/>
      </c>
      <c r="EF103" s="69" t="str">
        <f t="shared" si="656"/>
        <v/>
      </c>
      <c r="EG103" s="69" t="str">
        <f t="shared" si="657"/>
        <v/>
      </c>
      <c r="EH103" s="69" t="str">
        <f t="shared" si="538"/>
        <v/>
      </c>
      <c r="EI103" s="69" t="str">
        <f t="shared" si="658"/>
        <v/>
      </c>
      <c r="EJ103" s="69" t="str">
        <f t="shared" si="659"/>
        <v/>
      </c>
      <c r="EK103" s="69" t="str">
        <f t="shared" si="539"/>
        <v/>
      </c>
      <c r="EL103" s="69" t="str">
        <f t="shared" si="660"/>
        <v/>
      </c>
      <c r="EM103" s="69" t="str">
        <f t="shared" si="661"/>
        <v/>
      </c>
      <c r="EN103" s="69" t="str">
        <f t="shared" si="540"/>
        <v/>
      </c>
      <c r="EO103" s="69" t="str">
        <f t="shared" si="662"/>
        <v/>
      </c>
      <c r="EP103" s="69" t="str">
        <f t="shared" si="663"/>
        <v/>
      </c>
      <c r="EQ103" s="69" t="str">
        <f t="shared" si="541"/>
        <v/>
      </c>
      <c r="ER103" s="69" t="str">
        <f t="shared" si="664"/>
        <v/>
      </c>
      <c r="ES103" s="69" t="str">
        <f t="shared" si="665"/>
        <v/>
      </c>
      <c r="ET103" s="69" t="str">
        <f t="shared" si="542"/>
        <v/>
      </c>
      <c r="EU103" s="69" t="str">
        <f t="shared" si="666"/>
        <v/>
      </c>
      <c r="EV103" s="69" t="str">
        <f t="shared" si="667"/>
        <v/>
      </c>
      <c r="EW103" s="69" t="str">
        <f t="shared" si="543"/>
        <v/>
      </c>
      <c r="EX103" s="69" t="str">
        <f t="shared" si="668"/>
        <v/>
      </c>
      <c r="EY103" s="69" t="str">
        <f t="shared" si="669"/>
        <v/>
      </c>
      <c r="EZ103" s="69" t="str">
        <f t="shared" si="544"/>
        <v/>
      </c>
      <c r="FB103" s="69" t="str">
        <f t="shared" si="670"/>
        <v/>
      </c>
      <c r="FC103" s="69" t="str">
        <f t="shared" si="671"/>
        <v/>
      </c>
      <c r="FD103" s="69" t="str">
        <f t="shared" si="545"/>
        <v/>
      </c>
      <c r="FE103" s="69" t="str">
        <f t="shared" si="672"/>
        <v/>
      </c>
      <c r="FF103" s="69" t="str">
        <f t="shared" si="673"/>
        <v/>
      </c>
      <c r="FG103" s="69" t="str">
        <f t="shared" si="546"/>
        <v/>
      </c>
      <c r="FH103" s="69" t="str">
        <f t="shared" si="674"/>
        <v/>
      </c>
      <c r="FI103" s="69" t="str">
        <f t="shared" si="675"/>
        <v/>
      </c>
      <c r="FJ103" s="69" t="str">
        <f t="shared" si="547"/>
        <v/>
      </c>
      <c r="FK103" s="69" t="str">
        <f t="shared" si="676"/>
        <v/>
      </c>
      <c r="FL103" s="69" t="str">
        <f t="shared" si="677"/>
        <v/>
      </c>
      <c r="FM103" s="69" t="str">
        <f t="shared" si="548"/>
        <v/>
      </c>
      <c r="FN103" s="69" t="str">
        <f t="shared" si="678"/>
        <v/>
      </c>
      <c r="FO103" s="69" t="str">
        <f t="shared" si="679"/>
        <v/>
      </c>
      <c r="FP103" s="69" t="str">
        <f t="shared" si="549"/>
        <v/>
      </c>
      <c r="FQ103" s="69" t="str">
        <f t="shared" si="680"/>
        <v/>
      </c>
      <c r="FR103" s="69" t="str">
        <f t="shared" si="681"/>
        <v/>
      </c>
      <c r="FS103" s="69" t="str">
        <f t="shared" si="550"/>
        <v/>
      </c>
      <c r="FU103" s="69" t="str">
        <f t="shared" si="449"/>
        <v/>
      </c>
      <c r="FV103" s="69" t="str">
        <f t="shared" si="450"/>
        <v/>
      </c>
      <c r="FW103" s="69" t="str">
        <f t="shared" si="551"/>
        <v/>
      </c>
      <c r="FX103" s="69" t="str">
        <f t="shared" si="451"/>
        <v/>
      </c>
      <c r="FY103" s="69" t="str">
        <f t="shared" si="452"/>
        <v/>
      </c>
      <c r="FZ103" s="69" t="str">
        <f t="shared" si="552"/>
        <v/>
      </c>
      <c r="GA103" s="69" t="str">
        <f t="shared" si="453"/>
        <v/>
      </c>
      <c r="GB103" s="69" t="str">
        <f t="shared" si="454"/>
        <v/>
      </c>
      <c r="GC103" s="69" t="str">
        <f t="shared" si="553"/>
        <v/>
      </c>
      <c r="GD103" s="69" t="str">
        <f t="shared" si="455"/>
        <v/>
      </c>
      <c r="GE103" s="69" t="str">
        <f t="shared" si="456"/>
        <v/>
      </c>
      <c r="GF103" s="69" t="str">
        <f t="shared" si="554"/>
        <v/>
      </c>
      <c r="GG103" s="69" t="str">
        <f t="shared" si="457"/>
        <v/>
      </c>
      <c r="GH103" s="69" t="str">
        <f t="shared" si="458"/>
        <v/>
      </c>
      <c r="GI103" s="69" t="str">
        <f t="shared" si="555"/>
        <v/>
      </c>
      <c r="GK103" s="69" t="str">
        <f t="shared" si="459"/>
        <v/>
      </c>
      <c r="GL103" s="69" t="str">
        <f t="shared" si="460"/>
        <v/>
      </c>
      <c r="GM103" s="69" t="str">
        <f t="shared" si="556"/>
        <v/>
      </c>
      <c r="GN103" s="69" t="str">
        <f t="shared" si="461"/>
        <v/>
      </c>
      <c r="GO103" s="69" t="str">
        <f t="shared" si="462"/>
        <v/>
      </c>
      <c r="GP103" s="69" t="str">
        <f t="shared" si="557"/>
        <v/>
      </c>
      <c r="GQ103" s="69" t="str">
        <f t="shared" si="463"/>
        <v/>
      </c>
      <c r="GR103" s="69" t="str">
        <f t="shared" si="464"/>
        <v/>
      </c>
      <c r="GS103" s="69" t="str">
        <f t="shared" si="558"/>
        <v/>
      </c>
      <c r="GT103" s="69" t="str">
        <f t="shared" si="465"/>
        <v/>
      </c>
      <c r="GU103" s="69" t="str">
        <f t="shared" si="466"/>
        <v/>
      </c>
      <c r="GV103" s="69" t="str">
        <f t="shared" si="559"/>
        <v/>
      </c>
      <c r="GX103" s="69" t="str">
        <f t="shared" si="560"/>
        <v/>
      </c>
      <c r="GY103" s="69" t="str">
        <f t="shared" si="561"/>
        <v/>
      </c>
      <c r="GZ103" s="69" t="str">
        <f t="shared" si="562"/>
        <v/>
      </c>
      <c r="HA103" s="69" t="str">
        <f t="shared" si="563"/>
        <v/>
      </c>
      <c r="HB103" s="69" t="str">
        <f t="shared" si="564"/>
        <v/>
      </c>
      <c r="HC103" s="69" t="str">
        <f t="shared" si="565"/>
        <v/>
      </c>
      <c r="HD103" s="69" t="str">
        <f t="shared" si="566"/>
        <v/>
      </c>
      <c r="HE103" s="69" t="str">
        <f t="shared" si="567"/>
        <v/>
      </c>
      <c r="HF103" s="69" t="str">
        <f t="shared" si="568"/>
        <v/>
      </c>
      <c r="HH103" s="69" t="str">
        <f t="shared" si="569"/>
        <v/>
      </c>
      <c r="HI103" s="69" t="str">
        <f t="shared" si="570"/>
        <v/>
      </c>
      <c r="HJ103" s="69" t="str">
        <f t="shared" si="571"/>
        <v/>
      </c>
      <c r="HK103" s="69" t="str">
        <f t="shared" si="572"/>
        <v/>
      </c>
      <c r="HL103" s="69" t="str">
        <f t="shared" si="573"/>
        <v/>
      </c>
      <c r="HM103" s="69" t="str">
        <f t="shared" si="574"/>
        <v/>
      </c>
      <c r="HO103" s="69" t="str">
        <f t="shared" si="575"/>
        <v/>
      </c>
      <c r="HP103" s="69" t="str">
        <f t="shared" si="576"/>
        <v/>
      </c>
      <c r="HQ103" s="69" t="str">
        <f t="shared" si="577"/>
        <v/>
      </c>
      <c r="HS103" s="69" t="str">
        <f t="shared" si="682"/>
        <v/>
      </c>
      <c r="HT103" s="69" t="str">
        <f t="shared" si="683"/>
        <v/>
      </c>
      <c r="HU103" s="69" t="str">
        <f t="shared" si="578"/>
        <v/>
      </c>
      <c r="HV103" s="69" t="str">
        <f t="shared" si="684"/>
        <v/>
      </c>
      <c r="HW103" s="69" t="str">
        <f t="shared" si="685"/>
        <v/>
      </c>
      <c r="HX103" s="69" t="str">
        <f t="shared" si="579"/>
        <v/>
      </c>
      <c r="HY103" s="69" t="str">
        <f t="shared" si="686"/>
        <v/>
      </c>
      <c r="HZ103" s="69" t="str">
        <f t="shared" si="687"/>
        <v/>
      </c>
      <c r="IA103" s="69" t="str">
        <f t="shared" si="580"/>
        <v/>
      </c>
      <c r="IB103" s="69" t="str">
        <f t="shared" si="688"/>
        <v/>
      </c>
      <c r="IC103" s="69" t="str">
        <f t="shared" si="689"/>
        <v/>
      </c>
      <c r="ID103" s="69" t="str">
        <f t="shared" si="581"/>
        <v/>
      </c>
      <c r="IE103" s="69" t="str">
        <f t="shared" si="690"/>
        <v/>
      </c>
      <c r="IF103" s="69" t="str">
        <f t="shared" si="691"/>
        <v/>
      </c>
      <c r="IG103" s="69" t="str">
        <f t="shared" si="582"/>
        <v/>
      </c>
      <c r="IH103" s="69" t="str">
        <f t="shared" si="477"/>
        <v/>
      </c>
      <c r="II103" s="69" t="str">
        <f t="shared" si="478"/>
        <v/>
      </c>
      <c r="IJ103" s="69" t="str">
        <f t="shared" si="583"/>
        <v/>
      </c>
      <c r="IK103" s="69" t="str">
        <f t="shared" si="479"/>
        <v/>
      </c>
      <c r="IL103" s="69" t="str">
        <f t="shared" si="480"/>
        <v/>
      </c>
      <c r="IM103" s="69" t="str">
        <f t="shared" si="584"/>
        <v/>
      </c>
      <c r="IN103" s="69" t="str">
        <f t="shared" si="585"/>
        <v/>
      </c>
      <c r="IO103" s="69" t="str">
        <f t="shared" si="586"/>
        <v/>
      </c>
      <c r="IP103" s="69" t="str">
        <f t="shared" si="587"/>
        <v/>
      </c>
      <c r="IQ103" s="69" t="str">
        <f t="shared" si="588"/>
        <v/>
      </c>
      <c r="IR103" s="69" t="str">
        <f t="shared" si="589"/>
        <v/>
      </c>
      <c r="IS103" s="69" t="str">
        <f t="shared" si="590"/>
        <v/>
      </c>
      <c r="IT103" s="69" t="str">
        <f t="shared" si="591"/>
        <v/>
      </c>
      <c r="IU103" s="69" t="str">
        <f t="shared" si="592"/>
        <v/>
      </c>
      <c r="IV103" s="69" t="str">
        <f t="shared" si="593"/>
        <v/>
      </c>
    </row>
    <row r="104" spans="1:256" x14ac:dyDescent="0.2">
      <c r="A104" s="57" t="s">
        <v>107</v>
      </c>
      <c r="B104" s="188"/>
      <c r="C104" s="182"/>
      <c r="D104" s="180"/>
      <c r="E104" s="181"/>
      <c r="F104" s="182"/>
      <c r="G104" s="180"/>
      <c r="H104" s="181"/>
      <c r="I104" s="181"/>
      <c r="J104" s="182"/>
      <c r="K104" s="186"/>
      <c r="L104" s="68">
        <f t="shared" si="595"/>
        <v>0</v>
      </c>
      <c r="M104" s="69" t="str">
        <f t="shared" si="596"/>
        <v/>
      </c>
      <c r="N104" s="69" t="str">
        <f t="shared" si="481"/>
        <v/>
      </c>
      <c r="O104" s="69" t="str">
        <f t="shared" si="482"/>
        <v/>
      </c>
      <c r="P104" s="69" t="str">
        <f t="shared" si="483"/>
        <v/>
      </c>
      <c r="Q104" s="70" t="str">
        <f t="shared" si="597"/>
        <v/>
      </c>
      <c r="R104" s="71" t="str">
        <f t="shared" si="484"/>
        <v/>
      </c>
      <c r="S104" s="71" t="str">
        <f t="shared" si="485"/>
        <v/>
      </c>
      <c r="T104" s="70" t="str">
        <f t="shared" si="598"/>
        <v/>
      </c>
      <c r="U104" s="71" t="str">
        <f t="shared" si="486"/>
        <v/>
      </c>
      <c r="V104" s="71" t="str">
        <f t="shared" si="487"/>
        <v/>
      </c>
      <c r="W104" s="70" t="str">
        <f t="shared" si="599"/>
        <v/>
      </c>
      <c r="X104" s="71" t="str">
        <f t="shared" si="488"/>
        <v/>
      </c>
      <c r="Y104" s="71" t="str">
        <f t="shared" si="489"/>
        <v/>
      </c>
      <c r="Z104" s="70" t="str">
        <f t="shared" si="600"/>
        <v/>
      </c>
      <c r="AA104" s="71" t="str">
        <f t="shared" si="490"/>
        <v/>
      </c>
      <c r="AB104" s="71" t="str">
        <f t="shared" si="491"/>
        <v/>
      </c>
      <c r="AC104" s="70" t="str">
        <f t="shared" si="601"/>
        <v/>
      </c>
      <c r="AD104" s="71" t="str">
        <f t="shared" si="492"/>
        <v/>
      </c>
      <c r="AE104" s="71" t="str">
        <f t="shared" si="493"/>
        <v/>
      </c>
      <c r="AF104" s="70" t="str">
        <f t="shared" si="367"/>
        <v/>
      </c>
      <c r="AG104" s="71" t="str">
        <f t="shared" si="494"/>
        <v/>
      </c>
      <c r="AH104" s="71" t="str">
        <f t="shared" si="495"/>
        <v/>
      </c>
      <c r="AI104" s="70" t="str">
        <f t="shared" si="368"/>
        <v/>
      </c>
      <c r="AJ104" s="71" t="str">
        <f t="shared" si="496"/>
        <v/>
      </c>
      <c r="AK104" s="71" t="str">
        <f t="shared" si="497"/>
        <v/>
      </c>
      <c r="AL104" s="70" t="str">
        <f t="shared" si="498"/>
        <v/>
      </c>
      <c r="AM104" s="71" t="str">
        <f t="shared" si="499"/>
        <v/>
      </c>
      <c r="AN104" s="71" t="str">
        <f t="shared" si="500"/>
        <v/>
      </c>
      <c r="AO104" s="70" t="str">
        <f t="shared" si="501"/>
        <v/>
      </c>
      <c r="AP104" s="71" t="str">
        <f t="shared" si="502"/>
        <v/>
      </c>
      <c r="AQ104" s="71" t="str">
        <f t="shared" si="503"/>
        <v/>
      </c>
      <c r="AR104" s="70" t="str">
        <f t="shared" si="504"/>
        <v/>
      </c>
      <c r="AS104" s="71" t="str">
        <f t="shared" si="505"/>
        <v/>
      </c>
      <c r="AT104" s="71" t="str">
        <f t="shared" si="506"/>
        <v/>
      </c>
      <c r="AU104" s="69" t="str">
        <f t="shared" si="507"/>
        <v/>
      </c>
      <c r="AV104" s="131" t="str">
        <f t="shared" si="508"/>
        <v/>
      </c>
      <c r="AW104" s="69" t="str">
        <f t="shared" si="594"/>
        <v/>
      </c>
      <c r="AX104" s="132" t="str">
        <f t="shared" si="509"/>
        <v/>
      </c>
      <c r="AY104" s="132" t="str">
        <f t="shared" si="510"/>
        <v/>
      </c>
      <c r="AZ104" s="69" t="str">
        <f t="shared" si="602"/>
        <v/>
      </c>
      <c r="BA104" s="69" t="str">
        <f t="shared" si="603"/>
        <v/>
      </c>
      <c r="BB104" s="69" t="str">
        <f t="shared" si="511"/>
        <v/>
      </c>
      <c r="BC104" s="69" t="str">
        <f t="shared" si="604"/>
        <v/>
      </c>
      <c r="BD104" s="69" t="str">
        <f t="shared" si="605"/>
        <v/>
      </c>
      <c r="BE104" s="69" t="str">
        <f t="shared" si="512"/>
        <v/>
      </c>
      <c r="BF104" s="69" t="str">
        <f t="shared" si="606"/>
        <v/>
      </c>
      <c r="BG104" s="69" t="str">
        <f t="shared" si="607"/>
        <v/>
      </c>
      <c r="BH104" s="69" t="str">
        <f t="shared" si="513"/>
        <v/>
      </c>
      <c r="BI104" s="69" t="str">
        <f t="shared" si="608"/>
        <v/>
      </c>
      <c r="BJ104" s="69" t="str">
        <f t="shared" si="609"/>
        <v/>
      </c>
      <c r="BK104" s="69" t="str">
        <f t="shared" si="514"/>
        <v/>
      </c>
      <c r="BL104" s="69" t="str">
        <f t="shared" si="610"/>
        <v/>
      </c>
      <c r="BM104" s="69" t="str">
        <f t="shared" si="611"/>
        <v/>
      </c>
      <c r="BN104" s="69" t="str">
        <f t="shared" si="515"/>
        <v/>
      </c>
      <c r="BO104" s="69" t="str">
        <f t="shared" si="612"/>
        <v/>
      </c>
      <c r="BP104" s="69" t="str">
        <f t="shared" si="613"/>
        <v/>
      </c>
      <c r="BQ104" s="69" t="str">
        <f t="shared" si="516"/>
        <v/>
      </c>
      <c r="BR104" s="69" t="str">
        <f t="shared" si="614"/>
        <v/>
      </c>
      <c r="BS104" s="69" t="str">
        <f t="shared" si="615"/>
        <v/>
      </c>
      <c r="BT104" s="69" t="str">
        <f t="shared" si="517"/>
        <v/>
      </c>
      <c r="BU104" s="69" t="str">
        <f t="shared" si="616"/>
        <v/>
      </c>
      <c r="BV104" s="69" t="str">
        <f t="shared" si="617"/>
        <v/>
      </c>
      <c r="BW104" s="69" t="str">
        <f t="shared" si="518"/>
        <v/>
      </c>
      <c r="BX104" s="69" t="str">
        <f t="shared" si="618"/>
        <v/>
      </c>
      <c r="BY104" s="69" t="str">
        <f t="shared" si="619"/>
        <v/>
      </c>
      <c r="BZ104" s="69" t="str">
        <f t="shared" si="519"/>
        <v/>
      </c>
      <c r="CA104" s="69" t="str">
        <f t="shared" si="620"/>
        <v/>
      </c>
      <c r="CB104" s="69" t="str">
        <f t="shared" si="621"/>
        <v/>
      </c>
      <c r="CC104" s="69" t="str">
        <f t="shared" si="520"/>
        <v/>
      </c>
      <c r="CE104" s="69" t="str">
        <f t="shared" si="622"/>
        <v/>
      </c>
      <c r="CF104" s="69" t="str">
        <f t="shared" si="623"/>
        <v/>
      </c>
      <c r="CG104" s="69" t="str">
        <f t="shared" si="521"/>
        <v/>
      </c>
      <c r="CH104" s="69" t="str">
        <f t="shared" si="624"/>
        <v/>
      </c>
      <c r="CI104" s="69" t="str">
        <f t="shared" si="625"/>
        <v/>
      </c>
      <c r="CJ104" s="69" t="str">
        <f t="shared" si="522"/>
        <v/>
      </c>
      <c r="CK104" s="69" t="str">
        <f t="shared" si="626"/>
        <v/>
      </c>
      <c r="CL104" s="69" t="str">
        <f t="shared" si="627"/>
        <v/>
      </c>
      <c r="CM104" s="69" t="str">
        <f t="shared" si="523"/>
        <v/>
      </c>
      <c r="CN104" s="69" t="str">
        <f t="shared" si="628"/>
        <v/>
      </c>
      <c r="CO104" s="69" t="str">
        <f t="shared" si="629"/>
        <v/>
      </c>
      <c r="CP104" s="69" t="str">
        <f t="shared" si="524"/>
        <v/>
      </c>
      <c r="CQ104" s="69" t="str">
        <f t="shared" si="630"/>
        <v/>
      </c>
      <c r="CR104" s="69" t="str">
        <f t="shared" si="631"/>
        <v/>
      </c>
      <c r="CS104" s="69" t="str">
        <f t="shared" si="525"/>
        <v/>
      </c>
      <c r="CT104" s="69" t="str">
        <f t="shared" si="632"/>
        <v/>
      </c>
      <c r="CU104" s="69" t="str">
        <f t="shared" si="633"/>
        <v/>
      </c>
      <c r="CV104" s="69" t="str">
        <f t="shared" si="526"/>
        <v/>
      </c>
      <c r="CW104" s="69" t="str">
        <f t="shared" si="634"/>
        <v/>
      </c>
      <c r="CX104" s="69" t="str">
        <f t="shared" si="635"/>
        <v/>
      </c>
      <c r="CY104" s="69" t="str">
        <f t="shared" si="527"/>
        <v/>
      </c>
      <c r="CZ104" s="69" t="str">
        <f t="shared" si="636"/>
        <v/>
      </c>
      <c r="DA104" s="69" t="str">
        <f t="shared" si="637"/>
        <v/>
      </c>
      <c r="DB104" s="69" t="str">
        <f t="shared" si="528"/>
        <v/>
      </c>
      <c r="DC104" s="69" t="str">
        <f t="shared" si="638"/>
        <v/>
      </c>
      <c r="DD104" s="69" t="str">
        <f t="shared" si="639"/>
        <v/>
      </c>
      <c r="DE104" s="69" t="str">
        <f t="shared" si="529"/>
        <v/>
      </c>
      <c r="DG104" s="69" t="str">
        <f t="shared" si="640"/>
        <v/>
      </c>
      <c r="DH104" s="69" t="str">
        <f t="shared" si="641"/>
        <v/>
      </c>
      <c r="DI104" s="69" t="str">
        <f t="shared" si="530"/>
        <v/>
      </c>
      <c r="DJ104" s="69" t="str">
        <f t="shared" si="642"/>
        <v/>
      </c>
      <c r="DK104" s="69" t="str">
        <f t="shared" si="643"/>
        <v/>
      </c>
      <c r="DL104" s="69" t="str">
        <f t="shared" si="531"/>
        <v/>
      </c>
      <c r="DM104" s="69" t="str">
        <f t="shared" si="644"/>
        <v/>
      </c>
      <c r="DN104" s="69" t="str">
        <f t="shared" si="645"/>
        <v/>
      </c>
      <c r="DO104" s="69" t="str">
        <f t="shared" si="532"/>
        <v/>
      </c>
      <c r="DP104" s="69" t="str">
        <f t="shared" si="646"/>
        <v/>
      </c>
      <c r="DQ104" s="69" t="str">
        <f t="shared" si="647"/>
        <v/>
      </c>
      <c r="DR104" s="69" t="str">
        <f t="shared" si="533"/>
        <v/>
      </c>
      <c r="DS104" s="69" t="str">
        <f t="shared" si="648"/>
        <v/>
      </c>
      <c r="DT104" s="69" t="str">
        <f t="shared" si="649"/>
        <v/>
      </c>
      <c r="DU104" s="69" t="str">
        <f t="shared" si="534"/>
        <v/>
      </c>
      <c r="DV104" s="69" t="str">
        <f t="shared" si="650"/>
        <v/>
      </c>
      <c r="DW104" s="69" t="str">
        <f t="shared" si="651"/>
        <v/>
      </c>
      <c r="DX104" s="69" t="str">
        <f t="shared" si="535"/>
        <v/>
      </c>
      <c r="DY104" s="69" t="str">
        <f t="shared" si="652"/>
        <v/>
      </c>
      <c r="DZ104" s="69" t="str">
        <f t="shared" si="653"/>
        <v/>
      </c>
      <c r="EA104" s="69" t="str">
        <f t="shared" si="536"/>
        <v/>
      </c>
      <c r="EB104" s="69" t="str">
        <f t="shared" si="654"/>
        <v/>
      </c>
      <c r="EC104" s="69" t="str">
        <f t="shared" si="655"/>
        <v/>
      </c>
      <c r="ED104" s="69" t="str">
        <f t="shared" si="537"/>
        <v/>
      </c>
      <c r="EF104" s="69" t="str">
        <f t="shared" si="656"/>
        <v/>
      </c>
      <c r="EG104" s="69" t="str">
        <f t="shared" si="657"/>
        <v/>
      </c>
      <c r="EH104" s="69" t="str">
        <f t="shared" si="538"/>
        <v/>
      </c>
      <c r="EI104" s="69" t="str">
        <f t="shared" si="658"/>
        <v/>
      </c>
      <c r="EJ104" s="69" t="str">
        <f t="shared" si="659"/>
        <v/>
      </c>
      <c r="EK104" s="69" t="str">
        <f t="shared" si="539"/>
        <v/>
      </c>
      <c r="EL104" s="69" t="str">
        <f t="shared" si="660"/>
        <v/>
      </c>
      <c r="EM104" s="69" t="str">
        <f t="shared" si="661"/>
        <v/>
      </c>
      <c r="EN104" s="69" t="str">
        <f t="shared" si="540"/>
        <v/>
      </c>
      <c r="EO104" s="69" t="str">
        <f t="shared" si="662"/>
        <v/>
      </c>
      <c r="EP104" s="69" t="str">
        <f t="shared" si="663"/>
        <v/>
      </c>
      <c r="EQ104" s="69" t="str">
        <f t="shared" si="541"/>
        <v/>
      </c>
      <c r="ER104" s="69" t="str">
        <f t="shared" si="664"/>
        <v/>
      </c>
      <c r="ES104" s="69" t="str">
        <f t="shared" si="665"/>
        <v/>
      </c>
      <c r="ET104" s="69" t="str">
        <f t="shared" si="542"/>
        <v/>
      </c>
      <c r="EU104" s="69" t="str">
        <f t="shared" si="666"/>
        <v/>
      </c>
      <c r="EV104" s="69" t="str">
        <f t="shared" si="667"/>
        <v/>
      </c>
      <c r="EW104" s="69" t="str">
        <f t="shared" si="543"/>
        <v/>
      </c>
      <c r="EX104" s="69" t="str">
        <f t="shared" si="668"/>
        <v/>
      </c>
      <c r="EY104" s="69" t="str">
        <f t="shared" si="669"/>
        <v/>
      </c>
      <c r="EZ104" s="69" t="str">
        <f t="shared" si="544"/>
        <v/>
      </c>
      <c r="FB104" s="69" t="str">
        <f t="shared" si="670"/>
        <v/>
      </c>
      <c r="FC104" s="69" t="str">
        <f t="shared" si="671"/>
        <v/>
      </c>
      <c r="FD104" s="69" t="str">
        <f t="shared" si="545"/>
        <v/>
      </c>
      <c r="FE104" s="69" t="str">
        <f t="shared" si="672"/>
        <v/>
      </c>
      <c r="FF104" s="69" t="str">
        <f t="shared" si="673"/>
        <v/>
      </c>
      <c r="FG104" s="69" t="str">
        <f t="shared" si="546"/>
        <v/>
      </c>
      <c r="FH104" s="69" t="str">
        <f t="shared" si="674"/>
        <v/>
      </c>
      <c r="FI104" s="69" t="str">
        <f t="shared" si="675"/>
        <v/>
      </c>
      <c r="FJ104" s="69" t="str">
        <f t="shared" si="547"/>
        <v/>
      </c>
      <c r="FK104" s="69" t="str">
        <f t="shared" si="676"/>
        <v/>
      </c>
      <c r="FL104" s="69" t="str">
        <f t="shared" si="677"/>
        <v/>
      </c>
      <c r="FM104" s="69" t="str">
        <f t="shared" si="548"/>
        <v/>
      </c>
      <c r="FN104" s="69" t="str">
        <f t="shared" si="678"/>
        <v/>
      </c>
      <c r="FO104" s="69" t="str">
        <f t="shared" si="679"/>
        <v/>
      </c>
      <c r="FP104" s="69" t="str">
        <f t="shared" si="549"/>
        <v/>
      </c>
      <c r="FQ104" s="69" t="str">
        <f t="shared" si="680"/>
        <v/>
      </c>
      <c r="FR104" s="69" t="str">
        <f t="shared" si="681"/>
        <v/>
      </c>
      <c r="FS104" s="69" t="str">
        <f t="shared" si="550"/>
        <v/>
      </c>
      <c r="FU104" s="69" t="str">
        <f t="shared" si="449"/>
        <v/>
      </c>
      <c r="FV104" s="69" t="str">
        <f t="shared" si="450"/>
        <v/>
      </c>
      <c r="FW104" s="69" t="str">
        <f t="shared" si="551"/>
        <v/>
      </c>
      <c r="FX104" s="69" t="str">
        <f t="shared" si="451"/>
        <v/>
      </c>
      <c r="FY104" s="69" t="str">
        <f t="shared" si="452"/>
        <v/>
      </c>
      <c r="FZ104" s="69" t="str">
        <f t="shared" si="552"/>
        <v/>
      </c>
      <c r="GA104" s="69" t="str">
        <f t="shared" si="453"/>
        <v/>
      </c>
      <c r="GB104" s="69" t="str">
        <f t="shared" si="454"/>
        <v/>
      </c>
      <c r="GC104" s="69" t="str">
        <f t="shared" si="553"/>
        <v/>
      </c>
      <c r="GD104" s="69" t="str">
        <f t="shared" si="455"/>
        <v/>
      </c>
      <c r="GE104" s="69" t="str">
        <f t="shared" si="456"/>
        <v/>
      </c>
      <c r="GF104" s="69" t="str">
        <f t="shared" si="554"/>
        <v/>
      </c>
      <c r="GG104" s="69" t="str">
        <f t="shared" si="457"/>
        <v/>
      </c>
      <c r="GH104" s="69" t="str">
        <f t="shared" si="458"/>
        <v/>
      </c>
      <c r="GI104" s="69" t="str">
        <f t="shared" si="555"/>
        <v/>
      </c>
      <c r="GK104" s="69" t="str">
        <f t="shared" si="459"/>
        <v/>
      </c>
      <c r="GL104" s="69" t="str">
        <f t="shared" si="460"/>
        <v/>
      </c>
      <c r="GM104" s="69" t="str">
        <f t="shared" si="556"/>
        <v/>
      </c>
      <c r="GN104" s="69" t="str">
        <f t="shared" si="461"/>
        <v/>
      </c>
      <c r="GO104" s="69" t="str">
        <f t="shared" si="462"/>
        <v/>
      </c>
      <c r="GP104" s="69" t="str">
        <f t="shared" si="557"/>
        <v/>
      </c>
      <c r="GQ104" s="69" t="str">
        <f t="shared" si="463"/>
        <v/>
      </c>
      <c r="GR104" s="69" t="str">
        <f t="shared" si="464"/>
        <v/>
      </c>
      <c r="GS104" s="69" t="str">
        <f t="shared" si="558"/>
        <v/>
      </c>
      <c r="GT104" s="69" t="str">
        <f t="shared" si="465"/>
        <v/>
      </c>
      <c r="GU104" s="69" t="str">
        <f t="shared" si="466"/>
        <v/>
      </c>
      <c r="GV104" s="69" t="str">
        <f t="shared" si="559"/>
        <v/>
      </c>
      <c r="GX104" s="69" t="str">
        <f t="shared" si="560"/>
        <v/>
      </c>
      <c r="GY104" s="69" t="str">
        <f t="shared" si="561"/>
        <v/>
      </c>
      <c r="GZ104" s="69" t="str">
        <f t="shared" si="562"/>
        <v/>
      </c>
      <c r="HA104" s="69" t="str">
        <f t="shared" si="563"/>
        <v/>
      </c>
      <c r="HB104" s="69" t="str">
        <f t="shared" si="564"/>
        <v/>
      </c>
      <c r="HC104" s="69" t="str">
        <f t="shared" si="565"/>
        <v/>
      </c>
      <c r="HD104" s="69" t="str">
        <f t="shared" si="566"/>
        <v/>
      </c>
      <c r="HE104" s="69" t="str">
        <f t="shared" si="567"/>
        <v/>
      </c>
      <c r="HF104" s="69" t="str">
        <f t="shared" si="568"/>
        <v/>
      </c>
      <c r="HH104" s="69" t="str">
        <f t="shared" si="569"/>
        <v/>
      </c>
      <c r="HI104" s="69" t="str">
        <f t="shared" si="570"/>
        <v/>
      </c>
      <c r="HJ104" s="69" t="str">
        <f t="shared" si="571"/>
        <v/>
      </c>
      <c r="HK104" s="69" t="str">
        <f t="shared" si="572"/>
        <v/>
      </c>
      <c r="HL104" s="69" t="str">
        <f t="shared" si="573"/>
        <v/>
      </c>
      <c r="HM104" s="69" t="str">
        <f t="shared" si="574"/>
        <v/>
      </c>
      <c r="HO104" s="69" t="str">
        <f t="shared" si="575"/>
        <v/>
      </c>
      <c r="HP104" s="69" t="str">
        <f t="shared" si="576"/>
        <v/>
      </c>
      <c r="HQ104" s="69" t="str">
        <f t="shared" si="577"/>
        <v/>
      </c>
      <c r="HS104" s="69" t="str">
        <f t="shared" si="682"/>
        <v/>
      </c>
      <c r="HT104" s="69" t="str">
        <f t="shared" si="683"/>
        <v/>
      </c>
      <c r="HU104" s="69" t="str">
        <f t="shared" si="578"/>
        <v/>
      </c>
      <c r="HV104" s="69" t="str">
        <f t="shared" si="684"/>
        <v/>
      </c>
      <c r="HW104" s="69" t="str">
        <f t="shared" si="685"/>
        <v/>
      </c>
      <c r="HX104" s="69" t="str">
        <f t="shared" si="579"/>
        <v/>
      </c>
      <c r="HY104" s="69" t="str">
        <f t="shared" si="686"/>
        <v/>
      </c>
      <c r="HZ104" s="69" t="str">
        <f t="shared" si="687"/>
        <v/>
      </c>
      <c r="IA104" s="69" t="str">
        <f t="shared" si="580"/>
        <v/>
      </c>
      <c r="IB104" s="69" t="str">
        <f t="shared" si="688"/>
        <v/>
      </c>
      <c r="IC104" s="69" t="str">
        <f t="shared" si="689"/>
        <v/>
      </c>
      <c r="ID104" s="69" t="str">
        <f t="shared" si="581"/>
        <v/>
      </c>
      <c r="IE104" s="69" t="str">
        <f t="shared" si="690"/>
        <v/>
      </c>
      <c r="IF104" s="69" t="str">
        <f t="shared" si="691"/>
        <v/>
      </c>
      <c r="IG104" s="69" t="str">
        <f t="shared" si="582"/>
        <v/>
      </c>
      <c r="IH104" s="69" t="str">
        <f t="shared" si="477"/>
        <v/>
      </c>
      <c r="II104" s="69" t="str">
        <f t="shared" si="478"/>
        <v/>
      </c>
      <c r="IJ104" s="69" t="str">
        <f t="shared" si="583"/>
        <v/>
      </c>
      <c r="IK104" s="69" t="str">
        <f t="shared" si="479"/>
        <v/>
      </c>
      <c r="IL104" s="69" t="str">
        <f t="shared" si="480"/>
        <v/>
      </c>
      <c r="IM104" s="69" t="str">
        <f t="shared" si="584"/>
        <v/>
      </c>
      <c r="IN104" s="69" t="str">
        <f t="shared" si="585"/>
        <v/>
      </c>
      <c r="IO104" s="69" t="str">
        <f t="shared" si="586"/>
        <v/>
      </c>
      <c r="IP104" s="69" t="str">
        <f t="shared" si="587"/>
        <v/>
      </c>
      <c r="IQ104" s="69" t="str">
        <f t="shared" si="588"/>
        <v/>
      </c>
      <c r="IR104" s="69" t="str">
        <f t="shared" si="589"/>
        <v/>
      </c>
      <c r="IS104" s="69" t="str">
        <f t="shared" si="590"/>
        <v/>
      </c>
      <c r="IT104" s="69" t="str">
        <f t="shared" si="591"/>
        <v/>
      </c>
      <c r="IU104" s="69" t="str">
        <f t="shared" si="592"/>
        <v/>
      </c>
      <c r="IV104" s="69" t="str">
        <f t="shared" si="593"/>
        <v/>
      </c>
    </row>
    <row r="105" spans="1:256" x14ac:dyDescent="0.2">
      <c r="A105" s="57" t="s">
        <v>108</v>
      </c>
      <c r="B105" s="189"/>
      <c r="C105" s="190"/>
      <c r="D105" s="191"/>
      <c r="E105" s="192"/>
      <c r="F105" s="190"/>
      <c r="G105" s="191"/>
      <c r="H105" s="192"/>
      <c r="I105" s="192"/>
      <c r="J105" s="190"/>
      <c r="K105" s="193"/>
      <c r="L105" s="68">
        <f t="shared" si="595"/>
        <v>0</v>
      </c>
      <c r="M105" s="69" t="str">
        <f t="shared" si="596"/>
        <v/>
      </c>
      <c r="N105" s="69" t="str">
        <f t="shared" si="481"/>
        <v/>
      </c>
      <c r="O105" s="69" t="str">
        <f t="shared" si="482"/>
        <v/>
      </c>
      <c r="P105" s="69" t="str">
        <f t="shared" si="483"/>
        <v/>
      </c>
      <c r="Q105" s="70" t="str">
        <f t="shared" si="597"/>
        <v/>
      </c>
      <c r="R105" s="71" t="str">
        <f t="shared" si="484"/>
        <v/>
      </c>
      <c r="S105" s="71" t="str">
        <f t="shared" si="485"/>
        <v/>
      </c>
      <c r="T105" s="70" t="str">
        <f t="shared" si="598"/>
        <v/>
      </c>
      <c r="U105" s="71" t="str">
        <f t="shared" si="486"/>
        <v/>
      </c>
      <c r="V105" s="71" t="str">
        <f t="shared" si="487"/>
        <v/>
      </c>
      <c r="W105" s="70" t="str">
        <f t="shared" si="599"/>
        <v/>
      </c>
      <c r="X105" s="71" t="str">
        <f t="shared" si="488"/>
        <v/>
      </c>
      <c r="Y105" s="71" t="str">
        <f t="shared" si="489"/>
        <v/>
      </c>
      <c r="Z105" s="70" t="str">
        <f t="shared" si="600"/>
        <v/>
      </c>
      <c r="AA105" s="71" t="str">
        <f t="shared" si="490"/>
        <v/>
      </c>
      <c r="AB105" s="71" t="str">
        <f t="shared" si="491"/>
        <v/>
      </c>
      <c r="AC105" s="70" t="str">
        <f t="shared" si="601"/>
        <v/>
      </c>
      <c r="AD105" s="71" t="str">
        <f t="shared" si="492"/>
        <v/>
      </c>
      <c r="AE105" s="71" t="str">
        <f t="shared" si="493"/>
        <v/>
      </c>
      <c r="AF105" s="70" t="str">
        <f t="shared" si="367"/>
        <v/>
      </c>
      <c r="AG105" s="71" t="str">
        <f t="shared" si="494"/>
        <v/>
      </c>
      <c r="AH105" s="71" t="str">
        <f t="shared" si="495"/>
        <v/>
      </c>
      <c r="AI105" s="70" t="str">
        <f t="shared" si="368"/>
        <v/>
      </c>
      <c r="AJ105" s="71" t="str">
        <f t="shared" si="496"/>
        <v/>
      </c>
      <c r="AK105" s="71" t="str">
        <f t="shared" si="497"/>
        <v/>
      </c>
      <c r="AL105" s="70" t="str">
        <f t="shared" si="498"/>
        <v/>
      </c>
      <c r="AM105" s="71" t="str">
        <f t="shared" si="499"/>
        <v/>
      </c>
      <c r="AN105" s="71" t="str">
        <f t="shared" si="500"/>
        <v/>
      </c>
      <c r="AO105" s="70" t="str">
        <f t="shared" si="501"/>
        <v/>
      </c>
      <c r="AP105" s="71" t="str">
        <f t="shared" si="502"/>
        <v/>
      </c>
      <c r="AQ105" s="71" t="str">
        <f t="shared" si="503"/>
        <v/>
      </c>
      <c r="AR105" s="70" t="str">
        <f t="shared" si="504"/>
        <v/>
      </c>
      <c r="AS105" s="71" t="str">
        <f t="shared" si="505"/>
        <v/>
      </c>
      <c r="AT105" s="71" t="str">
        <f t="shared" si="506"/>
        <v/>
      </c>
      <c r="AU105" s="69" t="str">
        <f t="shared" si="507"/>
        <v/>
      </c>
      <c r="AV105" s="131" t="str">
        <f t="shared" si="508"/>
        <v/>
      </c>
      <c r="AW105" s="69" t="str">
        <f t="shared" si="594"/>
        <v/>
      </c>
      <c r="AX105" s="132" t="str">
        <f t="shared" si="509"/>
        <v/>
      </c>
      <c r="AY105" s="132" t="str">
        <f t="shared" si="510"/>
        <v/>
      </c>
      <c r="AZ105" s="69" t="str">
        <f t="shared" si="602"/>
        <v/>
      </c>
      <c r="BA105" s="69" t="str">
        <f t="shared" si="603"/>
        <v/>
      </c>
      <c r="BB105" s="69" t="str">
        <f t="shared" si="511"/>
        <v/>
      </c>
      <c r="BC105" s="69" t="str">
        <f t="shared" si="604"/>
        <v/>
      </c>
      <c r="BD105" s="69" t="str">
        <f t="shared" si="605"/>
        <v/>
      </c>
      <c r="BE105" s="69" t="str">
        <f t="shared" si="512"/>
        <v/>
      </c>
      <c r="BF105" s="69" t="str">
        <f t="shared" si="606"/>
        <v/>
      </c>
      <c r="BG105" s="69" t="str">
        <f t="shared" si="607"/>
        <v/>
      </c>
      <c r="BH105" s="69" t="str">
        <f t="shared" si="513"/>
        <v/>
      </c>
      <c r="BI105" s="69" t="str">
        <f t="shared" si="608"/>
        <v/>
      </c>
      <c r="BJ105" s="69" t="str">
        <f t="shared" si="609"/>
        <v/>
      </c>
      <c r="BK105" s="69" t="str">
        <f t="shared" si="514"/>
        <v/>
      </c>
      <c r="BL105" s="69" t="str">
        <f t="shared" si="610"/>
        <v/>
      </c>
      <c r="BM105" s="69" t="str">
        <f t="shared" si="611"/>
        <v/>
      </c>
      <c r="BN105" s="69" t="str">
        <f t="shared" si="515"/>
        <v/>
      </c>
      <c r="BO105" s="69" t="str">
        <f t="shared" si="612"/>
        <v/>
      </c>
      <c r="BP105" s="69" t="str">
        <f t="shared" si="613"/>
        <v/>
      </c>
      <c r="BQ105" s="69" t="str">
        <f t="shared" si="516"/>
        <v/>
      </c>
      <c r="BR105" s="69" t="str">
        <f t="shared" si="614"/>
        <v/>
      </c>
      <c r="BS105" s="69" t="str">
        <f t="shared" si="615"/>
        <v/>
      </c>
      <c r="BT105" s="69" t="str">
        <f t="shared" si="517"/>
        <v/>
      </c>
      <c r="BU105" s="69" t="str">
        <f t="shared" si="616"/>
        <v/>
      </c>
      <c r="BV105" s="69" t="str">
        <f t="shared" si="617"/>
        <v/>
      </c>
      <c r="BW105" s="69" t="str">
        <f t="shared" si="518"/>
        <v/>
      </c>
      <c r="BX105" s="69" t="str">
        <f t="shared" si="618"/>
        <v/>
      </c>
      <c r="BY105" s="69" t="str">
        <f t="shared" si="619"/>
        <v/>
      </c>
      <c r="BZ105" s="69" t="str">
        <f t="shared" si="519"/>
        <v/>
      </c>
      <c r="CA105" s="69" t="str">
        <f t="shared" si="620"/>
        <v/>
      </c>
      <c r="CB105" s="69" t="str">
        <f t="shared" si="621"/>
        <v/>
      </c>
      <c r="CC105" s="69" t="str">
        <f t="shared" si="520"/>
        <v/>
      </c>
      <c r="CE105" s="69" t="str">
        <f t="shared" si="622"/>
        <v/>
      </c>
      <c r="CF105" s="69" t="str">
        <f t="shared" si="623"/>
        <v/>
      </c>
      <c r="CG105" s="69" t="str">
        <f t="shared" si="521"/>
        <v/>
      </c>
      <c r="CH105" s="69" t="str">
        <f t="shared" si="624"/>
        <v/>
      </c>
      <c r="CI105" s="69" t="str">
        <f t="shared" si="625"/>
        <v/>
      </c>
      <c r="CJ105" s="69" t="str">
        <f t="shared" si="522"/>
        <v/>
      </c>
      <c r="CK105" s="69" t="str">
        <f t="shared" si="626"/>
        <v/>
      </c>
      <c r="CL105" s="69" t="str">
        <f t="shared" si="627"/>
        <v/>
      </c>
      <c r="CM105" s="69" t="str">
        <f t="shared" si="523"/>
        <v/>
      </c>
      <c r="CN105" s="69" t="str">
        <f t="shared" si="628"/>
        <v/>
      </c>
      <c r="CO105" s="69" t="str">
        <f t="shared" si="629"/>
        <v/>
      </c>
      <c r="CP105" s="69" t="str">
        <f t="shared" si="524"/>
        <v/>
      </c>
      <c r="CQ105" s="69" t="str">
        <f t="shared" si="630"/>
        <v/>
      </c>
      <c r="CR105" s="69" t="str">
        <f t="shared" si="631"/>
        <v/>
      </c>
      <c r="CS105" s="69" t="str">
        <f t="shared" si="525"/>
        <v/>
      </c>
      <c r="CT105" s="69" t="str">
        <f t="shared" si="632"/>
        <v/>
      </c>
      <c r="CU105" s="69" t="str">
        <f t="shared" si="633"/>
        <v/>
      </c>
      <c r="CV105" s="69" t="str">
        <f t="shared" si="526"/>
        <v/>
      </c>
      <c r="CW105" s="69" t="str">
        <f t="shared" si="634"/>
        <v/>
      </c>
      <c r="CX105" s="69" t="str">
        <f t="shared" si="635"/>
        <v/>
      </c>
      <c r="CY105" s="69" t="str">
        <f t="shared" si="527"/>
        <v/>
      </c>
      <c r="CZ105" s="69" t="str">
        <f t="shared" si="636"/>
        <v/>
      </c>
      <c r="DA105" s="69" t="str">
        <f t="shared" si="637"/>
        <v/>
      </c>
      <c r="DB105" s="69" t="str">
        <f t="shared" si="528"/>
        <v/>
      </c>
      <c r="DC105" s="69" t="str">
        <f t="shared" si="638"/>
        <v/>
      </c>
      <c r="DD105" s="69" t="str">
        <f t="shared" si="639"/>
        <v/>
      </c>
      <c r="DE105" s="69" t="str">
        <f t="shared" si="529"/>
        <v/>
      </c>
      <c r="DG105" s="69" t="str">
        <f t="shared" si="640"/>
        <v/>
      </c>
      <c r="DH105" s="69" t="str">
        <f t="shared" si="641"/>
        <v/>
      </c>
      <c r="DI105" s="69" t="str">
        <f t="shared" si="530"/>
        <v/>
      </c>
      <c r="DJ105" s="69" t="str">
        <f t="shared" si="642"/>
        <v/>
      </c>
      <c r="DK105" s="69" t="str">
        <f t="shared" si="643"/>
        <v/>
      </c>
      <c r="DL105" s="69" t="str">
        <f t="shared" si="531"/>
        <v/>
      </c>
      <c r="DM105" s="69" t="str">
        <f t="shared" si="644"/>
        <v/>
      </c>
      <c r="DN105" s="69" t="str">
        <f t="shared" si="645"/>
        <v/>
      </c>
      <c r="DO105" s="69" t="str">
        <f t="shared" si="532"/>
        <v/>
      </c>
      <c r="DP105" s="69" t="str">
        <f t="shared" si="646"/>
        <v/>
      </c>
      <c r="DQ105" s="69" t="str">
        <f t="shared" si="647"/>
        <v/>
      </c>
      <c r="DR105" s="69" t="str">
        <f t="shared" si="533"/>
        <v/>
      </c>
      <c r="DS105" s="69" t="str">
        <f t="shared" si="648"/>
        <v/>
      </c>
      <c r="DT105" s="69" t="str">
        <f t="shared" si="649"/>
        <v/>
      </c>
      <c r="DU105" s="69" t="str">
        <f t="shared" si="534"/>
        <v/>
      </c>
      <c r="DV105" s="69" t="str">
        <f t="shared" si="650"/>
        <v/>
      </c>
      <c r="DW105" s="69" t="str">
        <f t="shared" si="651"/>
        <v/>
      </c>
      <c r="DX105" s="69" t="str">
        <f t="shared" si="535"/>
        <v/>
      </c>
      <c r="DY105" s="69" t="str">
        <f t="shared" si="652"/>
        <v/>
      </c>
      <c r="DZ105" s="69" t="str">
        <f t="shared" si="653"/>
        <v/>
      </c>
      <c r="EA105" s="69" t="str">
        <f t="shared" si="536"/>
        <v/>
      </c>
      <c r="EB105" s="69" t="str">
        <f t="shared" si="654"/>
        <v/>
      </c>
      <c r="EC105" s="69" t="str">
        <f t="shared" si="655"/>
        <v/>
      </c>
      <c r="ED105" s="69" t="str">
        <f t="shared" si="537"/>
        <v/>
      </c>
      <c r="EF105" s="69" t="str">
        <f t="shared" si="656"/>
        <v/>
      </c>
      <c r="EG105" s="69" t="str">
        <f t="shared" si="657"/>
        <v/>
      </c>
      <c r="EH105" s="69" t="str">
        <f t="shared" si="538"/>
        <v/>
      </c>
      <c r="EI105" s="69" t="str">
        <f t="shared" si="658"/>
        <v/>
      </c>
      <c r="EJ105" s="69" t="str">
        <f t="shared" si="659"/>
        <v/>
      </c>
      <c r="EK105" s="69" t="str">
        <f t="shared" si="539"/>
        <v/>
      </c>
      <c r="EL105" s="69" t="str">
        <f t="shared" si="660"/>
        <v/>
      </c>
      <c r="EM105" s="69" t="str">
        <f t="shared" si="661"/>
        <v/>
      </c>
      <c r="EN105" s="69" t="str">
        <f t="shared" si="540"/>
        <v/>
      </c>
      <c r="EO105" s="69" t="str">
        <f t="shared" si="662"/>
        <v/>
      </c>
      <c r="EP105" s="69" t="str">
        <f t="shared" si="663"/>
        <v/>
      </c>
      <c r="EQ105" s="69" t="str">
        <f t="shared" si="541"/>
        <v/>
      </c>
      <c r="ER105" s="69" t="str">
        <f t="shared" si="664"/>
        <v/>
      </c>
      <c r="ES105" s="69" t="str">
        <f t="shared" si="665"/>
        <v/>
      </c>
      <c r="ET105" s="69" t="str">
        <f t="shared" si="542"/>
        <v/>
      </c>
      <c r="EU105" s="69" t="str">
        <f t="shared" si="666"/>
        <v/>
      </c>
      <c r="EV105" s="69" t="str">
        <f t="shared" si="667"/>
        <v/>
      </c>
      <c r="EW105" s="69" t="str">
        <f t="shared" si="543"/>
        <v/>
      </c>
      <c r="EX105" s="69" t="str">
        <f t="shared" si="668"/>
        <v/>
      </c>
      <c r="EY105" s="69" t="str">
        <f t="shared" si="669"/>
        <v/>
      </c>
      <c r="EZ105" s="69" t="str">
        <f t="shared" si="544"/>
        <v/>
      </c>
      <c r="FB105" s="69" t="str">
        <f t="shared" si="670"/>
        <v/>
      </c>
      <c r="FC105" s="69" t="str">
        <f t="shared" si="671"/>
        <v/>
      </c>
      <c r="FD105" s="69" t="str">
        <f t="shared" si="545"/>
        <v/>
      </c>
      <c r="FE105" s="69" t="str">
        <f t="shared" si="672"/>
        <v/>
      </c>
      <c r="FF105" s="69" t="str">
        <f t="shared" si="673"/>
        <v/>
      </c>
      <c r="FG105" s="69" t="str">
        <f t="shared" si="546"/>
        <v/>
      </c>
      <c r="FH105" s="69" t="str">
        <f t="shared" si="674"/>
        <v/>
      </c>
      <c r="FI105" s="69" t="str">
        <f t="shared" si="675"/>
        <v/>
      </c>
      <c r="FJ105" s="69" t="str">
        <f t="shared" si="547"/>
        <v/>
      </c>
      <c r="FK105" s="69" t="str">
        <f t="shared" si="676"/>
        <v/>
      </c>
      <c r="FL105" s="69" t="str">
        <f t="shared" si="677"/>
        <v/>
      </c>
      <c r="FM105" s="69" t="str">
        <f t="shared" si="548"/>
        <v/>
      </c>
      <c r="FN105" s="69" t="str">
        <f t="shared" si="678"/>
        <v/>
      </c>
      <c r="FO105" s="69" t="str">
        <f t="shared" si="679"/>
        <v/>
      </c>
      <c r="FP105" s="69" t="str">
        <f t="shared" si="549"/>
        <v/>
      </c>
      <c r="FQ105" s="69" t="str">
        <f t="shared" si="680"/>
        <v/>
      </c>
      <c r="FR105" s="69" t="str">
        <f t="shared" si="681"/>
        <v/>
      </c>
      <c r="FS105" s="69" t="str">
        <f t="shared" si="550"/>
        <v/>
      </c>
      <c r="FU105" s="69" t="str">
        <f t="shared" si="449"/>
        <v/>
      </c>
      <c r="FV105" s="69" t="str">
        <f t="shared" si="450"/>
        <v/>
      </c>
      <c r="FW105" s="69" t="str">
        <f t="shared" si="551"/>
        <v/>
      </c>
      <c r="FX105" s="69" t="str">
        <f t="shared" si="451"/>
        <v/>
      </c>
      <c r="FY105" s="69" t="str">
        <f t="shared" si="452"/>
        <v/>
      </c>
      <c r="FZ105" s="69" t="str">
        <f t="shared" si="552"/>
        <v/>
      </c>
      <c r="GA105" s="69" t="str">
        <f t="shared" si="453"/>
        <v/>
      </c>
      <c r="GB105" s="69" t="str">
        <f t="shared" si="454"/>
        <v/>
      </c>
      <c r="GC105" s="69" t="str">
        <f t="shared" si="553"/>
        <v/>
      </c>
      <c r="GD105" s="69" t="str">
        <f t="shared" si="455"/>
        <v/>
      </c>
      <c r="GE105" s="69" t="str">
        <f t="shared" si="456"/>
        <v/>
      </c>
      <c r="GF105" s="69" t="str">
        <f t="shared" si="554"/>
        <v/>
      </c>
      <c r="GG105" s="69" t="str">
        <f t="shared" si="457"/>
        <v/>
      </c>
      <c r="GH105" s="69" t="str">
        <f t="shared" si="458"/>
        <v/>
      </c>
      <c r="GI105" s="69" t="str">
        <f t="shared" si="555"/>
        <v/>
      </c>
      <c r="GK105" s="69" t="str">
        <f t="shared" si="459"/>
        <v/>
      </c>
      <c r="GL105" s="69" t="str">
        <f t="shared" si="460"/>
        <v/>
      </c>
      <c r="GM105" s="69" t="str">
        <f t="shared" si="556"/>
        <v/>
      </c>
      <c r="GN105" s="69" t="str">
        <f t="shared" si="461"/>
        <v/>
      </c>
      <c r="GO105" s="69" t="str">
        <f t="shared" si="462"/>
        <v/>
      </c>
      <c r="GP105" s="69" t="str">
        <f t="shared" si="557"/>
        <v/>
      </c>
      <c r="GQ105" s="69" t="str">
        <f t="shared" si="463"/>
        <v/>
      </c>
      <c r="GR105" s="69" t="str">
        <f t="shared" si="464"/>
        <v/>
      </c>
      <c r="GS105" s="69" t="str">
        <f t="shared" si="558"/>
        <v/>
      </c>
      <c r="GT105" s="69" t="str">
        <f t="shared" si="465"/>
        <v/>
      </c>
      <c r="GU105" s="69" t="str">
        <f t="shared" si="466"/>
        <v/>
      </c>
      <c r="GV105" s="69" t="str">
        <f t="shared" si="559"/>
        <v/>
      </c>
      <c r="GX105" s="69" t="str">
        <f t="shared" si="560"/>
        <v/>
      </c>
      <c r="GY105" s="69" t="str">
        <f t="shared" si="561"/>
        <v/>
      </c>
      <c r="GZ105" s="69" t="str">
        <f t="shared" si="562"/>
        <v/>
      </c>
      <c r="HA105" s="69" t="str">
        <f t="shared" si="563"/>
        <v/>
      </c>
      <c r="HB105" s="69" t="str">
        <f t="shared" si="564"/>
        <v/>
      </c>
      <c r="HC105" s="69" t="str">
        <f t="shared" si="565"/>
        <v/>
      </c>
      <c r="HD105" s="69" t="str">
        <f t="shared" si="566"/>
        <v/>
      </c>
      <c r="HE105" s="69" t="str">
        <f t="shared" si="567"/>
        <v/>
      </c>
      <c r="HF105" s="69" t="str">
        <f t="shared" si="568"/>
        <v/>
      </c>
      <c r="HH105" s="69" t="str">
        <f t="shared" si="569"/>
        <v/>
      </c>
      <c r="HI105" s="69" t="str">
        <f t="shared" si="570"/>
        <v/>
      </c>
      <c r="HJ105" s="69" t="str">
        <f t="shared" si="571"/>
        <v/>
      </c>
      <c r="HK105" s="69" t="str">
        <f t="shared" si="572"/>
        <v/>
      </c>
      <c r="HL105" s="69" t="str">
        <f t="shared" si="573"/>
        <v/>
      </c>
      <c r="HM105" s="69" t="str">
        <f t="shared" si="574"/>
        <v/>
      </c>
      <c r="HO105" s="69" t="str">
        <f t="shared" si="575"/>
        <v/>
      </c>
      <c r="HP105" s="69" t="str">
        <f t="shared" si="576"/>
        <v/>
      </c>
      <c r="HQ105" s="69" t="str">
        <f t="shared" si="577"/>
        <v/>
      </c>
      <c r="HS105" s="69" t="str">
        <f t="shared" si="682"/>
        <v/>
      </c>
      <c r="HT105" s="69" t="str">
        <f t="shared" si="683"/>
        <v/>
      </c>
      <c r="HU105" s="69" t="str">
        <f t="shared" si="578"/>
        <v/>
      </c>
      <c r="HV105" s="69" t="str">
        <f t="shared" si="684"/>
        <v/>
      </c>
      <c r="HW105" s="69" t="str">
        <f t="shared" si="685"/>
        <v/>
      </c>
      <c r="HX105" s="69" t="str">
        <f t="shared" si="579"/>
        <v/>
      </c>
      <c r="HY105" s="69" t="str">
        <f t="shared" si="686"/>
        <v/>
      </c>
      <c r="HZ105" s="69" t="str">
        <f t="shared" si="687"/>
        <v/>
      </c>
      <c r="IA105" s="69" t="str">
        <f t="shared" si="580"/>
        <v/>
      </c>
      <c r="IB105" s="69" t="str">
        <f t="shared" si="688"/>
        <v/>
      </c>
      <c r="IC105" s="69" t="str">
        <f t="shared" si="689"/>
        <v/>
      </c>
      <c r="ID105" s="69" t="str">
        <f t="shared" si="581"/>
        <v/>
      </c>
      <c r="IE105" s="69" t="str">
        <f t="shared" si="690"/>
        <v/>
      </c>
      <c r="IF105" s="69" t="str">
        <f t="shared" si="691"/>
        <v/>
      </c>
      <c r="IG105" s="69" t="str">
        <f t="shared" si="582"/>
        <v/>
      </c>
      <c r="IH105" s="69" t="str">
        <f t="shared" si="477"/>
        <v/>
      </c>
      <c r="II105" s="69" t="str">
        <f t="shared" si="478"/>
        <v/>
      </c>
      <c r="IJ105" s="69" t="str">
        <f t="shared" si="583"/>
        <v/>
      </c>
      <c r="IK105" s="69" t="str">
        <f t="shared" si="479"/>
        <v/>
      </c>
      <c r="IL105" s="69" t="str">
        <f t="shared" si="480"/>
        <v/>
      </c>
      <c r="IM105" s="69" t="str">
        <f t="shared" si="584"/>
        <v/>
      </c>
      <c r="IN105" s="69" t="str">
        <f t="shared" si="585"/>
        <v/>
      </c>
      <c r="IO105" s="69" t="str">
        <f t="shared" si="586"/>
        <v/>
      </c>
      <c r="IP105" s="69" t="str">
        <f t="shared" si="587"/>
        <v/>
      </c>
      <c r="IQ105" s="69" t="str">
        <f t="shared" si="588"/>
        <v/>
      </c>
      <c r="IR105" s="69" t="str">
        <f t="shared" si="589"/>
        <v/>
      </c>
      <c r="IS105" s="69" t="str">
        <f t="shared" si="590"/>
        <v/>
      </c>
      <c r="IT105" s="69" t="str">
        <f t="shared" si="591"/>
        <v/>
      </c>
      <c r="IU105" s="69" t="str">
        <f t="shared" si="592"/>
        <v/>
      </c>
      <c r="IV105" s="69" t="str">
        <f t="shared" si="593"/>
        <v/>
      </c>
    </row>
    <row r="106" spans="1:256" s="6" customFormat="1" x14ac:dyDescent="0.2">
      <c r="A106" s="7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73"/>
      <c r="M106" s="72"/>
      <c r="N106" s="72"/>
      <c r="O106" s="72"/>
      <c r="P106" s="72"/>
      <c r="Q106" s="72" t="str">
        <f>IF((L106&gt;0)*AND(B$109&gt;0),B106,"")</f>
        <v/>
      </c>
      <c r="R106" s="72"/>
      <c r="S106" s="72" t="str">
        <f>IF((L106&gt;0)*AND(B$109&gt;0),(Q106/B$110-1)*100,"")</f>
        <v/>
      </c>
      <c r="T106" s="72" t="str">
        <f>IF((L106&gt;0)*AND(C$109&gt;0),C106,"")</f>
        <v/>
      </c>
      <c r="U106" s="72"/>
      <c r="V106" s="72" t="str">
        <f>IF((L106&gt;0)*AND(C$109&gt;0),(T106/C$110-1)*100,"")</f>
        <v/>
      </c>
      <c r="W106" s="72" t="str">
        <f>IF((L106&gt;0)*AND(D$109&gt;0),D106,"")</f>
        <v/>
      </c>
      <c r="X106" s="72"/>
      <c r="Y106" s="72" t="str">
        <f>IF((L106&gt;0)*AND(D$109&gt;0),(W106/D$110-1)*100,"")</f>
        <v/>
      </c>
      <c r="Z106" s="72" t="str">
        <f>IF((L106&gt;0)*AND(E$109&gt;0),E106,"")</f>
        <v/>
      </c>
      <c r="AA106" s="72"/>
      <c r="AB106" s="72" t="str">
        <f>IF((L106&gt;0)*AND(E$109&gt;0),(Z106/E$110-1)*100,"")</f>
        <v/>
      </c>
      <c r="AC106" s="72" t="str">
        <f>IF((L106&gt;0)*AND(F$109&gt;0),F106,"")</f>
        <v/>
      </c>
      <c r="AD106" s="72"/>
      <c r="AE106" s="72" t="str">
        <f>IF((L106&gt;0)*AND(F$109&gt;0),(AC106/F$110-1)*100,"")</f>
        <v/>
      </c>
      <c r="AF106" s="72"/>
      <c r="AG106" s="72"/>
      <c r="AH106" s="72"/>
      <c r="AI106" s="72"/>
      <c r="AJ106" s="72"/>
      <c r="AK106" s="72"/>
      <c r="AL106" s="72"/>
      <c r="AM106" s="72"/>
      <c r="AN106" s="72"/>
      <c r="AO106" s="72"/>
      <c r="AP106" s="72"/>
      <c r="AQ106" s="72"/>
      <c r="AR106" s="72"/>
      <c r="AS106" s="72"/>
      <c r="AT106" s="72"/>
      <c r="AU106" s="72" t="str">
        <f>IF(L106&gt;0,GEOMEAN(B106:F106),"")</f>
        <v/>
      </c>
      <c r="AV106" s="72"/>
      <c r="AW106" s="72" t="str">
        <f>IF(L106&gt;0,STDEV(S106,V106,Y106,AB106,AE106),"")</f>
        <v/>
      </c>
      <c r="AX106" s="72"/>
      <c r="AY106" s="74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</row>
    <row r="107" spans="1:256" s="6" customFormat="1" x14ac:dyDescent="0.2">
      <c r="A107" s="133" t="s">
        <v>167</v>
      </c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5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  <c r="AO107" s="72"/>
      <c r="AP107" s="72"/>
      <c r="AQ107" s="72"/>
      <c r="AR107" s="72"/>
      <c r="AS107" s="72"/>
      <c r="AT107" s="72"/>
      <c r="AU107" s="72"/>
      <c r="AV107" s="134" t="s">
        <v>225</v>
      </c>
      <c r="AW107" s="135" t="s">
        <v>225</v>
      </c>
      <c r="AX107" s="4"/>
      <c r="AY107" s="74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</row>
    <row r="108" spans="1:256" x14ac:dyDescent="0.2">
      <c r="A108" s="69"/>
      <c r="B108" s="79" t="s">
        <v>2</v>
      </c>
      <c r="C108" s="79" t="s">
        <v>4</v>
      </c>
      <c r="D108" s="79" t="s">
        <v>6</v>
      </c>
      <c r="E108" s="79" t="s">
        <v>8</v>
      </c>
      <c r="F108" s="79" t="s">
        <v>0</v>
      </c>
      <c r="G108" s="79" t="s">
        <v>133</v>
      </c>
      <c r="H108" s="79" t="s">
        <v>142</v>
      </c>
      <c r="I108" s="79" t="s">
        <v>131</v>
      </c>
      <c r="J108" s="79" t="s">
        <v>129</v>
      </c>
      <c r="K108" s="79" t="s">
        <v>126</v>
      </c>
      <c r="L108" s="69"/>
      <c r="M108" s="7" t="s">
        <v>149</v>
      </c>
      <c r="N108" s="69"/>
      <c r="O108" s="76"/>
      <c r="P108" s="77"/>
      <c r="Q108" s="78" t="s">
        <v>9</v>
      </c>
      <c r="R108" s="78">
        <f t="shared" ref="R108:R139" si="692">IF(AND(NOT($P$198=""),NOT(R6="")),$P$198^R6,"")</f>
        <v>1.8409990332453512</v>
      </c>
      <c r="S108" s="78"/>
      <c r="T108" s="78"/>
      <c r="U108" s="136">
        <f t="shared" ref="U108:U139" si="693">IF(AND(NOT($P$199=""),NOT(U6="")),$P$199^U6,"")</f>
        <v>0.6701404685492971</v>
      </c>
      <c r="V108" s="78"/>
      <c r="W108" s="78"/>
      <c r="X108" s="78">
        <f t="shared" ref="X108:X139" si="694">IF(AND(NOT($P$200=""),NOT(X6="")),$P$200^X6,"")</f>
        <v>1.4315930844292086</v>
      </c>
      <c r="Y108" s="78"/>
      <c r="Z108" s="78"/>
      <c r="AA108" s="78">
        <f t="shared" ref="AA108:AA139" si="695">IF(AND(NOT($P$201=""),NOT(AA6="")),$P$201^AA6,"")</f>
        <v>1.5377484693117587</v>
      </c>
      <c r="AB108" s="78"/>
      <c r="AC108" s="78"/>
      <c r="AD108" s="78">
        <f t="shared" ref="AD108:AD139" si="696">IF(AND(NOT($P$202=""),NOT(AD6="")),$P$202^AD6,"")</f>
        <v>1.0111422976401605</v>
      </c>
      <c r="AE108" s="78"/>
      <c r="AF108" s="78"/>
      <c r="AG108" s="78">
        <f t="shared" ref="AG108:AG139" si="697">IF(AND(NOT($P$203=""),NOT(AG6="")),$P$203^AG6,"")</f>
        <v>0.82962128149012937</v>
      </c>
      <c r="AH108" s="78"/>
      <c r="AI108" s="78"/>
      <c r="AJ108" s="78">
        <f t="shared" ref="AJ108:AJ139" si="698">IF(AND(NOT($P$204=""),NOT(AJ6="")),$P$204^AJ6,"")</f>
        <v>1.1373000781061067</v>
      </c>
      <c r="AK108" s="78"/>
      <c r="AL108" s="78"/>
      <c r="AM108" s="78">
        <f t="shared" ref="AM108:AM139" si="699">IF(AND(NOT($P$205=""),NOT(AM6="")),$P$205^AM6,"")</f>
        <v>0.5111084570957678</v>
      </c>
      <c r="AN108" s="78"/>
      <c r="AO108" s="78"/>
      <c r="AP108" s="78">
        <f t="shared" ref="AP108:AP139" si="700">IF(AND(NOT($P$206=""),NOT(AP6="")),$P$206^AP6,"")</f>
        <v>0.70775232065367544</v>
      </c>
      <c r="AQ108" s="78"/>
      <c r="AR108" s="78"/>
      <c r="AS108" s="78">
        <f t="shared" ref="AS108:AS139" si="701">IF(AND(NOT($P$207=""),NOT(AS6="")),$P$207^AS6,"")</f>
        <v>1.0682994842229374</v>
      </c>
      <c r="AT108" s="78"/>
      <c r="AU108" s="72"/>
      <c r="AV108" s="78" t="str">
        <f>IF(L6&gt;0,"±"&amp;ROUND(STDEV(R108,U108,X108,AA108,AD108,AG108,AJ108,AM108,AP108,AS108),2),"")</f>
        <v>±0,42</v>
      </c>
      <c r="AW108" s="132">
        <f>IF(L6&gt;0,ROUND(STDEV(R108,U108,X108,AA108,AD108,AG108,AJ108,AM108,AP108,AS108),2),"")</f>
        <v>0.42</v>
      </c>
      <c r="AX108" s="4"/>
      <c r="AY108" s="2"/>
      <c r="AZ108" s="64" t="s">
        <v>2</v>
      </c>
      <c r="BA108" s="64" t="s">
        <v>4</v>
      </c>
      <c r="BB108" s="64" t="s">
        <v>152</v>
      </c>
      <c r="BC108" s="65" t="s">
        <v>2</v>
      </c>
      <c r="BD108" s="65" t="s">
        <v>6</v>
      </c>
      <c r="BE108" s="65" t="s">
        <v>153</v>
      </c>
      <c r="BF108" s="65" t="s">
        <v>2</v>
      </c>
      <c r="BG108" s="65" t="s">
        <v>8</v>
      </c>
      <c r="BH108" s="65" t="s">
        <v>154</v>
      </c>
      <c r="BI108" s="65" t="s">
        <v>2</v>
      </c>
      <c r="BJ108" s="65" t="s">
        <v>0</v>
      </c>
      <c r="BK108" s="65" t="s">
        <v>155</v>
      </c>
      <c r="BL108" s="64" t="s">
        <v>2</v>
      </c>
      <c r="BM108" s="64" t="s">
        <v>133</v>
      </c>
      <c r="BN108" s="64" t="s">
        <v>160</v>
      </c>
      <c r="BO108" s="65" t="s">
        <v>2</v>
      </c>
      <c r="BP108" s="65" t="s">
        <v>142</v>
      </c>
      <c r="BQ108" s="65" t="s">
        <v>161</v>
      </c>
      <c r="BR108" s="65" t="s">
        <v>2</v>
      </c>
      <c r="BS108" s="65" t="s">
        <v>131</v>
      </c>
      <c r="BT108" s="65" t="s">
        <v>162</v>
      </c>
      <c r="BU108" s="65" t="s">
        <v>2</v>
      </c>
      <c r="BV108" s="65" t="s">
        <v>129</v>
      </c>
      <c r="BW108" s="65" t="s">
        <v>163</v>
      </c>
      <c r="BX108" s="65" t="s">
        <v>2</v>
      </c>
      <c r="BY108" s="65" t="s">
        <v>126</v>
      </c>
      <c r="BZ108" s="65" t="s">
        <v>164</v>
      </c>
      <c r="CA108" s="65" t="s">
        <v>2</v>
      </c>
      <c r="CB108" s="65" t="s">
        <v>165</v>
      </c>
      <c r="CC108" s="65" t="s">
        <v>166</v>
      </c>
      <c r="CD108" s="2"/>
      <c r="CE108" s="65" t="s">
        <v>4</v>
      </c>
      <c r="CF108" s="65" t="s">
        <v>6</v>
      </c>
      <c r="CG108" s="65" t="s">
        <v>168</v>
      </c>
      <c r="CH108" s="65" t="s">
        <v>4</v>
      </c>
      <c r="CI108" s="65" t="s">
        <v>8</v>
      </c>
      <c r="CJ108" s="65" t="s">
        <v>176</v>
      </c>
      <c r="CK108" s="65" t="s">
        <v>4</v>
      </c>
      <c r="CL108" s="65" t="s">
        <v>0</v>
      </c>
      <c r="CM108" s="65" t="s">
        <v>175</v>
      </c>
      <c r="CN108" s="65" t="s">
        <v>4</v>
      </c>
      <c r="CO108" s="64" t="s">
        <v>133</v>
      </c>
      <c r="CP108" s="64" t="s">
        <v>174</v>
      </c>
      <c r="CQ108" s="65" t="s">
        <v>4</v>
      </c>
      <c r="CR108" s="65" t="s">
        <v>142</v>
      </c>
      <c r="CS108" s="65" t="s">
        <v>173</v>
      </c>
      <c r="CT108" s="65" t="s">
        <v>4</v>
      </c>
      <c r="CU108" s="65" t="s">
        <v>131</v>
      </c>
      <c r="CV108" s="65" t="s">
        <v>172</v>
      </c>
      <c r="CW108" s="65" t="s">
        <v>4</v>
      </c>
      <c r="CX108" s="65" t="s">
        <v>129</v>
      </c>
      <c r="CY108" s="65" t="s">
        <v>171</v>
      </c>
      <c r="CZ108" s="65" t="s">
        <v>4</v>
      </c>
      <c r="DA108" s="65" t="s">
        <v>126</v>
      </c>
      <c r="DB108" s="65" t="s">
        <v>170</v>
      </c>
      <c r="DC108" s="65" t="s">
        <v>4</v>
      </c>
      <c r="DD108" s="65" t="s">
        <v>165</v>
      </c>
      <c r="DE108" s="65" t="s">
        <v>169</v>
      </c>
      <c r="DF108" s="6"/>
      <c r="DG108" s="65" t="s">
        <v>6</v>
      </c>
      <c r="DH108" s="65" t="s">
        <v>8</v>
      </c>
      <c r="DI108" s="65" t="s">
        <v>184</v>
      </c>
      <c r="DJ108" s="65" t="s">
        <v>6</v>
      </c>
      <c r="DK108" s="65" t="s">
        <v>0</v>
      </c>
      <c r="DL108" s="65" t="s">
        <v>183</v>
      </c>
      <c r="DM108" s="65" t="s">
        <v>6</v>
      </c>
      <c r="DN108" s="64" t="s">
        <v>133</v>
      </c>
      <c r="DO108" s="64" t="s">
        <v>182</v>
      </c>
      <c r="DP108" s="65" t="s">
        <v>6</v>
      </c>
      <c r="DQ108" s="65" t="s">
        <v>142</v>
      </c>
      <c r="DR108" s="65" t="s">
        <v>181</v>
      </c>
      <c r="DS108" s="65" t="s">
        <v>6</v>
      </c>
      <c r="DT108" s="65" t="s">
        <v>131</v>
      </c>
      <c r="DU108" s="65" t="s">
        <v>180</v>
      </c>
      <c r="DV108" s="65" t="s">
        <v>6</v>
      </c>
      <c r="DW108" s="65" t="s">
        <v>129</v>
      </c>
      <c r="DX108" s="65" t="s">
        <v>179</v>
      </c>
      <c r="DY108" s="65" t="s">
        <v>6</v>
      </c>
      <c r="DZ108" s="65" t="s">
        <v>126</v>
      </c>
      <c r="EA108" s="65" t="s">
        <v>178</v>
      </c>
      <c r="EB108" s="65" t="s">
        <v>6</v>
      </c>
      <c r="EC108" s="65" t="s">
        <v>165</v>
      </c>
      <c r="ED108" s="65" t="s">
        <v>177</v>
      </c>
      <c r="EE108" s="6"/>
      <c r="EF108" s="65" t="s">
        <v>8</v>
      </c>
      <c r="EG108" s="65" t="s">
        <v>0</v>
      </c>
      <c r="EH108" s="65" t="s">
        <v>192</v>
      </c>
      <c r="EI108" s="65" t="s">
        <v>8</v>
      </c>
      <c r="EJ108" s="64" t="s">
        <v>133</v>
      </c>
      <c r="EK108" s="64" t="s">
        <v>191</v>
      </c>
      <c r="EL108" s="65" t="s">
        <v>8</v>
      </c>
      <c r="EM108" s="65" t="s">
        <v>142</v>
      </c>
      <c r="EN108" s="65" t="s">
        <v>190</v>
      </c>
      <c r="EO108" s="65" t="s">
        <v>8</v>
      </c>
      <c r="EP108" s="65" t="s">
        <v>131</v>
      </c>
      <c r="EQ108" s="65" t="s">
        <v>189</v>
      </c>
      <c r="ER108" s="65" t="s">
        <v>8</v>
      </c>
      <c r="ES108" s="65" t="s">
        <v>129</v>
      </c>
      <c r="ET108" s="65" t="s">
        <v>188</v>
      </c>
      <c r="EU108" s="65" t="s">
        <v>8</v>
      </c>
      <c r="EV108" s="65" t="s">
        <v>126</v>
      </c>
      <c r="EW108" s="65" t="s">
        <v>187</v>
      </c>
      <c r="EX108" s="65" t="s">
        <v>8</v>
      </c>
      <c r="EY108" s="65" t="s">
        <v>165</v>
      </c>
      <c r="EZ108" s="65" t="s">
        <v>186</v>
      </c>
      <c r="FB108" s="65" t="s">
        <v>0</v>
      </c>
      <c r="FC108" s="64" t="s">
        <v>133</v>
      </c>
      <c r="FD108" s="64" t="s">
        <v>193</v>
      </c>
      <c r="FE108" s="65" t="s">
        <v>0</v>
      </c>
      <c r="FF108" s="65" t="s">
        <v>142</v>
      </c>
      <c r="FG108" s="65" t="s">
        <v>194</v>
      </c>
      <c r="FH108" s="65" t="s">
        <v>0</v>
      </c>
      <c r="FI108" s="65" t="s">
        <v>131</v>
      </c>
      <c r="FJ108" s="65" t="s">
        <v>195</v>
      </c>
      <c r="FK108" s="65" t="s">
        <v>0</v>
      </c>
      <c r="FL108" s="65" t="s">
        <v>129</v>
      </c>
      <c r="FM108" s="65" t="s">
        <v>196</v>
      </c>
      <c r="FN108" s="65" t="s">
        <v>0</v>
      </c>
      <c r="FO108" s="65" t="s">
        <v>126</v>
      </c>
      <c r="FP108" s="65" t="s">
        <v>197</v>
      </c>
      <c r="FQ108" s="65" t="s">
        <v>0</v>
      </c>
      <c r="FR108" s="65" t="s">
        <v>165</v>
      </c>
      <c r="FS108" s="65" t="s">
        <v>198</v>
      </c>
      <c r="FU108" s="65" t="s">
        <v>133</v>
      </c>
      <c r="FV108" s="65" t="s">
        <v>142</v>
      </c>
      <c r="FW108" s="65" t="s">
        <v>203</v>
      </c>
      <c r="FX108" s="65" t="s">
        <v>133</v>
      </c>
      <c r="FY108" s="65" t="s">
        <v>131</v>
      </c>
      <c r="FZ108" s="65" t="s">
        <v>202</v>
      </c>
      <c r="GA108" s="65" t="s">
        <v>133</v>
      </c>
      <c r="GB108" s="65" t="s">
        <v>129</v>
      </c>
      <c r="GC108" s="65" t="s">
        <v>201</v>
      </c>
      <c r="GD108" s="65" t="s">
        <v>133</v>
      </c>
      <c r="GE108" s="65" t="s">
        <v>126</v>
      </c>
      <c r="GF108" s="65" t="s">
        <v>200</v>
      </c>
      <c r="GG108" s="65" t="s">
        <v>133</v>
      </c>
      <c r="GH108" s="65" t="s">
        <v>165</v>
      </c>
      <c r="GI108" s="65" t="s">
        <v>199</v>
      </c>
      <c r="GJ108" s="6"/>
      <c r="GK108" s="65" t="s">
        <v>142</v>
      </c>
      <c r="GL108" s="65" t="s">
        <v>131</v>
      </c>
      <c r="GM108" s="65" t="s">
        <v>204</v>
      </c>
      <c r="GN108" s="65" t="s">
        <v>142</v>
      </c>
      <c r="GO108" s="65" t="s">
        <v>129</v>
      </c>
      <c r="GP108" s="65" t="s">
        <v>205</v>
      </c>
      <c r="GQ108" s="65" t="s">
        <v>142</v>
      </c>
      <c r="GR108" s="65" t="s">
        <v>126</v>
      </c>
      <c r="GS108" s="65" t="s">
        <v>206</v>
      </c>
      <c r="GT108" s="65" t="s">
        <v>142</v>
      </c>
      <c r="GU108" s="65" t="s">
        <v>165</v>
      </c>
      <c r="GV108" s="65" t="s">
        <v>207</v>
      </c>
      <c r="GX108" s="65" t="s">
        <v>131</v>
      </c>
      <c r="GY108" s="65" t="s">
        <v>129</v>
      </c>
      <c r="GZ108" s="65" t="s">
        <v>208</v>
      </c>
      <c r="HA108" s="65" t="s">
        <v>131</v>
      </c>
      <c r="HB108" s="65" t="s">
        <v>126</v>
      </c>
      <c r="HC108" s="65" t="s">
        <v>209</v>
      </c>
      <c r="HD108" s="65" t="s">
        <v>131</v>
      </c>
      <c r="HE108" s="65" t="s">
        <v>165</v>
      </c>
      <c r="HF108" s="65" t="s">
        <v>210</v>
      </c>
      <c r="HH108" s="65" t="s">
        <v>129</v>
      </c>
      <c r="HI108" s="65" t="s">
        <v>126</v>
      </c>
      <c r="HJ108" s="65" t="s">
        <v>211</v>
      </c>
      <c r="HK108" s="65" t="s">
        <v>129</v>
      </c>
      <c r="HL108" s="65" t="s">
        <v>165</v>
      </c>
      <c r="HM108" s="65" t="s">
        <v>212</v>
      </c>
      <c r="HN108" s="66"/>
      <c r="HO108" s="65" t="s">
        <v>126</v>
      </c>
      <c r="HP108" s="65" t="s">
        <v>165</v>
      </c>
      <c r="HQ108" s="65" t="s">
        <v>213</v>
      </c>
      <c r="HS108" s="65" t="s">
        <v>165</v>
      </c>
      <c r="HT108" s="65" t="s">
        <v>2</v>
      </c>
      <c r="HU108" s="65" t="s">
        <v>318</v>
      </c>
      <c r="HV108" s="65" t="s">
        <v>165</v>
      </c>
      <c r="HW108" s="65" t="s">
        <v>4</v>
      </c>
      <c r="HX108" s="65" t="s">
        <v>319</v>
      </c>
      <c r="HY108" s="65" t="s">
        <v>165</v>
      </c>
      <c r="HZ108" s="65" t="s">
        <v>6</v>
      </c>
      <c r="IA108" s="65" t="s">
        <v>327</v>
      </c>
      <c r="IB108" s="65" t="s">
        <v>165</v>
      </c>
      <c r="IC108" s="65" t="s">
        <v>8</v>
      </c>
      <c r="ID108" s="65" t="s">
        <v>326</v>
      </c>
      <c r="IE108" s="65" t="s">
        <v>165</v>
      </c>
      <c r="IF108" s="65" t="s">
        <v>0</v>
      </c>
      <c r="IG108" s="65" t="s">
        <v>325</v>
      </c>
      <c r="IH108" s="65" t="s">
        <v>165</v>
      </c>
      <c r="II108" s="65" t="s">
        <v>133</v>
      </c>
      <c r="IJ108" s="65" t="s">
        <v>324</v>
      </c>
      <c r="IK108" s="65" t="s">
        <v>165</v>
      </c>
      <c r="IL108" s="65" t="s">
        <v>142</v>
      </c>
      <c r="IM108" s="65" t="s">
        <v>323</v>
      </c>
      <c r="IN108" s="65" t="s">
        <v>165</v>
      </c>
      <c r="IO108" s="65" t="s">
        <v>131</v>
      </c>
      <c r="IP108" s="65" t="s">
        <v>322</v>
      </c>
      <c r="IQ108" s="65" t="s">
        <v>165</v>
      </c>
      <c r="IR108" s="65" t="s">
        <v>129</v>
      </c>
      <c r="IS108" s="65" t="s">
        <v>321</v>
      </c>
      <c r="IT108" s="65" t="s">
        <v>165</v>
      </c>
      <c r="IU108" s="65" t="s">
        <v>126</v>
      </c>
      <c r="IV108" s="65" t="s">
        <v>320</v>
      </c>
    </row>
    <row r="109" spans="1:256" x14ac:dyDescent="0.2">
      <c r="A109" s="79" t="s">
        <v>1</v>
      </c>
      <c r="B109" s="68">
        <f>COUNT(B6:B105)</f>
        <v>28</v>
      </c>
      <c r="C109" s="68">
        <f>COUNT(C6:C105)</f>
        <v>28</v>
      </c>
      <c r="D109" s="68">
        <f t="shared" ref="D109:K109" si="702">COUNT(D6:D105)</f>
        <v>28</v>
      </c>
      <c r="E109" s="68">
        <f t="shared" si="702"/>
        <v>28</v>
      </c>
      <c r="F109" s="68">
        <f t="shared" si="702"/>
        <v>28</v>
      </c>
      <c r="G109" s="68">
        <f t="shared" si="702"/>
        <v>28</v>
      </c>
      <c r="H109" s="68">
        <f t="shared" si="702"/>
        <v>28</v>
      </c>
      <c r="I109" s="68">
        <f t="shared" si="702"/>
        <v>28</v>
      </c>
      <c r="J109" s="68">
        <f t="shared" si="702"/>
        <v>28</v>
      </c>
      <c r="K109" s="68">
        <f t="shared" si="702"/>
        <v>28</v>
      </c>
      <c r="L109" s="79">
        <f>COUNT(M6:M105)</f>
        <v>28</v>
      </c>
      <c r="M109" s="79">
        <f>COUNT(M6:M105)</f>
        <v>28</v>
      </c>
      <c r="N109" s="79" t="s">
        <v>1</v>
      </c>
      <c r="O109" s="76"/>
      <c r="P109" s="77"/>
      <c r="Q109" s="78" t="s">
        <v>10</v>
      </c>
      <c r="R109" s="78">
        <f t="shared" si="692"/>
        <v>2.6800310141588408</v>
      </c>
      <c r="S109" s="78"/>
      <c r="T109" s="78"/>
      <c r="U109" s="136">
        <f t="shared" si="693"/>
        <v>0.26686506038355717</v>
      </c>
      <c r="V109" s="78"/>
      <c r="W109" s="78"/>
      <c r="X109" s="78">
        <f t="shared" si="694"/>
        <v>3.5867588880388372</v>
      </c>
      <c r="Y109" s="78"/>
      <c r="Z109" s="78"/>
      <c r="AA109" s="78">
        <f t="shared" si="695"/>
        <v>3.0209692468210121</v>
      </c>
      <c r="AB109" s="78"/>
      <c r="AC109" s="78"/>
      <c r="AD109" s="78">
        <f t="shared" si="696"/>
        <v>3.0265023631399655</v>
      </c>
      <c r="AE109" s="78"/>
      <c r="AF109" s="78"/>
      <c r="AG109" s="78">
        <f t="shared" si="697"/>
        <v>1.0175788705953366</v>
      </c>
      <c r="AH109" s="78"/>
      <c r="AI109" s="78"/>
      <c r="AJ109" s="78">
        <f t="shared" si="698"/>
        <v>0.75722650651313783</v>
      </c>
      <c r="AK109" s="78"/>
      <c r="AL109" s="78"/>
      <c r="AM109" s="78">
        <f t="shared" si="699"/>
        <v>2.458746163487135</v>
      </c>
      <c r="AN109" s="78"/>
      <c r="AO109" s="78"/>
      <c r="AP109" s="78">
        <f t="shared" si="700"/>
        <v>2.5520580984381782</v>
      </c>
      <c r="AQ109" s="78"/>
      <c r="AR109" s="78"/>
      <c r="AS109" s="78">
        <f t="shared" si="701"/>
        <v>1.0543647503924405</v>
      </c>
      <c r="AT109" s="78"/>
      <c r="AU109" s="80"/>
      <c r="AV109" s="78" t="str">
        <f t="shared" ref="AV109:AV172" si="703">IF(L7&gt;0,"±"&amp;ROUND(STDEV(R109,U109,X109,AA109,AD109,AG109,AJ109,AM109,AP109,AS109),2),"")</f>
        <v>±1,15</v>
      </c>
      <c r="AW109" s="132">
        <f t="shared" ref="AW109:AW172" si="704">IF(L7&gt;0,ROUND(STDEV(R109,U109,X109,AA109,AD109,AG109,AJ109,AM109,AP109,AS109),2),"")</f>
        <v>1.1499999999999999</v>
      </c>
      <c r="AX109" s="81"/>
      <c r="AY109" s="82" t="s">
        <v>111</v>
      </c>
      <c r="AZ109" s="8">
        <f>COUNT(AZ6:AZ105)</f>
        <v>28</v>
      </c>
      <c r="BA109" s="8">
        <f>COUNT(BA6:BA105)</f>
        <v>28</v>
      </c>
      <c r="BB109" s="9">
        <f>FLOOR((AZ109+BA109)/2,1)</f>
        <v>28</v>
      </c>
      <c r="BC109" s="8">
        <f>COUNT(BC6:BC105)</f>
        <v>28</v>
      </c>
      <c r="BD109" s="8">
        <f>COUNT(BD6:BD105)</f>
        <v>28</v>
      </c>
      <c r="BE109" s="9">
        <f>FLOOR((BC109+BD109)/2,1)</f>
        <v>28</v>
      </c>
      <c r="BF109" s="8">
        <f>COUNT(BF6:BF105)</f>
        <v>28</v>
      </c>
      <c r="BG109" s="8">
        <f>COUNT(BG6:BG105)</f>
        <v>28</v>
      </c>
      <c r="BH109" s="9">
        <f>FLOOR((BF109+BG109)/2,1)</f>
        <v>28</v>
      </c>
      <c r="BI109" s="8">
        <f>COUNT(BI6:BI105)</f>
        <v>28</v>
      </c>
      <c r="BJ109" s="8">
        <f>COUNT(BJ6:BJ105)</f>
        <v>28</v>
      </c>
      <c r="BK109" s="9">
        <f>FLOOR((BI109+BJ109)/2,1)</f>
        <v>28</v>
      </c>
      <c r="BL109" s="8">
        <f>COUNT(BL6:BL105)</f>
        <v>28</v>
      </c>
      <c r="BM109" s="8">
        <f>COUNT(BM6:BM105)</f>
        <v>28</v>
      </c>
      <c r="BN109" s="9">
        <f>FLOOR((BL109+BM109)/2,1)</f>
        <v>28</v>
      </c>
      <c r="BO109" s="8">
        <f>COUNT(BO6:BO105)</f>
        <v>28</v>
      </c>
      <c r="BP109" s="8">
        <f>COUNT(BP6:BP105)</f>
        <v>28</v>
      </c>
      <c r="BQ109" s="9">
        <f>FLOOR((BO109+BP109)/2,1)</f>
        <v>28</v>
      </c>
      <c r="BR109" s="8">
        <f>COUNT(BR6:BR105)</f>
        <v>28</v>
      </c>
      <c r="BS109" s="8">
        <f>COUNT(BS6:BS105)</f>
        <v>28</v>
      </c>
      <c r="BT109" s="9">
        <f>FLOOR((BR109+BS109)/2,1)</f>
        <v>28</v>
      </c>
      <c r="BU109" s="8">
        <f>COUNT(BU6:BU105)</f>
        <v>28</v>
      </c>
      <c r="BV109" s="8">
        <f>COUNT(BV6:BV105)</f>
        <v>28</v>
      </c>
      <c r="BW109" s="9">
        <f>FLOOR((BU109+BV109)/2,1)</f>
        <v>28</v>
      </c>
      <c r="BX109" s="8">
        <f>COUNT(BX6:BX105)</f>
        <v>28</v>
      </c>
      <c r="BY109" s="8">
        <f>COUNT(BY6:BY105)</f>
        <v>28</v>
      </c>
      <c r="BZ109" s="9">
        <f>FLOOR((BX109+BY109)/2,1)</f>
        <v>28</v>
      </c>
      <c r="CA109" s="8">
        <f>COUNT(CA6:CA105)</f>
        <v>28</v>
      </c>
      <c r="CB109" s="8">
        <f>COUNT(CB6:CB105)</f>
        <v>28</v>
      </c>
      <c r="CC109" s="9">
        <f>FLOOR((CA109+CB109)/2,1)</f>
        <v>28</v>
      </c>
      <c r="CD109" s="82" t="s">
        <v>111</v>
      </c>
      <c r="CE109" s="8">
        <f>COUNT(CE6:CE105)</f>
        <v>28</v>
      </c>
      <c r="CF109" s="8">
        <f>COUNT(CF6:CF105)</f>
        <v>28</v>
      </c>
      <c r="CG109" s="9">
        <f>FLOOR((CE109+CF109)/2,1)</f>
        <v>28</v>
      </c>
      <c r="CH109" s="8">
        <f>COUNT(CH6:CH105)</f>
        <v>28</v>
      </c>
      <c r="CI109" s="8">
        <f>COUNT(CI6:CI105)</f>
        <v>28</v>
      </c>
      <c r="CJ109" s="9">
        <f>FLOOR((CH109+CI109)/2,1)</f>
        <v>28</v>
      </c>
      <c r="CK109" s="8">
        <f>COUNT(CK6:CK105)</f>
        <v>28</v>
      </c>
      <c r="CL109" s="8">
        <f>COUNT(CL6:CL105)</f>
        <v>28</v>
      </c>
      <c r="CM109" s="9">
        <f>FLOOR((CK109+CL109)/2,1)</f>
        <v>28</v>
      </c>
      <c r="CN109" s="8">
        <f>COUNT(CN6:CN105)</f>
        <v>28</v>
      </c>
      <c r="CO109" s="8">
        <f>COUNT(CO6:CO105)</f>
        <v>28</v>
      </c>
      <c r="CP109" s="9">
        <f>FLOOR((CN109+CO109)/2,1)</f>
        <v>28</v>
      </c>
      <c r="CQ109" s="8">
        <f>COUNT(CQ6:CQ105)</f>
        <v>28</v>
      </c>
      <c r="CR109" s="8">
        <f>COUNT(CR6:CR105)</f>
        <v>28</v>
      </c>
      <c r="CS109" s="9">
        <f>FLOOR((CQ109+CR109)/2,1)</f>
        <v>28</v>
      </c>
      <c r="CT109" s="8">
        <f>COUNT(CT6:CT105)</f>
        <v>28</v>
      </c>
      <c r="CU109" s="8">
        <f>COUNT(CU6:CU105)</f>
        <v>28</v>
      </c>
      <c r="CV109" s="9">
        <f>FLOOR((CT109+CU109)/2,1)</f>
        <v>28</v>
      </c>
      <c r="CW109" s="8">
        <f>COUNT(CW6:CW105)</f>
        <v>28</v>
      </c>
      <c r="CX109" s="8">
        <f>COUNT(CX6:CX105)</f>
        <v>28</v>
      </c>
      <c r="CY109" s="9">
        <f>FLOOR((CW109+CX109)/2,1)</f>
        <v>28</v>
      </c>
      <c r="CZ109" s="8">
        <f>COUNT(CZ6:CZ105)</f>
        <v>28</v>
      </c>
      <c r="DA109" s="8">
        <f>COUNT(DA6:DA105)</f>
        <v>28</v>
      </c>
      <c r="DB109" s="9">
        <f>FLOOR((CZ109+DA109)/2,1)</f>
        <v>28</v>
      </c>
      <c r="DC109" s="8">
        <f>COUNT(DC6:DC105)</f>
        <v>28</v>
      </c>
      <c r="DD109" s="8">
        <f>COUNT(DD6:DD105)</f>
        <v>28</v>
      </c>
      <c r="DE109" s="9">
        <f>FLOOR((DC109+DD109)/2,1)</f>
        <v>28</v>
      </c>
      <c r="DF109" s="82" t="s">
        <v>111</v>
      </c>
      <c r="DG109" s="8">
        <f>COUNT(DG6:DG105)</f>
        <v>28</v>
      </c>
      <c r="DH109" s="8">
        <f>COUNT(DH6:DH105)</f>
        <v>28</v>
      </c>
      <c r="DI109" s="9">
        <f>FLOOR((DG109+DH109)/2,1)</f>
        <v>28</v>
      </c>
      <c r="DJ109" s="8">
        <f>COUNT(DJ6:DJ105)</f>
        <v>28</v>
      </c>
      <c r="DK109" s="8">
        <f>COUNT(DK6:DK105)</f>
        <v>28</v>
      </c>
      <c r="DL109" s="9">
        <f>FLOOR((DJ109+DK109)/2,1)</f>
        <v>28</v>
      </c>
      <c r="DM109" s="8">
        <f>COUNT(DM6:DM105)</f>
        <v>28</v>
      </c>
      <c r="DN109" s="8">
        <f>COUNT(DN6:DN105)</f>
        <v>28</v>
      </c>
      <c r="DO109" s="9">
        <f>FLOOR((DM109+DN109)/2,1)</f>
        <v>28</v>
      </c>
      <c r="DP109" s="8">
        <f>COUNT(DP6:DP105)</f>
        <v>28</v>
      </c>
      <c r="DQ109" s="8">
        <f>COUNT(DQ6:DQ105)</f>
        <v>28</v>
      </c>
      <c r="DR109" s="9">
        <f>FLOOR((DP109+DQ109)/2,1)</f>
        <v>28</v>
      </c>
      <c r="DS109" s="8">
        <f>COUNT(DS6:DS105)</f>
        <v>28</v>
      </c>
      <c r="DT109" s="8">
        <f>COUNT(DT6:DT105)</f>
        <v>28</v>
      </c>
      <c r="DU109" s="9">
        <f>FLOOR((DS109+DT109)/2,1)</f>
        <v>28</v>
      </c>
      <c r="DV109" s="8">
        <f>COUNT(DV6:DV105)</f>
        <v>28</v>
      </c>
      <c r="DW109" s="8">
        <f>COUNT(DW6:DW105)</f>
        <v>28</v>
      </c>
      <c r="DX109" s="9">
        <f>FLOOR((DV109+DW109)/2,1)</f>
        <v>28</v>
      </c>
      <c r="DY109" s="8">
        <f>COUNT(DY6:DY105)</f>
        <v>28</v>
      </c>
      <c r="DZ109" s="8">
        <f>COUNT(DZ6:DZ105)</f>
        <v>28</v>
      </c>
      <c r="EA109" s="9">
        <f>FLOOR((DY109+DZ109)/2,1)</f>
        <v>28</v>
      </c>
      <c r="EB109" s="8">
        <f>COUNT(EB6:EB105)</f>
        <v>28</v>
      </c>
      <c r="EC109" s="8">
        <f>COUNT(EC6:EC105)</f>
        <v>28</v>
      </c>
      <c r="ED109" s="9">
        <f>FLOOR((EB109+EC109)/2,1)</f>
        <v>28</v>
      </c>
      <c r="EE109" s="82" t="s">
        <v>111</v>
      </c>
      <c r="EF109" s="8">
        <f>COUNT(EF6:EF105)</f>
        <v>28</v>
      </c>
      <c r="EG109" s="8">
        <f>COUNT(EG6:EG105)</f>
        <v>28</v>
      </c>
      <c r="EH109" s="9">
        <f>FLOOR((EF109+EG109)/2,1)</f>
        <v>28</v>
      </c>
      <c r="EI109" s="8">
        <f>COUNT(EI6:EI105)</f>
        <v>28</v>
      </c>
      <c r="EJ109" s="8">
        <f>COUNT(EJ6:EJ105)</f>
        <v>28</v>
      </c>
      <c r="EK109" s="9">
        <f>FLOOR((EI109+EJ109)/2,1)</f>
        <v>28</v>
      </c>
      <c r="EL109" s="8">
        <f>COUNT(EL6:EL105)</f>
        <v>28</v>
      </c>
      <c r="EM109" s="8">
        <f>COUNT(EM6:EM105)</f>
        <v>28</v>
      </c>
      <c r="EN109" s="9">
        <f>FLOOR((EL109+EM109)/2,1)</f>
        <v>28</v>
      </c>
      <c r="EO109" s="8">
        <f>COUNT(EO6:EO105)</f>
        <v>28</v>
      </c>
      <c r="EP109" s="8">
        <f>COUNT(EP6:EP105)</f>
        <v>28</v>
      </c>
      <c r="EQ109" s="9">
        <f>FLOOR((EO109+EP109)/2,1)</f>
        <v>28</v>
      </c>
      <c r="ER109" s="8">
        <f>COUNT(ER6:ER105)</f>
        <v>28</v>
      </c>
      <c r="ES109" s="8">
        <f>COUNT(ES6:ES105)</f>
        <v>28</v>
      </c>
      <c r="ET109" s="9">
        <f>FLOOR((ER109+ES109)/2,1)</f>
        <v>28</v>
      </c>
      <c r="EU109" s="8">
        <f>COUNT(EU6:EU105)</f>
        <v>28</v>
      </c>
      <c r="EV109" s="8">
        <f>COUNT(EV6:EV105)</f>
        <v>28</v>
      </c>
      <c r="EW109" s="9">
        <f>FLOOR((EU109+EV109)/2,1)</f>
        <v>28</v>
      </c>
      <c r="EX109" s="8">
        <f>COUNT(EX6:EX105)</f>
        <v>28</v>
      </c>
      <c r="EY109" s="8">
        <f>COUNT(EY6:EY105)</f>
        <v>28</v>
      </c>
      <c r="EZ109" s="9">
        <f>FLOOR((EX109+EY109)/2,1)</f>
        <v>28</v>
      </c>
      <c r="FA109" s="82" t="s">
        <v>111</v>
      </c>
      <c r="FB109" s="8">
        <f>COUNT(FB6:FB105)</f>
        <v>28</v>
      </c>
      <c r="FC109" s="8">
        <f>COUNT(FC6:FC105)</f>
        <v>28</v>
      </c>
      <c r="FD109" s="9">
        <f>FLOOR((FB109+FC109)/2,1)</f>
        <v>28</v>
      </c>
      <c r="FE109" s="8">
        <f>COUNT(FE6:FE105)</f>
        <v>28</v>
      </c>
      <c r="FF109" s="8">
        <f>COUNT(FF6:FF105)</f>
        <v>28</v>
      </c>
      <c r="FG109" s="9">
        <f>FLOOR((FE109+FF109)/2,1)</f>
        <v>28</v>
      </c>
      <c r="FH109" s="8">
        <f>COUNT(FH6:FH105)</f>
        <v>28</v>
      </c>
      <c r="FI109" s="8">
        <f>COUNT(FI6:FI105)</f>
        <v>28</v>
      </c>
      <c r="FJ109" s="9">
        <f>FLOOR((FH109+FI109)/2,1)</f>
        <v>28</v>
      </c>
      <c r="FK109" s="8">
        <f>COUNT(FK6:FK105)</f>
        <v>28</v>
      </c>
      <c r="FL109" s="8">
        <f>COUNT(FL6:FL105)</f>
        <v>28</v>
      </c>
      <c r="FM109" s="9">
        <f>FLOOR((FK109+FL109)/2,1)</f>
        <v>28</v>
      </c>
      <c r="FN109" s="8">
        <f>COUNT(FN6:FN105)</f>
        <v>28</v>
      </c>
      <c r="FO109" s="8">
        <f>COUNT(FO6:FO105)</f>
        <v>28</v>
      </c>
      <c r="FP109" s="9">
        <f>FLOOR((FN109+FO109)/2,1)</f>
        <v>28</v>
      </c>
      <c r="FQ109" s="8">
        <f>COUNT(FQ6:FQ105)</f>
        <v>28</v>
      </c>
      <c r="FR109" s="8">
        <f>COUNT(FR6:FR105)</f>
        <v>28</v>
      </c>
      <c r="FS109" s="9">
        <f>FLOOR((FQ109+FR109)/2,1)</f>
        <v>28</v>
      </c>
      <c r="FT109" s="82" t="s">
        <v>111</v>
      </c>
      <c r="FU109" s="8">
        <f>COUNT(FU6:FU105)</f>
        <v>28</v>
      </c>
      <c r="FV109" s="8">
        <f>COUNT(FV6:FV105)</f>
        <v>28</v>
      </c>
      <c r="FW109" s="9">
        <f>FLOOR((FU109+FV109)/2,1)</f>
        <v>28</v>
      </c>
      <c r="FX109" s="8">
        <f>COUNT(FX6:FX105)</f>
        <v>28</v>
      </c>
      <c r="FY109" s="8">
        <f>COUNT(FY6:FY105)</f>
        <v>28</v>
      </c>
      <c r="FZ109" s="9">
        <f>FLOOR((FX109+FY109)/2,1)</f>
        <v>28</v>
      </c>
      <c r="GA109" s="8">
        <f>COUNT(GA6:GA105)</f>
        <v>28</v>
      </c>
      <c r="GB109" s="8">
        <f>COUNT(GB6:GB105)</f>
        <v>28</v>
      </c>
      <c r="GC109" s="9">
        <f>FLOOR((GA109+GB109)/2,1)</f>
        <v>28</v>
      </c>
      <c r="GD109" s="8">
        <f>COUNT(GD6:GD105)</f>
        <v>28</v>
      </c>
      <c r="GE109" s="8">
        <f>COUNT(GE6:GE105)</f>
        <v>28</v>
      </c>
      <c r="GF109" s="9">
        <f>FLOOR((GD109+GE109)/2,1)</f>
        <v>28</v>
      </c>
      <c r="GG109" s="8">
        <f>COUNT(GG6:GG105)</f>
        <v>28</v>
      </c>
      <c r="GH109" s="8">
        <f>COUNT(GH6:GH105)</f>
        <v>28</v>
      </c>
      <c r="GI109" s="9">
        <f>FLOOR((GG109+GH109)/2,1)</f>
        <v>28</v>
      </c>
      <c r="GJ109" s="82" t="s">
        <v>111</v>
      </c>
      <c r="GK109" s="8">
        <f>COUNT(GK5:GK104)</f>
        <v>28</v>
      </c>
      <c r="GL109" s="8">
        <f>COUNT(GL5:GL104)</f>
        <v>28</v>
      </c>
      <c r="GM109" s="9">
        <f>FLOOR((GK109+GL109)/2,1)</f>
        <v>28</v>
      </c>
      <c r="GN109" s="8">
        <f>COUNT(GN5:GN104)</f>
        <v>28</v>
      </c>
      <c r="GO109" s="8">
        <f>COUNT(GO5:GO104)</f>
        <v>28</v>
      </c>
      <c r="GP109" s="9">
        <f>FLOOR((GN109+GO109)/2,1)</f>
        <v>28</v>
      </c>
      <c r="GQ109" s="8">
        <f>COUNT(GQ5:GQ104)</f>
        <v>28</v>
      </c>
      <c r="GR109" s="8">
        <f>COUNT(GR5:GR104)</f>
        <v>28</v>
      </c>
      <c r="GS109" s="9">
        <f>FLOOR((GQ109+GR109)/2,1)</f>
        <v>28</v>
      </c>
      <c r="GT109" s="8">
        <f>COUNT(GT5:GT104)</f>
        <v>28</v>
      </c>
      <c r="GU109" s="8">
        <f>COUNT(GU5:GU104)</f>
        <v>28</v>
      </c>
      <c r="GV109" s="9">
        <f>FLOOR((GT109+GU109)/2,1)</f>
        <v>28</v>
      </c>
      <c r="GW109" s="82" t="s">
        <v>111</v>
      </c>
      <c r="GX109" s="8">
        <f>COUNT(GX5:GX104)</f>
        <v>28</v>
      </c>
      <c r="GY109" s="8">
        <f>COUNT(GY5:GY104)</f>
        <v>28</v>
      </c>
      <c r="GZ109" s="9">
        <f>FLOOR((GX109+GY109)/2,1)</f>
        <v>28</v>
      </c>
      <c r="HA109" s="8">
        <f>COUNT(HA5:HA104)</f>
        <v>28</v>
      </c>
      <c r="HB109" s="8">
        <f>COUNT(HB5:HB104)</f>
        <v>28</v>
      </c>
      <c r="HC109" s="9">
        <f>FLOOR((HA109+HB109)/2,1)</f>
        <v>28</v>
      </c>
      <c r="HD109" s="8">
        <f>COUNT(HD5:HD104)</f>
        <v>28</v>
      </c>
      <c r="HE109" s="8">
        <f>COUNT(HE5:HE104)</f>
        <v>28</v>
      </c>
      <c r="HF109" s="9">
        <f>FLOOR((HD109+HE109)/2,1)</f>
        <v>28</v>
      </c>
      <c r="HG109" s="82" t="s">
        <v>111</v>
      </c>
      <c r="HH109" s="8">
        <f>COUNT(HH5:HH104)</f>
        <v>28</v>
      </c>
      <c r="HI109" s="8">
        <f>COUNT(HI5:HI104)</f>
        <v>28</v>
      </c>
      <c r="HJ109" s="9">
        <f>FLOOR((HH109+HI109)/2,1)</f>
        <v>28</v>
      </c>
      <c r="HK109" s="8">
        <f>COUNT(HK6:HK105)</f>
        <v>28</v>
      </c>
      <c r="HL109" s="8">
        <f>COUNT(HL6:HL105)</f>
        <v>28</v>
      </c>
      <c r="HM109" s="9">
        <f>FLOOR((HK109+HL109)/2,1)</f>
        <v>28</v>
      </c>
      <c r="HN109" s="82" t="s">
        <v>111</v>
      </c>
      <c r="HO109" s="8">
        <f>COUNT(HO6:HO105)</f>
        <v>28</v>
      </c>
      <c r="HP109" s="8">
        <f>COUNT(HP6:HP105)</f>
        <v>28</v>
      </c>
      <c r="HQ109" s="9">
        <f>FLOOR((HO109+HP109)/2,1)</f>
        <v>28</v>
      </c>
      <c r="HR109" s="82" t="s">
        <v>111</v>
      </c>
      <c r="HS109" s="8">
        <f>COUNT(HS6:HS105)</f>
        <v>28</v>
      </c>
      <c r="HT109" s="8">
        <f>COUNT(HT6:HT105)</f>
        <v>28</v>
      </c>
      <c r="HU109" s="9">
        <f>FLOOR((HS109+HT109)/2,1)</f>
        <v>28</v>
      </c>
      <c r="HV109" s="8">
        <f>COUNT(HV6:HV105)</f>
        <v>28</v>
      </c>
      <c r="HW109" s="8">
        <f>COUNT(HW6:HW105)</f>
        <v>28</v>
      </c>
      <c r="HX109" s="9">
        <f>FLOOR((HV109+HW109)/2,1)</f>
        <v>28</v>
      </c>
      <c r="HY109" s="8">
        <f>COUNT(HY6:HY105)</f>
        <v>28</v>
      </c>
      <c r="HZ109" s="8">
        <f>COUNT(HZ6:HZ105)</f>
        <v>28</v>
      </c>
      <c r="IA109" s="9">
        <f>FLOOR((HY109+HZ109)/2,1)</f>
        <v>28</v>
      </c>
      <c r="IB109" s="8">
        <f>COUNT(IB6:IB105)</f>
        <v>28</v>
      </c>
      <c r="IC109" s="8">
        <f>COUNT(IC6:IC105)</f>
        <v>28</v>
      </c>
      <c r="ID109" s="9">
        <f>FLOOR((IB109+IC109)/2,1)</f>
        <v>28</v>
      </c>
      <c r="IE109" s="8">
        <f>COUNT(IE6:IE105)</f>
        <v>28</v>
      </c>
      <c r="IF109" s="8">
        <f>COUNT(IF6:IF105)</f>
        <v>28</v>
      </c>
      <c r="IG109" s="9">
        <f>FLOOR((IE109+IF109)/2,1)</f>
        <v>28</v>
      </c>
      <c r="IH109" s="8">
        <f>COUNT(IH6:IH105)</f>
        <v>28</v>
      </c>
      <c r="II109" s="8">
        <f>COUNT(II6:II105)</f>
        <v>28</v>
      </c>
      <c r="IJ109" s="9">
        <f>FLOOR((IH109+II109)/2,1)</f>
        <v>28</v>
      </c>
      <c r="IK109" s="8">
        <f>COUNT(IK6:IK105)</f>
        <v>28</v>
      </c>
      <c r="IL109" s="8">
        <f>COUNT(IL6:IL105)</f>
        <v>28</v>
      </c>
      <c r="IM109" s="9">
        <f>FLOOR((IK109+IL109)/2,1)</f>
        <v>28</v>
      </c>
      <c r="IN109" s="8">
        <f>COUNT(IN6:IN105)</f>
        <v>28</v>
      </c>
      <c r="IO109" s="8">
        <f>COUNT(IO6:IO105)</f>
        <v>28</v>
      </c>
      <c r="IP109" s="9">
        <f>FLOOR((IN109+IO109)/2,1)</f>
        <v>28</v>
      </c>
      <c r="IQ109" s="8">
        <f>COUNT(IQ6:IQ105)</f>
        <v>28</v>
      </c>
      <c r="IR109" s="8">
        <f>COUNT(IR6:IR105)</f>
        <v>28</v>
      </c>
      <c r="IS109" s="9">
        <f>FLOOR((IQ109+IR109)/2,1)</f>
        <v>28</v>
      </c>
      <c r="IT109" s="8">
        <f>COUNT(IT6:IT105)</f>
        <v>28</v>
      </c>
      <c r="IU109" s="8">
        <f>COUNT(IU6:IU105)</f>
        <v>28</v>
      </c>
      <c r="IV109" s="9">
        <f>FLOOR((IT109+IU109)/2,1)</f>
        <v>28</v>
      </c>
    </row>
    <row r="110" spans="1:256" x14ac:dyDescent="0.2">
      <c r="A110" s="7" t="s">
        <v>156</v>
      </c>
      <c r="B110" s="7">
        <f>IF(B109&gt;0,GEOMEAN(B6:B105),"")</f>
        <v>18.9686252431759</v>
      </c>
      <c r="C110" s="7">
        <f>IF(C109&gt;0,GEOMEAN(C6:C105),"")</f>
        <v>23.961222172932999</v>
      </c>
      <c r="D110" s="7">
        <f t="shared" ref="D110:M110" si="705">IF(D109&gt;0,GEOMEAN(D6:D105),"")</f>
        <v>25.688261283778065</v>
      </c>
      <c r="E110" s="7">
        <f t="shared" si="705"/>
        <v>18.691851852839797</v>
      </c>
      <c r="F110" s="7">
        <f t="shared" si="705"/>
        <v>22.553121152841079</v>
      </c>
      <c r="G110" s="7">
        <f t="shared" si="705"/>
        <v>20.602693257180029</v>
      </c>
      <c r="H110" s="7">
        <f t="shared" si="705"/>
        <v>19.737053865551637</v>
      </c>
      <c r="I110" s="7">
        <f t="shared" si="705"/>
        <v>25.83964076216532</v>
      </c>
      <c r="J110" s="7">
        <f t="shared" si="705"/>
        <v>17.73710214259448</v>
      </c>
      <c r="K110" s="7">
        <f t="shared" si="705"/>
        <v>24.079360535728128</v>
      </c>
      <c r="L110" s="83" t="s">
        <v>224</v>
      </c>
      <c r="M110" s="7">
        <f t="shared" si="705"/>
        <v>21.598117157419043</v>
      </c>
      <c r="N110" s="7" t="s">
        <v>156</v>
      </c>
      <c r="O110" s="76"/>
      <c r="P110" s="77"/>
      <c r="Q110" s="78" t="s">
        <v>11</v>
      </c>
      <c r="R110" s="78">
        <f t="shared" si="692"/>
        <v>3.583446198869336</v>
      </c>
      <c r="S110" s="78"/>
      <c r="T110" s="78"/>
      <c r="U110" s="136">
        <f t="shared" si="693"/>
        <v>16.146700405551492</v>
      </c>
      <c r="V110" s="78"/>
      <c r="W110" s="78"/>
      <c r="X110" s="78">
        <f t="shared" si="694"/>
        <v>4.8149103448182311</v>
      </c>
      <c r="Y110" s="78"/>
      <c r="Z110" s="78"/>
      <c r="AA110" s="78">
        <f t="shared" si="695"/>
        <v>1.9620096018432331</v>
      </c>
      <c r="AB110" s="78"/>
      <c r="AC110" s="78"/>
      <c r="AD110" s="78">
        <f t="shared" si="696"/>
        <v>2.3123157388400597</v>
      </c>
      <c r="AE110" s="78"/>
      <c r="AF110" s="78"/>
      <c r="AG110" s="78">
        <f t="shared" si="697"/>
        <v>1.1126771424386381</v>
      </c>
      <c r="AH110" s="78"/>
      <c r="AI110" s="78"/>
      <c r="AJ110" s="78">
        <f t="shared" si="698"/>
        <v>1.4555361006509591</v>
      </c>
      <c r="AK110" s="78"/>
      <c r="AL110" s="78"/>
      <c r="AM110" s="78">
        <f t="shared" si="699"/>
        <v>120.90972148788063</v>
      </c>
      <c r="AN110" s="78"/>
      <c r="AO110" s="78"/>
      <c r="AP110" s="78">
        <f t="shared" si="700"/>
        <v>2.1654565308684628</v>
      </c>
      <c r="AQ110" s="78"/>
      <c r="AR110" s="78"/>
      <c r="AS110" s="78">
        <f t="shared" si="701"/>
        <v>0.90660114104401635</v>
      </c>
      <c r="AT110" s="78"/>
      <c r="AU110" s="57"/>
      <c r="AV110" s="78" t="str">
        <f t="shared" si="703"/>
        <v>±37,3</v>
      </c>
      <c r="AW110" s="132">
        <f t="shared" si="704"/>
        <v>37.299999999999997</v>
      </c>
      <c r="AX110" s="4"/>
      <c r="AY110" s="82" t="s">
        <v>112</v>
      </c>
      <c r="AZ110" s="8">
        <f t="shared" ref="AZ110:BK110" si="706">SUM(AZ6:AZ105)</f>
        <v>532.5</v>
      </c>
      <c r="BA110" s="8">
        <f t="shared" si="706"/>
        <v>673.36</v>
      </c>
      <c r="BB110" s="9">
        <f t="shared" si="706"/>
        <v>12864.5399</v>
      </c>
      <c r="BC110" s="8">
        <f t="shared" si="706"/>
        <v>532.5</v>
      </c>
      <c r="BD110" s="8">
        <f t="shared" si="706"/>
        <v>720.11999999999989</v>
      </c>
      <c r="BE110" s="9">
        <f t="shared" si="706"/>
        <v>13730.401100000001</v>
      </c>
      <c r="BF110" s="8">
        <f t="shared" si="706"/>
        <v>532.5</v>
      </c>
      <c r="BG110" s="8">
        <f t="shared" si="706"/>
        <v>524.54999999999995</v>
      </c>
      <c r="BH110" s="9">
        <f t="shared" si="706"/>
        <v>10021.436900000001</v>
      </c>
      <c r="BI110" s="8">
        <f t="shared" si="706"/>
        <v>532.5</v>
      </c>
      <c r="BJ110" s="8">
        <f t="shared" si="706"/>
        <v>633.1400000000001</v>
      </c>
      <c r="BK110" s="9">
        <f t="shared" si="706"/>
        <v>12095.179300000003</v>
      </c>
      <c r="BL110" s="8">
        <f t="shared" ref="BL110:BZ110" si="707">SUM(BL6:BL105)</f>
        <v>532.5</v>
      </c>
      <c r="BM110" s="8">
        <f t="shared" si="707"/>
        <v>577.5</v>
      </c>
      <c r="BN110" s="9">
        <f t="shared" si="707"/>
        <v>11006.601199999999</v>
      </c>
      <c r="BO110" s="8">
        <f t="shared" si="707"/>
        <v>532.5</v>
      </c>
      <c r="BP110" s="8">
        <f t="shared" si="707"/>
        <v>553.54000000000008</v>
      </c>
      <c r="BQ110" s="9">
        <f t="shared" si="707"/>
        <v>10559.193300000001</v>
      </c>
      <c r="BR110" s="8">
        <f t="shared" si="707"/>
        <v>532.5</v>
      </c>
      <c r="BS110" s="8">
        <f t="shared" si="707"/>
        <v>726.76</v>
      </c>
      <c r="BT110" s="9">
        <f t="shared" si="707"/>
        <v>13892.2747</v>
      </c>
      <c r="BU110" s="8">
        <f t="shared" si="707"/>
        <v>532.5</v>
      </c>
      <c r="BV110" s="8">
        <f t="shared" si="707"/>
        <v>498.04000000000013</v>
      </c>
      <c r="BW110" s="9">
        <f t="shared" si="707"/>
        <v>9513.4461999999985</v>
      </c>
      <c r="BX110" s="8">
        <f t="shared" si="707"/>
        <v>532.5</v>
      </c>
      <c r="BY110" s="8">
        <f t="shared" si="707"/>
        <v>675.87</v>
      </c>
      <c r="BZ110" s="9">
        <f t="shared" si="707"/>
        <v>12911.714199999999</v>
      </c>
      <c r="CA110" s="8">
        <f>SUM(CA6:CA105)</f>
        <v>532.5</v>
      </c>
      <c r="CB110" s="8">
        <f>SUM(CB6:CB105)</f>
        <v>605.780210444506</v>
      </c>
      <c r="CC110" s="9">
        <f>SUM(CC6:CC105)</f>
        <v>11567.536795238933</v>
      </c>
      <c r="CD110" s="82" t="s">
        <v>112</v>
      </c>
      <c r="CE110" s="8">
        <f>SUM(CE6:CE105)</f>
        <v>673.36</v>
      </c>
      <c r="CF110" s="8">
        <f>SUM(CF6:CF105)</f>
        <v>720.11999999999989</v>
      </c>
      <c r="CG110" s="9">
        <f>SUM(CG6:CG105)</f>
        <v>17352.143999999997</v>
      </c>
      <c r="CH110" s="8">
        <f t="shared" ref="CH110:DE110" si="708">SUM(CH6:CH105)</f>
        <v>673.36</v>
      </c>
      <c r="CI110" s="8">
        <f t="shared" si="708"/>
        <v>524.54999999999995</v>
      </c>
      <c r="CJ110" s="9">
        <f t="shared" si="708"/>
        <v>12659.894399999999</v>
      </c>
      <c r="CK110" s="8">
        <f t="shared" si="708"/>
        <v>673.36</v>
      </c>
      <c r="CL110" s="8">
        <f t="shared" si="708"/>
        <v>633.1400000000001</v>
      </c>
      <c r="CM110" s="9">
        <f t="shared" si="708"/>
        <v>15297.105799999999</v>
      </c>
      <c r="CN110" s="8">
        <f t="shared" si="708"/>
        <v>673.36</v>
      </c>
      <c r="CO110" s="8">
        <f t="shared" si="708"/>
        <v>577.5</v>
      </c>
      <c r="CP110" s="9">
        <f t="shared" si="708"/>
        <v>13919.215099999999</v>
      </c>
      <c r="CQ110" s="8">
        <f t="shared" si="708"/>
        <v>673.36</v>
      </c>
      <c r="CR110" s="8">
        <f t="shared" si="708"/>
        <v>553.54000000000008</v>
      </c>
      <c r="CS110" s="9">
        <f t="shared" si="708"/>
        <v>13363.993500000004</v>
      </c>
      <c r="CT110" s="8">
        <f t="shared" si="708"/>
        <v>673.36</v>
      </c>
      <c r="CU110" s="8">
        <f t="shared" si="708"/>
        <v>726.76</v>
      </c>
      <c r="CV110" s="9">
        <f t="shared" si="708"/>
        <v>17582.777499999997</v>
      </c>
      <c r="CW110" s="8">
        <f t="shared" si="708"/>
        <v>673.36</v>
      </c>
      <c r="CX110" s="8">
        <f t="shared" si="708"/>
        <v>498.04000000000013</v>
      </c>
      <c r="CY110" s="9">
        <f t="shared" si="708"/>
        <v>12034.263100000002</v>
      </c>
      <c r="CZ110" s="8">
        <f t="shared" si="708"/>
        <v>673.36</v>
      </c>
      <c r="DA110" s="8">
        <f t="shared" si="708"/>
        <v>675.87</v>
      </c>
      <c r="DB110" s="9">
        <f t="shared" si="708"/>
        <v>16314.389899999998</v>
      </c>
      <c r="DC110" s="8">
        <f t="shared" si="708"/>
        <v>673.36</v>
      </c>
      <c r="DD110" s="8">
        <f t="shared" si="708"/>
        <v>605.780210444506</v>
      </c>
      <c r="DE110" s="9">
        <f t="shared" si="708"/>
        <v>14630.660424779182</v>
      </c>
      <c r="DF110" s="82" t="s">
        <v>112</v>
      </c>
      <c r="DG110" s="8">
        <f t="shared" ref="DG110:ED110" si="709">SUM(DG6:DG105)</f>
        <v>720.11999999999989</v>
      </c>
      <c r="DH110" s="8">
        <f t="shared" si="709"/>
        <v>524.54999999999995</v>
      </c>
      <c r="DI110" s="9">
        <f t="shared" si="709"/>
        <v>13517.530999999999</v>
      </c>
      <c r="DJ110" s="8">
        <f t="shared" si="709"/>
        <v>720.11999999999989</v>
      </c>
      <c r="DK110" s="8">
        <f t="shared" si="709"/>
        <v>633.1400000000001</v>
      </c>
      <c r="DL110" s="9">
        <f t="shared" si="709"/>
        <v>16319.307300000002</v>
      </c>
      <c r="DM110" s="8">
        <f t="shared" si="709"/>
        <v>720.11999999999989</v>
      </c>
      <c r="DN110" s="8">
        <f t="shared" si="709"/>
        <v>577.5</v>
      </c>
      <c r="DO110" s="9">
        <f t="shared" si="709"/>
        <v>14869.198700000003</v>
      </c>
      <c r="DP110" s="8">
        <f t="shared" si="709"/>
        <v>720.11999999999989</v>
      </c>
      <c r="DQ110" s="8">
        <f t="shared" si="709"/>
        <v>553.54000000000008</v>
      </c>
      <c r="DR110" s="9">
        <f t="shared" si="709"/>
        <v>14258.298199999999</v>
      </c>
      <c r="DS110" s="8">
        <f t="shared" si="709"/>
        <v>720.11999999999989</v>
      </c>
      <c r="DT110" s="8">
        <f t="shared" si="709"/>
        <v>726.76</v>
      </c>
      <c r="DU110" s="9">
        <f t="shared" si="709"/>
        <v>18732.497299999999</v>
      </c>
      <c r="DV110" s="8">
        <f t="shared" si="709"/>
        <v>720.11999999999989</v>
      </c>
      <c r="DW110" s="8">
        <f t="shared" si="709"/>
        <v>498.04000000000013</v>
      </c>
      <c r="DX110" s="9">
        <f t="shared" si="709"/>
        <v>12835.3205</v>
      </c>
      <c r="DY110" s="8">
        <f t="shared" si="709"/>
        <v>720.11999999999989</v>
      </c>
      <c r="DZ110" s="8">
        <f t="shared" si="709"/>
        <v>675.87</v>
      </c>
      <c r="EA110" s="9">
        <f t="shared" si="709"/>
        <v>17422.519800000005</v>
      </c>
      <c r="EB110" s="8">
        <f t="shared" si="709"/>
        <v>720.11999999999989</v>
      </c>
      <c r="EC110" s="8">
        <f t="shared" si="709"/>
        <v>605.780210444506</v>
      </c>
      <c r="ED110" s="9">
        <f t="shared" si="709"/>
        <v>15611.408615612067</v>
      </c>
      <c r="EE110" s="82" t="s">
        <v>112</v>
      </c>
      <c r="EF110" s="8">
        <f t="shared" ref="EF110:EZ110" si="710">SUM(EF6:EF105)</f>
        <v>524.54999999999995</v>
      </c>
      <c r="EG110" s="8">
        <f t="shared" si="710"/>
        <v>633.1400000000001</v>
      </c>
      <c r="EH110" s="9">
        <f t="shared" si="710"/>
        <v>11909.5825</v>
      </c>
      <c r="EI110" s="8">
        <f t="shared" si="710"/>
        <v>524.54999999999995</v>
      </c>
      <c r="EJ110" s="8">
        <f t="shared" si="710"/>
        <v>577.5</v>
      </c>
      <c r="EK110" s="9">
        <f t="shared" si="710"/>
        <v>10841.700200000001</v>
      </c>
      <c r="EL110" s="8">
        <f t="shared" si="710"/>
        <v>524.54999999999995</v>
      </c>
      <c r="EM110" s="8">
        <f t="shared" si="710"/>
        <v>553.54000000000008</v>
      </c>
      <c r="EN110" s="9">
        <f t="shared" si="710"/>
        <v>10397.113599999999</v>
      </c>
      <c r="EO110" s="8">
        <f t="shared" si="710"/>
        <v>524.54999999999995</v>
      </c>
      <c r="EP110" s="8">
        <f t="shared" si="710"/>
        <v>726.76</v>
      </c>
      <c r="EQ110" s="9">
        <f t="shared" si="710"/>
        <v>13669.111500000001</v>
      </c>
      <c r="ER110" s="8">
        <f t="shared" si="710"/>
        <v>524.54999999999995</v>
      </c>
      <c r="ES110" s="8">
        <f t="shared" si="710"/>
        <v>498.04000000000013</v>
      </c>
      <c r="ET110" s="9">
        <f t="shared" si="710"/>
        <v>9371.1237000000001</v>
      </c>
      <c r="EU110" s="8">
        <f t="shared" si="710"/>
        <v>524.54999999999995</v>
      </c>
      <c r="EV110" s="8">
        <f t="shared" si="710"/>
        <v>675.87</v>
      </c>
      <c r="EW110" s="9">
        <f t="shared" si="710"/>
        <v>12712.811100000001</v>
      </c>
      <c r="EX110" s="8">
        <f t="shared" si="710"/>
        <v>524.54999999999995</v>
      </c>
      <c r="EY110" s="8">
        <f t="shared" si="710"/>
        <v>605.780210444506</v>
      </c>
      <c r="EZ110" s="9">
        <f t="shared" si="710"/>
        <v>11389.360629313231</v>
      </c>
      <c r="FA110" s="82" t="s">
        <v>112</v>
      </c>
      <c r="FB110" s="8">
        <f t="shared" ref="FB110:FS110" si="711">SUM(FB6:FB105)</f>
        <v>633.1400000000001</v>
      </c>
      <c r="FC110" s="8">
        <f t="shared" si="711"/>
        <v>577.5</v>
      </c>
      <c r="FD110" s="9">
        <f t="shared" si="711"/>
        <v>13094.208399999998</v>
      </c>
      <c r="FE110" s="8">
        <f t="shared" si="711"/>
        <v>633.1400000000001</v>
      </c>
      <c r="FF110" s="8">
        <f t="shared" si="711"/>
        <v>553.54000000000008</v>
      </c>
      <c r="FG110" s="9">
        <f t="shared" si="711"/>
        <v>12559.672900000003</v>
      </c>
      <c r="FH110" s="8">
        <f t="shared" si="711"/>
        <v>633.1400000000001</v>
      </c>
      <c r="FI110" s="8">
        <f t="shared" si="711"/>
        <v>726.76</v>
      </c>
      <c r="FJ110" s="9">
        <f t="shared" si="711"/>
        <v>16511.150199999996</v>
      </c>
      <c r="FK110" s="8">
        <f t="shared" si="711"/>
        <v>633.1400000000001</v>
      </c>
      <c r="FL110" s="8">
        <f t="shared" si="711"/>
        <v>498.04000000000013</v>
      </c>
      <c r="FM110" s="9">
        <f t="shared" si="711"/>
        <v>11315.8244</v>
      </c>
      <c r="FN110" s="8">
        <f t="shared" si="711"/>
        <v>633.1400000000001</v>
      </c>
      <c r="FO110" s="8">
        <f t="shared" si="711"/>
        <v>675.87</v>
      </c>
      <c r="FP110" s="9">
        <f t="shared" si="711"/>
        <v>15345.737800000003</v>
      </c>
      <c r="FQ110" s="8">
        <f t="shared" si="711"/>
        <v>633.1400000000001</v>
      </c>
      <c r="FR110" s="8">
        <f t="shared" si="711"/>
        <v>605.780210444506</v>
      </c>
      <c r="FS110" s="9">
        <f t="shared" si="711"/>
        <v>13753.871504721137</v>
      </c>
      <c r="FT110" s="82" t="s">
        <v>112</v>
      </c>
      <c r="FU110" s="8">
        <f t="shared" ref="FU110:GI110" si="712">SUM(FU6:FU105)</f>
        <v>577.5</v>
      </c>
      <c r="FV110" s="8">
        <f t="shared" si="712"/>
        <v>553.54000000000008</v>
      </c>
      <c r="FW110" s="9">
        <f t="shared" si="712"/>
        <v>11442.3138</v>
      </c>
      <c r="FX110" s="8">
        <f t="shared" si="712"/>
        <v>577.5</v>
      </c>
      <c r="FY110" s="8">
        <f t="shared" si="712"/>
        <v>726.76</v>
      </c>
      <c r="FZ110" s="9">
        <f t="shared" si="712"/>
        <v>15024.7219</v>
      </c>
      <c r="GA110" s="8">
        <f t="shared" si="712"/>
        <v>577.5</v>
      </c>
      <c r="GB110" s="8">
        <f t="shared" si="712"/>
        <v>498.04000000000013</v>
      </c>
      <c r="GC110" s="9">
        <f t="shared" si="712"/>
        <v>10303.0286</v>
      </c>
      <c r="GD110" s="8">
        <f t="shared" si="712"/>
        <v>577.5</v>
      </c>
      <c r="GE110" s="8">
        <f t="shared" si="712"/>
        <v>675.87</v>
      </c>
      <c r="GF110" s="9">
        <f t="shared" si="712"/>
        <v>13974.032800000001</v>
      </c>
      <c r="GG110" s="8">
        <f t="shared" si="712"/>
        <v>577.5</v>
      </c>
      <c r="GH110" s="8">
        <f t="shared" si="712"/>
        <v>605.780210444506</v>
      </c>
      <c r="GI110" s="9">
        <f t="shared" si="712"/>
        <v>12522.43088547841</v>
      </c>
      <c r="GJ110" s="82" t="s">
        <v>112</v>
      </c>
      <c r="GK110" s="8">
        <f t="shared" ref="GK110:GV110" si="713">SUM(GK5:GK104)</f>
        <v>553.54000000000008</v>
      </c>
      <c r="GL110" s="8">
        <f t="shared" si="713"/>
        <v>726.76</v>
      </c>
      <c r="GM110" s="9">
        <f t="shared" si="713"/>
        <v>14420.061099999999</v>
      </c>
      <c r="GN110" s="8">
        <f t="shared" si="713"/>
        <v>553.54000000000008</v>
      </c>
      <c r="GO110" s="8">
        <f t="shared" si="713"/>
        <v>498.04000000000013</v>
      </c>
      <c r="GP110" s="9">
        <f t="shared" si="713"/>
        <v>9882.0049999999992</v>
      </c>
      <c r="GQ110" s="8">
        <f t="shared" si="713"/>
        <v>553.54000000000008</v>
      </c>
      <c r="GR110" s="8">
        <f t="shared" si="713"/>
        <v>675.87</v>
      </c>
      <c r="GS110" s="9">
        <f t="shared" si="713"/>
        <v>13406.215899999999</v>
      </c>
      <c r="GT110" s="8">
        <f t="shared" si="713"/>
        <v>553.54000000000008</v>
      </c>
      <c r="GU110" s="8">
        <f t="shared" si="713"/>
        <v>605.780210444506</v>
      </c>
      <c r="GV110" s="9">
        <f t="shared" si="713"/>
        <v>12012.771815379747</v>
      </c>
      <c r="GW110" s="82" t="s">
        <v>112</v>
      </c>
      <c r="GX110" s="8">
        <f t="shared" ref="GX110:HF110" si="714">SUM(GX5:GX104)</f>
        <v>726.76</v>
      </c>
      <c r="GY110" s="8">
        <f t="shared" si="714"/>
        <v>498.04000000000013</v>
      </c>
      <c r="GZ110" s="9">
        <f t="shared" si="714"/>
        <v>12988.815200000001</v>
      </c>
      <c r="HA110" s="8">
        <f t="shared" si="714"/>
        <v>726.76</v>
      </c>
      <c r="HB110" s="8">
        <f t="shared" si="714"/>
        <v>675.87</v>
      </c>
      <c r="HC110" s="9">
        <f t="shared" si="714"/>
        <v>17608.329199999996</v>
      </c>
      <c r="HD110" s="8">
        <f t="shared" si="714"/>
        <v>726.76</v>
      </c>
      <c r="HE110" s="8">
        <f t="shared" si="714"/>
        <v>605.780210444506</v>
      </c>
      <c r="HF110" s="9">
        <f t="shared" si="714"/>
        <v>15795.104388485608</v>
      </c>
      <c r="HG110" s="82" t="s">
        <v>112</v>
      </c>
      <c r="HH110" s="8">
        <f>SUM(HH5:HH104)</f>
        <v>498.04000000000013</v>
      </c>
      <c r="HI110" s="8">
        <f>SUM(HI5:HI104)</f>
        <v>675.87</v>
      </c>
      <c r="HJ110" s="9">
        <f>SUM(HJ5:HJ104)</f>
        <v>12072.091299999998</v>
      </c>
      <c r="HK110" s="8">
        <f>SUM(HK6:HK105)</f>
        <v>498.04000000000013</v>
      </c>
      <c r="HL110" s="8">
        <f>SUM(HL6:HL105)</f>
        <v>605.780210444506</v>
      </c>
      <c r="HM110" s="9">
        <f>SUM(HM6:HM105)</f>
        <v>10820.115371118603</v>
      </c>
      <c r="HN110" s="82" t="s">
        <v>112</v>
      </c>
      <c r="HO110" s="8">
        <f>SUM(HO6:HO105)</f>
        <v>675.87</v>
      </c>
      <c r="HP110" s="8">
        <f>SUM(HP6:HP105)</f>
        <v>605.780210444506</v>
      </c>
      <c r="HQ110" s="9">
        <f>SUM(HQ6:HQ105)</f>
        <v>14677.386370936929</v>
      </c>
      <c r="HR110" s="82" t="s">
        <v>112</v>
      </c>
      <c r="HS110" s="8">
        <f t="shared" ref="HS110:IV110" si="715">SUM(HS6:HS105)</f>
        <v>605.780210444506</v>
      </c>
      <c r="HT110" s="8">
        <f t="shared" si="715"/>
        <v>532.5</v>
      </c>
      <c r="HU110" s="9">
        <f t="shared" si="715"/>
        <v>11567.536795238933</v>
      </c>
      <c r="HV110" s="8">
        <f t="shared" si="715"/>
        <v>605.780210444506</v>
      </c>
      <c r="HW110" s="8">
        <f t="shared" si="715"/>
        <v>673.36</v>
      </c>
      <c r="HX110" s="9">
        <f t="shared" si="715"/>
        <v>14630.660424779182</v>
      </c>
      <c r="HY110" s="8">
        <f t="shared" si="715"/>
        <v>605.780210444506</v>
      </c>
      <c r="HZ110" s="8">
        <f t="shared" si="715"/>
        <v>720.11999999999989</v>
      </c>
      <c r="IA110" s="9">
        <f t="shared" si="715"/>
        <v>15611.408615612067</v>
      </c>
      <c r="IB110" s="8">
        <f t="shared" si="715"/>
        <v>605.780210444506</v>
      </c>
      <c r="IC110" s="8">
        <f t="shared" si="715"/>
        <v>524.54999999999995</v>
      </c>
      <c r="ID110" s="9">
        <f t="shared" si="715"/>
        <v>11389.360629313231</v>
      </c>
      <c r="IE110" s="8">
        <f t="shared" si="715"/>
        <v>605.780210444506</v>
      </c>
      <c r="IF110" s="8">
        <f t="shared" si="715"/>
        <v>633.1400000000001</v>
      </c>
      <c r="IG110" s="9">
        <f t="shared" si="715"/>
        <v>13753.871504721137</v>
      </c>
      <c r="IH110" s="8">
        <f t="shared" si="715"/>
        <v>605.780210444506</v>
      </c>
      <c r="II110" s="8">
        <f t="shared" si="715"/>
        <v>577.5</v>
      </c>
      <c r="IJ110" s="9">
        <f t="shared" si="715"/>
        <v>12522.43088547841</v>
      </c>
      <c r="IK110" s="8">
        <f t="shared" si="715"/>
        <v>605.780210444506</v>
      </c>
      <c r="IL110" s="8">
        <f t="shared" si="715"/>
        <v>553.54000000000008</v>
      </c>
      <c r="IM110" s="9">
        <f t="shared" si="715"/>
        <v>12012.771815379747</v>
      </c>
      <c r="IN110" s="8">
        <f t="shared" si="715"/>
        <v>605.780210444506</v>
      </c>
      <c r="IO110" s="8">
        <f t="shared" si="715"/>
        <v>726.76</v>
      </c>
      <c r="IP110" s="9">
        <f t="shared" si="715"/>
        <v>15795.104388485608</v>
      </c>
      <c r="IQ110" s="8">
        <f t="shared" si="715"/>
        <v>605.780210444506</v>
      </c>
      <c r="IR110" s="8">
        <f t="shared" si="715"/>
        <v>498.04000000000013</v>
      </c>
      <c r="IS110" s="9">
        <f t="shared" si="715"/>
        <v>10820.115371118603</v>
      </c>
      <c r="IT110" s="8">
        <f t="shared" si="715"/>
        <v>605.780210444506</v>
      </c>
      <c r="IU110" s="8">
        <f t="shared" si="715"/>
        <v>675.87</v>
      </c>
      <c r="IV110" s="9">
        <f t="shared" si="715"/>
        <v>14677.386370936929</v>
      </c>
    </row>
    <row r="111" spans="1:256" x14ac:dyDescent="0.2">
      <c r="A111" s="7" t="s">
        <v>157</v>
      </c>
      <c r="B111" s="7">
        <f>IF(B109&gt;0,AVERAGE(B6:B105),"")</f>
        <v>19.017857142857142</v>
      </c>
      <c r="C111" s="7">
        <f>IF(C109&gt;0,AVERAGE(C6:C105),"")</f>
        <v>24.048571428571428</v>
      </c>
      <c r="D111" s="7">
        <f t="shared" ref="D111:K111" si="716">IF(D109&gt;0,AVERAGE(D6:D105),"")</f>
        <v>25.718571428571426</v>
      </c>
      <c r="E111" s="7">
        <f t="shared" si="716"/>
        <v>18.733928571428571</v>
      </c>
      <c r="F111" s="7">
        <f t="shared" si="716"/>
        <v>22.61214285714286</v>
      </c>
      <c r="G111" s="7">
        <f t="shared" si="716"/>
        <v>20.625</v>
      </c>
      <c r="H111" s="7">
        <f t="shared" si="716"/>
        <v>19.769285714285719</v>
      </c>
      <c r="I111" s="7">
        <f t="shared" si="716"/>
        <v>25.955714285714286</v>
      </c>
      <c r="J111" s="7">
        <f t="shared" si="716"/>
        <v>17.787142857142861</v>
      </c>
      <c r="K111" s="7">
        <f t="shared" si="716"/>
        <v>24.138214285714287</v>
      </c>
      <c r="L111" s="83" t="s">
        <v>224</v>
      </c>
      <c r="M111" s="7">
        <f>IF(M109&gt;0,AVERAGE(M6:M105),"")</f>
        <v>21.635007515875213</v>
      </c>
      <c r="N111" s="7" t="s">
        <v>157</v>
      </c>
      <c r="O111" s="76"/>
      <c r="P111" s="77"/>
      <c r="Q111" s="78" t="s">
        <v>12</v>
      </c>
      <c r="R111" s="78">
        <f t="shared" si="692"/>
        <v>4.9291309268935528</v>
      </c>
      <c r="S111" s="78"/>
      <c r="T111" s="78"/>
      <c r="U111" s="136">
        <f t="shared" si="693"/>
        <v>1.232504261760617</v>
      </c>
      <c r="V111" s="78"/>
      <c r="W111" s="78"/>
      <c r="X111" s="78">
        <f t="shared" si="694"/>
        <v>1.76671603228472</v>
      </c>
      <c r="Y111" s="78"/>
      <c r="Z111" s="78"/>
      <c r="AA111" s="78">
        <f t="shared" si="695"/>
        <v>3.4242532086471136</v>
      </c>
      <c r="AB111" s="78"/>
      <c r="AC111" s="78"/>
      <c r="AD111" s="78">
        <f t="shared" si="696"/>
        <v>0.54195172116672907</v>
      </c>
      <c r="AE111" s="78"/>
      <c r="AF111" s="78"/>
      <c r="AG111" s="78">
        <f t="shared" si="697"/>
        <v>1.1126771424386381</v>
      </c>
      <c r="AH111" s="78"/>
      <c r="AI111" s="78"/>
      <c r="AJ111" s="78">
        <f t="shared" si="698"/>
        <v>1.4849459629001893</v>
      </c>
      <c r="AK111" s="78"/>
      <c r="AL111" s="78"/>
      <c r="AM111" s="78">
        <f t="shared" si="699"/>
        <v>2.112001778828442</v>
      </c>
      <c r="AN111" s="78"/>
      <c r="AO111" s="78"/>
      <c r="AP111" s="78">
        <f t="shared" si="700"/>
        <v>1.8258474755275309</v>
      </c>
      <c r="AQ111" s="78"/>
      <c r="AR111" s="78"/>
      <c r="AS111" s="78">
        <f t="shared" si="701"/>
        <v>10.913697281604721</v>
      </c>
      <c r="AT111" s="78"/>
      <c r="AU111" s="57"/>
      <c r="AV111" s="78" t="str">
        <f t="shared" si="703"/>
        <v>±3,08</v>
      </c>
      <c r="AW111" s="132">
        <f t="shared" si="704"/>
        <v>3.08</v>
      </c>
      <c r="AX111" s="81"/>
      <c r="AY111" s="82" t="s">
        <v>113</v>
      </c>
      <c r="AZ111" s="8">
        <f>IF(AZ109&gt;0,ROUND(AVERAGE(AZ6:AZ105),3),"")</f>
        <v>19.018000000000001</v>
      </c>
      <c r="BA111" s="8">
        <f>IF(BA109&gt;0,ROUND(AVERAGE(BA6:BA105),3),"")</f>
        <v>24.048999999999999</v>
      </c>
      <c r="BB111" s="10"/>
      <c r="BC111" s="8">
        <f>IF(BC109&gt;0,ROUND(AVERAGE(BC6:BC105),3),"")</f>
        <v>19.018000000000001</v>
      </c>
      <c r="BD111" s="8">
        <f>IF(BD109&gt;0,ROUND(AVERAGE(BD6:BD105),3),"")</f>
        <v>25.719000000000001</v>
      </c>
      <c r="BE111" s="10"/>
      <c r="BF111" s="8">
        <f>IF(BF109&gt;0,ROUND(AVERAGE(BF6:BF105),3),"")</f>
        <v>19.018000000000001</v>
      </c>
      <c r="BG111" s="8">
        <f>IF(BG109&gt;0,ROUND(AVERAGE(BG6:BG105),3),"")</f>
        <v>18.734000000000002</v>
      </c>
      <c r="BH111" s="10"/>
      <c r="BI111" s="8">
        <f>IF(BI109&gt;0,ROUND(AVERAGE(BI6:BI105),3),"")</f>
        <v>19.018000000000001</v>
      </c>
      <c r="BJ111" s="8">
        <f>IF(BJ109&gt;0,ROUND(AVERAGE(BJ6:BJ105),3),"")</f>
        <v>22.611999999999998</v>
      </c>
      <c r="BK111" s="10"/>
      <c r="BL111" s="8">
        <f>IF(BL109&gt;0,ROUND(AVERAGE(BL6:BL105),3),"")</f>
        <v>19.018000000000001</v>
      </c>
      <c r="BM111" s="8">
        <f>IF(BM109&gt;0,ROUND(AVERAGE(BM6:BM105),3),"")</f>
        <v>20.625</v>
      </c>
      <c r="BN111" s="10"/>
      <c r="BO111" s="8">
        <f>IF(BO109&gt;0,ROUND(AVERAGE(BO6:BO105),3),"")</f>
        <v>19.018000000000001</v>
      </c>
      <c r="BP111" s="8">
        <f>IF(BP109&gt;0,ROUND(AVERAGE(BP6:BP105),3),"")</f>
        <v>19.768999999999998</v>
      </c>
      <c r="BQ111" s="10"/>
      <c r="BR111" s="8">
        <f>IF(BR109&gt;0,ROUND(AVERAGE(BR6:BR105),3),"")</f>
        <v>19.018000000000001</v>
      </c>
      <c r="BS111" s="8">
        <f>IF(BS109&gt;0,ROUND(AVERAGE(BS6:BS105),3),"")</f>
        <v>25.956</v>
      </c>
      <c r="BT111" s="10"/>
      <c r="BU111" s="8">
        <f>IF(BU109&gt;0,ROUND(AVERAGE(BU6:BU105),3),"")</f>
        <v>19.018000000000001</v>
      </c>
      <c r="BV111" s="8">
        <f>IF(BV109&gt;0,ROUND(AVERAGE(BV6:BV105),3),"")</f>
        <v>17.786999999999999</v>
      </c>
      <c r="BW111" s="10"/>
      <c r="BX111" s="8">
        <f>IF(BX109&gt;0,ROUND(AVERAGE(BX6:BX105),3),"")</f>
        <v>19.018000000000001</v>
      </c>
      <c r="BY111" s="8">
        <f>IF(BY109&gt;0,ROUND(AVERAGE(BY6:BY105),3),"")</f>
        <v>24.138000000000002</v>
      </c>
      <c r="BZ111" s="10"/>
      <c r="CA111" s="8">
        <f>IF(CA109&gt;0,ROUND(AVERAGE(CA6:CA105),3),"")</f>
        <v>19.018000000000001</v>
      </c>
      <c r="CB111" s="8">
        <f>IF(CB109&gt;0,ROUND(AVERAGE(CB6:CB105),3),"")</f>
        <v>21.635000000000002</v>
      </c>
      <c r="CC111" s="10"/>
      <c r="CD111" s="82" t="s">
        <v>113</v>
      </c>
      <c r="CE111" s="8">
        <f>IF(CE109&gt;0,ROUND(AVERAGE(CE6:CE105),3),"")</f>
        <v>24.048999999999999</v>
      </c>
      <c r="CF111" s="8">
        <f>IF(CF109&gt;0,ROUND(AVERAGE(CF6:CF105),3),"")</f>
        <v>25.719000000000001</v>
      </c>
      <c r="CG111" s="10"/>
      <c r="CH111" s="8">
        <f>IF(CH109&gt;0,ROUND(AVERAGE(CH6:CH105),3),"")</f>
        <v>24.048999999999999</v>
      </c>
      <c r="CI111" s="8">
        <f>IF(CI109&gt;0,ROUND(AVERAGE(CI6:CI105),3),"")</f>
        <v>18.734000000000002</v>
      </c>
      <c r="CJ111" s="10"/>
      <c r="CK111" s="8">
        <f>IF(CK109&gt;0,ROUND(AVERAGE(CK6:CK105),3),"")</f>
        <v>24.048999999999999</v>
      </c>
      <c r="CL111" s="8">
        <f>IF(CL109&gt;0,ROUND(AVERAGE(CL6:CL105),3),"")</f>
        <v>22.611999999999998</v>
      </c>
      <c r="CM111" s="10"/>
      <c r="CN111" s="8">
        <f>IF(CN109&gt;0,ROUND(AVERAGE(CN6:CN105),3),"")</f>
        <v>24.048999999999999</v>
      </c>
      <c r="CO111" s="8">
        <f>IF(CO109&gt;0,ROUND(AVERAGE(CO6:CO105),3),"")</f>
        <v>20.625</v>
      </c>
      <c r="CP111" s="10"/>
      <c r="CQ111" s="8">
        <f>IF(CQ109&gt;0,ROUND(AVERAGE(CQ6:CQ105),3),"")</f>
        <v>24.048999999999999</v>
      </c>
      <c r="CR111" s="8">
        <f>IF(CR109&gt;0,ROUND(AVERAGE(CR6:CR105),3),"")</f>
        <v>19.768999999999998</v>
      </c>
      <c r="CS111" s="10"/>
      <c r="CT111" s="8">
        <f>IF(CT109&gt;0,ROUND(AVERAGE(CT6:CT105),3),"")</f>
        <v>24.048999999999999</v>
      </c>
      <c r="CU111" s="8">
        <f>IF(CU109&gt;0,ROUND(AVERAGE(CU6:CU105),3),"")</f>
        <v>25.956</v>
      </c>
      <c r="CV111" s="10"/>
      <c r="CW111" s="8">
        <f>IF(CW109&gt;0,ROUND(AVERAGE(CW6:CW105),3),"")</f>
        <v>24.048999999999999</v>
      </c>
      <c r="CX111" s="8">
        <f>IF(CX109&gt;0,ROUND(AVERAGE(CX6:CX105),3),"")</f>
        <v>17.786999999999999</v>
      </c>
      <c r="CY111" s="10"/>
      <c r="CZ111" s="8">
        <f>IF(CZ109&gt;0,ROUND(AVERAGE(CZ6:CZ105),3),"")</f>
        <v>24.048999999999999</v>
      </c>
      <c r="DA111" s="8">
        <f>IF(DA109&gt;0,ROUND(AVERAGE(DA6:DA105),3),"")</f>
        <v>24.138000000000002</v>
      </c>
      <c r="DB111" s="10"/>
      <c r="DC111" s="8">
        <f>IF(DC109&gt;0,ROUND(AVERAGE(DC6:DC105),3),"")</f>
        <v>24.048999999999999</v>
      </c>
      <c r="DD111" s="8">
        <f>IF(DD109&gt;0,ROUND(AVERAGE(DD6:DD105),3),"")</f>
        <v>21.635000000000002</v>
      </c>
      <c r="DE111" s="10"/>
      <c r="DF111" s="82" t="s">
        <v>113</v>
      </c>
      <c r="DG111" s="8">
        <f>IF(DG109&gt;0,ROUND(AVERAGE(DG6:DG105),3),"")</f>
        <v>25.719000000000001</v>
      </c>
      <c r="DH111" s="8">
        <f>IF(DH109&gt;0,ROUND(AVERAGE(DH6:DH105),3),"")</f>
        <v>18.734000000000002</v>
      </c>
      <c r="DI111" s="10"/>
      <c r="DJ111" s="8">
        <f>IF(DJ109&gt;0,ROUND(AVERAGE(DJ6:DJ105),3),"")</f>
        <v>25.719000000000001</v>
      </c>
      <c r="DK111" s="8">
        <f>IF(DK109&gt;0,ROUND(AVERAGE(DK6:DK105),3),"")</f>
        <v>22.611999999999998</v>
      </c>
      <c r="DL111" s="10"/>
      <c r="DM111" s="8">
        <f>IF(DM109&gt;0,ROUND(AVERAGE(DM6:DM105),3),"")</f>
        <v>25.719000000000001</v>
      </c>
      <c r="DN111" s="8">
        <f>IF(DN109&gt;0,ROUND(AVERAGE(DN6:DN105),3),"")</f>
        <v>20.625</v>
      </c>
      <c r="DO111" s="10"/>
      <c r="DP111" s="8">
        <f>IF(DP109&gt;0,ROUND(AVERAGE(DP6:DP105),3),"")</f>
        <v>25.719000000000001</v>
      </c>
      <c r="DQ111" s="8">
        <f>IF(DQ109&gt;0,ROUND(AVERAGE(DQ6:DQ105),3),"")</f>
        <v>19.768999999999998</v>
      </c>
      <c r="DR111" s="10"/>
      <c r="DS111" s="8">
        <f>IF(DS109&gt;0,ROUND(AVERAGE(DS6:DS105),3),"")</f>
        <v>25.719000000000001</v>
      </c>
      <c r="DT111" s="8">
        <f>IF(DT109&gt;0,ROUND(AVERAGE(DT6:DT105),3),"")</f>
        <v>25.956</v>
      </c>
      <c r="DU111" s="10"/>
      <c r="DV111" s="8">
        <f>IF(DV109&gt;0,ROUND(AVERAGE(DV6:DV105),3),"")</f>
        <v>25.719000000000001</v>
      </c>
      <c r="DW111" s="8">
        <f>IF(DW109&gt;0,ROUND(AVERAGE(DW6:DW105),3),"")</f>
        <v>17.786999999999999</v>
      </c>
      <c r="DX111" s="10"/>
      <c r="DY111" s="8">
        <f>IF(DY109&gt;0,ROUND(AVERAGE(DY6:DY105),3),"")</f>
        <v>25.719000000000001</v>
      </c>
      <c r="DZ111" s="8">
        <f>IF(DZ109&gt;0,ROUND(AVERAGE(DZ6:DZ105),3),"")</f>
        <v>24.138000000000002</v>
      </c>
      <c r="EA111" s="10"/>
      <c r="EB111" s="8">
        <f>IF(EB109&gt;0,ROUND(AVERAGE(EB6:EB105),3),"")</f>
        <v>25.719000000000001</v>
      </c>
      <c r="EC111" s="8">
        <f>IF(EC109&gt;0,ROUND(AVERAGE(EC6:EC105),3),"")</f>
        <v>21.635000000000002</v>
      </c>
      <c r="ED111" s="10"/>
      <c r="EE111" s="82" t="s">
        <v>113</v>
      </c>
      <c r="EF111" s="8">
        <f>IF(EF109&gt;0,ROUND(AVERAGE(EF6:EF105),3),"")</f>
        <v>18.734000000000002</v>
      </c>
      <c r="EG111" s="8">
        <f>IF(EG109&gt;0,ROUND(AVERAGE(EG6:EG105),3),"")</f>
        <v>22.611999999999998</v>
      </c>
      <c r="EH111" s="10"/>
      <c r="EI111" s="8">
        <f>IF(EI109&gt;0,ROUND(AVERAGE(EI6:EI105),3),"")</f>
        <v>18.734000000000002</v>
      </c>
      <c r="EJ111" s="8">
        <f>IF(EJ109&gt;0,ROUND(AVERAGE(EJ6:EJ105),3),"")</f>
        <v>20.625</v>
      </c>
      <c r="EK111" s="10"/>
      <c r="EL111" s="8">
        <f>IF(EL109&gt;0,ROUND(AVERAGE(EL6:EL105),3),"")</f>
        <v>18.734000000000002</v>
      </c>
      <c r="EM111" s="8">
        <f>IF(EM109&gt;0,ROUND(AVERAGE(EM6:EM105),3),"")</f>
        <v>19.768999999999998</v>
      </c>
      <c r="EN111" s="10"/>
      <c r="EO111" s="8">
        <f>IF(EO109&gt;0,ROUND(AVERAGE(EO6:EO105),3),"")</f>
        <v>18.734000000000002</v>
      </c>
      <c r="EP111" s="8">
        <f>IF(EP109&gt;0,ROUND(AVERAGE(EP6:EP105),3),"")</f>
        <v>25.956</v>
      </c>
      <c r="EQ111" s="10"/>
      <c r="ER111" s="8">
        <f>IF(ER109&gt;0,ROUND(AVERAGE(ER6:ER105),3),"")</f>
        <v>18.734000000000002</v>
      </c>
      <c r="ES111" s="8">
        <f>IF(ES109&gt;0,ROUND(AVERAGE(ES6:ES105),3),"")</f>
        <v>17.786999999999999</v>
      </c>
      <c r="ET111" s="10"/>
      <c r="EU111" s="8">
        <f>IF(EU109&gt;0,ROUND(AVERAGE(EU6:EU105),3),"")</f>
        <v>18.734000000000002</v>
      </c>
      <c r="EV111" s="8">
        <f>IF(EV109&gt;0,ROUND(AVERAGE(EV6:EV105),3),"")</f>
        <v>24.138000000000002</v>
      </c>
      <c r="EW111" s="10"/>
      <c r="EX111" s="8">
        <f>IF(EX109&gt;0,ROUND(AVERAGE(EX6:EX105),3),"")</f>
        <v>18.734000000000002</v>
      </c>
      <c r="EY111" s="8">
        <f>IF(EY109&gt;0,ROUND(AVERAGE(EY6:EY105),3),"")</f>
        <v>21.635000000000002</v>
      </c>
      <c r="EZ111" s="10"/>
      <c r="FA111" s="82" t="s">
        <v>113</v>
      </c>
      <c r="FB111" s="8">
        <f>IF(FB109&gt;0,ROUND(AVERAGE(FB6:FB105),3),"")</f>
        <v>22.611999999999998</v>
      </c>
      <c r="FC111" s="8">
        <f>IF(FC109&gt;0,ROUND(AVERAGE(FC6:FC105),3),"")</f>
        <v>20.625</v>
      </c>
      <c r="FD111" s="10"/>
      <c r="FE111" s="8">
        <f>IF(FE109&gt;0,ROUND(AVERAGE(FE6:FE105),3),"")</f>
        <v>22.611999999999998</v>
      </c>
      <c r="FF111" s="8">
        <f>IF(FF109&gt;0,ROUND(AVERAGE(FF6:FF105),3),"")</f>
        <v>19.768999999999998</v>
      </c>
      <c r="FG111" s="10"/>
      <c r="FH111" s="8">
        <f>IF(FH109&gt;0,ROUND(AVERAGE(FH6:FH105),3),"")</f>
        <v>22.611999999999998</v>
      </c>
      <c r="FI111" s="8">
        <f>IF(FI109&gt;0,ROUND(AVERAGE(FI6:FI105),3),"")</f>
        <v>25.956</v>
      </c>
      <c r="FJ111" s="10"/>
      <c r="FK111" s="8">
        <f>IF(FK109&gt;0,ROUND(AVERAGE(FK6:FK105),3),"")</f>
        <v>22.611999999999998</v>
      </c>
      <c r="FL111" s="8">
        <f>IF(FL109&gt;0,ROUND(AVERAGE(FL6:FL105),3),"")</f>
        <v>17.786999999999999</v>
      </c>
      <c r="FM111" s="10"/>
      <c r="FN111" s="8">
        <f>IF(FN109&gt;0,ROUND(AVERAGE(FN6:FN105),3),"")</f>
        <v>22.611999999999998</v>
      </c>
      <c r="FO111" s="8">
        <f>IF(FO109&gt;0,ROUND(AVERAGE(FO6:FO105),3),"")</f>
        <v>24.138000000000002</v>
      </c>
      <c r="FP111" s="10"/>
      <c r="FQ111" s="8">
        <f>IF(FQ109&gt;0,ROUND(AVERAGE(FQ6:FQ105),3),"")</f>
        <v>22.611999999999998</v>
      </c>
      <c r="FR111" s="8">
        <f>IF(FR109&gt;0,ROUND(AVERAGE(FR6:FR105),3),"")</f>
        <v>21.635000000000002</v>
      </c>
      <c r="FS111" s="10"/>
      <c r="FT111" s="82" t="s">
        <v>113</v>
      </c>
      <c r="FU111" s="8">
        <f>IF(FU109&gt;0,ROUND(AVERAGE(FU6:FU105),3),"")</f>
        <v>20.625</v>
      </c>
      <c r="FV111" s="8">
        <f>IF(FV109&gt;0,ROUND(AVERAGE(FV6:FV105),3),"")</f>
        <v>19.768999999999998</v>
      </c>
      <c r="FW111" s="10"/>
      <c r="FX111" s="8">
        <f>IF(FX109&gt;0,ROUND(AVERAGE(FX6:FX105),3),"")</f>
        <v>20.625</v>
      </c>
      <c r="FY111" s="8">
        <f>IF(FY109&gt;0,ROUND(AVERAGE(FY6:FY105),3),"")</f>
        <v>25.956</v>
      </c>
      <c r="FZ111" s="10"/>
      <c r="GA111" s="8">
        <f>IF(GA109&gt;0,ROUND(AVERAGE(GA6:GA105),3),"")</f>
        <v>20.625</v>
      </c>
      <c r="GB111" s="8">
        <f>IF(GB109&gt;0,ROUND(AVERAGE(GB6:GB105),3),"")</f>
        <v>17.786999999999999</v>
      </c>
      <c r="GC111" s="10"/>
      <c r="GD111" s="8">
        <f>IF(GD109&gt;0,ROUND(AVERAGE(GD6:GD105),3),"")</f>
        <v>20.625</v>
      </c>
      <c r="GE111" s="8">
        <f>IF(GE109&gt;0,ROUND(AVERAGE(GE6:GE105),3),"")</f>
        <v>24.138000000000002</v>
      </c>
      <c r="GF111" s="10"/>
      <c r="GG111" s="8">
        <f>IF(GG109&gt;0,ROUND(AVERAGE(GG6:GG105),3),"")</f>
        <v>20.625</v>
      </c>
      <c r="GH111" s="8">
        <f>IF(GH109&gt;0,ROUND(AVERAGE(GH6:GH105),3),"")</f>
        <v>21.635000000000002</v>
      </c>
      <c r="GI111" s="10"/>
      <c r="GJ111" s="82" t="s">
        <v>113</v>
      </c>
      <c r="GK111" s="8">
        <f>IF(GK109&gt;0,ROUND(AVERAGE(GK5:GK104),3),"")</f>
        <v>19.768999999999998</v>
      </c>
      <c r="GL111" s="8">
        <f>IF(GL109&gt;0,ROUND(AVERAGE(GL5:GL104),3),"")</f>
        <v>25.956</v>
      </c>
      <c r="GM111" s="10"/>
      <c r="GN111" s="8">
        <f>IF(GN109&gt;0,ROUND(AVERAGE(GN5:GN104),3),"")</f>
        <v>19.768999999999998</v>
      </c>
      <c r="GO111" s="8">
        <f>IF(GO109&gt;0,ROUND(AVERAGE(GO5:GO104),3),"")</f>
        <v>17.786999999999999</v>
      </c>
      <c r="GP111" s="10"/>
      <c r="GQ111" s="8">
        <f>IF(GQ109&gt;0,ROUND(AVERAGE(GQ5:GQ104),3),"")</f>
        <v>19.768999999999998</v>
      </c>
      <c r="GR111" s="8">
        <f>IF(GR109&gt;0,ROUND(AVERAGE(GR5:GR104),3),"")</f>
        <v>24.138000000000002</v>
      </c>
      <c r="GS111" s="10"/>
      <c r="GT111" s="8">
        <f>IF(GT109&gt;0,ROUND(AVERAGE(GT5:GT104),3),"")</f>
        <v>19.768999999999998</v>
      </c>
      <c r="GU111" s="8">
        <f>IF(GU109&gt;0,ROUND(AVERAGE(GU5:GU104),3),"")</f>
        <v>21.635000000000002</v>
      </c>
      <c r="GV111" s="10"/>
      <c r="GW111" s="82" t="s">
        <v>113</v>
      </c>
      <c r="GX111" s="8">
        <f>IF(GX109&gt;0,ROUND(AVERAGE(GX5:GX104),3),"")</f>
        <v>25.956</v>
      </c>
      <c r="GY111" s="8">
        <f>IF(GY109&gt;0,ROUND(AVERAGE(GY5:GY104),3),"")</f>
        <v>17.786999999999999</v>
      </c>
      <c r="GZ111" s="10"/>
      <c r="HA111" s="8">
        <f>IF(HA109&gt;0,ROUND(AVERAGE(HA5:HA104),3),"")</f>
        <v>25.956</v>
      </c>
      <c r="HB111" s="8">
        <f>IF(HB109&gt;0,ROUND(AVERAGE(HB5:HB104),3),"")</f>
        <v>24.138000000000002</v>
      </c>
      <c r="HC111" s="10"/>
      <c r="HD111" s="8">
        <f>IF(HD109&gt;0,ROUND(AVERAGE(HD5:HD104),3),"")</f>
        <v>25.956</v>
      </c>
      <c r="HE111" s="8">
        <f>IF(HE109&gt;0,ROUND(AVERAGE(HE5:HE104),3),"")</f>
        <v>21.635000000000002</v>
      </c>
      <c r="HF111" s="10"/>
      <c r="HG111" s="82" t="s">
        <v>113</v>
      </c>
      <c r="HH111" s="8">
        <f>IF(HH109&gt;0,ROUND(AVERAGE(HH5:HH104),3),"")</f>
        <v>17.786999999999999</v>
      </c>
      <c r="HI111" s="8">
        <f>IF(HI109&gt;0,ROUND(AVERAGE(HI5:HI104),3),"")</f>
        <v>24.138000000000002</v>
      </c>
      <c r="HJ111" s="10"/>
      <c r="HK111" s="8">
        <f>IF(HK109&gt;0,ROUND(AVERAGE(HK6:HK105),3),"")</f>
        <v>17.786999999999999</v>
      </c>
      <c r="HL111" s="8">
        <f>IF(HL109&gt;0,ROUND(AVERAGE(HL6:HL105),3),"")</f>
        <v>21.635000000000002</v>
      </c>
      <c r="HM111" s="10"/>
      <c r="HN111" s="82" t="s">
        <v>113</v>
      </c>
      <c r="HO111" s="8">
        <f>IF(HO109&gt;0,ROUND(AVERAGE(HO6:HO105),3),"")</f>
        <v>24.138000000000002</v>
      </c>
      <c r="HP111" s="8">
        <f>IF(HP109&gt;0,ROUND(AVERAGE(HP6:HP105),3),"")</f>
        <v>21.635000000000002</v>
      </c>
      <c r="HQ111" s="10"/>
      <c r="HR111" s="82" t="s">
        <v>113</v>
      </c>
      <c r="HS111" s="8">
        <f>IF(HS109&gt;0,ROUND(AVERAGE(HS6:HS105),3),"")</f>
        <v>21.635000000000002</v>
      </c>
      <c r="HT111" s="8">
        <f>IF(HT109&gt;0,ROUND(AVERAGE(HT6:HT105),3),"")</f>
        <v>19.018000000000001</v>
      </c>
      <c r="HU111" s="10"/>
      <c r="HV111" s="8">
        <f>IF(HV109&gt;0,ROUND(AVERAGE(HV6:HV105),3),"")</f>
        <v>21.635000000000002</v>
      </c>
      <c r="HW111" s="8">
        <f>IF(HW109&gt;0,ROUND(AVERAGE(HW6:HW105),3),"")</f>
        <v>24.048999999999999</v>
      </c>
      <c r="HX111" s="10"/>
      <c r="HY111" s="8">
        <f>IF(HY109&gt;0,ROUND(AVERAGE(HY6:HY105),3),"")</f>
        <v>21.635000000000002</v>
      </c>
      <c r="HZ111" s="8">
        <f>IF(HZ109&gt;0,ROUND(AVERAGE(HZ6:HZ105),3),"")</f>
        <v>25.719000000000001</v>
      </c>
      <c r="IA111" s="10"/>
      <c r="IB111" s="8">
        <f>IF(IB109&gt;0,ROUND(AVERAGE(IB6:IB105),3),"")</f>
        <v>21.635000000000002</v>
      </c>
      <c r="IC111" s="8">
        <f>IF(IC109&gt;0,ROUND(AVERAGE(IC6:IC105),3),"")</f>
        <v>18.734000000000002</v>
      </c>
      <c r="ID111" s="10"/>
      <c r="IE111" s="8">
        <f>IF(IE109&gt;0,ROUND(AVERAGE(IE6:IE105),3),"")</f>
        <v>21.635000000000002</v>
      </c>
      <c r="IF111" s="8">
        <f>IF(IF109&gt;0,ROUND(AVERAGE(IF6:IF105),3),"")</f>
        <v>22.611999999999998</v>
      </c>
      <c r="IG111" s="10"/>
      <c r="IH111" s="8">
        <f>IF(IH109&gt;0,ROUND(AVERAGE(IH6:IH105),3),"")</f>
        <v>21.635000000000002</v>
      </c>
      <c r="II111" s="8">
        <f>IF(II109&gt;0,ROUND(AVERAGE(II6:II105),3),"")</f>
        <v>20.625</v>
      </c>
      <c r="IJ111" s="10"/>
      <c r="IK111" s="8">
        <f>IF(IK109&gt;0,ROUND(AVERAGE(IK6:IK105),3),"")</f>
        <v>21.635000000000002</v>
      </c>
      <c r="IL111" s="8">
        <f>IF(IL109&gt;0,ROUND(AVERAGE(IL6:IL105),3),"")</f>
        <v>19.768999999999998</v>
      </c>
      <c r="IM111" s="10"/>
      <c r="IN111" s="8">
        <f>IF(IN109&gt;0,ROUND(AVERAGE(IN6:IN105),3),"")</f>
        <v>21.635000000000002</v>
      </c>
      <c r="IO111" s="8">
        <f>IF(IO109&gt;0,ROUND(AVERAGE(IO6:IO105),3),"")</f>
        <v>25.956</v>
      </c>
      <c r="IP111" s="10"/>
      <c r="IQ111" s="8">
        <f>IF(IQ109&gt;0,ROUND(AVERAGE(IQ6:IQ105),3),"")</f>
        <v>21.635000000000002</v>
      </c>
      <c r="IR111" s="8">
        <f>IF(IR109&gt;0,ROUND(AVERAGE(IR6:IR105),3),"")</f>
        <v>17.786999999999999</v>
      </c>
      <c r="IS111" s="10"/>
      <c r="IT111" s="8">
        <f>IF(IT109&gt;0,ROUND(AVERAGE(IT6:IT105),3),"")</f>
        <v>21.635000000000002</v>
      </c>
      <c r="IU111" s="8">
        <f>IF(IU109&gt;0,ROUND(AVERAGE(IU6:IU105),3),"")</f>
        <v>24.138000000000002</v>
      </c>
      <c r="IV111" s="10"/>
    </row>
    <row r="112" spans="1:256" x14ac:dyDescent="0.2">
      <c r="A112" s="7" t="s">
        <v>158</v>
      </c>
      <c r="B112" s="69">
        <f>IF(B109&gt;0,MIN(B6:B105),"")</f>
        <v>16.84</v>
      </c>
      <c r="C112" s="69">
        <f>IF(C109&gt;0,MIN(C6:C105),"")</f>
        <v>20.65</v>
      </c>
      <c r="D112" s="69">
        <f t="shared" ref="D112:K112" si="717">IF(D109&gt;0,MIN(D6:D105),"")</f>
        <v>23.5</v>
      </c>
      <c r="E112" s="69">
        <f t="shared" si="717"/>
        <v>16.96</v>
      </c>
      <c r="F112" s="69">
        <f t="shared" si="717"/>
        <v>20.78</v>
      </c>
      <c r="G112" s="69">
        <f t="shared" si="717"/>
        <v>19</v>
      </c>
      <c r="H112" s="69">
        <f t="shared" si="717"/>
        <v>18.28</v>
      </c>
      <c r="I112" s="69">
        <f t="shared" si="717"/>
        <v>21.35</v>
      </c>
      <c r="J112" s="69">
        <f t="shared" si="717"/>
        <v>15.83</v>
      </c>
      <c r="K112" s="69">
        <f t="shared" si="717"/>
        <v>21.91</v>
      </c>
      <c r="L112" s="79">
        <f>IF(L109&gt;0,MIN(L6:L105),"")</f>
        <v>0</v>
      </c>
      <c r="M112" s="7">
        <f>IF(M109&gt;0,MIN(M6:M105),"")</f>
        <v>19.924131660822795</v>
      </c>
      <c r="N112" s="7" t="s">
        <v>158</v>
      </c>
      <c r="O112" s="76"/>
      <c r="P112" s="77"/>
      <c r="Q112" s="78" t="s">
        <v>13</v>
      </c>
      <c r="R112" s="78">
        <f t="shared" si="692"/>
        <v>0.81505543645698564</v>
      </c>
      <c r="S112" s="78"/>
      <c r="T112" s="78"/>
      <c r="U112" s="136">
        <f t="shared" si="693"/>
        <v>1.0691611264676453</v>
      </c>
      <c r="V112" s="78"/>
      <c r="W112" s="78"/>
      <c r="X112" s="78">
        <f t="shared" si="694"/>
        <v>0.61289496442014102</v>
      </c>
      <c r="Y112" s="78"/>
      <c r="Z112" s="78"/>
      <c r="AA112" s="78">
        <f t="shared" si="695"/>
        <v>0.64412720555681424</v>
      </c>
      <c r="AB112" s="78"/>
      <c r="AC112" s="78"/>
      <c r="AD112" s="78">
        <f t="shared" si="696"/>
        <v>0.73783780523556131</v>
      </c>
      <c r="AE112" s="78"/>
      <c r="AF112" s="78"/>
      <c r="AG112" s="78">
        <f t="shared" si="697"/>
        <v>0.62651808805695641</v>
      </c>
      <c r="AH112" s="78"/>
      <c r="AI112" s="78"/>
      <c r="AJ112" s="78">
        <f t="shared" si="698"/>
        <v>1.1916433552403685</v>
      </c>
      <c r="AK112" s="78"/>
      <c r="AL112" s="78"/>
      <c r="AM112" s="78">
        <f t="shared" si="699"/>
        <v>0.45315596010303771</v>
      </c>
      <c r="AN112" s="78"/>
      <c r="AO112" s="78"/>
      <c r="AP112" s="78">
        <f t="shared" si="700"/>
        <v>0.77810753580179659</v>
      </c>
      <c r="AQ112" s="78"/>
      <c r="AR112" s="78"/>
      <c r="AS112" s="78">
        <f t="shared" si="701"/>
        <v>0.73482176581970415</v>
      </c>
      <c r="AT112" s="78"/>
      <c r="AU112" s="10"/>
      <c r="AV112" s="78" t="str">
        <f t="shared" si="703"/>
        <v>±0,22</v>
      </c>
      <c r="AW112" s="132">
        <f t="shared" si="704"/>
        <v>0.22</v>
      </c>
      <c r="AX112" s="4"/>
      <c r="AY112" s="82" t="s">
        <v>114</v>
      </c>
      <c r="AZ112" s="8">
        <f>IF(AZ109&gt;0,ROUND(SUMSQ(AZ6:AZ105),3),"")</f>
        <v>10181.281999999999</v>
      </c>
      <c r="BA112" s="8">
        <f>IF(BA109&gt;0,ROUND(SUMSQ(BA6:BA105),3),"")</f>
        <v>16316.848</v>
      </c>
      <c r="BB112" s="10"/>
      <c r="BC112" s="8">
        <f>IF(BC109&gt;0,ROUND(SUMSQ(BC6:BC105),3),"")</f>
        <v>10181.281999999999</v>
      </c>
      <c r="BD112" s="8">
        <f>IF(BD109&gt;0,ROUND(SUMSQ(BD6:BD105),3),"")</f>
        <v>18564.705999999998</v>
      </c>
      <c r="BE112" s="10"/>
      <c r="BF112" s="8">
        <f>IF(BF109&gt;0,ROUND(SUMSQ(BF6:BF105),3),"")</f>
        <v>10181.281999999999</v>
      </c>
      <c r="BG112" s="8">
        <f>IF(BG109&gt;0,ROUND(SUMSQ(BG6:BG105),3),"")</f>
        <v>9872.7659999999996</v>
      </c>
      <c r="BH112" s="10"/>
      <c r="BI112" s="8">
        <f>IF(BI109&gt;0,ROUND(SUMSQ(BI6:BI105),3),"")</f>
        <v>10181.281999999999</v>
      </c>
      <c r="BJ112" s="8">
        <f>IF(BJ109&gt;0,ROUND(SUMSQ(BJ6:BJ105),3),"")</f>
        <v>14397.968999999999</v>
      </c>
      <c r="BK112" s="10"/>
      <c r="BL112" s="8">
        <f>IF(BL109&gt;0,ROUND(SUMSQ(BL6:BL105),3),"")</f>
        <v>10181.281999999999</v>
      </c>
      <c r="BM112" s="8">
        <f>IF(BM109&gt;0,ROUND(SUMSQ(BM6:BM105),3),"")</f>
        <v>11937.048000000001</v>
      </c>
      <c r="BN112" s="10"/>
      <c r="BO112" s="8">
        <f>IF(BO109&gt;0,ROUND(SUMSQ(BO6:BO105),3),"")</f>
        <v>10181.281999999999</v>
      </c>
      <c r="BP112" s="8">
        <f>IF(BP109&gt;0,ROUND(SUMSQ(BP6:BP105),3),"")</f>
        <v>10980.513000000001</v>
      </c>
      <c r="BQ112" s="10"/>
      <c r="BR112" s="8">
        <f>IF(BR109&gt;0,ROUND(SUMSQ(BR6:BR105),3),"")</f>
        <v>10181.281999999999</v>
      </c>
      <c r="BS112" s="8">
        <f>IF(BS109&gt;0,ROUND(SUMSQ(BS6:BS105),3),"")</f>
        <v>19038.103999999999</v>
      </c>
      <c r="BT112" s="10"/>
      <c r="BU112" s="8">
        <f>IF(BU109&gt;0,ROUND(SUMSQ(BU6:BU105),3),"")</f>
        <v>10181.281999999999</v>
      </c>
      <c r="BV112" s="8">
        <f>IF(BV109&gt;0,ROUND(SUMSQ(BV6:BV105),3),"")</f>
        <v>8910.9089999999997</v>
      </c>
      <c r="BW112" s="10"/>
      <c r="BX112" s="8">
        <f>IF(BX109&gt;0,ROUND(SUMSQ(BX6:BX105),3),"")</f>
        <v>10181.281999999999</v>
      </c>
      <c r="BY112" s="8">
        <f>IF(BY109&gt;0,ROUND(SUMSQ(BY6:BY105),3),"")</f>
        <v>16398.884999999998</v>
      </c>
      <c r="BZ112" s="10"/>
      <c r="CA112" s="8">
        <f>IF(CA109&gt;0,ROUND(SUMSQ(CA6:CA105),3),"")</f>
        <v>10181.281999999999</v>
      </c>
      <c r="CB112" s="8">
        <f>IF(CB109&gt;0,ROUND(SUMSQ(CB6:CB105),3),"")</f>
        <v>13152.925999999999</v>
      </c>
      <c r="CC112" s="10"/>
      <c r="CD112" s="82" t="s">
        <v>114</v>
      </c>
      <c r="CE112" s="8">
        <f>IF(CE109&gt;0,ROUND(SUMSQ(CE6:CE105),3),"")</f>
        <v>16316.848</v>
      </c>
      <c r="CF112" s="8">
        <f>IF(CF109&gt;0,ROUND(SUMSQ(CF6:CF105),3),"")</f>
        <v>18564.705999999998</v>
      </c>
      <c r="CG112" s="10"/>
      <c r="CH112" s="8">
        <f>IF(CH109&gt;0,ROUND(SUMSQ(CH6:CH105),3),"")</f>
        <v>16316.848</v>
      </c>
      <c r="CI112" s="8">
        <f>IF(CI109&gt;0,ROUND(SUMSQ(CI6:CI105),3),"")</f>
        <v>9872.7659999999996</v>
      </c>
      <c r="CJ112" s="10"/>
      <c r="CK112" s="8">
        <f>IF(CK109&gt;0,ROUND(SUMSQ(CK6:CK105),3),"")</f>
        <v>16316.848</v>
      </c>
      <c r="CL112" s="8">
        <f>IF(CL109&gt;0,ROUND(SUMSQ(CL6:CL105),3),"")</f>
        <v>14397.968999999999</v>
      </c>
      <c r="CM112" s="10"/>
      <c r="CN112" s="8">
        <f>IF(CN109&gt;0,ROUND(SUMSQ(CN6:CN105),3),"")</f>
        <v>16316.848</v>
      </c>
      <c r="CO112" s="8">
        <f>IF(CO109&gt;0,ROUND(SUMSQ(CO6:CO105),3),"")</f>
        <v>11937.048000000001</v>
      </c>
      <c r="CP112" s="10"/>
      <c r="CQ112" s="8">
        <f>IF(CQ109&gt;0,ROUND(SUMSQ(CQ6:CQ105),3),"")</f>
        <v>16316.848</v>
      </c>
      <c r="CR112" s="8">
        <f>IF(CR109&gt;0,ROUND(SUMSQ(CR6:CR105),3),"")</f>
        <v>10980.513000000001</v>
      </c>
      <c r="CS112" s="10"/>
      <c r="CT112" s="8">
        <f>IF(CT109&gt;0,ROUND(SUMSQ(CT6:CT105),3),"")</f>
        <v>16316.848</v>
      </c>
      <c r="CU112" s="8">
        <f>IF(CU109&gt;0,ROUND(SUMSQ(CU6:CU105),3),"")</f>
        <v>19038.103999999999</v>
      </c>
      <c r="CV112" s="10"/>
      <c r="CW112" s="8">
        <f>IF(CW109&gt;0,ROUND(SUMSQ(CW6:CW105),3),"")</f>
        <v>16316.848</v>
      </c>
      <c r="CX112" s="8">
        <f>IF(CX109&gt;0,ROUND(SUMSQ(CX6:CX105),3),"")</f>
        <v>8910.9089999999997</v>
      </c>
      <c r="CY112" s="10"/>
      <c r="CZ112" s="8">
        <f>IF(CZ109&gt;0,ROUND(SUMSQ(CZ6:CZ105),3),"")</f>
        <v>16316.848</v>
      </c>
      <c r="DA112" s="8">
        <f>IF(DA109&gt;0,ROUND(SUMSQ(DA6:DA105),3),"")</f>
        <v>16398.884999999998</v>
      </c>
      <c r="DB112" s="10"/>
      <c r="DC112" s="8">
        <f>IF(DC109&gt;0,ROUND(SUMSQ(DC6:DC105),3),"")</f>
        <v>16316.848</v>
      </c>
      <c r="DD112" s="8">
        <f>IF(DD109&gt;0,ROUND(SUMSQ(DD6:DD105),3),"")</f>
        <v>13152.925999999999</v>
      </c>
      <c r="DE112" s="10"/>
      <c r="DF112" s="82" t="s">
        <v>114</v>
      </c>
      <c r="DG112" s="8">
        <f>IF(DG109&gt;0,ROUND(SUMSQ(DG6:DG105),3),"")</f>
        <v>18564.705999999998</v>
      </c>
      <c r="DH112" s="8">
        <f>IF(DH109&gt;0,ROUND(SUMSQ(DH6:DH105),3),"")</f>
        <v>9872.7659999999996</v>
      </c>
      <c r="DI112" s="10"/>
      <c r="DJ112" s="8">
        <f>IF(DJ109&gt;0,ROUND(SUMSQ(DJ6:DJ105),3),"")</f>
        <v>18564.705999999998</v>
      </c>
      <c r="DK112" s="8">
        <f>IF(DK109&gt;0,ROUND(SUMSQ(DK6:DK105),3),"")</f>
        <v>14397.968999999999</v>
      </c>
      <c r="DL112" s="10"/>
      <c r="DM112" s="8">
        <f>IF(DM109&gt;0,ROUND(SUMSQ(DM6:DM105),3),"")</f>
        <v>18564.705999999998</v>
      </c>
      <c r="DN112" s="8">
        <f>IF(DN109&gt;0,ROUND(SUMSQ(DN6:DN105),3),"")</f>
        <v>11937.048000000001</v>
      </c>
      <c r="DO112" s="10"/>
      <c r="DP112" s="8">
        <f>IF(DP109&gt;0,ROUND(SUMSQ(DP6:DP105),3),"")</f>
        <v>18564.705999999998</v>
      </c>
      <c r="DQ112" s="8">
        <f>IF(DQ109&gt;0,ROUND(SUMSQ(DQ6:DQ105),3),"")</f>
        <v>10980.513000000001</v>
      </c>
      <c r="DR112" s="10"/>
      <c r="DS112" s="8">
        <f>IF(DS109&gt;0,ROUND(SUMSQ(DS6:DS105),3),"")</f>
        <v>18564.705999999998</v>
      </c>
      <c r="DT112" s="8">
        <f>IF(DT109&gt;0,ROUND(SUMSQ(DT6:DT105),3),"")</f>
        <v>19038.103999999999</v>
      </c>
      <c r="DU112" s="10"/>
      <c r="DV112" s="8">
        <f>IF(DV109&gt;0,ROUND(SUMSQ(DV6:DV105),3),"")</f>
        <v>18564.705999999998</v>
      </c>
      <c r="DW112" s="8">
        <f>IF(DW109&gt;0,ROUND(SUMSQ(DW6:DW105),3),"")</f>
        <v>8910.9089999999997</v>
      </c>
      <c r="DX112" s="10"/>
      <c r="DY112" s="8">
        <f>IF(DY109&gt;0,ROUND(SUMSQ(DY6:DY105),3),"")</f>
        <v>18564.705999999998</v>
      </c>
      <c r="DZ112" s="8">
        <f>IF(DZ109&gt;0,ROUND(SUMSQ(DZ6:DZ105),3),"")</f>
        <v>16398.884999999998</v>
      </c>
      <c r="EA112" s="10"/>
      <c r="EB112" s="8">
        <f>IF(EB109&gt;0,ROUND(SUMSQ(EB6:EB105),3),"")</f>
        <v>18564.705999999998</v>
      </c>
      <c r="EC112" s="8">
        <f>IF(EC109&gt;0,ROUND(SUMSQ(EC6:EC105),3),"")</f>
        <v>13152.925999999999</v>
      </c>
      <c r="ED112" s="10"/>
      <c r="EE112" s="82" t="s">
        <v>114</v>
      </c>
      <c r="EF112" s="8">
        <f>IF(EF109&gt;0,ROUND(SUMSQ(EF6:EF105),3),"")</f>
        <v>9872.7659999999996</v>
      </c>
      <c r="EG112" s="8">
        <f>IF(EG109&gt;0,ROUND(SUMSQ(EG6:EG105),3),"")</f>
        <v>14397.968999999999</v>
      </c>
      <c r="EH112" s="10"/>
      <c r="EI112" s="8">
        <f>IF(EI109&gt;0,ROUND(SUMSQ(EI6:EI105),3),"")</f>
        <v>9872.7659999999996</v>
      </c>
      <c r="EJ112" s="8">
        <f>IF(EJ109&gt;0,ROUND(SUMSQ(EJ6:EJ105),3),"")</f>
        <v>11937.048000000001</v>
      </c>
      <c r="EK112" s="10"/>
      <c r="EL112" s="8">
        <f>IF(EL109&gt;0,ROUND(SUMSQ(EL6:EL105),3),"")</f>
        <v>9872.7659999999996</v>
      </c>
      <c r="EM112" s="8">
        <f>IF(EM109&gt;0,ROUND(SUMSQ(EM6:EM105),3),"")</f>
        <v>10980.513000000001</v>
      </c>
      <c r="EN112" s="10"/>
      <c r="EO112" s="8">
        <f>IF(EO109&gt;0,ROUND(SUMSQ(EO6:EO105),3),"")</f>
        <v>9872.7659999999996</v>
      </c>
      <c r="EP112" s="8">
        <f>IF(EP109&gt;0,ROUND(SUMSQ(EP6:EP105),3),"")</f>
        <v>19038.103999999999</v>
      </c>
      <c r="EQ112" s="10"/>
      <c r="ER112" s="8">
        <f>IF(ER109&gt;0,ROUND(SUMSQ(ER6:ER105),3),"")</f>
        <v>9872.7659999999996</v>
      </c>
      <c r="ES112" s="8">
        <f>IF(ES109&gt;0,ROUND(SUMSQ(ES6:ES105),3),"")</f>
        <v>8910.9089999999997</v>
      </c>
      <c r="ET112" s="10"/>
      <c r="EU112" s="8">
        <f>IF(EU109&gt;0,ROUND(SUMSQ(EU6:EU105),3),"")</f>
        <v>9872.7659999999996</v>
      </c>
      <c r="EV112" s="8">
        <f>IF(EV109&gt;0,ROUND(SUMSQ(EV6:EV105),3),"")</f>
        <v>16398.884999999998</v>
      </c>
      <c r="EW112" s="10"/>
      <c r="EX112" s="8">
        <f>IF(EX109&gt;0,ROUND(SUMSQ(EX6:EX105),3),"")</f>
        <v>9872.7659999999996</v>
      </c>
      <c r="EY112" s="8">
        <f>IF(EY109&gt;0,ROUND(SUMSQ(EY6:EY105),3),"")</f>
        <v>13152.925999999999</v>
      </c>
      <c r="EZ112" s="10"/>
      <c r="FA112" s="82" t="s">
        <v>114</v>
      </c>
      <c r="FB112" s="8">
        <f>IF(FB109&gt;0,ROUND(SUMSQ(FB6:FB105),3),"")</f>
        <v>14397.968999999999</v>
      </c>
      <c r="FC112" s="8">
        <f>IF(FC109&gt;0,ROUND(SUMSQ(FC6:FC105),3),"")</f>
        <v>11937.048000000001</v>
      </c>
      <c r="FD112" s="10"/>
      <c r="FE112" s="8">
        <f>IF(FE109&gt;0,ROUND(SUMSQ(FE6:FE105),3),"")</f>
        <v>14397.968999999999</v>
      </c>
      <c r="FF112" s="8">
        <f>IF(FF109&gt;0,ROUND(SUMSQ(FF6:FF105),3),"")</f>
        <v>10980.513000000001</v>
      </c>
      <c r="FG112" s="10"/>
      <c r="FH112" s="8">
        <f>IF(FH109&gt;0,ROUND(SUMSQ(FH6:FH105),3),"")</f>
        <v>14397.968999999999</v>
      </c>
      <c r="FI112" s="8">
        <f>IF(FI109&gt;0,ROUND(SUMSQ(FI6:FI105),3),"")</f>
        <v>19038.103999999999</v>
      </c>
      <c r="FJ112" s="10"/>
      <c r="FK112" s="8">
        <f>IF(FK109&gt;0,ROUND(SUMSQ(FK6:FK105),3),"")</f>
        <v>14397.968999999999</v>
      </c>
      <c r="FL112" s="8">
        <f>IF(FL109&gt;0,ROUND(SUMSQ(FL6:FL105),3),"")</f>
        <v>8910.9089999999997</v>
      </c>
      <c r="FM112" s="10"/>
      <c r="FN112" s="8">
        <f>IF(FN109&gt;0,ROUND(SUMSQ(FN6:FN105),3),"")</f>
        <v>14397.968999999999</v>
      </c>
      <c r="FO112" s="8">
        <f>IF(FO109&gt;0,ROUND(SUMSQ(FO6:FO105),3),"")</f>
        <v>16398.884999999998</v>
      </c>
      <c r="FP112" s="10"/>
      <c r="FQ112" s="8">
        <f>IF(FQ109&gt;0,ROUND(SUMSQ(FQ6:FQ105),3),"")</f>
        <v>14397.968999999999</v>
      </c>
      <c r="FR112" s="8">
        <f>IF(FR109&gt;0,ROUND(SUMSQ(FR6:FR105),3),"")</f>
        <v>13152.925999999999</v>
      </c>
      <c r="FS112" s="10"/>
      <c r="FT112" s="82" t="s">
        <v>114</v>
      </c>
      <c r="FU112" s="8">
        <f>IF(FU109&gt;0,ROUND(SUMSQ(FU6:FU105),3),"")</f>
        <v>11937.048000000001</v>
      </c>
      <c r="FV112" s="8">
        <f>IF(FV109&gt;0,ROUND(SUMSQ(FV6:FV105),3),"")</f>
        <v>10980.513000000001</v>
      </c>
      <c r="FW112" s="10"/>
      <c r="FX112" s="8">
        <f>IF(FX109&gt;0,ROUND(SUMSQ(FX6:FX105),3),"")</f>
        <v>11937.048000000001</v>
      </c>
      <c r="FY112" s="8">
        <f>IF(FY109&gt;0,ROUND(SUMSQ(FY6:FY105),3),"")</f>
        <v>19038.103999999999</v>
      </c>
      <c r="FZ112" s="10"/>
      <c r="GA112" s="8">
        <f>IF(GA109&gt;0,ROUND(SUMSQ(GA6:GA105),3),"")</f>
        <v>11937.048000000001</v>
      </c>
      <c r="GB112" s="8">
        <f>IF(GB109&gt;0,ROUND(SUMSQ(GB6:GB105),3),"")</f>
        <v>8910.9089999999997</v>
      </c>
      <c r="GC112" s="10"/>
      <c r="GD112" s="8">
        <f>IF(GD109&gt;0,ROUND(SUMSQ(GD6:GD105),3),"")</f>
        <v>11937.048000000001</v>
      </c>
      <c r="GE112" s="8">
        <f>IF(GE109&gt;0,ROUND(SUMSQ(GE6:GE105),3),"")</f>
        <v>16398.884999999998</v>
      </c>
      <c r="GF112" s="10"/>
      <c r="GG112" s="8">
        <f>IF(GG109&gt;0,ROUND(SUMSQ(GG6:GG105),3),"")</f>
        <v>11937.048000000001</v>
      </c>
      <c r="GH112" s="8">
        <f>IF(GH109&gt;0,ROUND(SUMSQ(GH6:GH105),3),"")</f>
        <v>13152.925999999999</v>
      </c>
      <c r="GI112" s="10"/>
      <c r="GJ112" s="82" t="s">
        <v>114</v>
      </c>
      <c r="GK112" s="8">
        <f>IF(GK109&gt;0,ROUND(SUMSQ(GK5:GK104),3),"")</f>
        <v>10980.513000000001</v>
      </c>
      <c r="GL112" s="8">
        <f>IF(GL109&gt;0,ROUND(SUMSQ(GL5:GL104),3),"")</f>
        <v>19038.103999999999</v>
      </c>
      <c r="GM112" s="10"/>
      <c r="GN112" s="8">
        <f>IF(GN109&gt;0,ROUND(SUMSQ(GN5:GN104),3),"")</f>
        <v>10980.513000000001</v>
      </c>
      <c r="GO112" s="8">
        <f>IF(GO109&gt;0,ROUND(SUMSQ(GO5:GO104),3),"")</f>
        <v>8910.9089999999997</v>
      </c>
      <c r="GP112" s="10"/>
      <c r="GQ112" s="8">
        <f>IF(GQ109&gt;0,ROUND(SUMSQ(GQ5:GQ104),3),"")</f>
        <v>10980.513000000001</v>
      </c>
      <c r="GR112" s="8">
        <f>IF(GR109&gt;0,ROUND(SUMSQ(GR5:GR104),3),"")</f>
        <v>16398.884999999998</v>
      </c>
      <c r="GS112" s="10"/>
      <c r="GT112" s="8">
        <f>IF(GT109&gt;0,ROUND(SUMSQ(GT5:GT104),3),"")</f>
        <v>10980.513000000001</v>
      </c>
      <c r="GU112" s="8">
        <f>IF(GU109&gt;0,ROUND(SUMSQ(GU5:GU104),3),"")</f>
        <v>13152.925999999999</v>
      </c>
      <c r="GV112" s="10"/>
      <c r="GW112" s="82" t="s">
        <v>114</v>
      </c>
      <c r="GX112" s="8">
        <f>IF(GX109&gt;0,ROUND(SUMSQ(GX5:GX104),3),"")</f>
        <v>19038.103999999999</v>
      </c>
      <c r="GY112" s="8">
        <f>IF(GY109&gt;0,ROUND(SUMSQ(GY5:GY104),3),"")</f>
        <v>8910.9089999999997</v>
      </c>
      <c r="GZ112" s="10"/>
      <c r="HA112" s="8">
        <f>IF(HA109&gt;0,ROUND(SUMSQ(HA5:HA104),3),"")</f>
        <v>19038.103999999999</v>
      </c>
      <c r="HB112" s="8">
        <f>IF(HB109&gt;0,ROUND(SUMSQ(HB5:HB104),3),"")</f>
        <v>16398.884999999998</v>
      </c>
      <c r="HC112" s="10"/>
      <c r="HD112" s="8">
        <f>IF(HD109&gt;0,ROUND(SUMSQ(HD5:HD104),3),"")</f>
        <v>19038.103999999999</v>
      </c>
      <c r="HE112" s="8">
        <f>IF(HE109&gt;0,ROUND(SUMSQ(HE5:HE104),3),"")</f>
        <v>13152.925999999999</v>
      </c>
      <c r="HF112" s="10"/>
      <c r="HG112" s="82" t="s">
        <v>114</v>
      </c>
      <c r="HH112" s="8">
        <f>IF(HH109&gt;0,ROUND(SUMSQ(HH5:HH104),3),"")</f>
        <v>8910.9089999999997</v>
      </c>
      <c r="HI112" s="8">
        <f>IF(HI109&gt;0,ROUND(SUMSQ(HI5:HI104),3),"")</f>
        <v>16398.884999999998</v>
      </c>
      <c r="HJ112" s="10"/>
      <c r="HK112" s="8">
        <f>IF(HK109&gt;0,ROUND(SUMSQ(HK6:HK105),3),"")</f>
        <v>8910.9089999999997</v>
      </c>
      <c r="HL112" s="8">
        <f>IF(HL109&gt;0,ROUND(SUMSQ(HL6:HL105),3),"")</f>
        <v>13152.925999999999</v>
      </c>
      <c r="HM112" s="10"/>
      <c r="HN112" s="82" t="s">
        <v>114</v>
      </c>
      <c r="HO112" s="8">
        <f>IF(HO109&gt;0,ROUND(SUMSQ(HO6:HO105),3),"")</f>
        <v>16398.884999999998</v>
      </c>
      <c r="HP112" s="8">
        <f>IF(HP109&gt;0,ROUND(SUMSQ(HP6:HP105),3),"")</f>
        <v>13152.925999999999</v>
      </c>
      <c r="HQ112" s="10"/>
      <c r="HR112" s="82" t="s">
        <v>114</v>
      </c>
      <c r="HS112" s="8">
        <f>IF(HS109&gt;0,ROUND(SUMSQ(HS6:HS105),3),"")</f>
        <v>13152.925999999999</v>
      </c>
      <c r="HT112" s="8">
        <f>IF(HT109&gt;0,ROUND(SUMSQ(HT6:HT105),3),"")</f>
        <v>10181.281999999999</v>
      </c>
      <c r="HU112" s="10"/>
      <c r="HV112" s="8">
        <f>IF(HV109&gt;0,ROUND(SUMSQ(HV6:HV105),3),"")</f>
        <v>13152.925999999999</v>
      </c>
      <c r="HW112" s="8">
        <f>IF(HW109&gt;0,ROUND(SUMSQ(HW6:HW105),3),"")</f>
        <v>16316.848</v>
      </c>
      <c r="HX112" s="10"/>
      <c r="HY112" s="8">
        <f>IF(HY109&gt;0,ROUND(SUMSQ(HY6:HY105),3),"")</f>
        <v>13152.925999999999</v>
      </c>
      <c r="HZ112" s="8">
        <f>IF(HZ109&gt;0,ROUND(SUMSQ(HZ6:HZ105),3),"")</f>
        <v>18564.705999999998</v>
      </c>
      <c r="IA112" s="10"/>
      <c r="IB112" s="8">
        <f>IF(IB109&gt;0,ROUND(SUMSQ(IB6:IB105),3),"")</f>
        <v>13152.925999999999</v>
      </c>
      <c r="IC112" s="8">
        <f>IF(IC109&gt;0,ROUND(SUMSQ(IC6:IC105),3),"")</f>
        <v>9872.7659999999996</v>
      </c>
      <c r="ID112" s="10"/>
      <c r="IE112" s="8">
        <f>IF(IE109&gt;0,ROUND(SUMSQ(IE6:IE105),3),"")</f>
        <v>13152.925999999999</v>
      </c>
      <c r="IF112" s="8">
        <f>IF(IF109&gt;0,ROUND(SUMSQ(IF6:IF105),3),"")</f>
        <v>14397.968999999999</v>
      </c>
      <c r="IG112" s="10"/>
      <c r="IH112" s="8">
        <f>IF(IH109&gt;0,ROUND(SUMSQ(IH6:IH105),3),"")</f>
        <v>13152.925999999999</v>
      </c>
      <c r="II112" s="8">
        <f>IF(II109&gt;0,ROUND(SUMSQ(II6:II105),3),"")</f>
        <v>11937.048000000001</v>
      </c>
      <c r="IJ112" s="10"/>
      <c r="IK112" s="8">
        <f>IF(IK109&gt;0,ROUND(SUMSQ(IK6:IK105),3),"")</f>
        <v>13152.925999999999</v>
      </c>
      <c r="IL112" s="8">
        <f>IF(IL109&gt;0,ROUND(SUMSQ(IL6:IL105),3),"")</f>
        <v>10980.513000000001</v>
      </c>
      <c r="IM112" s="10"/>
      <c r="IN112" s="8">
        <f>IF(IN109&gt;0,ROUND(SUMSQ(IN6:IN105),3),"")</f>
        <v>13152.925999999999</v>
      </c>
      <c r="IO112" s="8">
        <f>IF(IO109&gt;0,ROUND(SUMSQ(IO6:IO105),3),"")</f>
        <v>19038.103999999999</v>
      </c>
      <c r="IP112" s="10"/>
      <c r="IQ112" s="8">
        <f>IF(IQ109&gt;0,ROUND(SUMSQ(IQ6:IQ105),3),"")</f>
        <v>13152.925999999999</v>
      </c>
      <c r="IR112" s="8">
        <f>IF(IR109&gt;0,ROUND(SUMSQ(IR6:IR105),3),"")</f>
        <v>8910.9089999999997</v>
      </c>
      <c r="IS112" s="10"/>
      <c r="IT112" s="8">
        <f>IF(IT109&gt;0,ROUND(SUMSQ(IT6:IT105),3),"")</f>
        <v>13152.925999999999</v>
      </c>
      <c r="IU112" s="8">
        <f>IF(IU109&gt;0,ROUND(SUMSQ(IU6:IU105),3),"")</f>
        <v>16398.884999999998</v>
      </c>
      <c r="IV112" s="10"/>
    </row>
    <row r="113" spans="1:256" x14ac:dyDescent="0.2">
      <c r="A113" s="7" t="s">
        <v>159</v>
      </c>
      <c r="B113" s="69">
        <f>IF(B109&gt;0,MAX(B6:B105),"")</f>
        <v>23.12</v>
      </c>
      <c r="C113" s="69">
        <f>IF(C109&gt;0,MAX(C6:C105),"")</f>
        <v>30.22</v>
      </c>
      <c r="D113" s="69">
        <f t="shared" ref="D113:K113" si="718">IF(D109&gt;0,MAX(D6:D105),"")</f>
        <v>29.05</v>
      </c>
      <c r="E113" s="69">
        <f t="shared" si="718"/>
        <v>22.05</v>
      </c>
      <c r="F113" s="69">
        <f t="shared" si="718"/>
        <v>28.82</v>
      </c>
      <c r="G113" s="69">
        <f t="shared" si="718"/>
        <v>23.07</v>
      </c>
      <c r="H113" s="69">
        <f t="shared" si="718"/>
        <v>23.42</v>
      </c>
      <c r="I113" s="69">
        <f t="shared" si="718"/>
        <v>33.409999999999997</v>
      </c>
      <c r="J113" s="69">
        <f t="shared" si="718"/>
        <v>22.02</v>
      </c>
      <c r="K113" s="69">
        <f t="shared" si="718"/>
        <v>29.68</v>
      </c>
      <c r="L113" s="79">
        <f>IF(L109&gt;0,MAX(L6:L105),"")</f>
        <v>10</v>
      </c>
      <c r="M113" s="7">
        <f>IF(M109&gt;0,MAX(M6:M105),"")</f>
        <v>25.947119292885088</v>
      </c>
      <c r="N113" s="7" t="s">
        <v>159</v>
      </c>
      <c r="O113" s="76"/>
      <c r="P113" s="77"/>
      <c r="Q113" s="78" t="s">
        <v>14</v>
      </c>
      <c r="R113" s="78">
        <f t="shared" si="692"/>
        <v>0.46240147398717585</v>
      </c>
      <c r="S113" s="78"/>
      <c r="T113" s="78"/>
      <c r="U113" s="136">
        <f t="shared" si="693"/>
        <v>0.31182970843651536</v>
      </c>
      <c r="V113" s="78"/>
      <c r="W113" s="78"/>
      <c r="X113" s="78">
        <f t="shared" si="694"/>
        <v>0.42564837403278882</v>
      </c>
      <c r="Y113" s="78"/>
      <c r="Z113" s="78"/>
      <c r="AA113" s="78">
        <f t="shared" si="695"/>
        <v>0.5337554122721917</v>
      </c>
      <c r="AB113" s="78"/>
      <c r="AC113" s="78"/>
      <c r="AD113" s="78">
        <f t="shared" si="696"/>
        <v>0.54552124699661908</v>
      </c>
      <c r="AE113" s="78"/>
      <c r="AF113" s="78"/>
      <c r="AG113" s="78">
        <f t="shared" si="697"/>
        <v>0.51735473677456745</v>
      </c>
      <c r="AH113" s="78"/>
      <c r="AI113" s="78"/>
      <c r="AJ113" s="78">
        <f t="shared" si="698"/>
        <v>0.56468554257023151</v>
      </c>
      <c r="AK113" s="78"/>
      <c r="AL113" s="78"/>
      <c r="AM113" s="78">
        <f t="shared" si="699"/>
        <v>2.6697722343032066</v>
      </c>
      <c r="AN113" s="78"/>
      <c r="AO113" s="78"/>
      <c r="AP113" s="78">
        <f t="shared" si="700"/>
        <v>0.50316607557342319</v>
      </c>
      <c r="AQ113" s="78"/>
      <c r="AR113" s="78"/>
      <c r="AS113" s="78">
        <f t="shared" si="701"/>
        <v>0.61143746158477097</v>
      </c>
      <c r="AT113" s="78"/>
      <c r="AU113" s="10"/>
      <c r="AV113" s="78" t="str">
        <f t="shared" si="703"/>
        <v>±0,69</v>
      </c>
      <c r="AW113" s="132">
        <f t="shared" si="704"/>
        <v>0.69</v>
      </c>
      <c r="AX113" s="81"/>
      <c r="AY113" s="82" t="s">
        <v>115</v>
      </c>
      <c r="AZ113" s="8">
        <f>IF(AZ109&gt;0,ROUND(AZ112-((AZ110^2)/AZ109),3),"")</f>
        <v>54.273000000000003</v>
      </c>
      <c r="BA113" s="8">
        <f>IF(BA109&gt;0,ROUND(BA112-((BA110^2)/BA109),3),"")</f>
        <v>123.502</v>
      </c>
      <c r="BB113" s="9">
        <f>IF(BB109&gt;0,ROUND(BB110-((AZ110*BA110)/BB109),3),"")</f>
        <v>58.676000000000002</v>
      </c>
      <c r="BC113" s="8">
        <f>IF(BC109&gt;0,ROUND(BC112-((BC110^2)/BC109),3),"")</f>
        <v>54.273000000000003</v>
      </c>
      <c r="BD113" s="8">
        <f>IF(BD109&gt;0,ROUND(BD112-((BD110^2)/BD109),3),"")</f>
        <v>44.247999999999998</v>
      </c>
      <c r="BE113" s="9">
        <f>IF(BE109&gt;0,ROUND(BE110-((BC110*BD110)/BE109),3),"")</f>
        <v>35.262</v>
      </c>
      <c r="BF113" s="8">
        <f>IF(BF109&gt;0,ROUND(BF112-((BF110^2)/BF109),3),"")</f>
        <v>54.273000000000003</v>
      </c>
      <c r="BG113" s="8">
        <f>IF(BG109&gt;0,ROUND(BG112-((BG110^2)/BG109),3),"")</f>
        <v>45.884</v>
      </c>
      <c r="BH113" s="9">
        <f>IF(BH109&gt;0,ROUND(BH110-((BF110*BG110)/BH109),3),"")</f>
        <v>45.62</v>
      </c>
      <c r="BI113" s="8">
        <f>IF(BI109&gt;0,ROUND(BI112-((BI110^2)/BI109),3),"")</f>
        <v>54.273000000000003</v>
      </c>
      <c r="BJ113" s="8">
        <f>IF(BJ109&gt;0,ROUND(BJ112-((BJ110^2)/BJ109),3),"")</f>
        <v>81.316999999999993</v>
      </c>
      <c r="BK113" s="9">
        <f>IF(BK109&gt;0,ROUND(BK110-((BI110*BJ110)/BK109),3),"")</f>
        <v>54.213000000000001</v>
      </c>
      <c r="BL113" s="8">
        <f>IF(BL109&gt;0,ROUND(BL112-((BL110^2)/BL109),3),"")</f>
        <v>54.273000000000003</v>
      </c>
      <c r="BM113" s="8">
        <f>IF(BM109&gt;0,ROUND(BM112-((BM110^2)/BM109),3),"")</f>
        <v>26.111000000000001</v>
      </c>
      <c r="BN113" s="9">
        <f>IF(BN109&gt;0,ROUND(BN110-((BL110*BM110)/BN109),3),"")</f>
        <v>23.789000000000001</v>
      </c>
      <c r="BO113" s="8">
        <f>IF(BO109&gt;0,ROUND(BO112-((BO110^2)/BO109),3),"")</f>
        <v>54.273000000000003</v>
      </c>
      <c r="BP113" s="8">
        <f>IF(BP109&gt;0,ROUND(BP112-((BP110^2)/BP109),3),"")</f>
        <v>37.423000000000002</v>
      </c>
      <c r="BQ113" s="9">
        <f>IF(BQ109&gt;0,ROUND(BQ110-((BO110*BP110)/BQ109),3),"")</f>
        <v>32.048999999999999</v>
      </c>
      <c r="BR113" s="8">
        <f>IF(BR109&gt;0,ROUND(BR112-((BR110^2)/BR109),3),"")</f>
        <v>54.273000000000003</v>
      </c>
      <c r="BS113" s="8">
        <f>IF(BS109&gt;0,ROUND(BS112-((BS110^2)/BS109),3),"")</f>
        <v>174.529</v>
      </c>
      <c r="BT113" s="9">
        <f>IF(BT109&gt;0,ROUND(BT110-((BR110*BS110)/BT109),3),"")</f>
        <v>70.856999999999999</v>
      </c>
      <c r="BU113" s="8">
        <f>IF(BU109&gt;0,ROUND(BU112-((BU110^2)/BU109),3),"")</f>
        <v>54.273000000000003</v>
      </c>
      <c r="BV113" s="8">
        <f>IF(BV109&gt;0,ROUND(BV112-((BV110^2)/BV109),3),"")</f>
        <v>52.2</v>
      </c>
      <c r="BW113" s="9">
        <f>IF(BW109&gt;0,ROUND(BW110-((BU110*BV110)/BW109),3),"")</f>
        <v>41.792999999999999</v>
      </c>
      <c r="BX113" s="8">
        <f>IF(BX109&gt;0,ROUND(BX112-((BX110^2)/BX109),3),"")</f>
        <v>54.273000000000003</v>
      </c>
      <c r="BY113" s="8">
        <f>IF(BY109&gt;0,ROUND(BY112-((BY110^2)/BY109),3),"")</f>
        <v>84.59</v>
      </c>
      <c r="BZ113" s="9">
        <f>IF(BZ109&gt;0,ROUND(BZ110-((BX110*BY110)/BZ109),3),"")</f>
        <v>58.115000000000002</v>
      </c>
      <c r="CA113" s="8">
        <f>IF(CA109&gt;0,ROUND(CA112-((CA110^2)/CA109),3),"")</f>
        <v>54.273000000000003</v>
      </c>
      <c r="CB113" s="8">
        <f>IF(CB109&gt;0,ROUND(CB112-((CB110^2)/CB109),3),"")</f>
        <v>46.866999999999997</v>
      </c>
      <c r="CC113" s="9">
        <f>IF(CC109&gt;0,ROUND(CC110-((CA110*CB110)/CC109),3),"")</f>
        <v>46.895000000000003</v>
      </c>
      <c r="CD113" s="82" t="s">
        <v>115</v>
      </c>
      <c r="CE113" s="8">
        <f>IF(CE109&gt;0,ROUND(CE112-((CE110^2)/CE109),3),"")</f>
        <v>123.502</v>
      </c>
      <c r="CF113" s="8">
        <f>IF(CF109&gt;0,ROUND(CF112-((CF110^2)/CF109),3),"")</f>
        <v>44.247999999999998</v>
      </c>
      <c r="CG113" s="9">
        <f>IF(CG109&gt;0,ROUND(CG110-((CE110*CF110)/CG109),3),"")</f>
        <v>34.286999999999999</v>
      </c>
      <c r="CH113" s="8">
        <f>IF(CH109&gt;0,ROUND(CH112-((CH110^2)/CH109),3),"")</f>
        <v>123.502</v>
      </c>
      <c r="CI113" s="8">
        <f>IF(CI109&gt;0,ROUND(CI112-((CI110^2)/CI109),3),"")</f>
        <v>45.884</v>
      </c>
      <c r="CJ113" s="9">
        <f>IF(CJ109&gt;0,ROUND(CJ110-((CH110*CI110)/CJ109),3),"")</f>
        <v>45.216000000000001</v>
      </c>
      <c r="CK113" s="8">
        <f>IF(CK109&gt;0,ROUND(CK112-((CK110^2)/CK109),3),"")</f>
        <v>123.502</v>
      </c>
      <c r="CL113" s="8">
        <f>IF(CL109&gt;0,ROUND(CL112-((CL110^2)/CL109),3),"")</f>
        <v>81.316999999999993</v>
      </c>
      <c r="CM113" s="9">
        <f>IF(CM109&gt;0,ROUND(CM110-((CK110*CL110)/CM109),3),"")</f>
        <v>70.992999999999995</v>
      </c>
      <c r="CN113" s="8">
        <f>IF(CN109&gt;0,ROUND(CN112-((CN110^2)/CN109),3),"")</f>
        <v>123.502</v>
      </c>
      <c r="CO113" s="8">
        <f>IF(CO109&gt;0,ROUND(CO112-((CO110^2)/CO109),3),"")</f>
        <v>26.111000000000001</v>
      </c>
      <c r="CP113" s="9">
        <f>IF(CP109&gt;0,ROUND(CP110-((CN110*CO110)/CP109),3),"")</f>
        <v>31.164999999999999</v>
      </c>
      <c r="CQ113" s="8">
        <f>IF(CQ109&gt;0,ROUND(CQ112-((CQ110^2)/CQ109),3),"")</f>
        <v>123.502</v>
      </c>
      <c r="CR113" s="8">
        <f>IF(CR109&gt;0,ROUND(CR112-((CR110^2)/CR109),3),"")</f>
        <v>37.423000000000002</v>
      </c>
      <c r="CS113" s="9">
        <f>IF(CS109&gt;0,ROUND(CS110-((CQ110*CR110)/CS109),3),"")</f>
        <v>52.146999999999998</v>
      </c>
      <c r="CT113" s="8">
        <f>IF(CT109&gt;0,ROUND(CT112-((CT110^2)/CT109),3),"")</f>
        <v>123.502</v>
      </c>
      <c r="CU113" s="8">
        <f>IF(CU109&gt;0,ROUND(CU112-((CU110^2)/CU109),3),"")</f>
        <v>174.529</v>
      </c>
      <c r="CV113" s="9">
        <f>IF(CV109&gt;0,ROUND(CV110-((CT110*CU110)/CV109),3),"")</f>
        <v>105.238</v>
      </c>
      <c r="CW113" s="8">
        <f>IF(CW109&gt;0,ROUND(CW112-((CW110^2)/CW109),3),"")</f>
        <v>123.502</v>
      </c>
      <c r="CX113" s="8">
        <f>IF(CX109&gt;0,ROUND(CX112-((CX110^2)/CX109),3),"")</f>
        <v>52.2</v>
      </c>
      <c r="CY113" s="9">
        <f>IF(CY109&gt;0,ROUND(CY110-((CW110*CX110)/CY109),3),"")</f>
        <v>57.113</v>
      </c>
      <c r="CZ113" s="8">
        <f>IF(CZ109&gt;0,ROUND(CZ112-((CZ110^2)/CZ109),3),"")</f>
        <v>123.502</v>
      </c>
      <c r="DA113" s="8">
        <f>IF(DA109&gt;0,ROUND(DA112-((DA110^2)/DA109),3),"")</f>
        <v>84.59</v>
      </c>
      <c r="DB113" s="9">
        <f>IF(DB109&gt;0,ROUND(DB110-((CZ110*DA110)/DB109),3),"")</f>
        <v>60.682000000000002</v>
      </c>
      <c r="DC113" s="8">
        <f>IF(DC109&gt;0,ROUND(DC112-((DC110^2)/DC109),3),"")</f>
        <v>123.502</v>
      </c>
      <c r="DD113" s="8">
        <f>IF(DD109&gt;0,ROUND(DD112-((DD110^2)/DD109),3),"")</f>
        <v>46.866999999999997</v>
      </c>
      <c r="DE113" s="9">
        <f>IF(DE109&gt;0,ROUND(DE110-((DC110*DD110)/DE109),3),"")</f>
        <v>62.512</v>
      </c>
      <c r="DF113" s="82" t="s">
        <v>115</v>
      </c>
      <c r="DG113" s="8">
        <f>IF(DG109&gt;0,ROUND(DG112-((DG110^2)/DG109),3),"")</f>
        <v>44.247999999999998</v>
      </c>
      <c r="DH113" s="8">
        <f>IF(DH109&gt;0,ROUND(DH112-((DH110^2)/DH109),3),"")</f>
        <v>45.884</v>
      </c>
      <c r="DI113" s="9">
        <f>IF(DI109&gt;0,ROUND(DI110-((DG110*DH110)/DI109),3),"")</f>
        <v>26.853999999999999</v>
      </c>
      <c r="DJ113" s="8">
        <f>IF(DJ109&gt;0,ROUND(DJ112-((DJ110^2)/DJ109),3),"")</f>
        <v>44.247999999999998</v>
      </c>
      <c r="DK113" s="8">
        <f>IF(DK109&gt;0,ROUND(DK112-((DK110^2)/DK109),3),"")</f>
        <v>81.316999999999993</v>
      </c>
      <c r="DL113" s="9">
        <f>IF(DL109&gt;0,ROUND(DL110-((DJ110*DK110)/DL109),3),"")</f>
        <v>35.850999999999999</v>
      </c>
      <c r="DM113" s="8">
        <f>IF(DM109&gt;0,ROUND(DM112-((DM110^2)/DM109),3),"")</f>
        <v>44.247999999999998</v>
      </c>
      <c r="DN113" s="8">
        <f>IF(DN109&gt;0,ROUND(DN112-((DN110^2)/DN109),3),"")</f>
        <v>26.111000000000001</v>
      </c>
      <c r="DO113" s="9">
        <f>IF(DO109&gt;0,ROUND(DO110-((DM110*DN110)/DO109),3),"")</f>
        <v>16.724</v>
      </c>
      <c r="DP113" s="8">
        <f>IF(DP109&gt;0,ROUND(DP112-((DP110^2)/DP109),3),"")</f>
        <v>44.247999999999998</v>
      </c>
      <c r="DQ113" s="8">
        <f>IF(DQ109&gt;0,ROUND(DQ112-((DQ110^2)/DQ109),3),"")</f>
        <v>37.423000000000002</v>
      </c>
      <c r="DR113" s="9">
        <f>IF(DR109&gt;0,ROUND(DR110-((DP110*DQ110)/DR109),3),"")</f>
        <v>22.04</v>
      </c>
      <c r="DS113" s="8">
        <f>IF(DS109&gt;0,ROUND(DS112-((DS110^2)/DS109),3),"")</f>
        <v>44.247999999999998</v>
      </c>
      <c r="DT113" s="8">
        <f>IF(DT109&gt;0,ROUND(DT112-((DT110^2)/DT109),3),"")</f>
        <v>174.529</v>
      </c>
      <c r="DU113" s="9">
        <f>IF(DU109&gt;0,ROUND(DU110-((DS110*DT110)/DU109),3),"")</f>
        <v>41.268000000000001</v>
      </c>
      <c r="DV113" s="8">
        <f>IF(DV109&gt;0,ROUND(DV112-((DV110^2)/DV109),3),"")</f>
        <v>44.247999999999998</v>
      </c>
      <c r="DW113" s="8">
        <f>IF(DW109&gt;0,ROUND(DW112-((DW110^2)/DW109),3),"")</f>
        <v>52.2</v>
      </c>
      <c r="DX113" s="9">
        <f>IF(DX109&gt;0,ROUND(DX110-((DV110*DW110)/DX109),3),"")</f>
        <v>26.443000000000001</v>
      </c>
      <c r="DY113" s="8">
        <f>IF(DY109&gt;0,ROUND(DY112-((DY110^2)/DY109),3),"")</f>
        <v>44.247999999999998</v>
      </c>
      <c r="DZ113" s="8">
        <f>IF(DZ109&gt;0,ROUND(DZ112-((DZ110^2)/DZ109),3),"")</f>
        <v>84.59</v>
      </c>
      <c r="EA113" s="9">
        <f>IF(EA109&gt;0,ROUND(EA110-((DY110*DZ110)/EA109),3),"")</f>
        <v>40.109000000000002</v>
      </c>
      <c r="EB113" s="8">
        <f>IF(EB109&gt;0,ROUND(EB112-((EB110^2)/EB109),3),"")</f>
        <v>44.247999999999998</v>
      </c>
      <c r="EC113" s="8">
        <f>IF(EC109&gt;0,ROUND(EC112-((EC110^2)/EC109),3),"")</f>
        <v>46.866999999999997</v>
      </c>
      <c r="ED113" s="9">
        <f>IF(ED109&gt;0,ROUND(ED110-((EB110*EC110)/ED109),3),"")</f>
        <v>31.606999999999999</v>
      </c>
      <c r="EE113" s="82" t="s">
        <v>115</v>
      </c>
      <c r="EF113" s="8">
        <f>IF(EF109&gt;0,ROUND(EF112-((EF110^2)/EF109),3),"")</f>
        <v>45.884</v>
      </c>
      <c r="EG113" s="8">
        <f>IF(EG109&gt;0,ROUND(EG112-((EG110^2)/EG109),3),"")</f>
        <v>81.316999999999993</v>
      </c>
      <c r="EH113" s="9">
        <f>IF(EH109&gt;0,ROUND(EH110-((EF110*EG110)/EH109),3),"")</f>
        <v>48.383000000000003</v>
      </c>
      <c r="EI113" s="8">
        <f>IF(EI109&gt;0,ROUND(EI112-((EI110^2)/EI109),3),"")</f>
        <v>45.884</v>
      </c>
      <c r="EJ113" s="8">
        <f>IF(EJ109&gt;0,ROUND(EJ112-((EJ110^2)/EJ109),3),"")</f>
        <v>26.111000000000001</v>
      </c>
      <c r="EK113" s="9">
        <f>IF(EK109&gt;0,ROUND(EK110-((EI110*EJ110)/EK109),3),"")</f>
        <v>22.856000000000002</v>
      </c>
      <c r="EL113" s="8">
        <f>IF(EL109&gt;0,ROUND(EL112-((EL110^2)/EL109),3),"")</f>
        <v>45.884</v>
      </c>
      <c r="EM113" s="8">
        <f>IF(EM109&gt;0,ROUND(EM112-((EM110^2)/EM109),3),"")</f>
        <v>37.423000000000002</v>
      </c>
      <c r="EN113" s="9">
        <f>IF(EN109&gt;0,ROUND(EN110-((EL110*EM110)/EN109),3),"")</f>
        <v>27.135000000000002</v>
      </c>
      <c r="EO113" s="8">
        <f>IF(EO109&gt;0,ROUND(EO112-((EO110^2)/EO109),3),"")</f>
        <v>45.884</v>
      </c>
      <c r="EP113" s="8">
        <f>IF(EP109&gt;0,ROUND(EP112-((EP110^2)/EP109),3),"")</f>
        <v>174.529</v>
      </c>
      <c r="EQ113" s="9">
        <f>IF(EQ109&gt;0,ROUND(EQ110-((EO110*EP110)/EQ109),3),"")</f>
        <v>54.042000000000002</v>
      </c>
      <c r="ER113" s="8">
        <f>IF(ER109&gt;0,ROUND(ER112-((ER110^2)/ER109),3),"")</f>
        <v>45.884</v>
      </c>
      <c r="ES113" s="8">
        <f>IF(ES109&gt;0,ROUND(ES112-((ES110^2)/ES109),3),"")</f>
        <v>52.2</v>
      </c>
      <c r="ET113" s="9">
        <f>IF(ET109&gt;0,ROUND(ET110-((ER110*ES110)/ET109),3),"")</f>
        <v>40.878</v>
      </c>
      <c r="EU113" s="8">
        <f>IF(EU109&gt;0,ROUND(EU112-((EU110^2)/EU109),3),"")</f>
        <v>45.884</v>
      </c>
      <c r="EV113" s="8">
        <f>IF(EV109&gt;0,ROUND(EV112-((EV110^2)/EV109),3),"")</f>
        <v>84.59</v>
      </c>
      <c r="EW113" s="9">
        <f>IF(EW109&gt;0,ROUND(EW110-((EU110*EV110)/EW109),3),"")</f>
        <v>51.110999999999997</v>
      </c>
      <c r="EX113" s="8">
        <f>IF(EX109&gt;0,ROUND(EX112-((EX110^2)/EX109),3),"")</f>
        <v>45.884</v>
      </c>
      <c r="EY113" s="8">
        <f>IF(EY109&gt;0,ROUND(EY112-((EY110^2)/EY109),3),"")</f>
        <v>46.866999999999997</v>
      </c>
      <c r="EZ113" s="9">
        <f>IF(EZ109&gt;0,ROUND(EZ110-((EX110*EY110)/EZ109),3),"")</f>
        <v>40.716999999999999</v>
      </c>
      <c r="FA113" s="82" t="s">
        <v>115</v>
      </c>
      <c r="FB113" s="8">
        <f>IF(FB109&gt;0,ROUND(FB112-((FB110^2)/FB109),3),"")</f>
        <v>81.316999999999993</v>
      </c>
      <c r="FC113" s="8">
        <f>IF(FC109&gt;0,ROUND(FC112-((FC110^2)/FC109),3),"")</f>
        <v>26.111000000000001</v>
      </c>
      <c r="FD113" s="9">
        <f>IF(FD109&gt;0,ROUND(FD110-((FB110*FC110)/FD109),3),"")</f>
        <v>35.695999999999998</v>
      </c>
      <c r="FE113" s="8">
        <f>IF(FE109&gt;0,ROUND(FE112-((FE110^2)/FE109),3),"")</f>
        <v>81.316999999999993</v>
      </c>
      <c r="FF113" s="8">
        <f>IF(FF109&gt;0,ROUND(FF112-((FF110^2)/FF109),3),"")</f>
        <v>37.423000000000002</v>
      </c>
      <c r="FG113" s="9">
        <f>IF(FG109&gt;0,ROUND(FG110-((FE110*FF110)/FG109),3),"")</f>
        <v>42.947000000000003</v>
      </c>
      <c r="FH113" s="8">
        <f>IF(FH109&gt;0,ROUND(FH112-((FH110^2)/FH109),3),"")</f>
        <v>81.316999999999993</v>
      </c>
      <c r="FI113" s="8">
        <f>IF(FI109&gt;0,ROUND(FI112-((FI110^2)/FI109),3),"")</f>
        <v>174.529</v>
      </c>
      <c r="FJ113" s="9">
        <f>IF(FJ109&gt;0,ROUND(FJ110-((FH110*FI110)/FJ109),3),"")</f>
        <v>77.549000000000007</v>
      </c>
      <c r="FK113" s="8">
        <f>IF(FK109&gt;0,ROUND(FK112-((FK110^2)/FK109),3),"")</f>
        <v>81.316999999999993</v>
      </c>
      <c r="FL113" s="8">
        <f>IF(FL109&gt;0,ROUND(FL112-((FL110^2)/FL109),3),"")</f>
        <v>52.2</v>
      </c>
      <c r="FM113" s="9">
        <f>IF(FM109&gt;0,ROUND(FM110-((FK110*FL110)/FM109),3),"")</f>
        <v>54.073</v>
      </c>
      <c r="FN113" s="8">
        <f>IF(FN109&gt;0,ROUND(FN112-((FN110^2)/FN109),3),"")</f>
        <v>81.316999999999993</v>
      </c>
      <c r="FO113" s="8">
        <f>IF(FO109&gt;0,ROUND(FO112-((FO110^2)/FO109),3),"")</f>
        <v>84.59</v>
      </c>
      <c r="FP113" s="9">
        <f>IF(FP109&gt;0,ROUND(FP110-((FN110*FO110)/FP109),3),"")</f>
        <v>62.869</v>
      </c>
      <c r="FQ113" s="8">
        <f>IF(FQ109&gt;0,ROUND(FQ112-((FQ110^2)/FQ109),3),"")</f>
        <v>81.316999999999993</v>
      </c>
      <c r="FR113" s="8">
        <f>IF(FR109&gt;0,ROUND(FR112-((FR110^2)/FR109),3),"")</f>
        <v>46.866999999999997</v>
      </c>
      <c r="FS113" s="9">
        <f>IF(FS109&gt;0,ROUND(FS110-((FQ110*FR110)/FS109),3),"")</f>
        <v>55.883000000000003</v>
      </c>
      <c r="FT113" s="82" t="s">
        <v>115</v>
      </c>
      <c r="FU113" s="8">
        <f>IF(FU109&gt;0,ROUND(FU112-((FU110^2)/FU109),3),"")</f>
        <v>26.111000000000001</v>
      </c>
      <c r="FV113" s="8">
        <f>IF(FV109&gt;0,ROUND(FV112-((FV110^2)/FV109),3),"")</f>
        <v>37.423000000000002</v>
      </c>
      <c r="FW113" s="9">
        <f>IF(FW109&gt;0,ROUND(FW110-((FU110*FV110)/FW109),3),"")</f>
        <v>25.550999999999998</v>
      </c>
      <c r="FX113" s="8">
        <f>IF(FX109&gt;0,ROUND(FX112-((FX110^2)/FX109),3),"")</f>
        <v>26.111000000000001</v>
      </c>
      <c r="FY113" s="8">
        <f>IF(FY109&gt;0,ROUND(FY112-((FY110^2)/FY109),3),"")</f>
        <v>174.529</v>
      </c>
      <c r="FZ113" s="9">
        <f>IF(FZ109&gt;0,ROUND(FZ110-((FX110*FY110)/FZ109),3),"")</f>
        <v>35.296999999999997</v>
      </c>
      <c r="GA113" s="8">
        <f>IF(GA109&gt;0,ROUND(GA112-((GA110^2)/GA109),3),"")</f>
        <v>26.111000000000001</v>
      </c>
      <c r="GB113" s="8">
        <f>IF(GB109&gt;0,ROUND(GB112-((GB110^2)/GB109),3),"")</f>
        <v>52.2</v>
      </c>
      <c r="GC113" s="9">
        <f>IF(GC109&gt;0,ROUND(GC110-((GA110*GB110)/GC109),3),"")</f>
        <v>30.954000000000001</v>
      </c>
      <c r="GD113" s="8">
        <f>IF(GD109&gt;0,ROUND(GD112-((GD110^2)/GD109),3),"")</f>
        <v>26.111000000000001</v>
      </c>
      <c r="GE113" s="8">
        <f>IF(GE109&gt;0,ROUND(GE112-((GE110^2)/GE109),3),"")</f>
        <v>84.59</v>
      </c>
      <c r="GF113" s="9">
        <f>IF(GF109&gt;0,ROUND(GF110-((GD110*GE110)/GF109),3),"")</f>
        <v>34.213999999999999</v>
      </c>
      <c r="GG113" s="8">
        <f>IF(GG109&gt;0,ROUND(GG112-((GG110^2)/GG109),3),"")</f>
        <v>26.111000000000001</v>
      </c>
      <c r="GH113" s="8">
        <f>IF(GH109&gt;0,ROUND(GH112-((GH110^2)/GH109),3),"")</f>
        <v>46.866999999999997</v>
      </c>
      <c r="GI113" s="9">
        <f>IF(GI109&gt;0,ROUND(GI110-((GG110*GH110)/GI109),3),"")</f>
        <v>28.213999999999999</v>
      </c>
      <c r="GJ113" s="82" t="s">
        <v>115</v>
      </c>
      <c r="GK113" s="8">
        <f>IF(GK109&gt;0,ROUND(GK112-((GK110^2)/GK109),3),"")</f>
        <v>37.423000000000002</v>
      </c>
      <c r="GL113" s="8">
        <f>IF(GL109&gt;0,ROUND(GL112-((GL110^2)/GL109),3),"")</f>
        <v>174.529</v>
      </c>
      <c r="GM113" s="9">
        <f>IF(GM109&gt;0,ROUND(GM110-((GK110*GL110)/GM109),3),"")</f>
        <v>52.534999999999997</v>
      </c>
      <c r="GN113" s="8">
        <f>IF(GN109&gt;0,ROUND(GN112-((GN110^2)/GN109),3),"")</f>
        <v>37.423000000000002</v>
      </c>
      <c r="GO113" s="8">
        <f>IF(GO109&gt;0,ROUND(GO112-((GO110^2)/GO109),3),"")</f>
        <v>52.2</v>
      </c>
      <c r="GP113" s="9">
        <f>IF(GP109&gt;0,ROUND(GP110-((GN110*GO110)/GP109),3),"")</f>
        <v>36.11</v>
      </c>
      <c r="GQ113" s="8">
        <f>IF(GQ109&gt;0,ROUND(GQ112-((GQ110^2)/GQ109),3),"")</f>
        <v>37.423000000000002</v>
      </c>
      <c r="GR113" s="8">
        <f>IF(GR109&gt;0,ROUND(GR112-((GR110^2)/GR109),3),"")</f>
        <v>84.59</v>
      </c>
      <c r="GS113" s="9">
        <f>IF(GS109&gt;0,ROUND(GS110-((GQ110*GR110)/GS109),3),"")</f>
        <v>44.749000000000002</v>
      </c>
      <c r="GT113" s="8">
        <f>IF(GT109&gt;0,ROUND(GT112-((GT110^2)/GT109),3),"")</f>
        <v>37.423000000000002</v>
      </c>
      <c r="GU113" s="8">
        <f>IF(GU109&gt;0,ROUND(GU112-((GU110^2)/GU109),3),"")</f>
        <v>46.866999999999997</v>
      </c>
      <c r="GV113" s="9">
        <f>IF(GV109&gt;0,ROUND(GV110-((GT110*GU110)/GV109),3),"")</f>
        <v>36.93</v>
      </c>
      <c r="GW113" s="82" t="s">
        <v>115</v>
      </c>
      <c r="GX113" s="8">
        <f>IF(GX109&gt;0,ROUND(GX112-((GX110^2)/GX109),3),"")</f>
        <v>174.529</v>
      </c>
      <c r="GY113" s="8">
        <f>IF(GY109&gt;0,ROUND(GY112-((GY110^2)/GY109),3),"")</f>
        <v>52.2</v>
      </c>
      <c r="GZ113" s="9">
        <f>IF(GZ109&gt;0,ROUND(GZ110-((GX110*GY110)/GZ109),3),"")</f>
        <v>61.831000000000003</v>
      </c>
      <c r="HA113" s="8">
        <f>IF(HA109&gt;0,ROUND(HA112-((HA110^2)/HA109),3),"")</f>
        <v>174.529</v>
      </c>
      <c r="HB113" s="8">
        <f>IF(HB109&gt;0,ROUND(HB112-((HB110^2)/HB109),3),"")</f>
        <v>84.59</v>
      </c>
      <c r="HC113" s="9">
        <f>IF(HC109&gt;0,ROUND(HC110-((HA110*HB110)/HC109),3),"")</f>
        <v>65.641000000000005</v>
      </c>
      <c r="HD113" s="8">
        <f>IF(HD109&gt;0,ROUND(HD112-((HD110^2)/HD109),3),"")</f>
        <v>174.529</v>
      </c>
      <c r="HE113" s="8">
        <f>IF(HE109&gt;0,ROUND(HE112-((HE110^2)/HE109),3),"")</f>
        <v>46.866999999999997</v>
      </c>
      <c r="HF113" s="9">
        <f>IF(HF109&gt;0,ROUND(HF110-((HD110*HE110)/HF109),3),"")</f>
        <v>71.646000000000001</v>
      </c>
      <c r="HG113" s="82" t="s">
        <v>115</v>
      </c>
      <c r="HH113" s="8">
        <f>IF(HH109&gt;0,ROUND(HH112-((HH110^2)/HH109),3),"")</f>
        <v>52.2</v>
      </c>
      <c r="HI113" s="8">
        <f>IF(HI109&gt;0,ROUND(HI112-((HI110^2)/HI109),3),"")</f>
        <v>84.59</v>
      </c>
      <c r="HJ113" s="9">
        <f>IF(HJ109&gt;0,ROUND(HJ110-((HH110*HI110)/HJ109),3),"")</f>
        <v>50.295000000000002</v>
      </c>
      <c r="HK113" s="8">
        <f>IF(HK109&gt;0,ROUND(HK112-((HK110^2)/HK109),3),"")</f>
        <v>52.2</v>
      </c>
      <c r="HL113" s="8">
        <f>IF(HL109&gt;0,ROUND(HL112-((HL110^2)/HL109),3),"")</f>
        <v>46.866999999999997</v>
      </c>
      <c r="HM113" s="9">
        <f>IF(HM109&gt;0,ROUND(HM110-((HK110*HL110)/HM109),3),"")</f>
        <v>45.015999999999998</v>
      </c>
      <c r="HN113" s="82" t="s">
        <v>115</v>
      </c>
      <c r="HO113" s="8">
        <f>IF(HO109&gt;0,ROUND(HO112-((HO110^2)/HO109),3),"")</f>
        <v>84.59</v>
      </c>
      <c r="HP113" s="8">
        <f>IF(HP109&gt;0,ROUND(HP112-((HP110^2)/HP109),3),"")</f>
        <v>46.866999999999997</v>
      </c>
      <c r="HQ113" s="9">
        <f>IF(HQ109&gt;0,ROUND(HQ110-((HO110*HP110)/HQ109),3),"")</f>
        <v>54.933999999999997</v>
      </c>
      <c r="HR113" s="82" t="s">
        <v>115</v>
      </c>
      <c r="HS113" s="8">
        <f>IF(HS109&gt;0,ROUND(HS112-((HS110^2)/HS109),3),"")</f>
        <v>46.866999999999997</v>
      </c>
      <c r="HT113" s="8">
        <f>IF(HT109&gt;0,ROUND(HT112-((HT110^2)/HT109),3),"")</f>
        <v>54.273000000000003</v>
      </c>
      <c r="HU113" s="9">
        <f>IF(HU109&gt;0,ROUND(HU110-((HS110*HT110)/HU109),3),"")</f>
        <v>46.895000000000003</v>
      </c>
      <c r="HV113" s="8">
        <f>IF(HV109&gt;0,ROUND(HV112-((HV110^2)/HV109),3),"")</f>
        <v>46.866999999999997</v>
      </c>
      <c r="HW113" s="8">
        <f>IF(HW109&gt;0,ROUND(HW112-((HW110^2)/HW109),3),"")</f>
        <v>123.502</v>
      </c>
      <c r="HX113" s="9">
        <f>IF(HX109&gt;0,ROUND(HX110-((HV110*HW110)/HX109),3),"")</f>
        <v>62.512</v>
      </c>
      <c r="HY113" s="8">
        <f>IF(HY109&gt;0,ROUND(HY112-((HY110^2)/HY109),3),"")</f>
        <v>46.866999999999997</v>
      </c>
      <c r="HZ113" s="8">
        <f>IF(HZ109&gt;0,ROUND(HZ112-((HZ110^2)/HZ109),3),"")</f>
        <v>44.247999999999998</v>
      </c>
      <c r="IA113" s="9">
        <f>IF(IA109&gt;0,ROUND(IA110-((HY110*HZ110)/IA109),3),"")</f>
        <v>31.606999999999999</v>
      </c>
      <c r="IB113" s="8">
        <f>IF(IB109&gt;0,ROUND(IB112-((IB110^2)/IB109),3),"")</f>
        <v>46.866999999999997</v>
      </c>
      <c r="IC113" s="8">
        <f>IF(IC109&gt;0,ROUND(IC112-((IC110^2)/IC109),3),"")</f>
        <v>45.884</v>
      </c>
      <c r="ID113" s="9">
        <f>IF(ID109&gt;0,ROUND(ID110-((IB110*IC110)/ID109),3),"")</f>
        <v>40.716999999999999</v>
      </c>
      <c r="IE113" s="8">
        <f>IF(IE109&gt;0,ROUND(IE112-((IE110^2)/IE109),3),"")</f>
        <v>46.866999999999997</v>
      </c>
      <c r="IF113" s="8">
        <f>IF(IF109&gt;0,ROUND(IF112-((IF110^2)/IF109),3),"")</f>
        <v>81.316999999999993</v>
      </c>
      <c r="IG113" s="9">
        <f>IF(IG109&gt;0,ROUND(IG110-((IE110*IF110)/IG109),3),"")</f>
        <v>55.883000000000003</v>
      </c>
      <c r="IH113" s="8">
        <f>IF(IH109&gt;0,ROUND(IH112-((IH110^2)/IH109),3),"")</f>
        <v>46.866999999999997</v>
      </c>
      <c r="II113" s="8">
        <f>IF(II109&gt;0,ROUND(II112-((II110^2)/II109),3),"")</f>
        <v>26.111000000000001</v>
      </c>
      <c r="IJ113" s="9">
        <f>IF(IJ109&gt;0,ROUND(IJ110-((IH110*II110)/IJ109),3),"")</f>
        <v>28.213999999999999</v>
      </c>
      <c r="IK113" s="8">
        <f>IF(IK109&gt;0,ROUND(IK112-((IK110^2)/IK109),3),"")</f>
        <v>46.866999999999997</v>
      </c>
      <c r="IL113" s="8">
        <f>IF(IL109&gt;0,ROUND(IL112-((IL110^2)/IL109),3),"")</f>
        <v>37.423000000000002</v>
      </c>
      <c r="IM113" s="9">
        <f>IF(IM109&gt;0,ROUND(IM110-((IK110*IL110)/IM109),3),"")</f>
        <v>36.93</v>
      </c>
      <c r="IN113" s="8">
        <f>IF(IN109&gt;0,ROUND(IN112-((IN110^2)/IN109),3),"")</f>
        <v>46.866999999999997</v>
      </c>
      <c r="IO113" s="8">
        <f>IF(IO109&gt;0,ROUND(IO112-((IO110^2)/IO109),3),"")</f>
        <v>174.529</v>
      </c>
      <c r="IP113" s="9">
        <f>IF(IP109&gt;0,ROUND(IP110-((IN110*IO110)/IP109),3),"")</f>
        <v>71.646000000000001</v>
      </c>
      <c r="IQ113" s="8">
        <f>IF(IQ109&gt;0,ROUND(IQ112-((IQ110^2)/IQ109),3),"")</f>
        <v>46.866999999999997</v>
      </c>
      <c r="IR113" s="8">
        <f>IF(IR109&gt;0,ROUND(IR112-((IR110^2)/IR109),3),"")</f>
        <v>52.2</v>
      </c>
      <c r="IS113" s="9">
        <f>IF(IS109&gt;0,ROUND(IS110-((IQ110*IR110)/IS109),3),"")</f>
        <v>45.015999999999998</v>
      </c>
      <c r="IT113" s="8">
        <f>IF(IT109&gt;0,ROUND(IT112-((IT110^2)/IT109),3),"")</f>
        <v>46.866999999999997</v>
      </c>
      <c r="IU113" s="8">
        <f>IF(IU109&gt;0,ROUND(IU112-((IU110^2)/IU109),3),"")</f>
        <v>84.59</v>
      </c>
      <c r="IV113" s="9">
        <f>IF(IV109&gt;0,ROUND(IV110-((IT110*IU110)/IV109),3),"")</f>
        <v>54.933999999999997</v>
      </c>
    </row>
    <row r="114" spans="1:256" x14ac:dyDescent="0.2">
      <c r="A114" s="7" t="s">
        <v>328</v>
      </c>
      <c r="B114" s="7">
        <f>IF(B109&gt;0,AVEDEV(B6:B105),"")</f>
        <v>1.0825510204081632</v>
      </c>
      <c r="C114" s="7">
        <f>IF(C109&gt;0,AVEDEV(C6:C105),"")</f>
        <v>1.5535714285714284</v>
      </c>
      <c r="D114" s="7">
        <f t="shared" ref="D114:K114" si="719">IF(D109&gt;0,AVEDEV(D6:D105),"")</f>
        <v>1.0120408163265304</v>
      </c>
      <c r="E114" s="7">
        <f t="shared" si="719"/>
        <v>1.0047704081632653</v>
      </c>
      <c r="F114" s="7">
        <f t="shared" si="719"/>
        <v>1.2116326530612258</v>
      </c>
      <c r="G114" s="7">
        <f t="shared" si="719"/>
        <v>0.74428571428571444</v>
      </c>
      <c r="H114" s="7">
        <f t="shared" si="719"/>
        <v>0.83566326530612278</v>
      </c>
      <c r="I114" s="7">
        <f t="shared" si="719"/>
        <v>1.945408163265306</v>
      </c>
      <c r="J114" s="7">
        <f t="shared" si="719"/>
        <v>1.0293877551020418</v>
      </c>
      <c r="K114" s="7">
        <f t="shared" si="719"/>
        <v>1.1891326530612252</v>
      </c>
      <c r="L114" s="83" t="s">
        <v>224</v>
      </c>
      <c r="M114" s="7">
        <f>IF(M109&gt;0,AVEDEV(M6:M105),"")</f>
        <v>0.94784222454135869</v>
      </c>
      <c r="N114" s="7" t="s">
        <v>328</v>
      </c>
      <c r="O114" s="76"/>
      <c r="P114" s="77"/>
      <c r="Q114" s="78" t="s">
        <v>15</v>
      </c>
      <c r="R114" s="78">
        <f t="shared" si="692"/>
        <v>18.941711100152453</v>
      </c>
      <c r="S114" s="78"/>
      <c r="T114" s="78"/>
      <c r="U114" s="136">
        <f t="shared" si="693"/>
        <v>69.220979358369249</v>
      </c>
      <c r="V114" s="78"/>
      <c r="W114" s="78"/>
      <c r="X114" s="78">
        <f t="shared" si="694"/>
        <v>10.558873720512144</v>
      </c>
      <c r="Y114" s="78"/>
      <c r="Z114" s="78"/>
      <c r="AA114" s="78">
        <f t="shared" si="695"/>
        <v>10.3579079699446</v>
      </c>
      <c r="AB114" s="78"/>
      <c r="AC114" s="78"/>
      <c r="AD114" s="78">
        <f t="shared" si="696"/>
        <v>61.197152197075454</v>
      </c>
      <c r="AE114" s="78"/>
      <c r="AF114" s="78"/>
      <c r="AG114" s="78">
        <f t="shared" si="697"/>
        <v>4.8285371662599079</v>
      </c>
      <c r="AH114" s="78"/>
      <c r="AI114" s="78"/>
      <c r="AJ114" s="78">
        <f t="shared" si="698"/>
        <v>11.655757769986037</v>
      </c>
      <c r="AK114" s="78"/>
      <c r="AL114" s="78"/>
      <c r="AM114" s="78">
        <f t="shared" si="699"/>
        <v>17.628497138269616</v>
      </c>
      <c r="AN114" s="78"/>
      <c r="AO114" s="78"/>
      <c r="AP114" s="78">
        <f t="shared" si="700"/>
        <v>14.968531118820099</v>
      </c>
      <c r="AQ114" s="78"/>
      <c r="AR114" s="78"/>
      <c r="AS114" s="78">
        <f t="shared" si="701"/>
        <v>39.516792027978859</v>
      </c>
      <c r="AT114" s="78"/>
      <c r="AU114" s="10"/>
      <c r="AV114" s="78" t="str">
        <f t="shared" si="703"/>
        <v>±22,77</v>
      </c>
      <c r="AW114" s="132">
        <f t="shared" si="704"/>
        <v>22.77</v>
      </c>
      <c r="AX114" s="10"/>
      <c r="AY114" s="82" t="s">
        <v>116</v>
      </c>
      <c r="AZ114" s="8">
        <f>IF(BB109&gt;0,ROUND(VAR(AZ6:AZ105),3),"")</f>
        <v>2.0099999999999998</v>
      </c>
      <c r="BA114" s="8">
        <f>IF(BB109&gt;0,ROUND(VAR(BA6:BA105),3),"")</f>
        <v>4.5739999999999998</v>
      </c>
      <c r="BB114" s="11"/>
      <c r="BC114" s="8">
        <f>IF(BE109&gt;0,ROUND(VAR(BC6:BC105),3),"")</f>
        <v>2.0099999999999998</v>
      </c>
      <c r="BD114" s="8">
        <f>IF(BE109&gt;0,ROUND(VAR(BD6:BD105),3),"")</f>
        <v>1.639</v>
      </c>
      <c r="BE114" s="11"/>
      <c r="BF114" s="8">
        <f>IF(BH109&gt;0,ROUND(VAR(BF6:BF105),3),"")</f>
        <v>2.0099999999999998</v>
      </c>
      <c r="BG114" s="8">
        <f>IF(BH109&gt;0,ROUND(VAR(BG6:BG105),3),"")</f>
        <v>1.6990000000000001</v>
      </c>
      <c r="BH114" s="11"/>
      <c r="BI114" s="8">
        <f>IF(BK109&gt;0,ROUND(VAR(BI6:BI105),3),"")</f>
        <v>2.0099999999999998</v>
      </c>
      <c r="BJ114" s="8">
        <f>IF(BK109&gt;0,ROUND(VAR(BJ6:BJ105),3),"")</f>
        <v>3.012</v>
      </c>
      <c r="BK114" s="11"/>
      <c r="BL114" s="8">
        <f>IF(BN109&gt;0,ROUND(VAR(BL6:BL105),3),"")</f>
        <v>2.0099999999999998</v>
      </c>
      <c r="BM114" s="8">
        <f>IF(BN109&gt;0,ROUND(VAR(BM6:BM105),3),"")</f>
        <v>0.96699999999999997</v>
      </c>
      <c r="BN114" s="11"/>
      <c r="BO114" s="8">
        <f>IF(BQ109&gt;0,ROUND(VAR(BO6:BO105),3),"")</f>
        <v>2.0099999999999998</v>
      </c>
      <c r="BP114" s="8">
        <f>IF(BQ109&gt;0,ROUND(VAR(BP6:BP105),3),"")</f>
        <v>1.3859999999999999</v>
      </c>
      <c r="BQ114" s="11"/>
      <c r="BR114" s="8">
        <f>IF(BT109&gt;0,ROUND(VAR(BR6:BR105),3),"")</f>
        <v>2.0099999999999998</v>
      </c>
      <c r="BS114" s="8">
        <f>IF(BT109&gt;0,ROUND(VAR(BS6:BS105),3),"")</f>
        <v>6.4640000000000004</v>
      </c>
      <c r="BT114" s="11"/>
      <c r="BU114" s="8">
        <f>IF(BW109&gt;0,ROUND(VAR(BU6:BU105),3),"")</f>
        <v>2.0099999999999998</v>
      </c>
      <c r="BV114" s="8">
        <f>IF(BW109&gt;0,ROUND(VAR(BV6:BV105),3),"")</f>
        <v>1.9330000000000001</v>
      </c>
      <c r="BW114" s="11"/>
      <c r="BX114" s="8">
        <f>IF(BZ109&gt;0,ROUND(VAR(BX6:BX105),3),"")</f>
        <v>2.0099999999999998</v>
      </c>
      <c r="BY114" s="8">
        <f>IF(BZ109&gt;0,ROUND(VAR(BY6:BY105),3),"")</f>
        <v>3.133</v>
      </c>
      <c r="BZ114" s="11"/>
      <c r="CA114" s="8">
        <f>IF(CC109&gt;0,ROUND(VAR(CA6:CA105),3),"")</f>
        <v>2.0099999999999998</v>
      </c>
      <c r="CB114" s="8">
        <f>IF(CC109&gt;0,ROUND(VAR(CB6:CB105),3),"")</f>
        <v>1.736</v>
      </c>
      <c r="CC114" s="11"/>
      <c r="CD114" s="82" t="s">
        <v>116</v>
      </c>
      <c r="CE114" s="8">
        <f>IF(CG109&gt;0,ROUND(VAR(CE6:CE105),3),"")</f>
        <v>4.5739999999999998</v>
      </c>
      <c r="CF114" s="8">
        <f>IF(CG109&gt;0,ROUND(VAR(CF6:CF105),3),"")</f>
        <v>1.639</v>
      </c>
      <c r="CG114" s="11"/>
      <c r="CH114" s="8">
        <f>IF(CJ109&gt;0,ROUND(VAR(CH6:CH105),3),"")</f>
        <v>4.5739999999999998</v>
      </c>
      <c r="CI114" s="8">
        <f>IF(CJ109&gt;0,ROUND(VAR(CI6:CI105),3),"")</f>
        <v>1.6990000000000001</v>
      </c>
      <c r="CJ114" s="11"/>
      <c r="CK114" s="8">
        <f>IF(CM109&gt;0,ROUND(VAR(CK6:CK105),3),"")</f>
        <v>4.5739999999999998</v>
      </c>
      <c r="CL114" s="8">
        <f>IF(CM109&gt;0,ROUND(VAR(CL6:CL105),3),"")</f>
        <v>3.012</v>
      </c>
      <c r="CM114" s="11"/>
      <c r="CN114" s="8">
        <f>IF(CP109&gt;0,ROUND(VAR(CN6:CN105),3),"")</f>
        <v>4.5739999999999998</v>
      </c>
      <c r="CO114" s="8">
        <f>IF(CP109&gt;0,ROUND(VAR(CO6:CO105),3),"")</f>
        <v>0.96699999999999997</v>
      </c>
      <c r="CP114" s="11"/>
      <c r="CQ114" s="8">
        <f>IF(CS109&gt;0,ROUND(VAR(CQ6:CQ105),3),"")</f>
        <v>4.5739999999999998</v>
      </c>
      <c r="CR114" s="8">
        <f>IF(CS109&gt;0,ROUND(VAR(CR6:CR105),3),"")</f>
        <v>1.3859999999999999</v>
      </c>
      <c r="CS114" s="11"/>
      <c r="CT114" s="8">
        <f>IF(CV109&gt;0,ROUND(VAR(CT6:CT105),3),"")</f>
        <v>4.5739999999999998</v>
      </c>
      <c r="CU114" s="8">
        <f>IF(CV109&gt;0,ROUND(VAR(CU6:CU105),3),"")</f>
        <v>6.4640000000000004</v>
      </c>
      <c r="CV114" s="11"/>
      <c r="CW114" s="8">
        <f>IF(CY109&gt;0,ROUND(VAR(CW6:CW105),3),"")</f>
        <v>4.5739999999999998</v>
      </c>
      <c r="CX114" s="8">
        <f>IF(CY109&gt;0,ROUND(VAR(CX6:CX105),3),"")</f>
        <v>1.9330000000000001</v>
      </c>
      <c r="CY114" s="11"/>
      <c r="CZ114" s="8">
        <f>IF(DB109&gt;0,ROUND(VAR(CZ6:CZ105),3),"")</f>
        <v>4.5739999999999998</v>
      </c>
      <c r="DA114" s="8">
        <f>IF(DB109&gt;0,ROUND(VAR(DA6:DA105),3),"")</f>
        <v>3.133</v>
      </c>
      <c r="DB114" s="11"/>
      <c r="DC114" s="8">
        <f>IF(DE109&gt;0,ROUND(VAR(DC6:DC105),3),"")</f>
        <v>4.5739999999999998</v>
      </c>
      <c r="DD114" s="8">
        <f>IF(DE109&gt;0,ROUND(VAR(DD6:DD105),3),"")</f>
        <v>1.736</v>
      </c>
      <c r="DE114" s="11"/>
      <c r="DF114" s="82" t="s">
        <v>116</v>
      </c>
      <c r="DG114" s="8">
        <f>IF(DI109&gt;0,ROUND(VAR(DG6:DG105),3),"")</f>
        <v>1.639</v>
      </c>
      <c r="DH114" s="8">
        <f>IF(DI109&gt;0,ROUND(VAR(DH6:DH105),3),"")</f>
        <v>1.6990000000000001</v>
      </c>
      <c r="DI114" s="11"/>
      <c r="DJ114" s="8">
        <f>IF(DL109&gt;0,ROUND(VAR(DJ6:DJ105),3),"")</f>
        <v>1.639</v>
      </c>
      <c r="DK114" s="8">
        <f>IF(DL109&gt;0,ROUND(VAR(DK6:DK105),3),"")</f>
        <v>3.012</v>
      </c>
      <c r="DL114" s="11"/>
      <c r="DM114" s="8">
        <f>IF(DO109&gt;0,ROUND(VAR(DM6:DM105),3),"")</f>
        <v>1.639</v>
      </c>
      <c r="DN114" s="8">
        <f>IF(DO109&gt;0,ROUND(VAR(DN6:DN105),3),"")</f>
        <v>0.96699999999999997</v>
      </c>
      <c r="DO114" s="11"/>
      <c r="DP114" s="8">
        <f>IF(DR109&gt;0,ROUND(VAR(DP6:DP105),3),"")</f>
        <v>1.639</v>
      </c>
      <c r="DQ114" s="8">
        <f>IF(DR109&gt;0,ROUND(VAR(DQ6:DQ105),3),"")</f>
        <v>1.3859999999999999</v>
      </c>
      <c r="DR114" s="11"/>
      <c r="DS114" s="8">
        <f>IF(DU109&gt;0,ROUND(VAR(DS6:DS105),3),"")</f>
        <v>1.639</v>
      </c>
      <c r="DT114" s="8">
        <f>IF(DU109&gt;0,ROUND(VAR(DT6:DT105),3),"")</f>
        <v>6.4640000000000004</v>
      </c>
      <c r="DU114" s="11"/>
      <c r="DV114" s="8">
        <f>IF(DX109&gt;0,ROUND(VAR(DV6:DV105),3),"")</f>
        <v>1.639</v>
      </c>
      <c r="DW114" s="8">
        <f>IF(DX109&gt;0,ROUND(VAR(DW6:DW105),3),"")</f>
        <v>1.9330000000000001</v>
      </c>
      <c r="DX114" s="11"/>
      <c r="DY114" s="8">
        <f>IF(EA109&gt;0,ROUND(VAR(DY6:DY105),3),"")</f>
        <v>1.639</v>
      </c>
      <c r="DZ114" s="8">
        <f>IF(EA109&gt;0,ROUND(VAR(DZ6:DZ105),3),"")</f>
        <v>3.133</v>
      </c>
      <c r="EA114" s="11"/>
      <c r="EB114" s="8">
        <f>IF(ED109&gt;0,ROUND(VAR(EB6:EB105),3),"")</f>
        <v>1.639</v>
      </c>
      <c r="EC114" s="8">
        <f>IF(ED109&gt;0,ROUND(VAR(EC6:EC105),3),"")</f>
        <v>1.736</v>
      </c>
      <c r="ED114" s="11"/>
      <c r="EE114" s="82" t="s">
        <v>116</v>
      </c>
      <c r="EF114" s="8">
        <f>IF(EH109&gt;0,ROUND(VAR(EF6:EF105),3),"")</f>
        <v>1.6990000000000001</v>
      </c>
      <c r="EG114" s="8">
        <f>IF(EH109&gt;0,ROUND(VAR(EG6:EG105),3),"")</f>
        <v>3.012</v>
      </c>
      <c r="EH114" s="11"/>
      <c r="EI114" s="8">
        <f>IF(EK109&gt;0,ROUND(VAR(EI6:EI105),3),"")</f>
        <v>1.6990000000000001</v>
      </c>
      <c r="EJ114" s="8">
        <f>IF(EK109&gt;0,ROUND(VAR(EJ6:EJ105),3),"")</f>
        <v>0.96699999999999997</v>
      </c>
      <c r="EK114" s="11"/>
      <c r="EL114" s="8">
        <f>IF(EN109&gt;0,ROUND(VAR(EL6:EL105),3),"")</f>
        <v>1.6990000000000001</v>
      </c>
      <c r="EM114" s="8">
        <f>IF(EN109&gt;0,ROUND(VAR(EM6:EM105),3),"")</f>
        <v>1.3859999999999999</v>
      </c>
      <c r="EN114" s="11"/>
      <c r="EO114" s="8">
        <f>IF(EQ109&gt;0,ROUND(VAR(EO6:EO105),3),"")</f>
        <v>1.6990000000000001</v>
      </c>
      <c r="EP114" s="8">
        <f>IF(EQ109&gt;0,ROUND(VAR(EP6:EP105),3),"")</f>
        <v>6.4640000000000004</v>
      </c>
      <c r="EQ114" s="11"/>
      <c r="ER114" s="8">
        <f>IF(ET109&gt;0,ROUND(VAR(ER6:ER105),3),"")</f>
        <v>1.6990000000000001</v>
      </c>
      <c r="ES114" s="8">
        <f>IF(ET109&gt;0,ROUND(VAR(ES6:ES105),3),"")</f>
        <v>1.9330000000000001</v>
      </c>
      <c r="ET114" s="11"/>
      <c r="EU114" s="8">
        <f>IF(EW109&gt;0,ROUND(VAR(EU6:EU105),3),"")</f>
        <v>1.6990000000000001</v>
      </c>
      <c r="EV114" s="8">
        <f>IF(EW109&gt;0,ROUND(VAR(EV6:EV105),3),"")</f>
        <v>3.133</v>
      </c>
      <c r="EW114" s="11"/>
      <c r="EX114" s="8">
        <f>IF(EZ109&gt;0,ROUND(VAR(EX6:EX105),3),"")</f>
        <v>1.6990000000000001</v>
      </c>
      <c r="EY114" s="8">
        <f>IF(EZ109&gt;0,ROUND(VAR(EY6:EY105),3),"")</f>
        <v>1.736</v>
      </c>
      <c r="EZ114" s="11"/>
      <c r="FA114" s="82" t="s">
        <v>116</v>
      </c>
      <c r="FB114" s="8">
        <f>IF(FD109&gt;0,ROUND(VAR(FB6:FB105),3),"")</f>
        <v>3.012</v>
      </c>
      <c r="FC114" s="8">
        <f>IF(FD109&gt;0,ROUND(VAR(FC6:FC105),3),"")</f>
        <v>0.96699999999999997</v>
      </c>
      <c r="FD114" s="11"/>
      <c r="FE114" s="8">
        <f>IF(FG109&gt;0,ROUND(VAR(FE6:FE105),3),"")</f>
        <v>3.012</v>
      </c>
      <c r="FF114" s="8">
        <f>IF(FG109&gt;0,ROUND(VAR(FF6:FF105),3),"")</f>
        <v>1.3859999999999999</v>
      </c>
      <c r="FG114" s="11"/>
      <c r="FH114" s="8">
        <f>IF(FJ109&gt;0,ROUND(VAR(FH6:FH105),3),"")</f>
        <v>3.012</v>
      </c>
      <c r="FI114" s="8">
        <f>IF(FJ109&gt;0,ROUND(VAR(FI6:FI105),3),"")</f>
        <v>6.4640000000000004</v>
      </c>
      <c r="FJ114" s="11"/>
      <c r="FK114" s="8">
        <f>IF(FM109&gt;0,ROUND(VAR(FK6:FK105),3),"")</f>
        <v>3.012</v>
      </c>
      <c r="FL114" s="8">
        <f>IF(FM109&gt;0,ROUND(VAR(FL6:FL105),3),"")</f>
        <v>1.9330000000000001</v>
      </c>
      <c r="FM114" s="11"/>
      <c r="FN114" s="8">
        <f>IF(FP109&gt;0,ROUND(VAR(FN6:FN105),3),"")</f>
        <v>3.012</v>
      </c>
      <c r="FO114" s="8">
        <f>IF(FP109&gt;0,ROUND(VAR(FO6:FO105),3),"")</f>
        <v>3.133</v>
      </c>
      <c r="FP114" s="11"/>
      <c r="FQ114" s="8">
        <f>IF(FS109&gt;0,ROUND(VAR(FQ6:FQ105),3),"")</f>
        <v>3.012</v>
      </c>
      <c r="FR114" s="8">
        <f>IF(FS109&gt;0,ROUND(VAR(FR6:FR105),3),"")</f>
        <v>1.736</v>
      </c>
      <c r="FS114" s="11"/>
      <c r="FT114" s="82" t="s">
        <v>116</v>
      </c>
      <c r="FU114" s="8">
        <f>IF(FW109&gt;0,ROUND(VAR(FU6:FU105),3),"")</f>
        <v>0.96699999999999997</v>
      </c>
      <c r="FV114" s="8">
        <f>IF(FW109&gt;0,ROUND(VAR(FV6:FV105),3),"")</f>
        <v>1.3859999999999999</v>
      </c>
      <c r="FW114" s="11"/>
      <c r="FX114" s="8">
        <f>IF(FZ109&gt;0,ROUND(VAR(FX6:FX105),3),"")</f>
        <v>0.96699999999999997</v>
      </c>
      <c r="FY114" s="8">
        <f>IF(FZ109&gt;0,ROUND(VAR(FY6:FY105),3),"")</f>
        <v>6.4640000000000004</v>
      </c>
      <c r="FZ114" s="11"/>
      <c r="GA114" s="8">
        <f>IF(GC109&gt;0,ROUND(VAR(GA6:GA105),3),"")</f>
        <v>0.96699999999999997</v>
      </c>
      <c r="GB114" s="8">
        <f>IF(GC109&gt;0,ROUND(VAR(GB6:GB105),3),"")</f>
        <v>1.9330000000000001</v>
      </c>
      <c r="GC114" s="11"/>
      <c r="GD114" s="8">
        <f>IF(GF109&gt;0,ROUND(VAR(GD6:GD105),3),"")</f>
        <v>0.96699999999999997</v>
      </c>
      <c r="GE114" s="8">
        <f>IF(GF109&gt;0,ROUND(VAR(GE6:GE105),3),"")</f>
        <v>3.133</v>
      </c>
      <c r="GF114" s="11"/>
      <c r="GG114" s="8">
        <f>IF(GI109&gt;0,ROUND(VAR(GG6:GG105),3),"")</f>
        <v>0.96699999999999997</v>
      </c>
      <c r="GH114" s="8">
        <f>IF(GI109&gt;0,ROUND(VAR(GH6:GH105),3),"")</f>
        <v>1.736</v>
      </c>
      <c r="GI114" s="11"/>
      <c r="GJ114" s="82" t="s">
        <v>116</v>
      </c>
      <c r="GK114" s="8">
        <f>IF(GM109&gt;0,ROUND(VAR(GK5:GK104),3),"")</f>
        <v>1.3859999999999999</v>
      </c>
      <c r="GL114" s="8">
        <f>IF(GM109&gt;0,ROUND(VAR(GL5:GL104),3),"")</f>
        <v>6.4640000000000004</v>
      </c>
      <c r="GM114" s="11"/>
      <c r="GN114" s="8">
        <f>IF(GP109&gt;0,ROUND(VAR(GN5:GN104),3),"")</f>
        <v>1.3859999999999999</v>
      </c>
      <c r="GO114" s="8">
        <f>IF(GP109&gt;0,ROUND(VAR(GO5:GO104),3),"")</f>
        <v>1.9330000000000001</v>
      </c>
      <c r="GP114" s="11"/>
      <c r="GQ114" s="8">
        <f>IF(GS109&gt;0,ROUND(VAR(GQ5:GQ104),3),"")</f>
        <v>1.3859999999999999</v>
      </c>
      <c r="GR114" s="8">
        <f>IF(GS109&gt;0,ROUND(VAR(GR5:GR104),3),"")</f>
        <v>3.133</v>
      </c>
      <c r="GS114" s="11"/>
      <c r="GT114" s="8">
        <f>IF(GV109&gt;0,ROUND(VAR(GT5:GT104),3),"")</f>
        <v>1.3859999999999999</v>
      </c>
      <c r="GU114" s="8">
        <f>IF(GV109&gt;0,ROUND(VAR(GU5:GU104),3),"")</f>
        <v>1.736</v>
      </c>
      <c r="GV114" s="11"/>
      <c r="GW114" s="82" t="s">
        <v>116</v>
      </c>
      <c r="GX114" s="8">
        <f>IF(GZ109&gt;0,ROUND(VAR(GX5:GX104),3),"")</f>
        <v>6.4640000000000004</v>
      </c>
      <c r="GY114" s="8">
        <f>IF(GZ109&gt;0,ROUND(VAR(GY5:GY104),3),"")</f>
        <v>1.9330000000000001</v>
      </c>
      <c r="GZ114" s="11"/>
      <c r="HA114" s="8">
        <f>IF(HC109&gt;0,ROUND(VAR(HA5:HA104),3),"")</f>
        <v>6.4640000000000004</v>
      </c>
      <c r="HB114" s="8">
        <f>IF(HC109&gt;0,ROUND(VAR(HB5:HB104),3),"")</f>
        <v>3.133</v>
      </c>
      <c r="HC114" s="11"/>
      <c r="HD114" s="8">
        <f>IF(HF109&gt;0,ROUND(VAR(HD5:HD104),3),"")</f>
        <v>6.4640000000000004</v>
      </c>
      <c r="HE114" s="8">
        <f>IF(HF109&gt;0,ROUND(VAR(HE5:HE104),3),"")</f>
        <v>1.736</v>
      </c>
      <c r="HF114" s="11"/>
      <c r="HG114" s="82" t="s">
        <v>116</v>
      </c>
      <c r="HH114" s="8">
        <f>IF(HJ109&gt;0,ROUND(VAR(HH5:HH104),3),"")</f>
        <v>1.9330000000000001</v>
      </c>
      <c r="HI114" s="8">
        <f>IF(HJ109&gt;0,ROUND(VAR(HI5:HI104),3),"")</f>
        <v>3.133</v>
      </c>
      <c r="HJ114" s="11"/>
      <c r="HK114" s="8">
        <f>IF(HM109&gt;0,ROUND(VAR(HK6:HK105),3),"")</f>
        <v>1.9330000000000001</v>
      </c>
      <c r="HL114" s="8">
        <f>IF(HM109&gt;0,ROUND(VAR(HL6:HL105),3),"")</f>
        <v>1.736</v>
      </c>
      <c r="HM114" s="11"/>
      <c r="HN114" s="82" t="s">
        <v>116</v>
      </c>
      <c r="HO114" s="8">
        <f>IF(HQ109&gt;0,ROUND(VAR(HO6:HO105),3),"")</f>
        <v>3.133</v>
      </c>
      <c r="HP114" s="8">
        <f>IF(HQ109&gt;0,ROUND(VAR(HP6:HP105),3),"")</f>
        <v>1.736</v>
      </c>
      <c r="HQ114" s="11"/>
      <c r="HR114" s="82" t="s">
        <v>116</v>
      </c>
      <c r="HS114" s="8">
        <f>IF(HU109&gt;0,ROUND(VAR(HS6:HS105),3),"")</f>
        <v>1.736</v>
      </c>
      <c r="HT114" s="8">
        <f>IF(HU109&gt;0,ROUND(VAR(HT6:HT105),3),"")</f>
        <v>2.0099999999999998</v>
      </c>
      <c r="HU114" s="11"/>
      <c r="HV114" s="8">
        <f>IF(HX109&gt;0,ROUND(VAR(HV6:HV105),3),"")</f>
        <v>1.736</v>
      </c>
      <c r="HW114" s="8">
        <f>IF(HX109&gt;0,ROUND(VAR(HW6:HW105),3),"")</f>
        <v>4.5739999999999998</v>
      </c>
      <c r="HX114" s="11"/>
      <c r="HY114" s="8">
        <f>IF(IA109&gt;0,ROUND(VAR(HY6:HY105),3),"")</f>
        <v>1.736</v>
      </c>
      <c r="HZ114" s="8">
        <f>IF(IA109&gt;0,ROUND(VAR(HZ6:HZ105),3),"")</f>
        <v>1.639</v>
      </c>
      <c r="IA114" s="11"/>
      <c r="IB114" s="8">
        <f>IF(ID109&gt;0,ROUND(VAR(IB6:IB105),3),"")</f>
        <v>1.736</v>
      </c>
      <c r="IC114" s="8">
        <f>IF(ID109&gt;0,ROUND(VAR(IC6:IC105),3),"")</f>
        <v>1.6990000000000001</v>
      </c>
      <c r="ID114" s="11"/>
      <c r="IE114" s="8">
        <f>IF(IG109&gt;0,ROUND(VAR(IE6:IE105),3),"")</f>
        <v>1.736</v>
      </c>
      <c r="IF114" s="8">
        <f>IF(IG109&gt;0,ROUND(VAR(IF6:IF105),3),"")</f>
        <v>3.012</v>
      </c>
      <c r="IG114" s="11"/>
      <c r="IH114" s="8">
        <f>IF(IJ109&gt;0,ROUND(VAR(IH6:IH105),3),"")</f>
        <v>1.736</v>
      </c>
      <c r="II114" s="8">
        <f>IF(IJ109&gt;0,ROUND(VAR(II6:II105),3),"")</f>
        <v>0.96699999999999997</v>
      </c>
      <c r="IJ114" s="11"/>
      <c r="IK114" s="8">
        <f>IF(IM109&gt;0,ROUND(VAR(IK6:IK105),3),"")</f>
        <v>1.736</v>
      </c>
      <c r="IL114" s="8">
        <f>IF(IM109&gt;0,ROUND(VAR(IL6:IL105),3),"")</f>
        <v>1.3859999999999999</v>
      </c>
      <c r="IM114" s="11"/>
      <c r="IN114" s="8">
        <f>IF(IP109&gt;0,ROUND(VAR(IN6:IN105),3),"")</f>
        <v>1.736</v>
      </c>
      <c r="IO114" s="8">
        <f>IF(IP109&gt;0,ROUND(VAR(IO6:IO105),3),"")</f>
        <v>6.4640000000000004</v>
      </c>
      <c r="IP114" s="11"/>
      <c r="IQ114" s="8">
        <f>IF(IS109&gt;0,ROUND(VAR(IQ6:IQ105),3),"")</f>
        <v>1.736</v>
      </c>
      <c r="IR114" s="8">
        <f>IF(IS109&gt;0,ROUND(VAR(IR6:IR105),3),"")</f>
        <v>1.9330000000000001</v>
      </c>
      <c r="IS114" s="11"/>
      <c r="IT114" s="8">
        <f>IF(IV109&gt;0,ROUND(VAR(IT6:IT105),3),"")</f>
        <v>1.736</v>
      </c>
      <c r="IU114" s="8">
        <f>IF(IV109&gt;0,ROUND(VAR(IU6:IU105),3),"")</f>
        <v>3.133</v>
      </c>
      <c r="IV114" s="11"/>
    </row>
    <row r="115" spans="1:256" x14ac:dyDescent="0.2">
      <c r="A115" s="7" t="s">
        <v>226</v>
      </c>
      <c r="B115" s="7">
        <f t="shared" ref="B115:M115" si="720">IF(B109&gt;0,B114/B111*100,"")</f>
        <v>5.6922870556673377</v>
      </c>
      <c r="C115" s="7">
        <f t="shared" si="720"/>
        <v>6.4601401924676241</v>
      </c>
      <c r="D115" s="7">
        <f t="shared" si="720"/>
        <v>3.935058442640512</v>
      </c>
      <c r="E115" s="7">
        <f t="shared" si="720"/>
        <v>5.3633726867927622</v>
      </c>
      <c r="F115" s="7">
        <f t="shared" si="720"/>
        <v>5.3583274292754082</v>
      </c>
      <c r="G115" s="7">
        <f t="shared" si="720"/>
        <v>3.6086580086580096</v>
      </c>
      <c r="H115" s="7">
        <f t="shared" si="720"/>
        <v>4.227078698661602</v>
      </c>
      <c r="I115" s="7">
        <f t="shared" si="720"/>
        <v>7.4951054779333708</v>
      </c>
      <c r="J115" s="7">
        <f t="shared" si="720"/>
        <v>5.787257477884741</v>
      </c>
      <c r="K115" s="7">
        <f t="shared" si="720"/>
        <v>4.9263488963431286</v>
      </c>
      <c r="L115" s="83" t="s">
        <v>224</v>
      </c>
      <c r="M115" s="7">
        <f t="shared" si="720"/>
        <v>4.3810579859787726</v>
      </c>
      <c r="N115" s="7" t="s">
        <v>226</v>
      </c>
      <c r="O115" s="76"/>
      <c r="P115" s="77"/>
      <c r="Q115" s="78" t="s">
        <v>16</v>
      </c>
      <c r="R115" s="78">
        <f t="shared" si="692"/>
        <v>1.3383943509820357</v>
      </c>
      <c r="S115" s="78"/>
      <c r="T115" s="78"/>
      <c r="U115" s="136">
        <f t="shared" si="693"/>
        <v>2.2212132809710288</v>
      </c>
      <c r="V115" s="78"/>
      <c r="W115" s="78"/>
      <c r="X115" s="78">
        <f t="shared" si="694"/>
        <v>1.1519338176590899</v>
      </c>
      <c r="Y115" s="78"/>
      <c r="Z115" s="78"/>
      <c r="AA115" s="78">
        <f t="shared" si="695"/>
        <v>1.4046957960246527</v>
      </c>
      <c r="AB115" s="78"/>
      <c r="AC115" s="78"/>
      <c r="AD115" s="78">
        <f t="shared" si="696"/>
        <v>0.97849120515182564</v>
      </c>
      <c r="AE115" s="78"/>
      <c r="AF115" s="78"/>
      <c r="AG115" s="78">
        <f t="shared" si="697"/>
        <v>0.40854763666589644</v>
      </c>
      <c r="AH115" s="78"/>
      <c r="AI115" s="78"/>
      <c r="AJ115" s="78">
        <f t="shared" si="698"/>
        <v>0.41001899007426795</v>
      </c>
      <c r="AK115" s="78"/>
      <c r="AL115" s="78"/>
      <c r="AM115" s="78">
        <f t="shared" si="699"/>
        <v>0.71048536140084551</v>
      </c>
      <c r="AN115" s="78"/>
      <c r="AO115" s="78"/>
      <c r="AP115" s="78">
        <f t="shared" si="700"/>
        <v>0.50635516047032725</v>
      </c>
      <c r="AQ115" s="78"/>
      <c r="AR115" s="78"/>
      <c r="AS115" s="78">
        <f t="shared" si="701"/>
        <v>0.72049139944098017</v>
      </c>
      <c r="AT115" s="78"/>
      <c r="AU115" s="10"/>
      <c r="AV115" s="78" t="str">
        <f t="shared" si="703"/>
        <v>±0,57</v>
      </c>
      <c r="AW115" s="132">
        <f t="shared" si="704"/>
        <v>0.56999999999999995</v>
      </c>
      <c r="AX115" s="10"/>
      <c r="AY115" s="82" t="s">
        <v>117</v>
      </c>
      <c r="AZ115" s="8">
        <f>IF($AB$106&gt;0,ROUND(SQRT(AZ114),3),"")</f>
        <v>1.4179999999999999</v>
      </c>
      <c r="BA115" s="8">
        <f>IF($AB$106&gt;0,ROUND(SQRT(BA114),3),"")</f>
        <v>2.1389999999999998</v>
      </c>
      <c r="BB115" s="11"/>
      <c r="BC115" s="8">
        <f>IF($AB$106&gt;0,ROUND(SQRT(BC114),3),"")</f>
        <v>1.4179999999999999</v>
      </c>
      <c r="BD115" s="8">
        <f>IF($AB$106&gt;0,ROUND(SQRT(BD114),3),"")</f>
        <v>1.28</v>
      </c>
      <c r="BE115" s="11"/>
      <c r="BF115" s="8">
        <f>IF($AB$106&gt;0,ROUND(SQRT(BF114),3),"")</f>
        <v>1.4179999999999999</v>
      </c>
      <c r="BG115" s="8">
        <f>IF($AB$106&gt;0,ROUND(SQRT(BG114),3),"")</f>
        <v>1.3029999999999999</v>
      </c>
      <c r="BH115" s="11"/>
      <c r="BI115" s="8">
        <f>IF($AB$106&gt;0,ROUND(SQRT(BI114),3),"")</f>
        <v>1.4179999999999999</v>
      </c>
      <c r="BJ115" s="8">
        <f>IF($AB$106&gt;0,ROUND(SQRT(BJ114),3),"")</f>
        <v>1.736</v>
      </c>
      <c r="BK115" s="11"/>
      <c r="BL115" s="8">
        <f>IF($AB$106&gt;0,ROUND(SQRT(BL114),3),"")</f>
        <v>1.4179999999999999</v>
      </c>
      <c r="BM115" s="8">
        <f>IF($AB$106&gt;0,ROUND(SQRT(BM114),3),"")</f>
        <v>0.98299999999999998</v>
      </c>
      <c r="BN115" s="11"/>
      <c r="BO115" s="8">
        <f>IF($AB$106&gt;0,ROUND(SQRT(BO114),3),"")</f>
        <v>1.4179999999999999</v>
      </c>
      <c r="BP115" s="8">
        <f>IF($AB$106&gt;0,ROUND(SQRT(BP114),3),"")</f>
        <v>1.177</v>
      </c>
      <c r="BQ115" s="11"/>
      <c r="BR115" s="8">
        <f>IF($AB$106&gt;0,ROUND(SQRT(BR114),3),"")</f>
        <v>1.4179999999999999</v>
      </c>
      <c r="BS115" s="8">
        <f>IF($AB$106&gt;0,ROUND(SQRT(BS114),3),"")</f>
        <v>2.5419999999999998</v>
      </c>
      <c r="BT115" s="11"/>
      <c r="BU115" s="8">
        <f>IF($AB$106&gt;0,ROUND(SQRT(BU114),3),"")</f>
        <v>1.4179999999999999</v>
      </c>
      <c r="BV115" s="8">
        <f>IF($AB$106&gt;0,ROUND(SQRT(BV114),3),"")</f>
        <v>1.39</v>
      </c>
      <c r="BW115" s="11"/>
      <c r="BX115" s="8">
        <f>IF($AB$106&gt;0,ROUND(SQRT(BX114),3),"")</f>
        <v>1.4179999999999999</v>
      </c>
      <c r="BY115" s="8">
        <f>IF($AB$106&gt;0,ROUND(SQRT(BY114),3),"")</f>
        <v>1.77</v>
      </c>
      <c r="BZ115" s="11"/>
      <c r="CA115" s="8">
        <f>IF($AB$106&gt;0,ROUND(SQRT(CA114),3),"")</f>
        <v>1.4179999999999999</v>
      </c>
      <c r="CB115" s="8">
        <f>IF($AB$106&gt;0,ROUND(SQRT(CB114),3),"")</f>
        <v>1.3180000000000001</v>
      </c>
      <c r="CC115" s="11"/>
      <c r="CD115" s="82" t="s">
        <v>117</v>
      </c>
      <c r="CE115" s="8">
        <f>IF($AB$106&gt;0,ROUND(SQRT(CE114),3),"")</f>
        <v>2.1389999999999998</v>
      </c>
      <c r="CF115" s="8">
        <f>IF($AB$106&gt;0,ROUND(SQRT(CF114),3),"")</f>
        <v>1.28</v>
      </c>
      <c r="CG115" s="11"/>
      <c r="CH115" s="8">
        <f>IF($AB$106&gt;0,ROUND(SQRT(CH114),3),"")</f>
        <v>2.1389999999999998</v>
      </c>
      <c r="CI115" s="8">
        <f>IF($AB$106&gt;0,ROUND(SQRT(CI114),3),"")</f>
        <v>1.3029999999999999</v>
      </c>
      <c r="CJ115" s="11"/>
      <c r="CK115" s="8">
        <f>IF($AB$106&gt;0,ROUND(SQRT(CK114),3),"")</f>
        <v>2.1389999999999998</v>
      </c>
      <c r="CL115" s="8">
        <f>IF($AB$106&gt;0,ROUND(SQRT(CL114),3),"")</f>
        <v>1.736</v>
      </c>
      <c r="CM115" s="11"/>
      <c r="CN115" s="8">
        <f>IF($AB$106&gt;0,ROUND(SQRT(CN114),3),"")</f>
        <v>2.1389999999999998</v>
      </c>
      <c r="CO115" s="8">
        <f>IF($AB$106&gt;0,ROUND(SQRT(CO114),3),"")</f>
        <v>0.98299999999999998</v>
      </c>
      <c r="CP115" s="11"/>
      <c r="CQ115" s="8">
        <f>IF($AB$106&gt;0,ROUND(SQRT(CQ114),3),"")</f>
        <v>2.1389999999999998</v>
      </c>
      <c r="CR115" s="8">
        <f>IF($AB$106&gt;0,ROUND(SQRT(CR114),3),"")</f>
        <v>1.177</v>
      </c>
      <c r="CS115" s="11"/>
      <c r="CT115" s="8">
        <f>IF($AB$106&gt;0,ROUND(SQRT(CT114),3),"")</f>
        <v>2.1389999999999998</v>
      </c>
      <c r="CU115" s="8">
        <f>IF($AB$106&gt;0,ROUND(SQRT(CU114),3),"")</f>
        <v>2.5419999999999998</v>
      </c>
      <c r="CV115" s="11"/>
      <c r="CW115" s="8">
        <f>IF($AB$106&gt;0,ROUND(SQRT(CW114),3),"")</f>
        <v>2.1389999999999998</v>
      </c>
      <c r="CX115" s="8">
        <f>IF($AB$106&gt;0,ROUND(SQRT(CX114),3),"")</f>
        <v>1.39</v>
      </c>
      <c r="CY115" s="11"/>
      <c r="CZ115" s="8">
        <f>IF($AB$106&gt;0,ROUND(SQRT(CZ114),3),"")</f>
        <v>2.1389999999999998</v>
      </c>
      <c r="DA115" s="8">
        <f>IF($AB$106&gt;0,ROUND(SQRT(DA114),3),"")</f>
        <v>1.77</v>
      </c>
      <c r="DB115" s="11"/>
      <c r="DC115" s="8">
        <f>IF($AB$106&gt;0,ROUND(SQRT(DC114),3),"")</f>
        <v>2.1389999999999998</v>
      </c>
      <c r="DD115" s="8">
        <f>IF($AB$106&gt;0,ROUND(SQRT(DD114),3),"")</f>
        <v>1.3180000000000001</v>
      </c>
      <c r="DE115" s="11"/>
      <c r="DF115" s="82" t="s">
        <v>117</v>
      </c>
      <c r="DG115" s="8">
        <f>IF($AB$106&gt;0,ROUND(SQRT(DG114),3),"")</f>
        <v>1.28</v>
      </c>
      <c r="DH115" s="8">
        <f>IF($AB$106&gt;0,ROUND(SQRT(DH114),3),"")</f>
        <v>1.3029999999999999</v>
      </c>
      <c r="DI115" s="11"/>
      <c r="DJ115" s="8">
        <f>IF($AB$106&gt;0,ROUND(SQRT(DJ114),3),"")</f>
        <v>1.28</v>
      </c>
      <c r="DK115" s="8">
        <f>IF($AB$106&gt;0,ROUND(SQRT(DK114),3),"")</f>
        <v>1.736</v>
      </c>
      <c r="DL115" s="11"/>
      <c r="DM115" s="8">
        <f>IF($AB$106&gt;0,ROUND(SQRT(DM114),3),"")</f>
        <v>1.28</v>
      </c>
      <c r="DN115" s="8">
        <f>IF($AB$106&gt;0,ROUND(SQRT(DN114),3),"")</f>
        <v>0.98299999999999998</v>
      </c>
      <c r="DO115" s="11"/>
      <c r="DP115" s="8">
        <f>IF($AB$106&gt;0,ROUND(SQRT(DP114),3),"")</f>
        <v>1.28</v>
      </c>
      <c r="DQ115" s="8">
        <f>IF($AB$106&gt;0,ROUND(SQRT(DQ114),3),"")</f>
        <v>1.177</v>
      </c>
      <c r="DR115" s="11"/>
      <c r="DS115" s="8">
        <f>IF($AB$106&gt;0,ROUND(SQRT(DS114),3),"")</f>
        <v>1.28</v>
      </c>
      <c r="DT115" s="8">
        <f>IF($AB$106&gt;0,ROUND(SQRT(DT114),3),"")</f>
        <v>2.5419999999999998</v>
      </c>
      <c r="DU115" s="11"/>
      <c r="DV115" s="8">
        <f>IF($AB$106&gt;0,ROUND(SQRT(DV114),3),"")</f>
        <v>1.28</v>
      </c>
      <c r="DW115" s="8">
        <f>IF($AB$106&gt;0,ROUND(SQRT(DW114),3),"")</f>
        <v>1.39</v>
      </c>
      <c r="DX115" s="11"/>
      <c r="DY115" s="8">
        <f>IF($AB$106&gt;0,ROUND(SQRT(DY114),3),"")</f>
        <v>1.28</v>
      </c>
      <c r="DZ115" s="8">
        <f>IF($AB$106&gt;0,ROUND(SQRT(DZ114),3),"")</f>
        <v>1.77</v>
      </c>
      <c r="EA115" s="11"/>
      <c r="EB115" s="8">
        <f>IF($AB$106&gt;0,ROUND(SQRT(EB114),3),"")</f>
        <v>1.28</v>
      </c>
      <c r="EC115" s="8">
        <f>IF($AB$106&gt;0,ROUND(SQRT(EC114),3),"")</f>
        <v>1.3180000000000001</v>
      </c>
      <c r="ED115" s="11"/>
      <c r="EE115" s="82" t="s">
        <v>117</v>
      </c>
      <c r="EF115" s="8">
        <f>IF($AB$106&gt;0,ROUND(SQRT(EF114),3),"")</f>
        <v>1.3029999999999999</v>
      </c>
      <c r="EG115" s="8">
        <f>IF($AB$106&gt;0,ROUND(SQRT(EG114),3),"")</f>
        <v>1.736</v>
      </c>
      <c r="EH115" s="11"/>
      <c r="EI115" s="8">
        <f>IF($AB$106&gt;0,ROUND(SQRT(EI114),3),"")</f>
        <v>1.3029999999999999</v>
      </c>
      <c r="EJ115" s="8">
        <f>IF($AB$106&gt;0,ROUND(SQRT(EJ114),3),"")</f>
        <v>0.98299999999999998</v>
      </c>
      <c r="EK115" s="11"/>
      <c r="EL115" s="8">
        <f>IF($AB$106&gt;0,ROUND(SQRT(EL114),3),"")</f>
        <v>1.3029999999999999</v>
      </c>
      <c r="EM115" s="8">
        <f>IF($AB$106&gt;0,ROUND(SQRT(EM114),3),"")</f>
        <v>1.177</v>
      </c>
      <c r="EN115" s="11"/>
      <c r="EO115" s="8">
        <f>IF($AB$106&gt;0,ROUND(SQRT(EO114),3),"")</f>
        <v>1.3029999999999999</v>
      </c>
      <c r="EP115" s="8">
        <f>IF($AB$106&gt;0,ROUND(SQRT(EP114),3),"")</f>
        <v>2.5419999999999998</v>
      </c>
      <c r="EQ115" s="11"/>
      <c r="ER115" s="8">
        <f>IF($AB$106&gt;0,ROUND(SQRT(ER114),3),"")</f>
        <v>1.3029999999999999</v>
      </c>
      <c r="ES115" s="8">
        <f>IF($AB$106&gt;0,ROUND(SQRT(ES114),3),"")</f>
        <v>1.39</v>
      </c>
      <c r="ET115" s="11"/>
      <c r="EU115" s="8">
        <f>IF($AB$106&gt;0,ROUND(SQRT(EU114),3),"")</f>
        <v>1.3029999999999999</v>
      </c>
      <c r="EV115" s="8">
        <f>IF($AB$106&gt;0,ROUND(SQRT(EV114),3),"")</f>
        <v>1.77</v>
      </c>
      <c r="EW115" s="11"/>
      <c r="EX115" s="8">
        <f>IF($AB$106&gt;0,ROUND(SQRT(EX114),3),"")</f>
        <v>1.3029999999999999</v>
      </c>
      <c r="EY115" s="8">
        <f>IF($AB$106&gt;0,ROUND(SQRT(EY114),3),"")</f>
        <v>1.3180000000000001</v>
      </c>
      <c r="EZ115" s="11"/>
      <c r="FA115" s="82" t="s">
        <v>117</v>
      </c>
      <c r="FB115" s="8">
        <f>IF($AB$106&gt;0,ROUND(SQRT(FB114),3),"")</f>
        <v>1.736</v>
      </c>
      <c r="FC115" s="8">
        <f>IF($AB$106&gt;0,ROUND(SQRT(FC114),3),"")</f>
        <v>0.98299999999999998</v>
      </c>
      <c r="FD115" s="11"/>
      <c r="FE115" s="8">
        <f>IF($AB$106&gt;0,ROUND(SQRT(FE114),3),"")</f>
        <v>1.736</v>
      </c>
      <c r="FF115" s="8">
        <f>IF($AB$106&gt;0,ROUND(SQRT(FF114),3),"")</f>
        <v>1.177</v>
      </c>
      <c r="FG115" s="11"/>
      <c r="FH115" s="8">
        <f>IF($AB$106&gt;0,ROUND(SQRT(FH114),3),"")</f>
        <v>1.736</v>
      </c>
      <c r="FI115" s="8">
        <f>IF($AB$106&gt;0,ROUND(SQRT(FI114),3),"")</f>
        <v>2.5419999999999998</v>
      </c>
      <c r="FJ115" s="11"/>
      <c r="FK115" s="8">
        <f>IF($AB$106&gt;0,ROUND(SQRT(FK114),3),"")</f>
        <v>1.736</v>
      </c>
      <c r="FL115" s="8">
        <f>IF($AB$106&gt;0,ROUND(SQRT(FL114),3),"")</f>
        <v>1.39</v>
      </c>
      <c r="FM115" s="11"/>
      <c r="FN115" s="8">
        <f>IF($AB$106&gt;0,ROUND(SQRT(FN114),3),"")</f>
        <v>1.736</v>
      </c>
      <c r="FO115" s="8">
        <f>IF($AB$106&gt;0,ROUND(SQRT(FO114),3),"")</f>
        <v>1.77</v>
      </c>
      <c r="FP115" s="11"/>
      <c r="FQ115" s="8">
        <f>IF($AB$106&gt;0,ROUND(SQRT(FQ114),3),"")</f>
        <v>1.736</v>
      </c>
      <c r="FR115" s="8">
        <f>IF($AB$106&gt;0,ROUND(SQRT(FR114),3),"")</f>
        <v>1.3180000000000001</v>
      </c>
      <c r="FS115" s="11"/>
      <c r="FT115" s="82" t="s">
        <v>117</v>
      </c>
      <c r="FU115" s="8">
        <f>IF($AB$106&gt;0,ROUND(SQRT(FU114),3),"")</f>
        <v>0.98299999999999998</v>
      </c>
      <c r="FV115" s="8">
        <f>IF($AB$106&gt;0,ROUND(SQRT(FV114),3),"")</f>
        <v>1.177</v>
      </c>
      <c r="FW115" s="11"/>
      <c r="FX115" s="8">
        <f>IF($AB$106&gt;0,ROUND(SQRT(FX114),3),"")</f>
        <v>0.98299999999999998</v>
      </c>
      <c r="FY115" s="8">
        <f>IF($AB$106&gt;0,ROUND(SQRT(FY114),3),"")</f>
        <v>2.5419999999999998</v>
      </c>
      <c r="FZ115" s="11"/>
      <c r="GA115" s="8">
        <f>IF($AB$106&gt;0,ROUND(SQRT(GA114),3),"")</f>
        <v>0.98299999999999998</v>
      </c>
      <c r="GB115" s="8">
        <f>IF($AB$106&gt;0,ROUND(SQRT(GB114),3),"")</f>
        <v>1.39</v>
      </c>
      <c r="GC115" s="11"/>
      <c r="GD115" s="8">
        <f>IF($AB$106&gt;0,ROUND(SQRT(GD114),3),"")</f>
        <v>0.98299999999999998</v>
      </c>
      <c r="GE115" s="8">
        <f>IF($AB$106&gt;0,ROUND(SQRT(GE114),3),"")</f>
        <v>1.77</v>
      </c>
      <c r="GF115" s="11"/>
      <c r="GG115" s="8">
        <f>IF($AB$106&gt;0,ROUND(SQRT(GG114),3),"")</f>
        <v>0.98299999999999998</v>
      </c>
      <c r="GH115" s="8">
        <f>IF($AB$106&gt;0,ROUND(SQRT(GH114),3),"")</f>
        <v>1.3180000000000001</v>
      </c>
      <c r="GI115" s="11"/>
      <c r="GJ115" s="82" t="s">
        <v>117</v>
      </c>
      <c r="GK115" s="8">
        <f>IF($AB$106&gt;0,ROUND(SQRT(GK114),3),"")</f>
        <v>1.177</v>
      </c>
      <c r="GL115" s="8">
        <f>IF($AB$106&gt;0,ROUND(SQRT(GL114),3),"")</f>
        <v>2.5419999999999998</v>
      </c>
      <c r="GM115" s="11"/>
      <c r="GN115" s="8">
        <f>IF($AB$106&gt;0,ROUND(SQRT(GN114),3),"")</f>
        <v>1.177</v>
      </c>
      <c r="GO115" s="8">
        <f>IF($AB$106&gt;0,ROUND(SQRT(GO114),3),"")</f>
        <v>1.39</v>
      </c>
      <c r="GP115" s="11"/>
      <c r="GQ115" s="8">
        <f>IF($AB$106&gt;0,ROUND(SQRT(GQ114),3),"")</f>
        <v>1.177</v>
      </c>
      <c r="GR115" s="8">
        <f>IF($AB$106&gt;0,ROUND(SQRT(GR114),3),"")</f>
        <v>1.77</v>
      </c>
      <c r="GS115" s="11"/>
      <c r="GT115" s="8">
        <f>IF($AB$106&gt;0,ROUND(SQRT(GT114),3),"")</f>
        <v>1.177</v>
      </c>
      <c r="GU115" s="8">
        <f>IF($AB$106&gt;0,ROUND(SQRT(GU114),3),"")</f>
        <v>1.3180000000000001</v>
      </c>
      <c r="GV115" s="11"/>
      <c r="GW115" s="82" t="s">
        <v>117</v>
      </c>
      <c r="GX115" s="8">
        <f>IF($AB$106&gt;0,ROUND(SQRT(GX114),3),"")</f>
        <v>2.5419999999999998</v>
      </c>
      <c r="GY115" s="8">
        <f>IF($AB$106&gt;0,ROUND(SQRT(GY114),3),"")</f>
        <v>1.39</v>
      </c>
      <c r="GZ115" s="11"/>
      <c r="HA115" s="8">
        <f>IF($AB$106&gt;0,ROUND(SQRT(HA114),3),"")</f>
        <v>2.5419999999999998</v>
      </c>
      <c r="HB115" s="8">
        <f>IF($AB$106&gt;0,ROUND(SQRT(HB114),3),"")</f>
        <v>1.77</v>
      </c>
      <c r="HC115" s="11"/>
      <c r="HD115" s="8">
        <f>IF($AB$106&gt;0,ROUND(SQRT(HD114),3),"")</f>
        <v>2.5419999999999998</v>
      </c>
      <c r="HE115" s="8">
        <f>IF($AB$106&gt;0,ROUND(SQRT(HE114),3),"")</f>
        <v>1.3180000000000001</v>
      </c>
      <c r="HF115" s="11"/>
      <c r="HG115" s="82" t="s">
        <v>117</v>
      </c>
      <c r="HH115" s="8">
        <f>IF($AB$106&gt;0,ROUND(SQRT(HH114),3),"")</f>
        <v>1.39</v>
      </c>
      <c r="HI115" s="8">
        <f>IF($AB$106&gt;0,ROUND(SQRT(HI114),3),"")</f>
        <v>1.77</v>
      </c>
      <c r="HJ115" s="11"/>
      <c r="HK115" s="8">
        <f>IF($AB$106&gt;0,ROUND(SQRT(HK114),3),"")</f>
        <v>1.39</v>
      </c>
      <c r="HL115" s="8">
        <f>IF($AB$106&gt;0,ROUND(SQRT(HL114),3),"")</f>
        <v>1.3180000000000001</v>
      </c>
      <c r="HM115" s="11"/>
      <c r="HN115" s="82" t="s">
        <v>117</v>
      </c>
      <c r="HO115" s="8">
        <f>IF($AB$106&gt;0,ROUND(SQRT(HO114),3),"")</f>
        <v>1.77</v>
      </c>
      <c r="HP115" s="8">
        <f>IF($AB$106&gt;0,ROUND(SQRT(HP114),3),"")</f>
        <v>1.3180000000000001</v>
      </c>
      <c r="HQ115" s="11"/>
      <c r="HR115" s="82" t="s">
        <v>117</v>
      </c>
      <c r="HS115" s="8">
        <f>IF($AB$106&gt;0,ROUND(SQRT(HS114),3),"")</f>
        <v>1.3180000000000001</v>
      </c>
      <c r="HT115" s="8">
        <f>IF($AB$106&gt;0,ROUND(SQRT(HT114),3),"")</f>
        <v>1.4179999999999999</v>
      </c>
      <c r="HU115" s="11"/>
      <c r="HV115" s="8">
        <f>IF($AB$106&gt;0,ROUND(SQRT(HV114),3),"")</f>
        <v>1.3180000000000001</v>
      </c>
      <c r="HW115" s="8">
        <f>IF($AB$106&gt;0,ROUND(SQRT(HW114),3),"")</f>
        <v>2.1389999999999998</v>
      </c>
      <c r="HX115" s="11"/>
      <c r="HY115" s="8">
        <f>IF($AB$106&gt;0,ROUND(SQRT(HY114),3),"")</f>
        <v>1.3180000000000001</v>
      </c>
      <c r="HZ115" s="8">
        <f>IF($AB$106&gt;0,ROUND(SQRT(HZ114),3),"")</f>
        <v>1.28</v>
      </c>
      <c r="IA115" s="11"/>
      <c r="IB115" s="8">
        <f>IF($AB$106&gt;0,ROUND(SQRT(IB114),3),"")</f>
        <v>1.3180000000000001</v>
      </c>
      <c r="IC115" s="8">
        <f>IF($AB$106&gt;0,ROUND(SQRT(IC114),3),"")</f>
        <v>1.3029999999999999</v>
      </c>
      <c r="ID115" s="11"/>
      <c r="IE115" s="8">
        <f>IF($AB$106&gt;0,ROUND(SQRT(IE114),3),"")</f>
        <v>1.3180000000000001</v>
      </c>
      <c r="IF115" s="8">
        <f>IF($AB$106&gt;0,ROUND(SQRT(IF114),3),"")</f>
        <v>1.736</v>
      </c>
      <c r="IG115" s="11"/>
      <c r="IH115" s="8">
        <f>IF($AB$106&gt;0,ROUND(SQRT(IH114),3),"")</f>
        <v>1.3180000000000001</v>
      </c>
      <c r="II115" s="8">
        <f>IF($AB$106&gt;0,ROUND(SQRT(II114),3),"")</f>
        <v>0.98299999999999998</v>
      </c>
      <c r="IJ115" s="11"/>
      <c r="IK115" s="8">
        <f>IF($AB$106&gt;0,ROUND(SQRT(IK114),3),"")</f>
        <v>1.3180000000000001</v>
      </c>
      <c r="IL115" s="8">
        <f>IF($AB$106&gt;0,ROUND(SQRT(IL114),3),"")</f>
        <v>1.177</v>
      </c>
      <c r="IM115" s="11"/>
      <c r="IN115" s="8">
        <f>IF($AB$106&gt;0,ROUND(SQRT(IN114),3),"")</f>
        <v>1.3180000000000001</v>
      </c>
      <c r="IO115" s="8">
        <f>IF($AB$106&gt;0,ROUND(SQRT(IO114),3),"")</f>
        <v>2.5419999999999998</v>
      </c>
      <c r="IP115" s="11"/>
      <c r="IQ115" s="8">
        <f>IF($AB$106&gt;0,ROUND(SQRT(IQ114),3),"")</f>
        <v>1.3180000000000001</v>
      </c>
      <c r="IR115" s="8">
        <f>IF($AB$106&gt;0,ROUND(SQRT(IR114),3),"")</f>
        <v>1.39</v>
      </c>
      <c r="IS115" s="11"/>
      <c r="IT115" s="8">
        <f>IF($AB$106&gt;0,ROUND(SQRT(IT114),3),"")</f>
        <v>1.3180000000000001</v>
      </c>
      <c r="IU115" s="8">
        <f>IF($AB$106&gt;0,ROUND(SQRT(IU114),3),"")</f>
        <v>1.77</v>
      </c>
      <c r="IV115" s="11"/>
    </row>
    <row r="116" spans="1:256" x14ac:dyDescent="0.2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84"/>
      <c r="M116" s="5"/>
      <c r="N116" s="72"/>
      <c r="O116" s="76"/>
      <c r="P116" s="77"/>
      <c r="Q116" s="78" t="s">
        <v>17</v>
      </c>
      <c r="R116" s="78">
        <f t="shared" si="692"/>
        <v>3.6604306749660416</v>
      </c>
      <c r="S116" s="78"/>
      <c r="T116" s="78"/>
      <c r="U116" s="136">
        <f t="shared" si="693"/>
        <v>2.3448348979900486</v>
      </c>
      <c r="V116" s="78"/>
      <c r="W116" s="78"/>
      <c r="X116" s="78">
        <f t="shared" si="694"/>
        <v>2.3716618723861744</v>
      </c>
      <c r="Y116" s="78"/>
      <c r="Z116" s="78"/>
      <c r="AA116" s="78">
        <f t="shared" si="695"/>
        <v>7.5196879857832002</v>
      </c>
      <c r="AB116" s="78"/>
      <c r="AC116" s="78"/>
      <c r="AD116" s="78">
        <f t="shared" si="696"/>
        <v>6.2310143276434102</v>
      </c>
      <c r="AE116" s="78"/>
      <c r="AF116" s="78"/>
      <c r="AG116" s="78">
        <f t="shared" si="697"/>
        <v>2.7537406674721301</v>
      </c>
      <c r="AH116" s="78"/>
      <c r="AI116" s="78"/>
      <c r="AJ116" s="78">
        <f t="shared" si="698"/>
        <v>3.653051004300059</v>
      </c>
      <c r="AK116" s="78"/>
      <c r="AL116" s="78"/>
      <c r="AM116" s="78">
        <f t="shared" si="699"/>
        <v>3.5502637359275298</v>
      </c>
      <c r="AN116" s="78"/>
      <c r="AO116" s="78"/>
      <c r="AP116" s="78">
        <f t="shared" si="700"/>
        <v>2.4571248789967401</v>
      </c>
      <c r="AQ116" s="78"/>
      <c r="AR116" s="78"/>
      <c r="AS116" s="78">
        <f t="shared" si="701"/>
        <v>9.0811727044110437</v>
      </c>
      <c r="AT116" s="78"/>
      <c r="AU116" s="5"/>
      <c r="AV116" s="78" t="str">
        <f t="shared" si="703"/>
        <v>±2,4</v>
      </c>
      <c r="AW116" s="132">
        <f t="shared" si="704"/>
        <v>2.4</v>
      </c>
      <c r="AX116" s="5"/>
      <c r="AY116" s="82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82"/>
      <c r="CE116" s="10"/>
      <c r="CF116" s="10"/>
      <c r="CG116" s="10"/>
      <c r="CH116" s="10"/>
      <c r="CI116" s="10"/>
      <c r="CJ116" s="10"/>
      <c r="CK116" s="10"/>
      <c r="CL116" s="10"/>
      <c r="CM116" s="10"/>
      <c r="CN116" s="10"/>
      <c r="CO116" s="10"/>
      <c r="CP116" s="10"/>
      <c r="CQ116" s="10"/>
      <c r="CR116" s="10"/>
      <c r="CS116" s="10"/>
      <c r="CT116" s="10"/>
      <c r="CU116" s="10"/>
      <c r="CV116" s="10"/>
      <c r="CW116" s="10"/>
      <c r="CX116" s="10"/>
      <c r="CY116" s="10"/>
      <c r="CZ116" s="10"/>
      <c r="DA116" s="10"/>
      <c r="DB116" s="10"/>
      <c r="DC116" s="10"/>
      <c r="DD116" s="10"/>
      <c r="DE116" s="10"/>
      <c r="DF116" s="82"/>
      <c r="DG116" s="10"/>
      <c r="DH116" s="10"/>
      <c r="DI116" s="10"/>
      <c r="DJ116" s="10"/>
      <c r="DK116" s="10"/>
      <c r="DL116" s="10"/>
      <c r="DM116" s="10"/>
      <c r="DN116" s="10"/>
      <c r="DO116" s="10"/>
      <c r="DP116" s="10"/>
      <c r="DQ116" s="10"/>
      <c r="DR116" s="10"/>
      <c r="DS116" s="10"/>
      <c r="DT116" s="10"/>
      <c r="DU116" s="10"/>
      <c r="DV116" s="10"/>
      <c r="DW116" s="10"/>
      <c r="DX116" s="10"/>
      <c r="DY116" s="10"/>
      <c r="DZ116" s="10"/>
      <c r="EA116" s="10"/>
      <c r="EB116" s="10"/>
      <c r="EC116" s="10"/>
      <c r="ED116" s="10"/>
      <c r="EE116" s="82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10"/>
      <c r="EZ116" s="10"/>
      <c r="FA116" s="82"/>
      <c r="FB116" s="10"/>
      <c r="FC116" s="10"/>
      <c r="FD116" s="10"/>
      <c r="FE116" s="10"/>
      <c r="FF116" s="10"/>
      <c r="FG116" s="10"/>
      <c r="FH116" s="10"/>
      <c r="FI116" s="10"/>
      <c r="FJ116" s="10"/>
      <c r="FK116" s="10"/>
      <c r="FL116" s="10"/>
      <c r="FM116" s="10"/>
      <c r="FN116" s="10"/>
      <c r="FO116" s="10"/>
      <c r="FP116" s="10"/>
      <c r="FQ116" s="10"/>
      <c r="FR116" s="10"/>
      <c r="FS116" s="10"/>
      <c r="FT116" s="82"/>
      <c r="FU116" s="10"/>
      <c r="FV116" s="10"/>
      <c r="FW116" s="10"/>
      <c r="FX116" s="10"/>
      <c r="FY116" s="10"/>
      <c r="FZ116" s="10"/>
      <c r="GA116" s="10"/>
      <c r="GB116" s="10"/>
      <c r="GC116" s="10"/>
      <c r="GD116" s="10"/>
      <c r="GE116" s="10"/>
      <c r="GF116" s="10"/>
      <c r="GG116" s="10"/>
      <c r="GH116" s="10"/>
      <c r="GI116" s="10"/>
      <c r="GJ116" s="82"/>
      <c r="GK116" s="10"/>
      <c r="GL116" s="10"/>
      <c r="GM116" s="10"/>
      <c r="GN116" s="10"/>
      <c r="GO116" s="10"/>
      <c r="GP116" s="10"/>
      <c r="GQ116" s="10"/>
      <c r="GR116" s="10"/>
      <c r="GS116" s="10"/>
      <c r="GT116" s="10"/>
      <c r="GU116" s="10"/>
      <c r="GV116" s="10"/>
      <c r="GW116" s="82"/>
      <c r="GX116" s="10"/>
      <c r="GY116" s="10"/>
      <c r="GZ116" s="10"/>
      <c r="HA116" s="10"/>
      <c r="HB116" s="10"/>
      <c r="HC116" s="10"/>
      <c r="HD116" s="10"/>
      <c r="HE116" s="10"/>
      <c r="HF116" s="10"/>
      <c r="HG116" s="82"/>
      <c r="HH116" s="10"/>
      <c r="HI116" s="10"/>
      <c r="HJ116" s="10"/>
      <c r="HK116" s="10"/>
      <c r="HL116" s="10"/>
      <c r="HM116" s="10"/>
      <c r="HN116" s="82"/>
      <c r="HO116" s="10"/>
      <c r="HP116" s="10"/>
      <c r="HQ116" s="10"/>
      <c r="HR116" s="82"/>
      <c r="HS116" s="10"/>
      <c r="HT116" s="10"/>
      <c r="HU116" s="10"/>
      <c r="HV116" s="10"/>
      <c r="HW116" s="10"/>
      <c r="HX116" s="10"/>
      <c r="HY116" s="10"/>
      <c r="HZ116" s="10"/>
      <c r="IA116" s="10"/>
      <c r="IB116" s="10"/>
      <c r="IC116" s="10"/>
      <c r="ID116" s="10"/>
      <c r="IE116" s="10"/>
      <c r="IF116" s="10"/>
      <c r="IG116" s="10"/>
      <c r="IH116" s="10"/>
      <c r="II116" s="10"/>
      <c r="IJ116" s="10"/>
      <c r="IK116" s="10"/>
      <c r="IL116" s="10"/>
      <c r="IM116" s="10"/>
      <c r="IN116" s="10"/>
      <c r="IO116" s="10"/>
      <c r="IP116" s="10"/>
      <c r="IQ116" s="10"/>
      <c r="IR116" s="10"/>
      <c r="IS116" s="10"/>
      <c r="IT116" s="10"/>
      <c r="IU116" s="10"/>
      <c r="IV116" s="10"/>
    </row>
    <row r="117" spans="1:256" x14ac:dyDescent="0.2">
      <c r="A117" s="110" t="s">
        <v>148</v>
      </c>
      <c r="B117" s="85"/>
      <c r="C117" s="85"/>
      <c r="D117" s="85"/>
      <c r="E117" s="85"/>
      <c r="F117" s="85"/>
      <c r="G117" s="85"/>
      <c r="H117" s="85"/>
      <c r="I117" s="85"/>
      <c r="J117" s="85"/>
      <c r="K117" s="85"/>
      <c r="L117" s="58"/>
      <c r="M117" s="10"/>
      <c r="N117" s="57"/>
      <c r="O117" s="76"/>
      <c r="P117" s="77"/>
      <c r="Q117" s="78" t="s">
        <v>18</v>
      </c>
      <c r="R117" s="78">
        <f t="shared" si="692"/>
        <v>1.0518715792139333</v>
      </c>
      <c r="S117" s="78"/>
      <c r="T117" s="78"/>
      <c r="U117" s="136">
        <f t="shared" si="693"/>
        <v>13.4492173385292</v>
      </c>
      <c r="V117" s="78"/>
      <c r="W117" s="78"/>
      <c r="X117" s="78">
        <f t="shared" si="694"/>
        <v>2.0613639005179656</v>
      </c>
      <c r="Y117" s="78"/>
      <c r="Z117" s="78"/>
      <c r="AA117" s="78">
        <f t="shared" si="695"/>
        <v>0.62643844867071208</v>
      </c>
      <c r="AB117" s="78"/>
      <c r="AC117" s="78"/>
      <c r="AD117" s="78">
        <f t="shared" si="696"/>
        <v>1.6653043651765478</v>
      </c>
      <c r="AE117" s="78"/>
      <c r="AF117" s="78"/>
      <c r="AG117" s="78">
        <f t="shared" si="697"/>
        <v>1.9386088929645382</v>
      </c>
      <c r="AH117" s="78"/>
      <c r="AI117" s="78"/>
      <c r="AJ117" s="78">
        <f t="shared" si="698"/>
        <v>4.7065159832975452</v>
      </c>
      <c r="AK117" s="78"/>
      <c r="AL117" s="78"/>
      <c r="AM117" s="78">
        <f t="shared" si="699"/>
        <v>3.2284828342108529</v>
      </c>
      <c r="AN117" s="78"/>
      <c r="AO117" s="78"/>
      <c r="AP117" s="78">
        <f t="shared" si="700"/>
        <v>1.7690701541047966</v>
      </c>
      <c r="AQ117" s="78"/>
      <c r="AR117" s="78"/>
      <c r="AS117" s="78">
        <f t="shared" si="701"/>
        <v>1.3008437287048364</v>
      </c>
      <c r="AT117" s="78"/>
      <c r="AU117" s="10"/>
      <c r="AV117" s="78" t="str">
        <f t="shared" si="703"/>
        <v>±3,79</v>
      </c>
      <c r="AW117" s="132">
        <f t="shared" si="704"/>
        <v>3.79</v>
      </c>
      <c r="AX117" s="10"/>
      <c r="AY117" s="16" t="s">
        <v>118</v>
      </c>
      <c r="AZ117" s="12">
        <f>IF(BB109,ROUND(BB113/SQRT(AZ113*BA113),3),"")</f>
        <v>0.71699999999999997</v>
      </c>
      <c r="BA117" s="13" t="s">
        <v>119</v>
      </c>
      <c r="BB117" s="14">
        <f>IF(BB109&gt;0,IF(BB109&gt;5,ROUND(AZ117/SQRT((1-AZ118)/(BB109-2)),2),"[small N]"),"")</f>
        <v>5.24</v>
      </c>
      <c r="BC117" s="12">
        <f>IF(BE109,ROUND(BE113/SQRT(BC113*BD113),3),"")</f>
        <v>0.72</v>
      </c>
      <c r="BD117" s="13" t="s">
        <v>119</v>
      </c>
      <c r="BE117" s="14">
        <f>IF(BE109&gt;0,IF(BE109&gt;5,ROUND(BC117/SQRT((1-BC118)/(BE109-2)),2),"[small N]"),"")</f>
        <v>5.29</v>
      </c>
      <c r="BF117" s="12">
        <f>IF(BH109,ROUND(BH113/SQRT(BF113*BG113),3),"")</f>
        <v>0.91400000000000003</v>
      </c>
      <c r="BG117" s="13" t="s">
        <v>119</v>
      </c>
      <c r="BH117" s="14">
        <f>IF(BH109&gt;0,IF(BH109&gt;5,ROUND(BF117/SQRT((1-BF118)/(BH109-2)),2),"[small N]"),"")</f>
        <v>11.47</v>
      </c>
      <c r="BI117" s="12">
        <f>IF(BK109,ROUND(BK113/SQRT(BI113*BJ113),3),"")</f>
        <v>0.81599999999999995</v>
      </c>
      <c r="BJ117" s="13" t="s">
        <v>119</v>
      </c>
      <c r="BK117" s="14">
        <f>IF(BK109&gt;0,IF(BK109&gt;5,ROUND(BI117/SQRT((1-BI118)/(BK109-2)),2),"[small N]"),"")</f>
        <v>7.2</v>
      </c>
      <c r="BL117" s="12">
        <f>IF(BN109,ROUND(BN113/SQRT(BL113*BM113),3),"")</f>
        <v>0.63200000000000001</v>
      </c>
      <c r="BM117" s="13" t="s">
        <v>119</v>
      </c>
      <c r="BN117" s="14">
        <f>IF(BN109&gt;0,IF(BN109&gt;5,ROUND(BL117/SQRT((1-BL118)/(BN109-2)),2),"[small N]"),"")</f>
        <v>4.16</v>
      </c>
      <c r="BO117" s="12">
        <f>IF(BQ109,ROUND(BQ113/SQRT(BO113*BP113),3),"")</f>
        <v>0.71099999999999997</v>
      </c>
      <c r="BP117" s="13" t="s">
        <v>119</v>
      </c>
      <c r="BQ117" s="14">
        <f>IF(BQ109&gt;0,IF(BQ109&gt;5,ROUND(BO117/SQRT((1-BO118)/(BQ109-2)),2),"[small N]"),"")</f>
        <v>5.16</v>
      </c>
      <c r="BR117" s="12">
        <f>IF(BT109,ROUND(BT113/SQRT(BR113*BS113),3),"")</f>
        <v>0.72799999999999998</v>
      </c>
      <c r="BS117" s="13" t="s">
        <v>119</v>
      </c>
      <c r="BT117" s="14">
        <f>IF(BT109&gt;0,IF(BT109&gt;5,ROUND(BR117/SQRT((1-BR118)/(BT109-2)),2),"[small N]"),"")</f>
        <v>5.41</v>
      </c>
      <c r="BU117" s="12">
        <f>IF(BW109,ROUND(BW113/SQRT(BU113*BV113),3),"")</f>
        <v>0.78500000000000003</v>
      </c>
      <c r="BV117" s="13" t="s">
        <v>119</v>
      </c>
      <c r="BW117" s="14">
        <f>IF(BW109&gt;0,IF(BW109&gt;5,ROUND(BU117/SQRT((1-BU118)/(BW109-2)),2),"[small N]"),"")</f>
        <v>6.46</v>
      </c>
      <c r="BX117" s="12">
        <f>IF(BZ109,ROUND(BZ113/SQRT(BX113*BY113),3),"")</f>
        <v>0.85799999999999998</v>
      </c>
      <c r="BY117" s="13" t="s">
        <v>119</v>
      </c>
      <c r="BZ117" s="14">
        <f>IF(BZ109&gt;0,IF(BZ109&gt;5,ROUND(BX117/SQRT((1-BX118)/(BZ109-2)),2),"[small N]"),"")</f>
        <v>8.51</v>
      </c>
      <c r="CA117" s="12">
        <f>IF(CC109,ROUND(CC113/SQRT(CA113*CB113),3),"")</f>
        <v>0.93</v>
      </c>
      <c r="CB117" s="13" t="s">
        <v>119</v>
      </c>
      <c r="CC117" s="14">
        <f>IF(CC109&gt;0,IF(CC109&gt;5,ROUND(CA117/SQRT((1-CA118)/(CC109-2)),2),"[small N]"),"")</f>
        <v>12.91</v>
      </c>
      <c r="CD117" s="16" t="s">
        <v>118</v>
      </c>
      <c r="CE117" s="12">
        <f>IF(CG109,ROUND(CG113/SQRT(CE113*CF113),3),"")</f>
        <v>0.46400000000000002</v>
      </c>
      <c r="CF117" s="13" t="s">
        <v>119</v>
      </c>
      <c r="CG117" s="14">
        <f>IF(CG109&gt;0,IF(CG109&gt;5,ROUND(CE117/SQRT((1-CE118)/(CG109-2)),2),"[small N]"),"")</f>
        <v>2.67</v>
      </c>
      <c r="CH117" s="12">
        <f>IF(CJ109,ROUND(CJ113/SQRT(CH113*CI113),3),"")</f>
        <v>0.60099999999999998</v>
      </c>
      <c r="CI117" s="13" t="s">
        <v>119</v>
      </c>
      <c r="CJ117" s="14">
        <f>IF(CJ109&gt;0,IF(CJ109&gt;5,ROUND(CH117/SQRT((1-CH118)/(CJ109-2)),2),"[small N]"),"")</f>
        <v>3.83</v>
      </c>
      <c r="CK117" s="12">
        <f>IF(CM109,ROUND(CM113/SQRT(CK113*CL113),3),"")</f>
        <v>0.70799999999999996</v>
      </c>
      <c r="CL117" s="13" t="s">
        <v>119</v>
      </c>
      <c r="CM117" s="14">
        <f>IF(CM109&gt;0,IF(CM109&gt;5,ROUND(CK117/SQRT((1-CK118)/(CM109-2)),2),"[small N]"),"")</f>
        <v>5.1100000000000003</v>
      </c>
      <c r="CN117" s="12">
        <f>IF(CP109,ROUND(CP113/SQRT(CN113*CO113),3),"")</f>
        <v>0.54900000000000004</v>
      </c>
      <c r="CO117" s="13" t="s">
        <v>119</v>
      </c>
      <c r="CP117" s="14">
        <f>IF(CP109&gt;0,IF(CP109&gt;5,ROUND(CN117/SQRT((1-CN118)/(CP109-2)),2),"[small N]"),"")</f>
        <v>3.35</v>
      </c>
      <c r="CQ117" s="12">
        <f>IF(CS109,ROUND(CS113/SQRT(CQ113*CR113),3),"")</f>
        <v>0.76700000000000002</v>
      </c>
      <c r="CR117" s="13" t="s">
        <v>119</v>
      </c>
      <c r="CS117" s="14">
        <f>IF(CS109&gt;0,IF(CS109&gt;5,ROUND(CQ117/SQRT((1-CQ118)/(CS109-2)),2),"[small N]"),"")</f>
        <v>6.09</v>
      </c>
      <c r="CT117" s="12">
        <f>IF(CV109,ROUND(CV113/SQRT(CT113*CU113),3),"")</f>
        <v>0.71699999999999997</v>
      </c>
      <c r="CU117" s="13" t="s">
        <v>119</v>
      </c>
      <c r="CV117" s="14">
        <f>IF(CV109&gt;0,IF(CV109&gt;5,ROUND(CT117/SQRT((1-CT118)/(CV109-2)),2),"[small N]"),"")</f>
        <v>5.24</v>
      </c>
      <c r="CW117" s="12">
        <f>IF(CY109,ROUND(CY113/SQRT(CW113*CX113),3),"")</f>
        <v>0.71099999999999997</v>
      </c>
      <c r="CX117" s="13" t="s">
        <v>119</v>
      </c>
      <c r="CY117" s="14">
        <f>IF(CY109&gt;0,IF(CY109&gt;5,ROUND(CW117/SQRT((1-CW118)/(CY109-2)),2),"[small N]"),"")</f>
        <v>5.16</v>
      </c>
      <c r="CZ117" s="12">
        <f>IF(DB109,ROUND(DB113/SQRT(CZ113*DA113),3),"")</f>
        <v>0.59399999999999997</v>
      </c>
      <c r="DA117" s="13" t="s">
        <v>119</v>
      </c>
      <c r="DB117" s="14">
        <f>IF(DB109&gt;0,IF(DB109&gt;5,ROUND(CZ117/SQRT((1-CZ118)/(DB109-2)),2),"[small N]"),"")</f>
        <v>3.77</v>
      </c>
      <c r="DC117" s="12">
        <f>IF(DE109,ROUND(DE113/SQRT(DC113*DD113),3),"")</f>
        <v>0.82199999999999995</v>
      </c>
      <c r="DD117" s="13" t="s">
        <v>119</v>
      </c>
      <c r="DE117" s="14">
        <f>IF(DE109&gt;0,IF(DE109&gt;5,ROUND(DC117/SQRT((1-DC118)/(DE109-2)),2),"[small N]"),"")</f>
        <v>7.36</v>
      </c>
      <c r="DF117" s="16" t="s">
        <v>118</v>
      </c>
      <c r="DG117" s="12">
        <f>IF(DI109,ROUND(DI113/SQRT(DG113*DH113),3),"")</f>
        <v>0.59599999999999997</v>
      </c>
      <c r="DH117" s="13" t="s">
        <v>119</v>
      </c>
      <c r="DI117" s="14">
        <f>IF(DI109&gt;0,IF(DI109&gt;5,ROUND(DG117/SQRT((1-DG118)/(DI109-2)),2),"[small N]"),"")</f>
        <v>3.78</v>
      </c>
      <c r="DJ117" s="12">
        <f>IF(DL109,ROUND(DL113/SQRT(DJ113*DK113),3),"")</f>
        <v>0.59799999999999998</v>
      </c>
      <c r="DK117" s="13" t="s">
        <v>119</v>
      </c>
      <c r="DL117" s="14">
        <f>IF(DL109&gt;0,IF(DL109&gt;5,ROUND(DJ117/SQRT((1-DJ118)/(DL109-2)),2),"[small N]"),"")</f>
        <v>3.81</v>
      </c>
      <c r="DM117" s="12">
        <f>IF(DO109,ROUND(DO113/SQRT(DM113*DN113),3),"")</f>
        <v>0.49199999999999999</v>
      </c>
      <c r="DN117" s="13" t="s">
        <v>119</v>
      </c>
      <c r="DO117" s="14">
        <f>IF(DO109&gt;0,IF(DO109&gt;5,ROUND(DM117/SQRT((1-DM118)/(DO109-2)),2),"[small N]"),"")</f>
        <v>2.88</v>
      </c>
      <c r="DP117" s="12">
        <f>IF(DR109,ROUND(DR113/SQRT(DP113*DQ113),3),"")</f>
        <v>0.54200000000000004</v>
      </c>
      <c r="DQ117" s="13" t="s">
        <v>119</v>
      </c>
      <c r="DR117" s="14">
        <f>IF(DR109&gt;0,IF(DR109&gt;5,ROUND(DP117/SQRT((1-DP118)/(DR109-2)),2),"[small N]"),"")</f>
        <v>3.29</v>
      </c>
      <c r="DS117" s="12">
        <f>IF(DU109,ROUND(DU113/SQRT(DS113*DT113),3),"")</f>
        <v>0.47</v>
      </c>
      <c r="DT117" s="13" t="s">
        <v>119</v>
      </c>
      <c r="DU117" s="14">
        <f>IF(DU109&gt;0,IF(DU109&gt;5,ROUND(DS117/SQRT((1-DS118)/(DU109-2)),2),"[small N]"),"")</f>
        <v>2.72</v>
      </c>
      <c r="DV117" s="12">
        <f>IF(DX109,ROUND(DX113/SQRT(DV113*DW113),3),"")</f>
        <v>0.55000000000000004</v>
      </c>
      <c r="DW117" s="13" t="s">
        <v>119</v>
      </c>
      <c r="DX117" s="14">
        <f>IF(DX109&gt;0,IF(DX109&gt;5,ROUND(DV117/SQRT((1-DV118)/(DX109-2)),2),"[small N]"),"")</f>
        <v>3.36</v>
      </c>
      <c r="DY117" s="12">
        <f>IF(EA109,ROUND(EA113/SQRT(DY113*DZ113),3),"")</f>
        <v>0.65600000000000003</v>
      </c>
      <c r="DZ117" s="13" t="s">
        <v>119</v>
      </c>
      <c r="EA117" s="14">
        <f>IF(EA109&gt;0,IF(EA109&gt;5,ROUND(DY117/SQRT((1-DY118)/(EA109-2)),2),"[small N]"),"")</f>
        <v>4.43</v>
      </c>
      <c r="EB117" s="12">
        <f>IF(ED109,ROUND(ED113/SQRT(EB113*EC113),3),"")</f>
        <v>0.69399999999999995</v>
      </c>
      <c r="EC117" s="13" t="s">
        <v>119</v>
      </c>
      <c r="ED117" s="14">
        <f>IF(ED109&gt;0,IF(ED109&gt;5,ROUND(EB117/SQRT((1-EB118)/(ED109-2)),2),"[small N]"),"")</f>
        <v>4.92</v>
      </c>
      <c r="EE117" s="16" t="s">
        <v>118</v>
      </c>
      <c r="EF117" s="12">
        <f>IF(EH109,ROUND(EH113/SQRT(EF113*EG113),3),"")</f>
        <v>0.79200000000000004</v>
      </c>
      <c r="EG117" s="13" t="s">
        <v>119</v>
      </c>
      <c r="EH117" s="14">
        <f>IF(EH109&gt;0,IF(EH109&gt;5,ROUND(EF117/SQRT((1-EF118)/(EH109-2)),2),"[small N]"),"")</f>
        <v>6.61</v>
      </c>
      <c r="EI117" s="12">
        <f>IF(EK109,ROUND(EK113/SQRT(EI113*EJ113),3),"")</f>
        <v>0.66</v>
      </c>
      <c r="EJ117" s="13" t="s">
        <v>119</v>
      </c>
      <c r="EK117" s="14">
        <f>IF(EK109&gt;0,IF(EK109&gt;5,ROUND(EI117/SQRT((1-EI118)/(EK109-2)),2),"[small N]"),"")</f>
        <v>4.4800000000000004</v>
      </c>
      <c r="EL117" s="12">
        <f>IF(EN109,ROUND(EN113/SQRT(EL113*EM113),3),"")</f>
        <v>0.65500000000000003</v>
      </c>
      <c r="EM117" s="13" t="s">
        <v>119</v>
      </c>
      <c r="EN117" s="14">
        <f>IF(EN109&gt;0,IF(EN109&gt;5,ROUND(EL117/SQRT((1-EL118)/(EN109-2)),2),"[small N]"),"")</f>
        <v>4.42</v>
      </c>
      <c r="EO117" s="12">
        <f>IF(EQ109,ROUND(EQ113/SQRT(EO113*EP113),3),"")</f>
        <v>0.60399999999999998</v>
      </c>
      <c r="EP117" s="13" t="s">
        <v>119</v>
      </c>
      <c r="EQ117" s="14">
        <f>IF(EQ109&gt;0,IF(EQ109&gt;5,ROUND(EO117/SQRT((1-EO118)/(EQ109-2)),2),"[small N]"),"")</f>
        <v>3.86</v>
      </c>
      <c r="ER117" s="12">
        <f>IF(ET109,ROUND(ET113/SQRT(ER113*ES113),3),"")</f>
        <v>0.83499999999999996</v>
      </c>
      <c r="ES117" s="13" t="s">
        <v>119</v>
      </c>
      <c r="ET117" s="14">
        <f>IF(ET109&gt;0,IF(ET109&gt;5,ROUND(ER117/SQRT((1-ER118)/(ET109-2)),2),"[small N]"),"")</f>
        <v>7.73</v>
      </c>
      <c r="EU117" s="12">
        <f>IF(EW109,ROUND(EW113/SQRT(EU113*EV113),3),"")</f>
        <v>0.82</v>
      </c>
      <c r="EV117" s="13" t="s">
        <v>119</v>
      </c>
      <c r="EW117" s="14">
        <f>IF(EW109&gt;0,IF(EW109&gt;5,ROUND(EU117/SQRT((1-EU118)/(EW109-2)),2),"[small N]"),"")</f>
        <v>7.3</v>
      </c>
      <c r="EX117" s="12">
        <f>IF(EZ109,ROUND(EZ113/SQRT(EX113*EY113),3),"")</f>
        <v>0.878</v>
      </c>
      <c r="EY117" s="13" t="s">
        <v>119</v>
      </c>
      <c r="EZ117" s="14">
        <f>IF(EZ109&gt;0,IF(EZ109&gt;5,ROUND(EX117/SQRT((1-EX118)/(EZ109-2)),2),"[small N]"),"")</f>
        <v>9.36</v>
      </c>
      <c r="FA117" s="16" t="s">
        <v>118</v>
      </c>
      <c r="FB117" s="12">
        <f>IF(FD109,ROUND(FD113/SQRT(FB113*FC113),3),"")</f>
        <v>0.77500000000000002</v>
      </c>
      <c r="FC117" s="13" t="s">
        <v>119</v>
      </c>
      <c r="FD117" s="14">
        <f>IF(FD109&gt;0,IF(FD109&gt;5,ROUND(FB117/SQRT((1-FB118)/(FD109-2)),2),"[small N]"),"")</f>
        <v>6.26</v>
      </c>
      <c r="FE117" s="12">
        <f>IF(FG109,ROUND(FG113/SQRT(FE113*FF113),3),"")</f>
        <v>0.77900000000000003</v>
      </c>
      <c r="FF117" s="13" t="s">
        <v>119</v>
      </c>
      <c r="FG117" s="14">
        <f>IF(FG109&gt;0,IF(FG109&gt;5,ROUND(FE117/SQRT((1-FE118)/(FG109-2)),2),"[small N]"),"")</f>
        <v>6.34</v>
      </c>
      <c r="FH117" s="12">
        <f>IF(FJ109,ROUND(FJ113/SQRT(FH113*FI113),3),"")</f>
        <v>0.65100000000000002</v>
      </c>
      <c r="FI117" s="13" t="s">
        <v>119</v>
      </c>
      <c r="FJ117" s="14">
        <f>IF(FJ109&gt;0,IF(FJ109&gt;5,ROUND(FH117/SQRT((1-FH118)/(FJ109-2)),2),"[small N]"),"")</f>
        <v>4.37</v>
      </c>
      <c r="FK117" s="12">
        <f>IF(FM109,ROUND(FM113/SQRT(FK113*FL113),3),"")</f>
        <v>0.83</v>
      </c>
      <c r="FL117" s="13" t="s">
        <v>119</v>
      </c>
      <c r="FM117" s="14">
        <f>IF(FM109&gt;0,IF(FM109&gt;5,ROUND(FK117/SQRT((1-FK118)/(FM109-2)),2),"[small N]"),"")</f>
        <v>7.59</v>
      </c>
      <c r="FN117" s="12">
        <f>IF(FP109,ROUND(FP113/SQRT(FN113*FO113),3),"")</f>
        <v>0.75800000000000001</v>
      </c>
      <c r="FO117" s="13" t="s">
        <v>119</v>
      </c>
      <c r="FP117" s="14">
        <f>IF(FP109&gt;0,IF(FP109&gt;5,ROUND(FN117/SQRT((1-FN118)/(FP109-2)),2),"[small N]"),"")</f>
        <v>5.93</v>
      </c>
      <c r="FQ117" s="12">
        <f>IF(FS109,ROUND(FS113/SQRT(FQ113*FR113),3),"")</f>
        <v>0.90500000000000003</v>
      </c>
      <c r="FR117" s="13" t="s">
        <v>119</v>
      </c>
      <c r="FS117" s="14">
        <f>IF(FS109&gt;0,IF(FS109&gt;5,ROUND(FQ117/SQRT((1-FQ118)/(FS109-2)),2),"[small N]"),"")</f>
        <v>10.85</v>
      </c>
      <c r="FT117" s="16" t="s">
        <v>118</v>
      </c>
      <c r="FU117" s="12">
        <f>IF(FW109,ROUND(FW113/SQRT(FU113*FV113),3),"")</f>
        <v>0.81699999999999995</v>
      </c>
      <c r="FV117" s="13" t="s">
        <v>119</v>
      </c>
      <c r="FW117" s="14">
        <f>IF(FW109&gt;0,IF(FW109&gt;5,ROUND(FU117/SQRT((1-FU118)/(FW109-2)),2),"[small N]"),"")</f>
        <v>7.22</v>
      </c>
      <c r="FX117" s="12">
        <f>IF(FZ109,ROUND(FZ113/SQRT(FX113*FY113),3),"")</f>
        <v>0.52300000000000002</v>
      </c>
      <c r="FY117" s="13" t="s">
        <v>119</v>
      </c>
      <c r="FZ117" s="14">
        <f>IF(FZ109&gt;0,IF(FZ109&gt;5,ROUND(FX117/SQRT((1-FX118)/(FZ109-2)),2),"[small N]"),"")</f>
        <v>3.13</v>
      </c>
      <c r="GA117" s="12">
        <f>IF(GC109,ROUND(GC113/SQRT(GA113*GB113),3),"")</f>
        <v>0.83799999999999997</v>
      </c>
      <c r="GB117" s="13" t="s">
        <v>119</v>
      </c>
      <c r="GC117" s="14">
        <f>IF(GC109&gt;0,IF(GC109&gt;5,ROUND(GA117/SQRT((1-GA118)/(GC109-2)),2),"[small N]"),"")</f>
        <v>7.83</v>
      </c>
      <c r="GD117" s="12">
        <f>IF(GF109,ROUND(GF113/SQRT(GD113*GE113),3),"")</f>
        <v>0.72799999999999998</v>
      </c>
      <c r="GE117" s="13" t="s">
        <v>119</v>
      </c>
      <c r="GF117" s="14">
        <f>IF(GF109&gt;0,IF(GF109&gt;5,ROUND(GD117/SQRT((1-GD118)/(GF109-2)),2),"[small N]"),"")</f>
        <v>5.41</v>
      </c>
      <c r="GG117" s="12">
        <f>IF(GI109,ROUND(GI113/SQRT(GG113*GH113),3),"")</f>
        <v>0.80700000000000005</v>
      </c>
      <c r="GH117" s="13" t="s">
        <v>119</v>
      </c>
      <c r="GI117" s="14">
        <f>IF(GI109&gt;0,IF(GI109&gt;5,ROUND(GG117/SQRT((1-GG118)/(GI109-2)),2),"[small N]"),"")</f>
        <v>6.97</v>
      </c>
      <c r="GJ117" s="16" t="s">
        <v>118</v>
      </c>
      <c r="GK117" s="12">
        <f>IF(GM109,ROUND(GM113/SQRT(GK113*GL113),3),"")</f>
        <v>0.65</v>
      </c>
      <c r="GL117" s="13" t="s">
        <v>119</v>
      </c>
      <c r="GM117" s="14">
        <f>IF(GM109&gt;0,IF(GM109&gt;5,ROUND(GK117/SQRT((1-GK118)/(GM109-2)),2),"[small N]"),"")</f>
        <v>4.3600000000000003</v>
      </c>
      <c r="GN117" s="12">
        <f>IF(GP109,ROUND(GP113/SQRT(GN113*GO113),3),"")</f>
        <v>0.81699999999999995</v>
      </c>
      <c r="GO117" s="13" t="s">
        <v>119</v>
      </c>
      <c r="GP117" s="14">
        <f>IF(GP109&gt;0,IF(GP109&gt;5,ROUND(GN117/SQRT((1-GN118)/(GP109-2)),2),"[small N]"),"")</f>
        <v>7.22</v>
      </c>
      <c r="GQ117" s="12">
        <f>IF(GS109,ROUND(GS113/SQRT(GQ113*GR113),3),"")</f>
        <v>0.79500000000000004</v>
      </c>
      <c r="GR117" s="13" t="s">
        <v>119</v>
      </c>
      <c r="GS117" s="14">
        <f>IF(GS109&gt;0,IF(GS109&gt;5,ROUND(GQ117/SQRT((1-GQ118)/(GS109-2)),2),"[small N]"),"")</f>
        <v>6.68</v>
      </c>
      <c r="GT117" s="12">
        <f>IF(GV109,ROUND(GV113/SQRT(GT113*GU113),3),"")</f>
        <v>0.88200000000000001</v>
      </c>
      <c r="GU117" s="13" t="s">
        <v>119</v>
      </c>
      <c r="GV117" s="14">
        <f>IF(GV109&gt;0,IF(GV109&gt;5,ROUND(GT117/SQRT((1-GT118)/(GV109-2)),2),"[small N]"),"")</f>
        <v>9.5500000000000007</v>
      </c>
      <c r="GW117" s="16" t="s">
        <v>118</v>
      </c>
      <c r="GX117" s="12">
        <f>IF(GZ109,ROUND(GZ113/SQRT(GX113*GY113),3),"")</f>
        <v>0.64800000000000002</v>
      </c>
      <c r="GY117" s="13" t="s">
        <v>119</v>
      </c>
      <c r="GZ117" s="14">
        <f>IF(GZ109&gt;0,IF(GZ109&gt;5,ROUND(GX117/SQRT((1-GX118)/(GZ109-2)),2),"[small N]"),"")</f>
        <v>4.34</v>
      </c>
      <c r="HA117" s="12">
        <f>IF(HC109,ROUND(HC113/SQRT(HA113*HB113),3),"")</f>
        <v>0.54</v>
      </c>
      <c r="HB117" s="13" t="s">
        <v>119</v>
      </c>
      <c r="HC117" s="14">
        <f>IF(HC109&gt;0,IF(HC109&gt;5,ROUND(HA117/SQRT((1-HA118)/(HC109-2)),2),"[small N]"),"")</f>
        <v>3.27</v>
      </c>
      <c r="HD117" s="12">
        <f>IF(HF109,ROUND(HF113/SQRT(HD113*HE113),3),"")</f>
        <v>0.79200000000000004</v>
      </c>
      <c r="HE117" s="13" t="s">
        <v>119</v>
      </c>
      <c r="HF117" s="14">
        <f>IF(HF109&gt;0,IF(HF109&gt;5,ROUND(HD117/SQRT((1-HD118)/(HF109-2)),2),"[small N]"),"")</f>
        <v>6.61</v>
      </c>
      <c r="HG117" s="16" t="s">
        <v>118</v>
      </c>
      <c r="HH117" s="12">
        <f>IF(HJ109,ROUND(HJ113/SQRT(HH113*HI113),3),"")</f>
        <v>0.75700000000000001</v>
      </c>
      <c r="HI117" s="13" t="s">
        <v>119</v>
      </c>
      <c r="HJ117" s="14">
        <f>IF(HJ109&gt;0,IF(HJ109&gt;5,ROUND(HH117/SQRT((1-HH118)/(HJ109-2)),2),"[small N]"),"")</f>
        <v>5.91</v>
      </c>
      <c r="HK117" s="12">
        <f>IF(HM109,ROUND(HM113/SQRT(HK113*HL113),3),"")</f>
        <v>0.91</v>
      </c>
      <c r="HL117" s="13" t="s">
        <v>119</v>
      </c>
      <c r="HM117" s="14">
        <f>IF(HM109&gt;0,IF(HM109&gt;5,ROUND(HK117/SQRT((1-HK118)/(HM109-2)),2),"[small N]"),"")</f>
        <v>11.19</v>
      </c>
      <c r="HN117" s="16" t="s">
        <v>118</v>
      </c>
      <c r="HO117" s="12">
        <f>IF(HQ109,ROUND(HQ113/SQRT(HO113*HP113),3),"")</f>
        <v>0.872</v>
      </c>
      <c r="HP117" s="13" t="s">
        <v>119</v>
      </c>
      <c r="HQ117" s="14">
        <f>IF(HQ109&gt;0,IF(HQ109&gt;5,ROUND(HO117/SQRT((1-HO118)/(HQ109-2)),2),"[small N]"),"")</f>
        <v>9.08</v>
      </c>
      <c r="HR117" s="16" t="s">
        <v>118</v>
      </c>
      <c r="HS117" s="12">
        <f>IF(HU109,ROUND(HU113/SQRT(HS113*HT113),3),"")</f>
        <v>0.93</v>
      </c>
      <c r="HT117" s="13" t="s">
        <v>119</v>
      </c>
      <c r="HU117" s="14">
        <f>IF(HU109&gt;0,IF(HU109&gt;5,ROUND(HS117/SQRT((1-HS118)/(HU109-2)),2),"[small N]"),"")</f>
        <v>12.91</v>
      </c>
      <c r="HV117" s="12">
        <f>IF(HX109,ROUND(HX113/SQRT(HV113*HW113),3),"")</f>
        <v>0.82199999999999995</v>
      </c>
      <c r="HW117" s="13" t="s">
        <v>119</v>
      </c>
      <c r="HX117" s="14">
        <f>IF(HX109&gt;0,IF(HX109&gt;5,ROUND(HV117/SQRT((1-HV118)/(HX109-2)),2),"[small N]"),"")</f>
        <v>7.36</v>
      </c>
      <c r="HY117" s="12">
        <f>IF(IA109,ROUND(IA113/SQRT(HY113*HZ113),3),"")</f>
        <v>0.69399999999999995</v>
      </c>
      <c r="HZ117" s="13" t="s">
        <v>119</v>
      </c>
      <c r="IA117" s="14">
        <f>IF(IA109&gt;0,IF(IA109&gt;5,ROUND(HY117/SQRT((1-HY118)/(IA109-2)),2),"[small N]"),"")</f>
        <v>4.92</v>
      </c>
      <c r="IB117" s="12">
        <f>IF(ID109,ROUND(ID113/SQRT(IB113*IC113),3),"")</f>
        <v>0.878</v>
      </c>
      <c r="IC117" s="13" t="s">
        <v>119</v>
      </c>
      <c r="ID117" s="14">
        <f>IF(ID109&gt;0,IF(ID109&gt;5,ROUND(IB117/SQRT((1-IB118)/(ID109-2)),2),"[small N]"),"")</f>
        <v>9.36</v>
      </c>
      <c r="IE117" s="12">
        <f>IF(IG109,ROUND(IG113/SQRT(IE113*IF113),3),"")</f>
        <v>0.90500000000000003</v>
      </c>
      <c r="IF117" s="13" t="s">
        <v>119</v>
      </c>
      <c r="IG117" s="14">
        <f>IF(IG109&gt;0,IF(IG109&gt;5,ROUND(IE117/SQRT((1-IE118)/(IG109-2)),2),"[small N]"),"")</f>
        <v>10.85</v>
      </c>
      <c r="IH117" s="12">
        <f>IF(IJ109,ROUND(IJ113/SQRT(IH113*II113),3),"")</f>
        <v>0.80700000000000005</v>
      </c>
      <c r="II117" s="13" t="s">
        <v>119</v>
      </c>
      <c r="IJ117" s="14">
        <f>IF(IJ109&gt;0,IF(IJ109&gt;5,ROUND(IH117/SQRT((1-IH118)/(IJ109-2)),2),"[small N]"),"")</f>
        <v>6.97</v>
      </c>
      <c r="IK117" s="12">
        <f>IF(IM109,ROUND(IM113/SQRT(IK113*IL113),3),"")</f>
        <v>0.88200000000000001</v>
      </c>
      <c r="IL117" s="13" t="s">
        <v>119</v>
      </c>
      <c r="IM117" s="14">
        <f>IF(IM109&gt;0,IF(IM109&gt;5,ROUND(IK117/SQRT((1-IK118)/(IM109-2)),2),"[small N]"),"")</f>
        <v>9.5500000000000007</v>
      </c>
      <c r="IN117" s="12">
        <f>IF(IP109,ROUND(IP113/SQRT(IN113*IO113),3),"")</f>
        <v>0.79200000000000004</v>
      </c>
      <c r="IO117" s="13" t="s">
        <v>119</v>
      </c>
      <c r="IP117" s="14">
        <f>IF(IP109&gt;0,IF(IP109&gt;5,ROUND(IN117/SQRT((1-IN118)/(IP109-2)),2),"[small N]"),"")</f>
        <v>6.61</v>
      </c>
      <c r="IQ117" s="12">
        <f>IF(IS109,ROUND(IS113/SQRT(IQ113*IR113),3),"")</f>
        <v>0.91</v>
      </c>
      <c r="IR117" s="13" t="s">
        <v>119</v>
      </c>
      <c r="IS117" s="14">
        <f>IF(IS109&gt;0,IF(IS109&gt;5,ROUND(IQ117/SQRT((1-IQ118)/(IS109-2)),2),"[small N]"),"")</f>
        <v>11.19</v>
      </c>
      <c r="IT117" s="12">
        <f>IF(IV109,ROUND(IV113/SQRT(IT113*IU113),3),"")</f>
        <v>0.872</v>
      </c>
      <c r="IU117" s="13" t="s">
        <v>119</v>
      </c>
      <c r="IV117" s="14">
        <f>IF(IV109&gt;0,IF(IV109&gt;5,ROUND(IT117/SQRT((1-IT118)/(IV109-2)),2),"[small N]"),"")</f>
        <v>9.08</v>
      </c>
    </row>
    <row r="118" spans="1:256" x14ac:dyDescent="0.2">
      <c r="A118" s="86"/>
      <c r="B118" s="87" t="str">
        <f>IF(Intro!$B17&gt;0,Intro!$B17,"")</f>
        <v>ACTB</v>
      </c>
      <c r="C118" s="87" t="str">
        <f>IF(Intro!$B18&gt;0,Intro!$B18,"")</f>
        <v>SDHA</v>
      </c>
      <c r="D118" s="87" t="str">
        <f>IF(Intro!$B19&gt;0,Intro!$B19,"")</f>
        <v>HPRT1</v>
      </c>
      <c r="E118" s="87" t="str">
        <f>IF(Intro!$B20&gt;0,Intro!$B20,"")</f>
        <v>UBC</v>
      </c>
      <c r="F118" s="87" t="str">
        <f>IF(Intro!$B21&gt;0,Intro!$B21,"")</f>
        <v>PGK1</v>
      </c>
      <c r="G118" s="87" t="str">
        <f>IF(Intro!$B22&gt;0,Intro!$B22,"")</f>
        <v>PPIA</v>
      </c>
      <c r="H118" s="87" t="str">
        <f>IF(Intro!$B23&gt;0,Intro!$B23,"")</f>
        <v>ATP5B</v>
      </c>
      <c r="I118" s="87" t="str">
        <f>IF(Intro!$B24&gt;0,Intro!$B24,"")</f>
        <v>GUSB</v>
      </c>
      <c r="J118" s="87" t="str">
        <f>IF(Intro!$B25&gt;0,Intro!$B25,"")</f>
        <v>GAPDH</v>
      </c>
      <c r="K118" s="87" t="str">
        <f>IF(Intro!$B26&gt;0,Intro!$B26,"")</f>
        <v>YWHAZ</v>
      </c>
      <c r="L118" s="58"/>
      <c r="M118" s="10"/>
      <c r="N118" s="57"/>
      <c r="O118" s="72"/>
      <c r="P118" s="72"/>
      <c r="Q118" s="78" t="s">
        <v>19</v>
      </c>
      <c r="R118" s="78">
        <f t="shared" si="692"/>
        <v>0.35325591207313978</v>
      </c>
      <c r="S118" s="78"/>
      <c r="T118" s="78"/>
      <c r="U118" s="136">
        <f t="shared" si="693"/>
        <v>0.27234065010014341</v>
      </c>
      <c r="V118" s="78"/>
      <c r="W118" s="78"/>
      <c r="X118" s="78">
        <f t="shared" si="694"/>
        <v>0.66669149754223744</v>
      </c>
      <c r="Y118" s="78"/>
      <c r="Z118" s="78"/>
      <c r="AA118" s="78">
        <f t="shared" si="695"/>
        <v>0.34665471851984159</v>
      </c>
      <c r="AB118" s="78"/>
      <c r="AC118" s="78"/>
      <c r="AD118" s="78">
        <f t="shared" si="696"/>
        <v>0.35837950993830969</v>
      </c>
      <c r="AE118" s="78"/>
      <c r="AF118" s="78"/>
      <c r="AG118" s="78">
        <f t="shared" si="697"/>
        <v>0.49475237397050992</v>
      </c>
      <c r="AH118" s="78"/>
      <c r="AI118" s="78"/>
      <c r="AJ118" s="78">
        <f t="shared" si="698"/>
        <v>0.60362270062420764</v>
      </c>
      <c r="AK118" s="78"/>
      <c r="AL118" s="78"/>
      <c r="AM118" s="78">
        <f t="shared" si="699"/>
        <v>0.26450198322581026</v>
      </c>
      <c r="AN118" s="78"/>
      <c r="AO118" s="78"/>
      <c r="AP118" s="78">
        <f t="shared" si="700"/>
        <v>0.38833983904654518</v>
      </c>
      <c r="AQ118" s="78"/>
      <c r="AR118" s="78"/>
      <c r="AS118" s="78">
        <f t="shared" si="701"/>
        <v>0.34995408586307175</v>
      </c>
      <c r="AT118" s="78"/>
      <c r="AU118" s="10"/>
      <c r="AV118" s="78" t="str">
        <f t="shared" si="703"/>
        <v>±0,14</v>
      </c>
      <c r="AW118" s="132">
        <f t="shared" si="704"/>
        <v>0.14000000000000001</v>
      </c>
      <c r="AX118" s="10"/>
      <c r="AY118" s="16" t="s">
        <v>120</v>
      </c>
      <c r="AZ118" s="14">
        <f>IF(BB109&gt;0,ROUND(AZ117^2,3),"")</f>
        <v>0.51400000000000001</v>
      </c>
      <c r="BA118" s="15" t="s">
        <v>121</v>
      </c>
      <c r="BB118" s="14">
        <f>IF(BB109&gt;5,TDIST(ABS(BB117),BB109-2,1),"")</f>
        <v>8.9283190155644854E-6</v>
      </c>
      <c r="BC118" s="14">
        <f>IF(BE109&gt;0,ROUND(BC117^2,3),"")</f>
        <v>0.51800000000000002</v>
      </c>
      <c r="BD118" s="15" t="s">
        <v>121</v>
      </c>
      <c r="BE118" s="14">
        <f>IF(BE109&gt;5,TDIST(ABS(BE117),BE109-2,1),"")</f>
        <v>7.8285480739530551E-6</v>
      </c>
      <c r="BF118" s="14">
        <f>IF(BH109&gt;0,ROUND(BF117^2,3),"")</f>
        <v>0.83499999999999996</v>
      </c>
      <c r="BG118" s="15" t="s">
        <v>121</v>
      </c>
      <c r="BH118" s="14">
        <f>IF(BH109&gt;5,TDIST(ABS(BH117),BH109-2,1),"")</f>
        <v>5.6652096062075555E-12</v>
      </c>
      <c r="BI118" s="14">
        <f>IF(BK109&gt;0,ROUND(BI117^2,3),"")</f>
        <v>0.66600000000000004</v>
      </c>
      <c r="BJ118" s="15" t="s">
        <v>121</v>
      </c>
      <c r="BK118" s="14">
        <f>IF(BK109&gt;5,TDIST(ABS(BK117),BK109-2,1),"")</f>
        <v>6.0124757381887434E-8</v>
      </c>
      <c r="BL118" s="14">
        <f>IF(BN109&gt;0,ROUND(BL117^2,3),"")</f>
        <v>0.39900000000000002</v>
      </c>
      <c r="BM118" s="15" t="s">
        <v>121</v>
      </c>
      <c r="BN118" s="14">
        <f>IF(BN109&gt;5,TDIST(ABS(BN117),BN109-2,1),"")</f>
        <v>1.5384185700814709E-4</v>
      </c>
      <c r="BO118" s="14">
        <f>IF(BQ109&gt;0,ROUND(BO117^2,3),"")</f>
        <v>0.50600000000000001</v>
      </c>
      <c r="BP118" s="15" t="s">
        <v>121</v>
      </c>
      <c r="BQ118" s="14">
        <f>IF(BQ109&gt;5,TDIST(ABS(BQ117),BQ109-2,1),"")</f>
        <v>1.1020649299769585E-5</v>
      </c>
      <c r="BR118" s="14">
        <f>IF(BT109&gt;0,ROUND(BR117^2,3),"")</f>
        <v>0.53</v>
      </c>
      <c r="BS118" s="15" t="s">
        <v>121</v>
      </c>
      <c r="BT118" s="14">
        <f>IF(BT109&gt;5,TDIST(ABS(BT117),BT109-2,1),"")</f>
        <v>5.7132705608925745E-6</v>
      </c>
      <c r="BU118" s="14">
        <f>IF(BW109&gt;0,ROUND(BU117^2,3),"")</f>
        <v>0.61599999999999999</v>
      </c>
      <c r="BV118" s="15" t="s">
        <v>121</v>
      </c>
      <c r="BW118" s="14">
        <f>IF(BW109&gt;5,TDIST(ABS(BW117),BW109-2,1),"")</f>
        <v>3.7981081180476186E-7</v>
      </c>
      <c r="BX118" s="14">
        <f>IF(BZ109&gt;0,ROUND(BX117^2,3),"")</f>
        <v>0.73599999999999999</v>
      </c>
      <c r="BY118" s="15" t="s">
        <v>121</v>
      </c>
      <c r="BZ118" s="14">
        <f>IF(BZ109&gt;5,TDIST(ABS(BZ117),BZ109-2,1),"")</f>
        <v>2.7227784042194461E-9</v>
      </c>
      <c r="CA118" s="14">
        <f>IF(CC109&gt;0,ROUND(CA117^2,3),"")</f>
        <v>0.86499999999999999</v>
      </c>
      <c r="CB118" s="15" t="s">
        <v>121</v>
      </c>
      <c r="CC118" s="14">
        <f>IF(CC109&gt;5,TDIST(ABS(CC117),CC109-2,1),"")</f>
        <v>4.0781555214054539E-13</v>
      </c>
      <c r="CD118" s="16" t="s">
        <v>120</v>
      </c>
      <c r="CE118" s="14">
        <f>IF(CG109&gt;0,ROUND(CE117^2,3),"")</f>
        <v>0.215</v>
      </c>
      <c r="CF118" s="15" t="s">
        <v>121</v>
      </c>
      <c r="CG118" s="14">
        <f>IF(CG109&gt;5,TDIST(ABS(CG117),CG109-2,1),"")</f>
        <v>6.4509177177753205E-3</v>
      </c>
      <c r="CH118" s="14">
        <f>IF(CJ109&gt;0,ROUND(CH117^2,3),"")</f>
        <v>0.36099999999999999</v>
      </c>
      <c r="CI118" s="15" t="s">
        <v>121</v>
      </c>
      <c r="CJ118" s="14">
        <f>IF(CJ109&gt;5,TDIST(ABS(CJ117),CJ109-2,1),"")</f>
        <v>3.6360847359485161E-4</v>
      </c>
      <c r="CK118" s="14">
        <f>IF(CM109&gt;0,ROUND(CK117^2,3),"")</f>
        <v>0.501</v>
      </c>
      <c r="CL118" s="15" t="s">
        <v>121</v>
      </c>
      <c r="CM118" s="14">
        <f>IF(CM109&gt;5,TDIST(ABS(CM117),CM109-2,1),"")</f>
        <v>1.2572130679783783E-5</v>
      </c>
      <c r="CN118" s="14">
        <f>IF(CP109&gt;0,ROUND(CN117^2,3),"")</f>
        <v>0.30099999999999999</v>
      </c>
      <c r="CO118" s="15" t="s">
        <v>121</v>
      </c>
      <c r="CP118" s="14">
        <f>IF(CP109&gt;5,TDIST(ABS(CP117),CP109-2,1),"")</f>
        <v>1.2388836607880747E-3</v>
      </c>
      <c r="CQ118" s="14">
        <f>IF(CS109&gt;0,ROUND(CQ117^2,3),"")</f>
        <v>0.58799999999999997</v>
      </c>
      <c r="CR118" s="15" t="s">
        <v>121</v>
      </c>
      <c r="CS118" s="14">
        <f>IF(CS109&gt;5,TDIST(ABS(CS117),CS109-2,1),"")</f>
        <v>9.7641847980828743E-7</v>
      </c>
      <c r="CT118" s="14">
        <f>IF(CV109&gt;0,ROUND(CT117^2,3),"")</f>
        <v>0.51400000000000001</v>
      </c>
      <c r="CU118" s="15" t="s">
        <v>121</v>
      </c>
      <c r="CV118" s="14">
        <f>IF(CV109&gt;5,TDIST(ABS(CV117),CV109-2,1),"")</f>
        <v>8.9283190155644854E-6</v>
      </c>
      <c r="CW118" s="14">
        <f>IF(CY109&gt;0,ROUND(CW117^2,3),"")</f>
        <v>0.50600000000000001</v>
      </c>
      <c r="CX118" s="15" t="s">
        <v>121</v>
      </c>
      <c r="CY118" s="14">
        <f>IF(CY109&gt;5,TDIST(ABS(CY117),CY109-2,1),"")</f>
        <v>1.1020649299769585E-5</v>
      </c>
      <c r="CZ118" s="14">
        <f>IF(DB109&gt;0,ROUND(CZ117^2,3),"")</f>
        <v>0.35299999999999998</v>
      </c>
      <c r="DA118" s="15" t="s">
        <v>121</v>
      </c>
      <c r="DB118" s="14">
        <f>IF(DB109&gt;5,TDIST(ABS(DB117),DB109-2,1),"")</f>
        <v>4.246299825144443E-4</v>
      </c>
      <c r="DC118" s="14">
        <f>IF(DE109&gt;0,ROUND(DC117^2,3),"")</f>
        <v>0.67600000000000005</v>
      </c>
      <c r="DD118" s="15" t="s">
        <v>121</v>
      </c>
      <c r="DE118" s="14">
        <f>IF(DE109&gt;5,TDIST(ABS(DE117),DE109-2,1),"")</f>
        <v>4.0712909339821111E-8</v>
      </c>
      <c r="DF118" s="16" t="s">
        <v>120</v>
      </c>
      <c r="DG118" s="14">
        <f>IF(DI109&gt;0,ROUND(DG117^2,3),"")</f>
        <v>0.35499999999999998</v>
      </c>
      <c r="DH118" s="15" t="s">
        <v>121</v>
      </c>
      <c r="DI118" s="14">
        <f>IF(DI109&gt;5,TDIST(ABS(DI117),DI109-2,1),"")</f>
        <v>4.1380427849666121E-4</v>
      </c>
      <c r="DJ118" s="14">
        <f>IF(DL109&gt;0,ROUND(DJ117^2,3),"")</f>
        <v>0.35799999999999998</v>
      </c>
      <c r="DK118" s="15" t="s">
        <v>121</v>
      </c>
      <c r="DL118" s="14">
        <f>IF(DL109&gt;5,TDIST(ABS(DL117),DL109-2,1),"")</f>
        <v>3.8292579503887908E-4</v>
      </c>
      <c r="DM118" s="14">
        <f>IF(DO109&gt;0,ROUND(DM117^2,3),"")</f>
        <v>0.24199999999999999</v>
      </c>
      <c r="DN118" s="15" t="s">
        <v>121</v>
      </c>
      <c r="DO118" s="14">
        <f>IF(DO109&gt;5,TDIST(ABS(DO117),DO109-2,1),"")</f>
        <v>3.9299403002157896E-3</v>
      </c>
      <c r="DP118" s="14">
        <f>IF(DR109&gt;0,ROUND(DP117^2,3),"")</f>
        <v>0.29399999999999998</v>
      </c>
      <c r="DQ118" s="15" t="s">
        <v>121</v>
      </c>
      <c r="DR118" s="14">
        <f>IF(DR109&gt;5,TDIST(ABS(DR117),DR109-2,1),"")</f>
        <v>1.4398473285120185E-3</v>
      </c>
      <c r="DS118" s="14">
        <f>IF(DU109&gt;0,ROUND(DS117^2,3),"")</f>
        <v>0.221</v>
      </c>
      <c r="DT118" s="15" t="s">
        <v>121</v>
      </c>
      <c r="DU118" s="14">
        <f>IF(DU109&gt;5,TDIST(ABS(DU117),DU109-2,1),"")</f>
        <v>5.7404282607979359E-3</v>
      </c>
      <c r="DV118" s="14">
        <f>IF(DX109&gt;0,ROUND(DV117^2,3),"")</f>
        <v>0.30299999999999999</v>
      </c>
      <c r="DW118" s="15" t="s">
        <v>121</v>
      </c>
      <c r="DX118" s="14">
        <f>IF(DX109&gt;5,TDIST(ABS(DX117),DX109-2,1),"")</f>
        <v>1.2081416273467525E-3</v>
      </c>
      <c r="DY118" s="14">
        <f>IF(EA109&gt;0,ROUND(DY117^2,3),"")</f>
        <v>0.43</v>
      </c>
      <c r="DZ118" s="15" t="s">
        <v>121</v>
      </c>
      <c r="EA118" s="14">
        <f>IF(EA109&gt;5,TDIST(ABS(EA117),EA109-2,1),"")</f>
        <v>7.5649321382259137E-5</v>
      </c>
      <c r="EB118" s="14">
        <f>IF(ED109&gt;0,ROUND(EB117^2,3),"")</f>
        <v>0.48199999999999998</v>
      </c>
      <c r="EC118" s="15" t="s">
        <v>121</v>
      </c>
      <c r="ED118" s="14">
        <f>IF(ED109&gt;5,TDIST(ABS(ED117),ED109-2,1),"")</f>
        <v>2.075205180995861E-5</v>
      </c>
      <c r="EE118" s="16" t="s">
        <v>120</v>
      </c>
      <c r="EF118" s="14">
        <f>IF(EH109&gt;0,ROUND(EF117^2,3),"")</f>
        <v>0.627</v>
      </c>
      <c r="EG118" s="15" t="s">
        <v>121</v>
      </c>
      <c r="EH118" s="14">
        <f>IF(EH109&gt;5,TDIST(ABS(EH117),EH109-2,1),"")</f>
        <v>2.6007048638063939E-7</v>
      </c>
      <c r="EI118" s="14">
        <f>IF(EK109&gt;0,ROUND(EI117^2,3),"")</f>
        <v>0.436</v>
      </c>
      <c r="EJ118" s="15" t="s">
        <v>121</v>
      </c>
      <c r="EK118" s="14">
        <f>IF(EK109&gt;5,TDIST(ABS(EK117),EK109-2,1),"")</f>
        <v>6.6307049473158169E-5</v>
      </c>
      <c r="EL118" s="14">
        <f>IF(EN109&gt;0,ROUND(EL117^2,3),"")</f>
        <v>0.42899999999999999</v>
      </c>
      <c r="EM118" s="15" t="s">
        <v>121</v>
      </c>
      <c r="EN118" s="14">
        <f>IF(EN109&gt;5,TDIST(ABS(EN117),EN109-2,1),"")</f>
        <v>7.7669333336227088E-5</v>
      </c>
      <c r="EO118" s="14">
        <f>IF(EQ109&gt;0,ROUND(EO117^2,3),"")</f>
        <v>0.36499999999999999</v>
      </c>
      <c r="EP118" s="15" t="s">
        <v>121</v>
      </c>
      <c r="EQ118" s="14">
        <f>IF(EQ109&gt;5,TDIST(ABS(EQ117),EQ109-2,1),"")</f>
        <v>3.3641384995844069E-4</v>
      </c>
      <c r="ER118" s="14">
        <f>IF(ET109&gt;0,ROUND(ER117^2,3),"")</f>
        <v>0.69699999999999995</v>
      </c>
      <c r="ES118" s="15" t="s">
        <v>121</v>
      </c>
      <c r="ET118" s="14">
        <f>IF(ET109&gt;5,TDIST(ABS(ET117),ET109-2,1),"")</f>
        <v>1.6733620082006405E-8</v>
      </c>
      <c r="EU118" s="14">
        <f>IF(EW109&gt;0,ROUND(EU117^2,3),"")</f>
        <v>0.67200000000000004</v>
      </c>
      <c r="EV118" s="15" t="s">
        <v>121</v>
      </c>
      <c r="EW118" s="14">
        <f>IF(EW109&gt;5,TDIST(ABS(EW117),EW109-2,1),"")</f>
        <v>4.7104702501389243E-8</v>
      </c>
      <c r="EX118" s="14">
        <f>IF(EZ109&gt;0,ROUND(EX117^2,3),"")</f>
        <v>0.77100000000000002</v>
      </c>
      <c r="EY118" s="15" t="s">
        <v>121</v>
      </c>
      <c r="EZ118" s="14">
        <f>IF(EZ109&gt;5,TDIST(ABS(EZ117),EZ109-2,1),"")</f>
        <v>4.1251777950762728E-10</v>
      </c>
      <c r="FA118" s="16" t="s">
        <v>120</v>
      </c>
      <c r="FB118" s="14">
        <f>IF(FD109&gt;0,ROUND(FB117^2,3),"")</f>
        <v>0.60099999999999998</v>
      </c>
      <c r="FC118" s="15" t="s">
        <v>121</v>
      </c>
      <c r="FD118" s="14">
        <f>IF(FD109&gt;5,TDIST(ABS(FD117),FD109-2,1),"")</f>
        <v>6.31663051853252E-7</v>
      </c>
      <c r="FE118" s="14">
        <f>IF(FG109&gt;0,ROUND(FE117^2,3),"")</f>
        <v>0.60699999999999998</v>
      </c>
      <c r="FF118" s="15" t="s">
        <v>121</v>
      </c>
      <c r="FG118" s="14">
        <f>IF(FG109&gt;5,TDIST(ABS(FG117),FG109-2,1),"")</f>
        <v>5.1511325375919103E-7</v>
      </c>
      <c r="FH118" s="14">
        <f>IF(FJ109&gt;0,ROUND(FH117^2,3),"")</f>
        <v>0.42399999999999999</v>
      </c>
      <c r="FI118" s="15" t="s">
        <v>121</v>
      </c>
      <c r="FJ118" s="14">
        <f>IF(FJ109&gt;5,TDIST(ABS(FJ117),FJ109-2,1),"")</f>
        <v>8.8602656060456805E-5</v>
      </c>
      <c r="FK118" s="14">
        <f>IF(FM109&gt;0,ROUND(FK117^2,3),"")</f>
        <v>0.68899999999999995</v>
      </c>
      <c r="FL118" s="15" t="s">
        <v>121</v>
      </c>
      <c r="FM118" s="14">
        <f>IF(FM109&gt;5,TDIST(ABS(FM117),FM109-2,1),"")</f>
        <v>2.3377537976325814E-8</v>
      </c>
      <c r="FN118" s="14">
        <f>IF(FP109&gt;0,ROUND(FN117^2,3),"")</f>
        <v>0.57499999999999996</v>
      </c>
      <c r="FO118" s="15" t="s">
        <v>121</v>
      </c>
      <c r="FP118" s="14">
        <f>IF(FP109&gt;5,TDIST(ABS(FP117),FP109-2,1),"")</f>
        <v>1.4747871214293473E-6</v>
      </c>
      <c r="FQ118" s="14">
        <f>IF(FS109&gt;0,ROUND(FQ117^2,3),"")</f>
        <v>0.81899999999999995</v>
      </c>
      <c r="FR118" s="15" t="s">
        <v>121</v>
      </c>
      <c r="FS118" s="14">
        <f>IF(FS109&gt;5,TDIST(ABS(FS117),FS109-2,1),"")</f>
        <v>1.8881969189859005E-11</v>
      </c>
      <c r="FT118" s="16" t="s">
        <v>120</v>
      </c>
      <c r="FU118" s="14">
        <f>IF(FW109&gt;0,ROUND(FU117^2,3),"")</f>
        <v>0.66700000000000004</v>
      </c>
      <c r="FV118" s="15" t="s">
        <v>121</v>
      </c>
      <c r="FW118" s="14">
        <f>IF(FW109&gt;5,TDIST(ABS(FW117),FW109-2,1),"")</f>
        <v>5.7254839651033233E-8</v>
      </c>
      <c r="FX118" s="14">
        <f>IF(FZ109&gt;0,ROUND(FX117^2,3),"")</f>
        <v>0.27400000000000002</v>
      </c>
      <c r="FY118" s="15" t="s">
        <v>121</v>
      </c>
      <c r="FZ118" s="14">
        <f>IF(FZ109&gt;5,TDIST(ABS(FZ117),FZ109-2,1),"")</f>
        <v>2.1414330704485232E-3</v>
      </c>
      <c r="GA118" s="14">
        <f>IF(GC109&gt;0,ROUND(GA117^2,3),"")</f>
        <v>0.70199999999999996</v>
      </c>
      <c r="GB118" s="15" t="s">
        <v>121</v>
      </c>
      <c r="GC118" s="14">
        <f>IF(GC109&gt;5,TDIST(ABS(GC117),GC109-2,1),"")</f>
        <v>1.3199170432769181E-8</v>
      </c>
      <c r="GD118" s="14">
        <f>IF(GF109&gt;0,ROUND(GD117^2,3),"")</f>
        <v>0.53</v>
      </c>
      <c r="GE118" s="15" t="s">
        <v>121</v>
      </c>
      <c r="GF118" s="14">
        <f>IF(GF109&gt;5,TDIST(ABS(GF117),GF109-2,1),"")</f>
        <v>5.7132705608925745E-6</v>
      </c>
      <c r="GG118" s="14">
        <f>IF(GI109&gt;0,ROUND(GG117^2,3),"")</f>
        <v>0.65100000000000002</v>
      </c>
      <c r="GH118" s="15" t="s">
        <v>121</v>
      </c>
      <c r="GI118" s="14">
        <f>IF(GI109&gt;5,TDIST(ABS(GI117),GI109-2,1),"")</f>
        <v>1.0589150325088546E-7</v>
      </c>
      <c r="GJ118" s="16" t="s">
        <v>120</v>
      </c>
      <c r="GK118" s="14">
        <f>IF(GM109&gt;0,ROUND(GK117^2,3),"")</f>
        <v>0.42299999999999999</v>
      </c>
      <c r="GL118" s="15" t="s">
        <v>121</v>
      </c>
      <c r="GM118" s="14">
        <f>IF(GM109&gt;5,TDIST(ABS(GM117),GM109-2,1),"")</f>
        <v>9.0966333243271515E-5</v>
      </c>
      <c r="GN118" s="14">
        <f>IF(GP109&gt;0,ROUND(GN117^2,3),"")</f>
        <v>0.66700000000000004</v>
      </c>
      <c r="GO118" s="15" t="s">
        <v>121</v>
      </c>
      <c r="GP118" s="14">
        <f>IF(GP109&gt;5,TDIST(ABS(GP117),GP109-2,1),"")</f>
        <v>5.7254839651033233E-8</v>
      </c>
      <c r="GQ118" s="14">
        <f>IF(GS109&gt;0,ROUND(GQ117^2,3),"")</f>
        <v>0.63200000000000001</v>
      </c>
      <c r="GR118" s="15" t="s">
        <v>121</v>
      </c>
      <c r="GS118" s="14">
        <f>IF(GS109&gt;5,TDIST(ABS(GS117),GS109-2,1),"")</f>
        <v>2.1812503618800338E-7</v>
      </c>
      <c r="GT118" s="14">
        <f>IF(GV109&gt;0,ROUND(GT117^2,3),"")</f>
        <v>0.77800000000000002</v>
      </c>
      <c r="GU118" s="15" t="s">
        <v>121</v>
      </c>
      <c r="GV118" s="14">
        <f>IF(GV109&gt;5,TDIST(ABS(GV117),GV109-2,1),"")</f>
        <v>2.7407239248347182E-10</v>
      </c>
      <c r="GW118" s="16" t="s">
        <v>120</v>
      </c>
      <c r="GX118" s="14">
        <f>IF(GZ109&gt;0,ROUND(GX117^2,3),"")</f>
        <v>0.42</v>
      </c>
      <c r="GY118" s="15" t="s">
        <v>121</v>
      </c>
      <c r="GZ118" s="14">
        <f>IF(GZ109&gt;5,TDIST(ABS(GZ117),GZ109-2,1),"")</f>
        <v>9.5883232219550721E-5</v>
      </c>
      <c r="HA118" s="14">
        <f>IF(HC109&gt;0,ROUND(HA117^2,3),"")</f>
        <v>0.29199999999999998</v>
      </c>
      <c r="HB118" s="15" t="s">
        <v>121</v>
      </c>
      <c r="HC118" s="14">
        <f>IF(HC109&gt;5,TDIST(ABS(HC117),HC109-2,1),"")</f>
        <v>1.5135750979835517E-3</v>
      </c>
      <c r="HD118" s="14">
        <f>IF(HF109&gt;0,ROUND(HD117^2,3),"")</f>
        <v>0.627</v>
      </c>
      <c r="HE118" s="15" t="s">
        <v>121</v>
      </c>
      <c r="HF118" s="14">
        <f>IF(HF109&gt;5,TDIST(ABS(HF117),HF109-2,1),"")</f>
        <v>2.6007048638063939E-7</v>
      </c>
      <c r="HG118" s="16" t="s">
        <v>120</v>
      </c>
      <c r="HH118" s="14">
        <f>IF(HJ109&gt;0,ROUND(HH117^2,3),"")</f>
        <v>0.57299999999999995</v>
      </c>
      <c r="HI118" s="15" t="s">
        <v>121</v>
      </c>
      <c r="HJ118" s="14">
        <f>IF(HJ109&gt;5,TDIST(ABS(HJ117),HJ109-2,1),"")</f>
        <v>1.5530479950219804E-6</v>
      </c>
      <c r="HK118" s="14">
        <f>IF(HM109&gt;0,ROUND(HK117^2,3),"")</f>
        <v>0.82799999999999996</v>
      </c>
      <c r="HL118" s="15" t="s">
        <v>121</v>
      </c>
      <c r="HM118" s="14">
        <f>IF(HM109&gt;5,TDIST(ABS(HM117),HM109-2,1),"")</f>
        <v>9.7035173255828763E-12</v>
      </c>
      <c r="HN118" s="16" t="s">
        <v>120</v>
      </c>
      <c r="HO118" s="14">
        <f>IF(HQ109&gt;0,ROUND(HO117^2,3),"")</f>
        <v>0.76</v>
      </c>
      <c r="HP118" s="15" t="s">
        <v>121</v>
      </c>
      <c r="HQ118" s="14">
        <f>IF(HQ109&gt;5,TDIST(ABS(HQ117),HQ109-2,1),"")</f>
        <v>7.6007527366664324E-10</v>
      </c>
      <c r="HR118" s="16" t="s">
        <v>120</v>
      </c>
      <c r="HS118" s="14">
        <f>IF(HU109&gt;0,ROUND(HS117^2,3),"")</f>
        <v>0.86499999999999999</v>
      </c>
      <c r="HT118" s="15" t="s">
        <v>121</v>
      </c>
      <c r="HU118" s="14">
        <f>IF(HU109&gt;5,TDIST(ABS(HU117),HU109-2,1),"")</f>
        <v>4.0781555214054539E-13</v>
      </c>
      <c r="HV118" s="14">
        <f>IF(HX109&gt;0,ROUND(HV117^2,3),"")</f>
        <v>0.67600000000000005</v>
      </c>
      <c r="HW118" s="15" t="s">
        <v>121</v>
      </c>
      <c r="HX118" s="14">
        <f>IF(HX109&gt;5,TDIST(ABS(HX117),HX109-2,1),"")</f>
        <v>4.0712909339821111E-8</v>
      </c>
      <c r="HY118" s="14">
        <f>IF(IA109&gt;0,ROUND(HY117^2,3),"")</f>
        <v>0.48199999999999998</v>
      </c>
      <c r="HZ118" s="15" t="s">
        <v>121</v>
      </c>
      <c r="IA118" s="14">
        <f>IF(IA109&gt;5,TDIST(ABS(IA117),IA109-2,1),"")</f>
        <v>2.075205180995861E-5</v>
      </c>
      <c r="IB118" s="14">
        <f>IF(ID109&gt;0,ROUND(IB117^2,3),"")</f>
        <v>0.77100000000000002</v>
      </c>
      <c r="IC118" s="15" t="s">
        <v>121</v>
      </c>
      <c r="ID118" s="14">
        <f>IF(ID109&gt;5,TDIST(ABS(ID117),ID109-2,1),"")</f>
        <v>4.1251777950762728E-10</v>
      </c>
      <c r="IE118" s="14">
        <f>IF(IG109&gt;0,ROUND(IE117^2,3),"")</f>
        <v>0.81899999999999995</v>
      </c>
      <c r="IF118" s="15" t="s">
        <v>121</v>
      </c>
      <c r="IG118" s="14">
        <f>IF(IG109&gt;5,TDIST(ABS(IG117),IG109-2,1),"")</f>
        <v>1.8881969189859005E-11</v>
      </c>
      <c r="IH118" s="14">
        <f>IF(IJ109&gt;0,ROUND(IH117^2,3),"")</f>
        <v>0.65100000000000002</v>
      </c>
      <c r="II118" s="15" t="s">
        <v>121</v>
      </c>
      <c r="IJ118" s="14">
        <f>IF(IJ109&gt;5,TDIST(ABS(IJ117),IJ109-2,1),"")</f>
        <v>1.0589150325088546E-7</v>
      </c>
      <c r="IK118" s="14">
        <f>IF(IM109&gt;0,ROUND(IK117^2,3),"")</f>
        <v>0.77800000000000002</v>
      </c>
      <c r="IL118" s="15" t="s">
        <v>121</v>
      </c>
      <c r="IM118" s="14">
        <f>IF(IM109&gt;5,TDIST(ABS(IM117),IM109-2,1),"")</f>
        <v>2.7407239248347182E-10</v>
      </c>
      <c r="IN118" s="14">
        <f>IF(IP109&gt;0,ROUND(IN117^2,3),"")</f>
        <v>0.627</v>
      </c>
      <c r="IO118" s="15" t="s">
        <v>121</v>
      </c>
      <c r="IP118" s="14">
        <f>IF(IP109&gt;5,TDIST(ABS(IP117),IP109-2,1),"")</f>
        <v>2.6007048638063939E-7</v>
      </c>
      <c r="IQ118" s="14">
        <f>IF(IS109&gt;0,ROUND(IQ117^2,3),"")</f>
        <v>0.82799999999999996</v>
      </c>
      <c r="IR118" s="15" t="s">
        <v>121</v>
      </c>
      <c r="IS118" s="14">
        <f>IF(IS109&gt;5,TDIST(ABS(IS117),IS109-2,1),"")</f>
        <v>9.7035173255828763E-12</v>
      </c>
      <c r="IT118" s="14">
        <f>IF(IV109&gt;0,ROUND(IT117^2,3),"")</f>
        <v>0.76</v>
      </c>
      <c r="IU118" s="15" t="s">
        <v>121</v>
      </c>
      <c r="IV118" s="14">
        <f>IF(IV109&gt;5,TDIST(ABS(IV117),IV109-2,1),"")</f>
        <v>7.6007527366664324E-10</v>
      </c>
    </row>
    <row r="119" spans="1:256" x14ac:dyDescent="0.2">
      <c r="A119" s="88" t="s">
        <v>185</v>
      </c>
      <c r="B119" s="95" t="s">
        <v>2</v>
      </c>
      <c r="C119" s="95" t="s">
        <v>4</v>
      </c>
      <c r="D119" s="95" t="s">
        <v>6</v>
      </c>
      <c r="E119" s="95" t="s">
        <v>8</v>
      </c>
      <c r="F119" s="95" t="s">
        <v>0</v>
      </c>
      <c r="G119" s="95" t="s">
        <v>133</v>
      </c>
      <c r="H119" s="95" t="s">
        <v>142</v>
      </c>
      <c r="I119" s="95" t="s">
        <v>131</v>
      </c>
      <c r="J119" s="95" t="s">
        <v>129</v>
      </c>
      <c r="K119" s="95" t="s">
        <v>126</v>
      </c>
      <c r="L119" s="58"/>
      <c r="M119" s="10"/>
      <c r="N119" s="57"/>
      <c r="O119" s="72"/>
      <c r="P119" s="72"/>
      <c r="Q119" s="78" t="s">
        <v>20</v>
      </c>
      <c r="R119" s="78">
        <f t="shared" si="692"/>
        <v>1.4779627356477876</v>
      </c>
      <c r="S119" s="78"/>
      <c r="T119" s="78"/>
      <c r="U119" s="136">
        <f t="shared" si="693"/>
        <v>0.82663468524347528</v>
      </c>
      <c r="V119" s="78"/>
      <c r="W119" s="78"/>
      <c r="X119" s="78">
        <f t="shared" si="694"/>
        <v>1.9489263346612675</v>
      </c>
      <c r="Y119" s="78"/>
      <c r="Z119" s="78"/>
      <c r="AA119" s="78">
        <f t="shared" si="695"/>
        <v>1.0340860371090352</v>
      </c>
      <c r="AB119" s="78"/>
      <c r="AC119" s="78"/>
      <c r="AD119" s="78">
        <f t="shared" si="696"/>
        <v>1.6009847631123664</v>
      </c>
      <c r="AE119" s="78"/>
      <c r="AF119" s="78"/>
      <c r="AG119" s="78">
        <f t="shared" si="697"/>
        <v>1.6317722186207373</v>
      </c>
      <c r="AH119" s="78"/>
      <c r="AI119" s="78"/>
      <c r="AJ119" s="78">
        <f t="shared" si="698"/>
        <v>1.0854350523351441</v>
      </c>
      <c r="AK119" s="78"/>
      <c r="AL119" s="78"/>
      <c r="AM119" s="78">
        <f t="shared" si="699"/>
        <v>1.3556190111128432</v>
      </c>
      <c r="AN119" s="78"/>
      <c r="AO119" s="78"/>
      <c r="AP119" s="78">
        <f t="shared" si="700"/>
        <v>0.80817041704838144</v>
      </c>
      <c r="AQ119" s="78"/>
      <c r="AR119" s="78"/>
      <c r="AS119" s="78">
        <f t="shared" si="701"/>
        <v>2.11448364075481</v>
      </c>
      <c r="AT119" s="78"/>
      <c r="AU119" s="10"/>
      <c r="AV119" s="78" t="str">
        <f t="shared" si="703"/>
        <v>±0,45</v>
      </c>
      <c r="AW119" s="132">
        <f t="shared" si="704"/>
        <v>0.45</v>
      </c>
      <c r="AX119" s="10"/>
      <c r="AY119" s="16" t="s">
        <v>122</v>
      </c>
      <c r="AZ119" s="14">
        <f>IF(BB109&gt;0,ROUND(BA111-(AZ120*AZ111),4),"")</f>
        <v>3.4885999999999999</v>
      </c>
      <c r="BA119" s="16" t="s">
        <v>123</v>
      </c>
      <c r="BB119" s="12">
        <f>IF(BB109&gt;5,TDIST(ABS(BB117),BB109-2,2),"")</f>
        <v>1.7856638031128971E-5</v>
      </c>
      <c r="BC119" s="14">
        <f>IF(BE109&gt;0,ROUND(BD111-(BC120*BC111),4),"")</f>
        <v>13.363</v>
      </c>
      <c r="BD119" s="16" t="s">
        <v>123</v>
      </c>
      <c r="BE119" s="12">
        <f>IF(BE109&gt;5,TDIST(ABS(BE117),BE109-2,2),"")</f>
        <v>1.565709614790611E-5</v>
      </c>
      <c r="BF119" s="14">
        <f>IF(BH109&gt;0,ROUND(BG111-(BF120*BF111),4),"")</f>
        <v>2.7475000000000001</v>
      </c>
      <c r="BG119" s="16" t="s">
        <v>123</v>
      </c>
      <c r="BH119" s="12">
        <f>IF(BH109&gt;5,TDIST(ABS(BH117),BH109-2,2),"")</f>
        <v>1.1330419212415111E-11</v>
      </c>
      <c r="BI119" s="14">
        <f>IF(BK109&gt;0,ROUND(BJ111-(BI120*BI111),4),"")</f>
        <v>3.6149</v>
      </c>
      <c r="BJ119" s="16" t="s">
        <v>123</v>
      </c>
      <c r="BK119" s="12">
        <f>IF(BK109&gt;5,TDIST(ABS(BK117),BK109-2,2),"")</f>
        <v>1.2024951476377487E-7</v>
      </c>
      <c r="BL119" s="14">
        <f>IF(BN109&gt;0,ROUND(BM111-(BL120*BL111),4),"")</f>
        <v>12.289400000000001</v>
      </c>
      <c r="BM119" s="16" t="s">
        <v>123</v>
      </c>
      <c r="BN119" s="12">
        <f>IF(BN109&gt;5,TDIST(ABS(BN117),BN109-2,2),"")</f>
        <v>3.0768371401629417E-4</v>
      </c>
      <c r="BO119" s="14">
        <f>IF(BQ109&gt;0,ROUND(BP111-(BO120*BO111),4),"")</f>
        <v>8.5388999999999999</v>
      </c>
      <c r="BP119" s="16" t="s">
        <v>123</v>
      </c>
      <c r="BQ119" s="12">
        <f>IF(BQ109&gt;5,TDIST(ABS(BQ117),BQ109-2,2),"")</f>
        <v>2.2041298599539169E-5</v>
      </c>
      <c r="BR119" s="14">
        <f>IF(BT109&gt;0,ROUND(BS111-(BR120*BR111),4),"")</f>
        <v>1.1261000000000001</v>
      </c>
      <c r="BS119" s="16" t="s">
        <v>123</v>
      </c>
      <c r="BT119" s="12">
        <f>IF(BT109&gt;5,TDIST(ABS(BT117),BT109-2,2),"")</f>
        <v>1.1426541121785149E-5</v>
      </c>
      <c r="BU119" s="14">
        <f>IF(BW109&gt;0,ROUND(BV111-(BU120*BU111),4),"")</f>
        <v>3.1412</v>
      </c>
      <c r="BV119" s="16" t="s">
        <v>123</v>
      </c>
      <c r="BW119" s="12">
        <f>IF(BW109&gt;5,TDIST(ABS(BW117),BW109-2,2),"")</f>
        <v>7.5962162360952372E-7</v>
      </c>
      <c r="BX119" s="14">
        <f>IF(BZ109&gt;0,ROUND(BY111-(BX120*BX111),4),"")</f>
        <v>3.7734999999999999</v>
      </c>
      <c r="BY119" s="16" t="s">
        <v>123</v>
      </c>
      <c r="BZ119" s="12">
        <f>IF(BZ109&gt;5,TDIST(ABS(BZ117),BZ109-2,2),"")</f>
        <v>5.4455568084388922E-9</v>
      </c>
      <c r="CA119" s="14">
        <f>IF(CC109&gt;0,ROUND(CB111-(CA120*CA111),4),"")</f>
        <v>5.2015000000000002</v>
      </c>
      <c r="CB119" s="16" t="s">
        <v>123</v>
      </c>
      <c r="CC119" s="12">
        <f>IF(CC109&gt;5,TDIST(ABS(CC117),CC109-2,2),"")</f>
        <v>8.1563110428109079E-13</v>
      </c>
      <c r="CD119" s="16" t="s">
        <v>122</v>
      </c>
      <c r="CE119" s="14">
        <f>IF(CG109&gt;0,ROUND(CF111-(CE120*CE111),4),"")</f>
        <v>19.042999999999999</v>
      </c>
      <c r="CF119" s="16" t="s">
        <v>123</v>
      </c>
      <c r="CG119" s="12">
        <f>IF(CG109&gt;5,TDIST(ABS(CG117),CG109-2,2),"")</f>
        <v>1.2901835435550641E-2</v>
      </c>
      <c r="CH119" s="14">
        <f>IF(CJ109&gt;0,ROUND(CI111-(CH120*CH111),4),"")</f>
        <v>9.9297000000000004</v>
      </c>
      <c r="CI119" s="16" t="s">
        <v>123</v>
      </c>
      <c r="CJ119" s="12">
        <f>IF(CJ109&gt;5,TDIST(ABS(CJ117),CJ109-2,2),"")</f>
        <v>7.2721694718970323E-4</v>
      </c>
      <c r="CK119" s="14">
        <f>IF(CM109&gt;0,ROUND(CL111-(CK120*CK111),4),"")</f>
        <v>8.7886000000000006</v>
      </c>
      <c r="CL119" s="16" t="s">
        <v>123</v>
      </c>
      <c r="CM119" s="12">
        <f>IF(CM109&gt;5,TDIST(ABS(CM117),CM109-2,2),"")</f>
        <v>2.5144261359567566E-5</v>
      </c>
      <c r="CN119" s="14">
        <f>IF(CP109&gt;0,ROUND(CO111-(CN120*CN111),4),"")</f>
        <v>14.557399999999999</v>
      </c>
      <c r="CO119" s="16" t="s">
        <v>123</v>
      </c>
      <c r="CP119" s="12">
        <f>IF(CP109&gt;5,TDIST(ABS(CP117),CP109-2,2),"")</f>
        <v>2.4777673215761495E-3</v>
      </c>
      <c r="CQ119" s="14">
        <f>IF(CS109&gt;0,ROUND(CR111-(CQ120*CQ111),4),"")</f>
        <v>9.6155000000000008</v>
      </c>
      <c r="CR119" s="16" t="s">
        <v>123</v>
      </c>
      <c r="CS119" s="12">
        <f>IF(CS109&gt;5,TDIST(ABS(CS117),CS109-2,2),"")</f>
        <v>1.9528369596165749E-6</v>
      </c>
      <c r="CT119" s="14">
        <f>IF(CV109&gt;0,ROUND(CU111-(CT120*CT111),4),"")</f>
        <v>5.4638</v>
      </c>
      <c r="CU119" s="16" t="s">
        <v>123</v>
      </c>
      <c r="CV119" s="12">
        <f>IF(CV109&gt;5,TDIST(ABS(CV117),CV109-2,2),"")</f>
        <v>1.7856638031128971E-5</v>
      </c>
      <c r="CW119" s="14">
        <f>IF(CY109&gt;0,ROUND(CX111-(CW120*CW111),4),"")</f>
        <v>6.6666999999999996</v>
      </c>
      <c r="CX119" s="16" t="s">
        <v>123</v>
      </c>
      <c r="CY119" s="12">
        <f>IF(CY109&gt;5,TDIST(ABS(CY117),CY109-2,2),"")</f>
        <v>2.2041298599539169E-5</v>
      </c>
      <c r="CZ119" s="14">
        <f>IF(DB109&gt;0,ROUND(DA111-(CZ120*CZ111),4),"")</f>
        <v>12.322699999999999</v>
      </c>
      <c r="DA119" s="16" t="s">
        <v>123</v>
      </c>
      <c r="DB119" s="12">
        <f>IF(DB109&gt;5,TDIST(ABS(DB117),DB109-2,2),"")</f>
        <v>8.4925996502888861E-4</v>
      </c>
      <c r="DC119" s="14">
        <f>IF(DE109&gt;0,ROUND(DD111-(DC120*DC111),4),"")</f>
        <v>9.4613999999999994</v>
      </c>
      <c r="DD119" s="16" t="s">
        <v>123</v>
      </c>
      <c r="DE119" s="12">
        <f>IF(DE109&gt;5,TDIST(ABS(DE117),DE109-2,2),"")</f>
        <v>8.1425818679642222E-8</v>
      </c>
      <c r="DF119" s="16" t="s">
        <v>122</v>
      </c>
      <c r="DG119" s="14">
        <f>IF(DI109&gt;0,ROUND(DH111-(DG120*DG111),4),"")</f>
        <v>3.1251000000000002</v>
      </c>
      <c r="DH119" s="16" t="s">
        <v>123</v>
      </c>
      <c r="DI119" s="12">
        <f>IF(DI109&gt;5,TDIST(ABS(DI117),DI109-2,2),"")</f>
        <v>8.2760855699332242E-4</v>
      </c>
      <c r="DJ119" s="14">
        <f>IF(DL109&gt;0,ROUND(DK111-(DJ120*DJ111),4),"")</f>
        <v>1.7745</v>
      </c>
      <c r="DK119" s="16" t="s">
        <v>123</v>
      </c>
      <c r="DL119" s="12">
        <f>IF(DL109&gt;5,TDIST(ABS(DL117),DL109-2,2),"")</f>
        <v>7.6585159007775815E-4</v>
      </c>
      <c r="DM119" s="14">
        <f>IF(DO109&gt;0,ROUND(DN111-(DM120*DM111),4),"")</f>
        <v>10.9032</v>
      </c>
      <c r="DN119" s="16" t="s">
        <v>123</v>
      </c>
      <c r="DO119" s="12">
        <f>IF(DO109&gt;5,TDIST(ABS(DO117),DO109-2,2),"")</f>
        <v>7.8598806004315791E-3</v>
      </c>
      <c r="DP119" s="14">
        <f>IF(DR109&gt;0,ROUND(DQ111-(DP120*DP111),4),"")</f>
        <v>6.9584000000000001</v>
      </c>
      <c r="DQ119" s="16" t="s">
        <v>123</v>
      </c>
      <c r="DR119" s="12">
        <f>IF(DR109&gt;5,TDIST(ABS(DR117),DR109-2,2),"")</f>
        <v>2.8796946570240371E-3</v>
      </c>
      <c r="DS119" s="14">
        <f>IF(DU109&gt;0,ROUND(DT111-(DS120*DS111),4),"")</f>
        <v>1.9679</v>
      </c>
      <c r="DT119" s="16" t="s">
        <v>123</v>
      </c>
      <c r="DU119" s="12">
        <f>IF(DU109&gt;5,TDIST(ABS(DU117),DU109-2,2),"")</f>
        <v>1.1480856521595872E-2</v>
      </c>
      <c r="DV119" s="14">
        <f>IF(DX109&gt;0,ROUND(DW111-(DV120*DV111),4),"")</f>
        <v>2.4173</v>
      </c>
      <c r="DW119" s="16" t="s">
        <v>123</v>
      </c>
      <c r="DX119" s="12">
        <f>IF(DX109&gt;5,TDIST(ABS(DX117),DX109-2,2),"")</f>
        <v>2.416283254693505E-3</v>
      </c>
      <c r="DY119" s="14">
        <f>IF(EA109&gt;0,ROUND(DZ111-(DY120*DY111),4),"")</f>
        <v>0.82369999999999999</v>
      </c>
      <c r="DZ119" s="16" t="s">
        <v>123</v>
      </c>
      <c r="EA119" s="12">
        <f>IF(EA109&gt;5,TDIST(ABS(EA117),EA109-2,2),"")</f>
        <v>1.5129864276451827E-4</v>
      </c>
      <c r="EB119" s="14">
        <f>IF(ED109&gt;0,ROUND(EC111-(EB120*EB111),4),"")</f>
        <v>3.2639</v>
      </c>
      <c r="EC119" s="16" t="s">
        <v>123</v>
      </c>
      <c r="ED119" s="17">
        <f>IF(ED109&gt;5,TDIST(ABS(ED117),ED109-2,2),"")</f>
        <v>4.150410361991722E-5</v>
      </c>
      <c r="EE119" s="16" t="s">
        <v>122</v>
      </c>
      <c r="EF119" s="14">
        <f>IF(EH109&gt;0,ROUND(EG111-(EF120*EF111),4),"")</f>
        <v>2.8570000000000002</v>
      </c>
      <c r="EG119" s="16" t="s">
        <v>123</v>
      </c>
      <c r="EH119" s="12">
        <f>IF(EH109&gt;5,TDIST(ABS(EH117),EH109-2,2),"")</f>
        <v>5.2014097276127878E-7</v>
      </c>
      <c r="EI119" s="14">
        <f>IF(EK109&gt;0,ROUND(EJ111-(EI120*EI111),4),"")</f>
        <v>11.2936</v>
      </c>
      <c r="EJ119" s="16" t="s">
        <v>123</v>
      </c>
      <c r="EK119" s="12">
        <f>IF(EK109&gt;5,TDIST(ABS(EK117),EK109-2,2),"")</f>
        <v>1.3261409894631634E-4</v>
      </c>
      <c r="EL119" s="14">
        <f>IF(EN109&gt;0,ROUND(EM111-(EL120*EL111),4),"")</f>
        <v>8.6897000000000002</v>
      </c>
      <c r="EM119" s="16" t="s">
        <v>123</v>
      </c>
      <c r="EN119" s="12">
        <f>IF(EN109&gt;5,TDIST(ABS(EN117),EN109-2,2),"")</f>
        <v>1.5533866667245418E-4</v>
      </c>
      <c r="EO119" s="14">
        <f>IF(EQ109&gt;0,ROUND(EP111-(EO120*EO111),4),"")</f>
        <v>3.8910999999999998</v>
      </c>
      <c r="EP119" s="16" t="s">
        <v>123</v>
      </c>
      <c r="EQ119" s="12">
        <f>IF(EQ109&gt;5,TDIST(ABS(EQ117),EQ109-2,2),"")</f>
        <v>6.7282769991688137E-4</v>
      </c>
      <c r="ER119" s="14">
        <f>IF(ET109&gt;0,ROUND(ES111-(ER120*ER111),4),"")</f>
        <v>1.0969</v>
      </c>
      <c r="ES119" s="16" t="s">
        <v>123</v>
      </c>
      <c r="ET119" s="12">
        <f>IF(ET109&gt;5,TDIST(ABS(ET117),ET109-2,2),"")</f>
        <v>3.3467240164012811E-8</v>
      </c>
      <c r="EU119" s="14">
        <f>IF(EW109&gt;0,ROUND(EV111-(EU120*EU111),4),"")</f>
        <v>3.2702</v>
      </c>
      <c r="EV119" s="16" t="s">
        <v>123</v>
      </c>
      <c r="EW119" s="12">
        <f>IF(EW109&gt;5,TDIST(ABS(EW117),EW109-2,2),"")</f>
        <v>9.4209405002778487E-8</v>
      </c>
      <c r="EX119" s="14">
        <f>IF(EZ109&gt;0,ROUND(EY111-(EX120*EX111),4),"")</f>
        <v>5.0103999999999997</v>
      </c>
      <c r="EY119" s="16" t="s">
        <v>123</v>
      </c>
      <c r="EZ119" s="12">
        <f>IF(EZ109&gt;5,TDIST(ABS(EZ117),EZ109-2,2),"")</f>
        <v>8.2503555901525456E-10</v>
      </c>
      <c r="FA119" s="16" t="s">
        <v>122</v>
      </c>
      <c r="FB119" s="14">
        <f>IF(FD109&gt;0,ROUND(FC111-(FB120*FB111),4),"")</f>
        <v>10.6983</v>
      </c>
      <c r="FC119" s="16" t="s">
        <v>123</v>
      </c>
      <c r="FD119" s="12">
        <f>IF(FD109&gt;5,TDIST(ABS(FD117),FD109-2,2),"")</f>
        <v>1.263326103706504E-6</v>
      </c>
      <c r="FE119" s="14">
        <f>IF(FG109&gt;0,ROUND(FF111-(FE120*FE111),4),"")</f>
        <v>7.8276000000000003</v>
      </c>
      <c r="FF119" s="16" t="s">
        <v>123</v>
      </c>
      <c r="FG119" s="12">
        <f>IF(FG109&gt;5,TDIST(ABS(FG117),FG109-2,2),"")</f>
        <v>1.0302265075183821E-6</v>
      </c>
      <c r="FH119" s="14">
        <f>IF(FJ109&gt;0,ROUND(FI111-(FH120*FH111),4),"")</f>
        <v>4.3909000000000002</v>
      </c>
      <c r="FI119" s="16" t="s">
        <v>123</v>
      </c>
      <c r="FJ119" s="12">
        <f>IF(FJ109&gt;5,TDIST(ABS(FJ117),FJ109-2,2),"")</f>
        <v>1.7720531212091361E-4</v>
      </c>
      <c r="FK119" s="14">
        <f>IF(FM109&gt;0,ROUND(FL111-(FK120*FK111),4),"")</f>
        <v>2.75</v>
      </c>
      <c r="FL119" s="16" t="s">
        <v>123</v>
      </c>
      <c r="FM119" s="12">
        <f>IF(FM109&gt;5,TDIST(ABS(FM117),FM109-2,2),"")</f>
        <v>4.6755075952651628E-8</v>
      </c>
      <c r="FN119" s="14">
        <f>IF(FP109&gt;0,ROUND(FO111-(FN120*FN111),4),"")</f>
        <v>6.6566999999999998</v>
      </c>
      <c r="FO119" s="16" t="s">
        <v>123</v>
      </c>
      <c r="FP119" s="12">
        <f>IF(FP109&gt;5,TDIST(ABS(FP117),FP109-2,2),"")</f>
        <v>2.9495742428586945E-6</v>
      </c>
      <c r="FQ119" s="14">
        <f>IF(FS109&gt;0,ROUND(FR111-(FQ120*FQ111),4),"")</f>
        <v>6.0960000000000001</v>
      </c>
      <c r="FR119" s="16" t="s">
        <v>123</v>
      </c>
      <c r="FS119" s="12">
        <f>IF(FS109&gt;5,TDIST(ABS(FS117),FS109-2,2),"")</f>
        <v>3.7763938379718009E-11</v>
      </c>
      <c r="FT119" s="16" t="s">
        <v>122</v>
      </c>
      <c r="FU119" s="14">
        <f>IF(FW109&gt;0,ROUND(FV111-(FU120*FU111),4),"")</f>
        <v>-0.41460000000000002</v>
      </c>
      <c r="FV119" s="16" t="s">
        <v>123</v>
      </c>
      <c r="FW119" s="12">
        <f>IF(FW109&gt;5,TDIST(ABS(FW117),FW109-2,2),"")</f>
        <v>1.1450967930206647E-7</v>
      </c>
      <c r="FX119" s="14">
        <f>IF(FZ109&gt;0,ROUND(FY111-(FX120*FX111),4),"")</f>
        <v>-1.9249000000000001</v>
      </c>
      <c r="FY119" s="16" t="s">
        <v>123</v>
      </c>
      <c r="FZ119" s="12">
        <f>IF(FZ109&gt;5,TDIST(ABS(FZ117),FZ109-2,2),"")</f>
        <v>4.2828661408970464E-3</v>
      </c>
      <c r="GA119" s="14">
        <f>IF(GC109&gt;0,ROUND(GB111-(GA120*GA111),4),"")</f>
        <v>-6.6638999999999999</v>
      </c>
      <c r="GB119" s="16" t="s">
        <v>123</v>
      </c>
      <c r="GC119" s="12">
        <f>IF(GC109&gt;5,TDIST(ABS(GC117),GC109-2,2),"")</f>
        <v>2.6398340865538362E-8</v>
      </c>
      <c r="GD119" s="14">
        <f>IF(GF109&gt;0,ROUND(GE111-(GD120*GD111),4),"")</f>
        <v>-2.8868999999999998</v>
      </c>
      <c r="GE119" s="16" t="s">
        <v>123</v>
      </c>
      <c r="GF119" s="12">
        <f>IF(GF109&gt;5,TDIST(ABS(GF117),GF109-2,2),"")</f>
        <v>1.1426541121785149E-5</v>
      </c>
      <c r="GG119" s="14">
        <f>IF(GI109&gt;0,ROUND(GH111-(GG120*GG111),4),"")</f>
        <v>-0.65029999999999999</v>
      </c>
      <c r="GH119" s="16" t="s">
        <v>123</v>
      </c>
      <c r="GI119" s="12">
        <f>IF(GI109&gt;5,TDIST(ABS(GI117),GI109-2,2),"")</f>
        <v>2.1178300650177092E-7</v>
      </c>
      <c r="GJ119" s="16" t="s">
        <v>122</v>
      </c>
      <c r="GK119" s="14">
        <f>IF(GM109&gt;0,ROUND(GL111-(GK120*GK111),4),"")</f>
        <v>-1.7957000000000001</v>
      </c>
      <c r="GL119" s="16" t="s">
        <v>123</v>
      </c>
      <c r="GM119" s="12">
        <f>IF(GM109&gt;5,TDIST(ABS(GM117),GM109-2,2),"")</f>
        <v>1.8193266648654303E-4</v>
      </c>
      <c r="GN119" s="14">
        <f>IF(GP109&gt;0,ROUND(GO111-(GN120*GN111),4),"")</f>
        <v>-1.2881</v>
      </c>
      <c r="GO119" s="16" t="s">
        <v>123</v>
      </c>
      <c r="GP119" s="12">
        <f>IF(GP109&gt;5,TDIST(ABS(GP117),GP109-2,2),"")</f>
        <v>1.1450967930206647E-7</v>
      </c>
      <c r="GQ119" s="14">
        <f>IF(GS109&gt;0,ROUND(GR111-(GQ120*GQ111),4),"")</f>
        <v>0.49819999999999998</v>
      </c>
      <c r="GR119" s="16" t="s">
        <v>123</v>
      </c>
      <c r="GS119" s="12">
        <f>IF(GS109&gt;5,TDIST(ABS(GS117),GS109-2,2),"")</f>
        <v>4.3625007237600677E-7</v>
      </c>
      <c r="GT119" s="14">
        <f>IF(GV109&gt;0,ROUND(GU111-(GT120*GT111),4),"")</f>
        <v>2.1269999999999998</v>
      </c>
      <c r="GU119" s="16" t="s">
        <v>123</v>
      </c>
      <c r="GV119" s="12">
        <f>IF(GV109&gt;5,TDIST(ABS(GV117),GV109-2,2),"")</f>
        <v>5.4814478496694364E-10</v>
      </c>
      <c r="GW119" s="16" t="s">
        <v>122</v>
      </c>
      <c r="GX119" s="14">
        <f>IF(GZ109&gt;0,ROUND(GY111-(GX120*GX111),4),"")</f>
        <v>8.5907999999999998</v>
      </c>
      <c r="GY119" s="16" t="s">
        <v>123</v>
      </c>
      <c r="GZ119" s="12">
        <f>IF(GZ109&gt;5,TDIST(ABS(GZ117),GZ109-2,2),"")</f>
        <v>1.9176646443910144E-4</v>
      </c>
      <c r="HA119" s="14">
        <f>IF(HC109&gt;0,ROUND(HB111-(HA120*HA111),4),"")</f>
        <v>14.3759</v>
      </c>
      <c r="HB119" s="16" t="s">
        <v>123</v>
      </c>
      <c r="HC119" s="12">
        <f>IF(HC109&gt;5,TDIST(ABS(HC117),HC109-2,2),"")</f>
        <v>3.0271501959671034E-3</v>
      </c>
      <c r="HD119" s="14">
        <f>IF(HF109&gt;0,ROUND(HE111-(HD120*HD111),4),"")</f>
        <v>10.9801</v>
      </c>
      <c r="HE119" s="16" t="s">
        <v>123</v>
      </c>
      <c r="HF119" s="12">
        <f>IF(HF109&gt;5,TDIST(ABS(HF117),HF109-2,2),"")</f>
        <v>5.2014097276127878E-7</v>
      </c>
      <c r="HG119" s="16" t="s">
        <v>122</v>
      </c>
      <c r="HH119" s="14">
        <f>IF(HJ109&gt;0,ROUND(HI111-(HH120*HH111),4),"")</f>
        <v>7.0002000000000004</v>
      </c>
      <c r="HI119" s="16" t="s">
        <v>123</v>
      </c>
      <c r="HJ119" s="12">
        <f>IF(HJ109&gt;5,TDIST(ABS(HJ117),HJ109-2,2),"")</f>
        <v>3.1060959900439609E-6</v>
      </c>
      <c r="HK119" s="14">
        <f>IF(HM109&gt;0,ROUND(HL111-(HK120*HK111),4),"")</f>
        <v>6.2954999999999997</v>
      </c>
      <c r="HL119" s="16" t="s">
        <v>123</v>
      </c>
      <c r="HM119" s="12">
        <f>IF(HM109&gt;5,TDIST(ABS(HM117),HM109-2,2),"")</f>
        <v>1.9407034651165753E-11</v>
      </c>
      <c r="HN119" s="16" t="s">
        <v>122</v>
      </c>
      <c r="HO119" s="14">
        <f>IF(HQ109&gt;0,ROUND(HP111-(HO120*HO111),4),"")</f>
        <v>5.9598000000000004</v>
      </c>
      <c r="HP119" s="16" t="s">
        <v>123</v>
      </c>
      <c r="HQ119" s="12">
        <f>IF(HQ109&gt;5,TDIST(ABS(HQ117),HQ109-2,2),"")</f>
        <v>1.5201505473332865E-9</v>
      </c>
      <c r="HR119" s="16" t="s">
        <v>122</v>
      </c>
      <c r="HS119" s="14">
        <f>IF(HU109&gt;0,ROUND(HT111-(HS120*HS111),4),"")</f>
        <v>-2.63</v>
      </c>
      <c r="HT119" s="16" t="s">
        <v>123</v>
      </c>
      <c r="HU119" s="12">
        <f>IF(HU109&gt;5,TDIST(ABS(HU117),HU109-2,2),"")</f>
        <v>8.1563110428109079E-13</v>
      </c>
      <c r="HV119" s="14">
        <f>IF(HX109&gt;0,ROUND(HW111-(HV120*HV111),4),"")</f>
        <v>-4.8078000000000003</v>
      </c>
      <c r="HW119" s="16" t="s">
        <v>123</v>
      </c>
      <c r="HX119" s="12">
        <f>IF(HX109&gt;5,TDIST(ABS(HX117),HX109-2,2),"")</f>
        <v>8.1425818679642222E-8</v>
      </c>
      <c r="HY119" s="14">
        <f>IF(IA109&gt;0,ROUND(HZ111-(HY120*HY111),4),"")</f>
        <v>11.128399999999999</v>
      </c>
      <c r="HZ119" s="16" t="s">
        <v>123</v>
      </c>
      <c r="IA119" s="12">
        <f>IF(IA109&gt;5,TDIST(ABS(IA117),IA109-2,2),"")</f>
        <v>4.150410361991722E-5</v>
      </c>
      <c r="IB119" s="14">
        <f>IF(ID109&gt;0,ROUND(IC111-(IB120*IB111),4),"")</f>
        <v>-6.25E-2</v>
      </c>
      <c r="IC119" s="16" t="s">
        <v>123</v>
      </c>
      <c r="ID119" s="12">
        <f>IF(ID109&gt;5,TDIST(ABS(ID117),ID109-2,2),"")</f>
        <v>8.2503555901525456E-10</v>
      </c>
      <c r="IE119" s="14">
        <f>IF(IG109&gt;0,ROUND(IF111-(IE120*IE111),4),"")</f>
        <v>-3.1856</v>
      </c>
      <c r="IF119" s="16" t="s">
        <v>123</v>
      </c>
      <c r="IG119" s="12">
        <f>IF(IG109&gt;5,TDIST(ABS(IG117),IG109-2,2),"")</f>
        <v>3.7763938379718009E-11</v>
      </c>
      <c r="IH119" s="14">
        <f>IF(IJ109&gt;0,ROUND(II111-(IH120*IH111),4),"")</f>
        <v>7.6006999999999998</v>
      </c>
      <c r="II119" s="16" t="s">
        <v>123</v>
      </c>
      <c r="IJ119" s="12">
        <f>IF(IJ109&gt;5,TDIST(ABS(IJ117),IJ109-2,2),"")</f>
        <v>2.1178300650177092E-7</v>
      </c>
      <c r="IK119" s="14">
        <f>IF(IM109&gt;0,ROUND(IL111-(IK120*IK111),4),"")</f>
        <v>2.7206000000000001</v>
      </c>
      <c r="IL119" s="16" t="s">
        <v>123</v>
      </c>
      <c r="IM119" s="12">
        <f>IF(IM109&gt;5,TDIST(ABS(IM117),IM109-2,2),"")</f>
        <v>5.4814478496694364E-10</v>
      </c>
      <c r="IN119" s="14">
        <f>IF(IP109&gt;0,ROUND(IO111-(IN120*IN111),4),"")</f>
        <v>-7.1173999999999999</v>
      </c>
      <c r="IO119" s="16" t="s">
        <v>123</v>
      </c>
      <c r="IP119" s="12">
        <f>IF(IP109&gt;5,TDIST(ABS(IP117),IP109-2,2),"")</f>
        <v>5.2014097276127878E-7</v>
      </c>
      <c r="IQ119" s="14">
        <f>IF(IS109&gt;0,ROUND(IR111-(IQ120*IQ111),4),"")</f>
        <v>-2.9933999999999998</v>
      </c>
      <c r="IR119" s="16" t="s">
        <v>123</v>
      </c>
      <c r="IS119" s="12">
        <f>IF(IS109&gt;5,TDIST(ABS(IS117),IS109-2,2),"")</f>
        <v>1.9407034651165753E-11</v>
      </c>
      <c r="IT119" s="14">
        <f>IF(IV109&gt;0,ROUND(IU111-(IT120*IT111),4),"")</f>
        <v>-1.2203999999999999</v>
      </c>
      <c r="IU119" s="16" t="s">
        <v>123</v>
      </c>
      <c r="IV119" s="12">
        <f>IF(IV109&gt;5,TDIST(ABS(IV117),IV109-2,2),"")</f>
        <v>1.5201505473332865E-9</v>
      </c>
    </row>
    <row r="120" spans="1:256" s="19" customFormat="1" x14ac:dyDescent="0.2">
      <c r="A120" s="89" t="s">
        <v>4</v>
      </c>
      <c r="B120" s="90">
        <f>AZ$117</f>
        <v>0.71699999999999997</v>
      </c>
      <c r="C120" s="90" t="s">
        <v>109</v>
      </c>
      <c r="D120" s="90" t="s">
        <v>109</v>
      </c>
      <c r="E120" s="90" t="s">
        <v>109</v>
      </c>
      <c r="F120" s="90" t="s">
        <v>109</v>
      </c>
      <c r="G120" s="90" t="s">
        <v>109</v>
      </c>
      <c r="H120" s="90" t="s">
        <v>109</v>
      </c>
      <c r="I120" s="90" t="s">
        <v>109</v>
      </c>
      <c r="J120" s="90" t="s">
        <v>109</v>
      </c>
      <c r="K120" s="90" t="s">
        <v>109</v>
      </c>
      <c r="L120" s="91"/>
      <c r="M120" s="92"/>
      <c r="N120" s="93"/>
      <c r="O120" s="94"/>
      <c r="P120" s="94"/>
      <c r="Q120" s="78" t="s">
        <v>21</v>
      </c>
      <c r="R120" s="78">
        <f t="shared" si="692"/>
        <v>0.82668745452054337</v>
      </c>
      <c r="S120" s="78"/>
      <c r="T120" s="78"/>
      <c r="U120" s="136">
        <f t="shared" si="693"/>
        <v>1.091098384425081</v>
      </c>
      <c r="V120" s="78"/>
      <c r="W120" s="78"/>
      <c r="X120" s="78">
        <f t="shared" si="694"/>
        <v>1.3920023571019267</v>
      </c>
      <c r="Y120" s="78"/>
      <c r="Z120" s="78"/>
      <c r="AA120" s="78">
        <f t="shared" si="695"/>
        <v>0.62209268710669197</v>
      </c>
      <c r="AB120" s="78"/>
      <c r="AC120" s="78"/>
      <c r="AD120" s="78">
        <f t="shared" si="696"/>
        <v>0.77253541167386008</v>
      </c>
      <c r="AE120" s="78"/>
      <c r="AF120" s="78"/>
      <c r="AG120" s="78">
        <f t="shared" si="697"/>
        <v>1.4362479177995295</v>
      </c>
      <c r="AH120" s="78"/>
      <c r="AI120" s="78"/>
      <c r="AJ120" s="78">
        <f t="shared" si="698"/>
        <v>1.0926969524391033</v>
      </c>
      <c r="AK120" s="78"/>
      <c r="AL120" s="78"/>
      <c r="AM120" s="78">
        <f t="shared" si="699"/>
        <v>0.72411502883610102</v>
      </c>
      <c r="AN120" s="78"/>
      <c r="AO120" s="78"/>
      <c r="AP120" s="78">
        <f t="shared" si="700"/>
        <v>0.85006875334064103</v>
      </c>
      <c r="AQ120" s="78"/>
      <c r="AR120" s="78"/>
      <c r="AS120" s="78">
        <f t="shared" si="701"/>
        <v>1.0004198856763682</v>
      </c>
      <c r="AT120" s="78"/>
      <c r="AU120" s="92"/>
      <c r="AV120" s="78" t="str">
        <f t="shared" si="703"/>
        <v>±0,27</v>
      </c>
      <c r="AW120" s="132">
        <f t="shared" si="704"/>
        <v>0.27</v>
      </c>
      <c r="AX120" s="92"/>
      <c r="AY120" s="16" t="s">
        <v>124</v>
      </c>
      <c r="AZ120" s="14">
        <f>IF(BB109&gt;0,ROUND(BB113/AZ113,4),"")</f>
        <v>1.0810999999999999</v>
      </c>
      <c r="BA120" s="13" t="str">
        <f>IF(BB109&gt;3,"[ df="&amp;BB109-2&amp;" ]","")</f>
        <v>[ df=26 ]</v>
      </c>
      <c r="BB120" s="18"/>
      <c r="BC120" s="14">
        <f>IF(BE109&gt;0,ROUND(BE113/BC113,4),"")</f>
        <v>0.64970000000000006</v>
      </c>
      <c r="BD120" s="13" t="str">
        <f>IF(BE109&gt;3,"[ df="&amp;BE109-2&amp;" ]","")</f>
        <v>[ df=26 ]</v>
      </c>
      <c r="BE120" s="18"/>
      <c r="BF120" s="14">
        <f>IF(BH109&gt;0,ROUND(BH113/BF113,4),"")</f>
        <v>0.84060000000000001</v>
      </c>
      <c r="BG120" s="13" t="str">
        <f>IF(BH109&gt;3,"[ df="&amp;BH109-2&amp;" ]","")</f>
        <v>[ df=26 ]</v>
      </c>
      <c r="BH120" s="18"/>
      <c r="BI120" s="14">
        <f>IF(BK109&gt;0,ROUND(BK113/BI113,4),"")</f>
        <v>0.99890000000000001</v>
      </c>
      <c r="BJ120" s="13" t="str">
        <f>IF(BK109&gt;3,"[ df="&amp;BK109-2&amp;" ]","")</f>
        <v>[ df=26 ]</v>
      </c>
      <c r="BK120" s="18"/>
      <c r="BL120" s="14">
        <f>IF(BN109&gt;0,ROUND(BN113/BL113,4),"")</f>
        <v>0.43830000000000002</v>
      </c>
      <c r="BM120" s="13" t="str">
        <f>IF(BN109&gt;3,"[ df="&amp;BN109-2&amp;" ]","")</f>
        <v>[ df=26 ]</v>
      </c>
      <c r="BN120" s="18"/>
      <c r="BO120" s="14">
        <f>IF(BQ109&gt;0,ROUND(BQ113/BO113,4),"")</f>
        <v>0.59050000000000002</v>
      </c>
      <c r="BP120" s="13" t="str">
        <f>IF(BQ109&gt;3,"[ df="&amp;BQ109-2&amp;" ]","")</f>
        <v>[ df=26 ]</v>
      </c>
      <c r="BQ120" s="18"/>
      <c r="BR120" s="14">
        <f>IF(BT109&gt;0,ROUND(BT113/BR113,4),"")</f>
        <v>1.3056000000000001</v>
      </c>
      <c r="BS120" s="13" t="str">
        <f>IF(BT109&gt;3,"[ df="&amp;BT109-2&amp;" ]","")</f>
        <v>[ df=26 ]</v>
      </c>
      <c r="BT120" s="18"/>
      <c r="BU120" s="14">
        <f>IF(BW109&gt;0,ROUND(BW113/BU113,4),"")</f>
        <v>0.77010000000000001</v>
      </c>
      <c r="BV120" s="13" t="str">
        <f>IF(BW109&gt;3,"[ df="&amp;BW109-2&amp;" ]","")</f>
        <v>[ df=26 ]</v>
      </c>
      <c r="BW120" s="18"/>
      <c r="BX120" s="14">
        <f>IF(BZ109&gt;0,ROUND(BZ113/BX113,4),"")</f>
        <v>1.0708</v>
      </c>
      <c r="BY120" s="13" t="str">
        <f>IF(BZ109&gt;3,"[ df="&amp;BZ109-2&amp;" ]","")</f>
        <v>[ df=26 ]</v>
      </c>
      <c r="BZ120" s="18"/>
      <c r="CA120" s="14">
        <f>IF(CC109&gt;0,ROUND(CC113/CA113,4),"")</f>
        <v>0.86409999999999998</v>
      </c>
      <c r="CB120" s="13" t="str">
        <f>IF(CC109&gt;3,"[ df="&amp;CC109-2&amp;" ]","")</f>
        <v>[ df=26 ]</v>
      </c>
      <c r="CC120" s="18"/>
      <c r="CD120" s="16" t="s">
        <v>124</v>
      </c>
      <c r="CE120" s="14">
        <f>IF(CG109&gt;0,ROUND(CG113/CE113,4),"")</f>
        <v>0.27760000000000001</v>
      </c>
      <c r="CF120" s="13" t="str">
        <f>IF(CG109&gt;3,"[ df="&amp;CG109-2&amp;" ]","")</f>
        <v>[ df=26 ]</v>
      </c>
      <c r="CG120" s="18"/>
      <c r="CH120" s="14">
        <f>IF(CJ109&gt;0,ROUND(CJ113/CH113,4),"")</f>
        <v>0.36609999999999998</v>
      </c>
      <c r="CI120" s="13" t="str">
        <f>IF(CJ109&gt;3,"[ df="&amp;CJ109-2&amp;" ]","")</f>
        <v>[ df=26 ]</v>
      </c>
      <c r="CJ120" s="18"/>
      <c r="CK120" s="14">
        <f>IF(CM109&gt;0,ROUND(CM113/CK113,4),"")</f>
        <v>0.57479999999999998</v>
      </c>
      <c r="CL120" s="13" t="str">
        <f>IF(CM109&gt;3,"[ df="&amp;CM109-2&amp;" ]","")</f>
        <v>[ df=26 ]</v>
      </c>
      <c r="CM120" s="18"/>
      <c r="CN120" s="14">
        <f>IF(CP109&gt;0,ROUND(CP113/CN113,4),"")</f>
        <v>0.25230000000000002</v>
      </c>
      <c r="CO120" s="13" t="str">
        <f>IF(CP109&gt;3,"[ df="&amp;CP109-2&amp;" ]","")</f>
        <v>[ df=26 ]</v>
      </c>
      <c r="CP120" s="18"/>
      <c r="CQ120" s="14">
        <f>IF(CS109&gt;0,ROUND(CS113/CQ113,4),"")</f>
        <v>0.42220000000000002</v>
      </c>
      <c r="CR120" s="13" t="str">
        <f>IF(CS109&gt;3,"[ df="&amp;CS109-2&amp;" ]","")</f>
        <v>[ df=26 ]</v>
      </c>
      <c r="CS120" s="18"/>
      <c r="CT120" s="14">
        <f>IF(CV109&gt;0,ROUND(CV113/CT113,4),"")</f>
        <v>0.85209999999999997</v>
      </c>
      <c r="CU120" s="13" t="str">
        <f>IF(CV109&gt;3,"[ df="&amp;CV109-2&amp;" ]","")</f>
        <v>[ df=26 ]</v>
      </c>
      <c r="CV120" s="18"/>
      <c r="CW120" s="14">
        <f>IF(CY109&gt;0,ROUND(CY113/CW113,4),"")</f>
        <v>0.46239999999999998</v>
      </c>
      <c r="CX120" s="13" t="str">
        <f>IF(CY109&gt;3,"[ df="&amp;CY109-2&amp;" ]","")</f>
        <v>[ df=26 ]</v>
      </c>
      <c r="CY120" s="18"/>
      <c r="CZ120" s="14">
        <f>IF(DB109&gt;0,ROUND(DB113/CZ113,4),"")</f>
        <v>0.49130000000000001</v>
      </c>
      <c r="DA120" s="13" t="str">
        <f>IF(DB109&gt;3,"[ df="&amp;DB109-2&amp;" ]","")</f>
        <v>[ df=26 ]</v>
      </c>
      <c r="DB120" s="18"/>
      <c r="DC120" s="14">
        <f>IF(DE109&gt;0,ROUND(DE113/DC113,4),"")</f>
        <v>0.50619999999999998</v>
      </c>
      <c r="DD120" s="13" t="str">
        <f>IF(DE109&gt;3,"[ df="&amp;DE109-2&amp;" ]","")</f>
        <v>[ df=26 ]</v>
      </c>
      <c r="DE120" s="18"/>
      <c r="DF120" s="16" t="s">
        <v>124</v>
      </c>
      <c r="DG120" s="14">
        <f>IF(DI109&gt;0,ROUND(DI113/DG113,4),"")</f>
        <v>0.6069</v>
      </c>
      <c r="DH120" s="13" t="str">
        <f>IF(DI109&gt;3,"[ df="&amp;DI109-2&amp;" ]","")</f>
        <v>[ df=26 ]</v>
      </c>
      <c r="DI120" s="18"/>
      <c r="DJ120" s="14">
        <f>IF(DL109&gt;0,ROUND(DL113/DJ113,4),"")</f>
        <v>0.81020000000000003</v>
      </c>
      <c r="DK120" s="13" t="str">
        <f>IF(DL109&gt;3,"[ df="&amp;DL109-2&amp;" ]","")</f>
        <v>[ df=26 ]</v>
      </c>
      <c r="DL120" s="18"/>
      <c r="DM120" s="14">
        <f>IF(DO109&gt;0,ROUND(DO113/DM113,4),"")</f>
        <v>0.378</v>
      </c>
      <c r="DN120" s="13" t="str">
        <f>IF(DO109&gt;3,"[ df="&amp;DO109-2&amp;" ]","")</f>
        <v>[ df=26 ]</v>
      </c>
      <c r="DO120" s="18"/>
      <c r="DP120" s="14">
        <f>IF(DR109&gt;0,ROUND(DR113/DP113,4),"")</f>
        <v>0.49809999999999999</v>
      </c>
      <c r="DQ120" s="13" t="str">
        <f>IF(DR109&gt;3,"[ df="&amp;DR109-2&amp;" ]","")</f>
        <v>[ df=26 ]</v>
      </c>
      <c r="DR120" s="18"/>
      <c r="DS120" s="14">
        <f>IF(DU109&gt;0,ROUND(DU113/DS113,4),"")</f>
        <v>0.93269999999999997</v>
      </c>
      <c r="DT120" s="13" t="str">
        <f>IF(DU109&gt;3,"[ df="&amp;DU109-2&amp;" ]","")</f>
        <v>[ df=26 ]</v>
      </c>
      <c r="DU120" s="18"/>
      <c r="DV120" s="14">
        <f>IF(DX109&gt;0,ROUND(DX113/DV113,4),"")</f>
        <v>0.59760000000000002</v>
      </c>
      <c r="DW120" s="13" t="str">
        <f>IF(DX109&gt;3,"[ df="&amp;DX109-2&amp;" ]","")</f>
        <v>[ df=26 ]</v>
      </c>
      <c r="DX120" s="18"/>
      <c r="DY120" s="14">
        <f>IF(EA109&gt;0,ROUND(EA113/DY113,4),"")</f>
        <v>0.90649999999999997</v>
      </c>
      <c r="DZ120" s="13" t="str">
        <f>IF(EA109&gt;3,"[ df="&amp;EA109-2&amp;" ]","")</f>
        <v>[ df=26 ]</v>
      </c>
      <c r="EA120" s="18"/>
      <c r="EB120" s="14">
        <f>IF(ED109&gt;0,ROUND(ED113/EB113,4),"")</f>
        <v>0.71430000000000005</v>
      </c>
      <c r="EC120" s="13" t="str">
        <f>IF(ED109&gt;3,"[ df="&amp;ED109-2&amp;" ]","")</f>
        <v>[ df=26 ]</v>
      </c>
      <c r="ED120" s="18"/>
      <c r="EE120" s="16" t="s">
        <v>124</v>
      </c>
      <c r="EF120" s="14">
        <f>IF(EH109&gt;0,ROUND(EH113/EF113,4),"")</f>
        <v>1.0545</v>
      </c>
      <c r="EG120" s="13" t="str">
        <f>IF(EH109&gt;3,"[ df="&amp;EH109-2&amp;" ]","")</f>
        <v>[ df=26 ]</v>
      </c>
      <c r="EH120" s="18"/>
      <c r="EI120" s="14">
        <f>IF(EK109&gt;0,ROUND(EK113/EI113,4),"")</f>
        <v>0.49809999999999999</v>
      </c>
      <c r="EJ120" s="13" t="str">
        <f>IF(EK109&gt;3,"[ df="&amp;EK109-2&amp;" ]","")</f>
        <v>[ df=26 ]</v>
      </c>
      <c r="EK120" s="18"/>
      <c r="EL120" s="14">
        <f>IF(EN109&gt;0,ROUND(EN113/EL113,4),"")</f>
        <v>0.59140000000000004</v>
      </c>
      <c r="EM120" s="13" t="str">
        <f>IF(EN109&gt;3,"[ df="&amp;EN109-2&amp;" ]","")</f>
        <v>[ df=26 ]</v>
      </c>
      <c r="EN120" s="18"/>
      <c r="EO120" s="14">
        <f>IF(EQ109&gt;0,ROUND(EQ113/EO113,4),"")</f>
        <v>1.1778</v>
      </c>
      <c r="EP120" s="13" t="str">
        <f>IF(EQ109&gt;3,"[ df="&amp;EQ109-2&amp;" ]","")</f>
        <v>[ df=26 ]</v>
      </c>
      <c r="EQ120" s="18"/>
      <c r="ER120" s="14">
        <f>IF(ET109&gt;0,ROUND(ET113/ER113,4),"")</f>
        <v>0.89090000000000003</v>
      </c>
      <c r="ES120" s="13" t="str">
        <f>IF(ET109&gt;3,"[ df="&amp;ET109-2&amp;" ]","")</f>
        <v>[ df=26 ]</v>
      </c>
      <c r="ET120" s="18"/>
      <c r="EU120" s="14">
        <f>IF(EW109&gt;0,ROUND(EW113/EU113,4),"")</f>
        <v>1.1138999999999999</v>
      </c>
      <c r="EV120" s="13" t="str">
        <f>IF(EW109&gt;3,"[ df="&amp;EW109-2&amp;" ]","")</f>
        <v>[ df=26 ]</v>
      </c>
      <c r="EW120" s="18"/>
      <c r="EX120" s="14">
        <f>IF(EZ109&gt;0,ROUND(EZ113/EX113,4),"")</f>
        <v>0.88739999999999997</v>
      </c>
      <c r="EY120" s="13" t="str">
        <f>IF(EZ109&gt;3,"[ df="&amp;EZ109-2&amp;" ]","")</f>
        <v>[ df=26 ]</v>
      </c>
      <c r="EZ120" s="18"/>
      <c r="FA120" s="16" t="s">
        <v>124</v>
      </c>
      <c r="FB120" s="14">
        <f>IF(FD109&gt;0,ROUND(FD113/FB113,4),"")</f>
        <v>0.439</v>
      </c>
      <c r="FC120" s="13" t="str">
        <f>IF(FD109&gt;3,"[ df="&amp;FD109-2&amp;" ]","")</f>
        <v>[ df=26 ]</v>
      </c>
      <c r="FD120" s="18"/>
      <c r="FE120" s="14">
        <f>IF(FG109&gt;0,ROUND(FG113/FE113,4),"")</f>
        <v>0.52810000000000001</v>
      </c>
      <c r="FF120" s="13" t="str">
        <f>IF(FG109&gt;3,"[ df="&amp;FG109-2&amp;" ]","")</f>
        <v>[ df=26 ]</v>
      </c>
      <c r="FG120" s="18"/>
      <c r="FH120" s="14">
        <f>IF(FJ109&gt;0,ROUND(FJ113/FH113,4),"")</f>
        <v>0.95369999999999999</v>
      </c>
      <c r="FI120" s="13" t="str">
        <f>IF(FJ109&gt;3,"[ df="&amp;FJ109-2&amp;" ]","")</f>
        <v>[ df=26 ]</v>
      </c>
      <c r="FJ120" s="18"/>
      <c r="FK120" s="14">
        <f>IF(FM109&gt;0,ROUND(FM113/FK113,4),"")</f>
        <v>0.66500000000000004</v>
      </c>
      <c r="FL120" s="13" t="str">
        <f>IF(FM109&gt;3,"[ df="&amp;FM109-2&amp;" ]","")</f>
        <v>[ df=26 ]</v>
      </c>
      <c r="FM120" s="18"/>
      <c r="FN120" s="14">
        <f>IF(FP109&gt;0,ROUND(FP113/FN113,4),"")</f>
        <v>0.77310000000000001</v>
      </c>
      <c r="FO120" s="13" t="str">
        <f>IF(FP109&gt;3,"[ df="&amp;FP109-2&amp;" ]","")</f>
        <v>[ df=26 ]</v>
      </c>
      <c r="FP120" s="18"/>
      <c r="FQ120" s="14">
        <f>IF(FS109&gt;0,ROUND(FS113/FQ113,4),"")</f>
        <v>0.68720000000000003</v>
      </c>
      <c r="FR120" s="13" t="str">
        <f>IF(FS109&gt;3,"[ df="&amp;FS109-2&amp;" ]","")</f>
        <v>[ df=26 ]</v>
      </c>
      <c r="FS120" s="18"/>
      <c r="FT120" s="16" t="s">
        <v>124</v>
      </c>
      <c r="FU120" s="14">
        <f>IF(FW109&gt;0,ROUND(FW113/FU113,4),"")</f>
        <v>0.97860000000000003</v>
      </c>
      <c r="FV120" s="13" t="str">
        <f>IF(FW109&gt;3,"[ df="&amp;FW109-2&amp;" ]","")</f>
        <v>[ df=26 ]</v>
      </c>
      <c r="FW120" s="18"/>
      <c r="FX120" s="14">
        <f>IF(FZ109&gt;0,ROUND(FZ113/FX113,4),"")</f>
        <v>1.3517999999999999</v>
      </c>
      <c r="FY120" s="13" t="str">
        <f>IF(FZ109&gt;3,"[ df="&amp;FZ109-2&amp;" ]","")</f>
        <v>[ df=26 ]</v>
      </c>
      <c r="FZ120" s="18"/>
      <c r="GA120" s="14">
        <f>IF(GC109&gt;0,ROUND(GC113/GA113,4),"")</f>
        <v>1.1855</v>
      </c>
      <c r="GB120" s="13" t="str">
        <f>IF(GC109&gt;3,"[ df="&amp;GC109-2&amp;" ]","")</f>
        <v>[ df=26 ]</v>
      </c>
      <c r="GC120" s="18"/>
      <c r="GD120" s="14">
        <f>IF(GF109&gt;0,ROUND(GF113/GD113,4),"")</f>
        <v>1.3103</v>
      </c>
      <c r="GE120" s="13" t="str">
        <f>IF(GF109&gt;3,"[ df="&amp;GF109-2&amp;" ]","")</f>
        <v>[ df=26 ]</v>
      </c>
      <c r="GF120" s="18"/>
      <c r="GG120" s="14">
        <f>IF(GI109&gt;0,ROUND(GI113/GG113,4),"")</f>
        <v>1.0805</v>
      </c>
      <c r="GH120" s="13" t="str">
        <f>IF(GI109&gt;3,"[ df="&amp;GI109-2&amp;" ]","")</f>
        <v>[ df=26 ]</v>
      </c>
      <c r="GI120" s="18"/>
      <c r="GJ120" s="16" t="s">
        <v>124</v>
      </c>
      <c r="GK120" s="14">
        <f>IF(GM109&gt;0,ROUND(GM113/GK113,4),"")</f>
        <v>1.4037999999999999</v>
      </c>
      <c r="GL120" s="13" t="str">
        <f>IF(GM109&gt;3,"[ df="&amp;GM109-2&amp;" ]","")</f>
        <v>[ df=26 ]</v>
      </c>
      <c r="GM120" s="18"/>
      <c r="GN120" s="14">
        <f>IF(GP109&gt;0,ROUND(GP113/GN113,4),"")</f>
        <v>0.96489999999999998</v>
      </c>
      <c r="GO120" s="13" t="str">
        <f>IF(GP109&gt;3,"[ df="&amp;GP109-2&amp;" ]","")</f>
        <v>[ df=26 ]</v>
      </c>
      <c r="GP120" s="18"/>
      <c r="GQ120" s="14">
        <f>IF(GS109&gt;0,ROUND(GS113/GQ113,4),"")</f>
        <v>1.1958</v>
      </c>
      <c r="GR120" s="13" t="str">
        <f>IF(GS109&gt;3,"[ df="&amp;GS109-2&amp;" ]","")</f>
        <v>[ df=26 ]</v>
      </c>
      <c r="GS120" s="18"/>
      <c r="GT120" s="14">
        <f>IF(GV109&gt;0,ROUND(GV113/GT113,4),"")</f>
        <v>0.98680000000000001</v>
      </c>
      <c r="GU120" s="13" t="str">
        <f>IF(GV109&gt;3,"[ df="&amp;GV109-2&amp;" ]","")</f>
        <v>[ df=26 ]</v>
      </c>
      <c r="GV120" s="18"/>
      <c r="GW120" s="16" t="s">
        <v>124</v>
      </c>
      <c r="GX120" s="14">
        <f>IF(GZ109&gt;0,ROUND(GZ113/GX113,4),"")</f>
        <v>0.3543</v>
      </c>
      <c r="GY120" s="13" t="str">
        <f>IF(GZ109&gt;3,"[ df="&amp;GZ109-2&amp;" ]","")</f>
        <v>[ df=26 ]</v>
      </c>
      <c r="GZ120" s="18"/>
      <c r="HA120" s="14">
        <f>IF(HC109&gt;0,ROUND(HC113/HA113,4),"")</f>
        <v>0.37609999999999999</v>
      </c>
      <c r="HB120" s="13" t="str">
        <f>IF(HC109&gt;3,"[ df="&amp;HC109-2&amp;" ]","")</f>
        <v>[ df=26 ]</v>
      </c>
      <c r="HC120" s="18"/>
      <c r="HD120" s="14">
        <f>IF(HF109&gt;0,ROUND(HF113/HD113,4),"")</f>
        <v>0.41049999999999998</v>
      </c>
      <c r="HE120" s="13" t="str">
        <f>IF(HF109&gt;3,"[ df="&amp;HF109-2&amp;" ]","")</f>
        <v>[ df=26 ]</v>
      </c>
      <c r="HF120" s="18"/>
      <c r="HG120" s="16" t="s">
        <v>124</v>
      </c>
      <c r="HH120" s="14">
        <f>IF(HJ109&gt;0,ROUND(HJ113/HH113,4),"")</f>
        <v>0.96350000000000002</v>
      </c>
      <c r="HI120" s="13" t="str">
        <f>IF(HJ109&gt;3,"[ df="&amp;HJ109-2&amp;" ]","")</f>
        <v>[ df=26 ]</v>
      </c>
      <c r="HJ120" s="18"/>
      <c r="HK120" s="14">
        <f>IF(HM109&gt;0,ROUND(HM113/HK113,4),"")</f>
        <v>0.86240000000000006</v>
      </c>
      <c r="HL120" s="13" t="str">
        <f>IF(HM109&gt;3,"[ df="&amp;HM109-2&amp;" ]","")</f>
        <v>[ df=26 ]</v>
      </c>
      <c r="HM120" s="18"/>
      <c r="HN120" s="16" t="s">
        <v>124</v>
      </c>
      <c r="HO120" s="14">
        <f>IF(HQ109&gt;0,ROUND(HQ113/HO113,4),"")</f>
        <v>0.64939999999999998</v>
      </c>
      <c r="HP120" s="13" t="str">
        <f>IF(HQ109&gt;3,"[ df="&amp;HQ109-2&amp;" ]","")</f>
        <v>[ df=26 ]</v>
      </c>
      <c r="HQ120" s="18"/>
      <c r="HR120" s="16" t="s">
        <v>124</v>
      </c>
      <c r="HS120" s="14">
        <f>IF(HU109&gt;0,ROUND(HU113/HS113,4),"")</f>
        <v>1.0005999999999999</v>
      </c>
      <c r="HT120" s="13" t="str">
        <f>IF(HU109&gt;3,"[ df="&amp;HU109-2&amp;" ]","")</f>
        <v>[ df=26 ]</v>
      </c>
      <c r="HU120" s="18"/>
      <c r="HV120" s="14">
        <f>IF(HX109&gt;0,ROUND(HX113/HV113,4),"")</f>
        <v>1.3338000000000001</v>
      </c>
      <c r="HW120" s="13" t="str">
        <f>IF(HX109&gt;3,"[ df="&amp;HX109-2&amp;" ]","")</f>
        <v>[ df=26 ]</v>
      </c>
      <c r="HX120" s="18"/>
      <c r="HY120" s="14">
        <f>IF(IA109&gt;0,ROUND(IA113/HY113,4),"")</f>
        <v>0.6744</v>
      </c>
      <c r="HZ120" s="13" t="str">
        <f>IF(IA109&gt;3,"[ df="&amp;IA109-2&amp;" ]","")</f>
        <v>[ df=26 ]</v>
      </c>
      <c r="IA120" s="18"/>
      <c r="IB120" s="14">
        <f>IF(ID109&gt;0,ROUND(ID113/IB113,4),"")</f>
        <v>0.86880000000000002</v>
      </c>
      <c r="IC120" s="13" t="str">
        <f>IF(ID109&gt;3,"[ df="&amp;ID109-2&amp;" ]","")</f>
        <v>[ df=26 ]</v>
      </c>
      <c r="ID120" s="18"/>
      <c r="IE120" s="14">
        <f>IF(IG109&gt;0,ROUND(IG113/IE113,4),"")</f>
        <v>1.1923999999999999</v>
      </c>
      <c r="IF120" s="13" t="str">
        <f>IF(IG109&gt;3,"[ df="&amp;IG109-2&amp;" ]","")</f>
        <v>[ df=26 ]</v>
      </c>
      <c r="IG120" s="18"/>
      <c r="IH120" s="14">
        <f>IF(IJ109&gt;0,ROUND(IJ113/IH113,4),"")</f>
        <v>0.60199999999999998</v>
      </c>
      <c r="II120" s="13" t="str">
        <f>IF(IJ109&gt;3,"[ df="&amp;IJ109-2&amp;" ]","")</f>
        <v>[ df=26 ]</v>
      </c>
      <c r="IJ120" s="18"/>
      <c r="IK120" s="14">
        <f>IF(IM109&gt;0,ROUND(IM113/IK113,4),"")</f>
        <v>0.78800000000000003</v>
      </c>
      <c r="IL120" s="13" t="str">
        <f>IF(IM109&gt;3,"[ df="&amp;IM109-2&amp;" ]","")</f>
        <v>[ df=26 ]</v>
      </c>
      <c r="IM120" s="18"/>
      <c r="IN120" s="14">
        <f>IF(IP109&gt;0,ROUND(IP113/IN113,4),"")</f>
        <v>1.5286999999999999</v>
      </c>
      <c r="IO120" s="13" t="str">
        <f>IF(IP109&gt;3,"[ df="&amp;IP109-2&amp;" ]","")</f>
        <v>[ df=26 ]</v>
      </c>
      <c r="IP120" s="18"/>
      <c r="IQ120" s="14">
        <f>IF(IS109&gt;0,ROUND(IS113/IQ113,4),"")</f>
        <v>0.96050000000000002</v>
      </c>
      <c r="IR120" s="13" t="str">
        <f>IF(IS109&gt;3,"[ df="&amp;IS109-2&amp;" ]","")</f>
        <v>[ df=26 ]</v>
      </c>
      <c r="IS120" s="18"/>
      <c r="IT120" s="14">
        <f>IF(IV109&gt;0,ROUND(IV113/IT113,4),"")</f>
        <v>1.1720999999999999</v>
      </c>
      <c r="IU120" s="13" t="str">
        <f>IF(IV109&gt;3,"[ df="&amp;IV109-2&amp;" ]","")</f>
        <v>[ df=26 ]</v>
      </c>
      <c r="IV120" s="18"/>
    </row>
    <row r="121" spans="1:256" s="19" customFormat="1" x14ac:dyDescent="0.2">
      <c r="A121" s="89" t="s">
        <v>110</v>
      </c>
      <c r="B121" s="90">
        <f>IF(BB$119&lt;0.001,0.001,BB$119)</f>
        <v>1E-3</v>
      </c>
      <c r="C121" s="90" t="s">
        <v>109</v>
      </c>
      <c r="D121" s="90" t="s">
        <v>109</v>
      </c>
      <c r="E121" s="90" t="s">
        <v>109</v>
      </c>
      <c r="F121" s="90" t="s">
        <v>109</v>
      </c>
      <c r="G121" s="90" t="s">
        <v>109</v>
      </c>
      <c r="H121" s="90" t="s">
        <v>109</v>
      </c>
      <c r="I121" s="90" t="s">
        <v>109</v>
      </c>
      <c r="J121" s="90" t="s">
        <v>109</v>
      </c>
      <c r="K121" s="90" t="s">
        <v>109</v>
      </c>
      <c r="L121" s="91"/>
      <c r="M121" s="92"/>
      <c r="N121" s="93"/>
      <c r="O121" s="94"/>
      <c r="P121" s="94"/>
      <c r="Q121" s="78" t="s">
        <v>22</v>
      </c>
      <c r="R121" s="78">
        <f t="shared" si="692"/>
        <v>3.1543734032190032</v>
      </c>
      <c r="S121" s="78"/>
      <c r="T121" s="78"/>
      <c r="U121" s="136">
        <f t="shared" si="693"/>
        <v>5.2837514736510043</v>
      </c>
      <c r="V121" s="78"/>
      <c r="W121" s="78"/>
      <c r="X121" s="78">
        <f t="shared" si="694"/>
        <v>0.43165898906780414</v>
      </c>
      <c r="Y121" s="78"/>
      <c r="Z121" s="78"/>
      <c r="AA121" s="78">
        <f t="shared" si="695"/>
        <v>3.9632855732253969</v>
      </c>
      <c r="AB121" s="78"/>
      <c r="AC121" s="78"/>
      <c r="AD121" s="78">
        <f t="shared" si="696"/>
        <v>7.5377163128762685</v>
      </c>
      <c r="AE121" s="78"/>
      <c r="AF121" s="78"/>
      <c r="AG121" s="78">
        <f t="shared" si="697"/>
        <v>3.2924956528883982</v>
      </c>
      <c r="AH121" s="78"/>
      <c r="AI121" s="78"/>
      <c r="AJ121" s="78">
        <f t="shared" si="698"/>
        <v>3.0107516961013512</v>
      </c>
      <c r="AK121" s="78"/>
      <c r="AL121" s="78"/>
      <c r="AM121" s="78">
        <f t="shared" si="699"/>
        <v>7.6888132471952249</v>
      </c>
      <c r="AN121" s="78"/>
      <c r="AO121" s="78"/>
      <c r="AP121" s="78">
        <f t="shared" si="700"/>
        <v>5.8390188756807806</v>
      </c>
      <c r="AQ121" s="78"/>
      <c r="AR121" s="78"/>
      <c r="AS121" s="78">
        <f t="shared" si="701"/>
        <v>2.6606747601908736</v>
      </c>
      <c r="AT121" s="78"/>
      <c r="AU121" s="92"/>
      <c r="AV121" s="78" t="str">
        <f t="shared" si="703"/>
        <v>±2,29</v>
      </c>
      <c r="AW121" s="132">
        <f t="shared" si="704"/>
        <v>2.29</v>
      </c>
      <c r="AX121" s="92"/>
      <c r="AY121" s="16" t="s">
        <v>125</v>
      </c>
      <c r="AZ121" s="14" t="str">
        <f>IF(BB109&gt;0,"±"&amp;ROUND(SQRT(BA113*(1-AZ118)/(BB109-2)),4),"")</f>
        <v>±1,5194</v>
      </c>
      <c r="BA121" s="18"/>
      <c r="BB121" s="18"/>
      <c r="BC121" s="14" t="str">
        <f>IF(BE109&gt;0,"±"&amp;ROUND(SQRT(BD113*(1-BC118)/(BE109-2)),4),"")</f>
        <v>±0,9057</v>
      </c>
      <c r="BD121" s="18"/>
      <c r="BE121" s="18"/>
      <c r="BF121" s="14" t="str">
        <f>IF(BH109&gt;0,"±"&amp;ROUND(SQRT(BG113*(1-BF118)/(BH109-2)),4),"")</f>
        <v>±0,5396</v>
      </c>
      <c r="BG121" s="18"/>
      <c r="BH121" s="18"/>
      <c r="BI121" s="14" t="str">
        <f>IF(BK109&gt;0,"±"&amp;ROUND(SQRT(BJ113*(1-BI118)/(BK109-2)),4),"")</f>
        <v>±1,0221</v>
      </c>
      <c r="BJ121" s="18"/>
      <c r="BK121" s="18"/>
      <c r="BL121" s="14" t="str">
        <f>IF(BN109&gt;0,"±"&amp;ROUND(SQRT(BM113*(1-BL118)/(BN109-2)),4),"")</f>
        <v>±0,7769</v>
      </c>
      <c r="BM121" s="18"/>
      <c r="BN121" s="18"/>
      <c r="BO121" s="14" t="str">
        <f>IF(BQ109&gt;0,"±"&amp;ROUND(SQRT(BP113*(1-BO118)/(BQ109-2)),4),"")</f>
        <v>±0,8432</v>
      </c>
      <c r="BP121" s="18"/>
      <c r="BQ121" s="18"/>
      <c r="BR121" s="14" t="str">
        <f>IF(BT109&gt;0,"±"&amp;ROUND(SQRT(BS113*(1-BR118)/(BT109-2)),4),"")</f>
        <v>±1,7762</v>
      </c>
      <c r="BS121" s="18"/>
      <c r="BT121" s="18"/>
      <c r="BU121" s="14" t="str">
        <f>IF(BW109&gt;0,"±"&amp;ROUND(SQRT(BV113*(1-BU118)/(BW109-2)),4),"")</f>
        <v>±0,878</v>
      </c>
      <c r="BV121" s="18"/>
      <c r="BW121" s="18"/>
      <c r="BX121" s="14" t="str">
        <f>IF(BZ109&gt;0,"±"&amp;ROUND(SQRT(BY113*(1-BX118)/(BZ109-2)),4),"")</f>
        <v>±0,9268</v>
      </c>
      <c r="BY121" s="18"/>
      <c r="BZ121" s="18"/>
      <c r="CA121" s="14" t="str">
        <f>IF(CC109&gt;0,"±"&amp;ROUND(SQRT(CB113*(1-CA118)/(CC109-2)),4),"")</f>
        <v>±0,4933</v>
      </c>
      <c r="CB121" s="18"/>
      <c r="CC121" s="18"/>
      <c r="CD121" s="16" t="s">
        <v>125</v>
      </c>
      <c r="CE121" s="14" t="str">
        <f>IF(CG109&gt;0,"±"&amp;ROUND(SQRT(CF113*(1-CE118)/(CG109-2)),4),"")</f>
        <v>±1,1558</v>
      </c>
      <c r="CF121" s="18"/>
      <c r="CG121" s="18"/>
      <c r="CH121" s="14" t="str">
        <f>IF(CJ109&gt;0,"±"&amp;ROUND(SQRT(CI113*(1-CH118)/(CJ109-2)),4),"")</f>
        <v>±1,0619</v>
      </c>
      <c r="CI121" s="18"/>
      <c r="CJ121" s="18"/>
      <c r="CK121" s="14" t="str">
        <f>IF(CM109&gt;0,"±"&amp;ROUND(SQRT(CL113*(1-CK118)/(CM109-2)),4),"")</f>
        <v>±1,2493</v>
      </c>
      <c r="CL121" s="18"/>
      <c r="CM121" s="18"/>
      <c r="CN121" s="14" t="str">
        <f>IF(CP109&gt;0,"±"&amp;ROUND(SQRT(CO113*(1-CN118)/(CP109-2)),4),"")</f>
        <v>±0,8378</v>
      </c>
      <c r="CO121" s="18"/>
      <c r="CP121" s="18"/>
      <c r="CQ121" s="14" t="str">
        <f>IF(CS109&gt;0,"±"&amp;ROUND(SQRT(CR113*(1-CQ118)/(CS109-2)),4),"")</f>
        <v>±0,7701</v>
      </c>
      <c r="CR121" s="18"/>
      <c r="CS121" s="18"/>
      <c r="CT121" s="14" t="str">
        <f>IF(CV109&gt;0,"±"&amp;ROUND(SQRT(CU113*(1-CT118)/(CV109-2)),4),"")</f>
        <v>±1,8062</v>
      </c>
      <c r="CU121" s="18"/>
      <c r="CV121" s="18"/>
      <c r="CW121" s="14" t="str">
        <f>IF(CY109&gt;0,"±"&amp;ROUND(SQRT(CX113*(1-CW118)/(CY109-2)),4),"")</f>
        <v>±0,9959</v>
      </c>
      <c r="CX121" s="18"/>
      <c r="CY121" s="18"/>
      <c r="CZ121" s="14" t="str">
        <f>IF(DB109&gt;0,"±"&amp;ROUND(SQRT(DA113*(1-CZ118)/(DB109-2)),4),"")</f>
        <v>±1,4509</v>
      </c>
      <c r="DA121" s="18"/>
      <c r="DB121" s="18"/>
      <c r="DC121" s="14" t="str">
        <f>IF(DE109&gt;0,"±"&amp;ROUND(SQRT(DD113*(1-DC118)/(DE109-2)),4),"")</f>
        <v>±0,7642</v>
      </c>
      <c r="DD121" s="18"/>
      <c r="DE121" s="18"/>
      <c r="DF121" s="16" t="s">
        <v>125</v>
      </c>
      <c r="DG121" s="14" t="str">
        <f>IF(DI109&gt;0,"±"&amp;ROUND(SQRT(DH113*(1-DG118)/(DI109-2)),4),"")</f>
        <v>±1,0669</v>
      </c>
      <c r="DH121" s="18"/>
      <c r="DI121" s="18"/>
      <c r="DJ121" s="14" t="str">
        <f>IF(DL109&gt;0,"±"&amp;ROUND(SQRT(DK113*(1-DJ118)/(DL109-2)),4),"")</f>
        <v>±1,417</v>
      </c>
      <c r="DK121" s="18"/>
      <c r="DL121" s="18"/>
      <c r="DM121" s="14" t="str">
        <f>IF(DO109&gt;0,"±"&amp;ROUND(SQRT(DN113*(1-DM118)/(DO109-2)),4),"")</f>
        <v>±0,8725</v>
      </c>
      <c r="DN121" s="18"/>
      <c r="DO121" s="18"/>
      <c r="DP121" s="14" t="str">
        <f>IF(DR109&gt;0,"±"&amp;ROUND(SQRT(DQ113*(1-DP118)/(DR109-2)),4),"")</f>
        <v>±1,0081</v>
      </c>
      <c r="DQ121" s="18"/>
      <c r="DR121" s="18"/>
      <c r="DS121" s="14" t="str">
        <f>IF(DU109&gt;0,"±"&amp;ROUND(SQRT(DT113*(1-DS118)/(DU109-2)),4),"")</f>
        <v>±2,2867</v>
      </c>
      <c r="DT121" s="18"/>
      <c r="DU121" s="18"/>
      <c r="DV121" s="14" t="str">
        <f>IF(DX109&gt;0,"±"&amp;ROUND(SQRT(DW113*(1-DV118)/(DX109-2)),4),"")</f>
        <v>±1,1829</v>
      </c>
      <c r="DW121" s="18"/>
      <c r="DX121" s="18"/>
      <c r="DY121" s="14" t="str">
        <f>IF(EA109&gt;0,"±"&amp;ROUND(SQRT(DZ113*(1-DY118)/(EA109-2)),4),"")</f>
        <v>±1,3618</v>
      </c>
      <c r="DZ121" s="18"/>
      <c r="EA121" s="18"/>
      <c r="EB121" s="14" t="str">
        <f>IF(ED109&gt;0,"±"&amp;ROUND(SQRT(EC113*(1-EB118)/(ED109-2)),4),"")</f>
        <v>±0,9663</v>
      </c>
      <c r="EC121" s="18"/>
      <c r="ED121" s="18"/>
      <c r="EE121" s="16" t="s">
        <v>125</v>
      </c>
      <c r="EF121" s="14" t="str">
        <f>IF(EH109&gt;0,"±"&amp;ROUND(SQRT(EG113*(1-EF118)/(EH109-2)),4),"")</f>
        <v>±1,0801</v>
      </c>
      <c r="EG121" s="18"/>
      <c r="EH121" s="18"/>
      <c r="EI121" s="14" t="str">
        <f>IF(EK109&gt;0,"±"&amp;ROUND(SQRT(EJ113*(1-EI118)/(EK109-2)),4),"")</f>
        <v>±0,7526</v>
      </c>
      <c r="EJ121" s="18"/>
      <c r="EK121" s="18"/>
      <c r="EL121" s="14" t="str">
        <f>IF(EN109&gt;0,"±"&amp;ROUND(SQRT(EM113*(1-EL118)/(EN109-2)),4),"")</f>
        <v>±0,9066</v>
      </c>
      <c r="EM121" s="18"/>
      <c r="EN121" s="18"/>
      <c r="EO121" s="14" t="str">
        <f>IF(EQ109&gt;0,"±"&amp;ROUND(SQRT(EP113*(1-EO118)/(EQ109-2)),4),"")</f>
        <v>±2,0646</v>
      </c>
      <c r="EP121" s="18"/>
      <c r="EQ121" s="18"/>
      <c r="ER121" s="14" t="str">
        <f>IF(ET109&gt;0,"±"&amp;ROUND(SQRT(ES113*(1-ER118)/(ET109-2)),4),"")</f>
        <v>±0,78</v>
      </c>
      <c r="ES121" s="18"/>
      <c r="ET121" s="18"/>
      <c r="EU121" s="14" t="str">
        <f>IF(EW109&gt;0,"±"&amp;ROUND(SQRT(EV113*(1-EU118)/(EW109-2)),4),"")</f>
        <v>±1,033</v>
      </c>
      <c r="EV121" s="18"/>
      <c r="EW121" s="18"/>
      <c r="EX121" s="14" t="str">
        <f>IF(EZ109&gt;0,"±"&amp;ROUND(SQRT(EY113*(1-EX118)/(EZ109-2)),4),"")</f>
        <v>±0,6425</v>
      </c>
      <c r="EY121" s="18"/>
      <c r="EZ121" s="18"/>
      <c r="FA121" s="16" t="s">
        <v>125</v>
      </c>
      <c r="FB121" s="14" t="str">
        <f>IF(FD109&gt;0,"±"&amp;ROUND(SQRT(FC113*(1-FB118)/(FD109-2)),4),"")</f>
        <v>±0,633</v>
      </c>
      <c r="FC121" s="18"/>
      <c r="FD121" s="18"/>
      <c r="FE121" s="14" t="str">
        <f>IF(FG109&gt;0,"±"&amp;ROUND(SQRT(FF113*(1-FE118)/(FG109-2)),4),"")</f>
        <v>±0,7521</v>
      </c>
      <c r="FF121" s="18"/>
      <c r="FG121" s="18"/>
      <c r="FH121" s="14" t="str">
        <f>IF(FJ109&gt;0,"±"&amp;ROUND(SQRT(FI113*(1-FH118)/(FJ109-2)),4),"")</f>
        <v>±1,9663</v>
      </c>
      <c r="FI121" s="18"/>
      <c r="FJ121" s="18"/>
      <c r="FK121" s="14" t="str">
        <f>IF(FM109&gt;0,"±"&amp;ROUND(SQRT(FL113*(1-FK118)/(FM109-2)),4),"")</f>
        <v>±0,7902</v>
      </c>
      <c r="FL121" s="18"/>
      <c r="FM121" s="18"/>
      <c r="FN121" s="14" t="str">
        <f>IF(FP109&gt;0,"±"&amp;ROUND(SQRT(FO113*(1-FN118)/(FP109-2)),4),"")</f>
        <v>±1,1759</v>
      </c>
      <c r="FO121" s="18"/>
      <c r="FP121" s="18"/>
      <c r="FQ121" s="14" t="str">
        <f>IF(FS109&gt;0,"±"&amp;ROUND(SQRT(FR113*(1-FQ118)/(FS109-2)),4),"")</f>
        <v>±0,5712</v>
      </c>
      <c r="FR121" s="18"/>
      <c r="FS121" s="18"/>
      <c r="FT121" s="16" t="s">
        <v>125</v>
      </c>
      <c r="FU121" s="14" t="str">
        <f>IF(FW109&gt;0,"±"&amp;ROUND(SQRT(FV113*(1-FU118)/(FW109-2)),4),"")</f>
        <v>±0,6923</v>
      </c>
      <c r="FV121" s="18"/>
      <c r="FW121" s="18"/>
      <c r="FX121" s="14" t="str">
        <f>IF(FZ109&gt;0,"±"&amp;ROUND(SQRT(FY113*(1-FX118)/(FZ109-2)),4),"")</f>
        <v>±2,2076</v>
      </c>
      <c r="FY121" s="18"/>
      <c r="FZ121" s="18"/>
      <c r="GA121" s="14" t="str">
        <f>IF(GC109&gt;0,"±"&amp;ROUND(SQRT(GB113*(1-GA118)/(GC109-2)),4),"")</f>
        <v>±0,7735</v>
      </c>
      <c r="GB121" s="18"/>
      <c r="GC121" s="18"/>
      <c r="GD121" s="14" t="str">
        <f>IF(GF109&gt;0,"±"&amp;ROUND(SQRT(GE113*(1-GD118)/(GF109-2)),4),"")</f>
        <v>±1,2366</v>
      </c>
      <c r="GE121" s="18"/>
      <c r="GF121" s="18"/>
      <c r="GG121" s="14" t="str">
        <f>IF(GI109&gt;0,"±"&amp;ROUND(SQRT(GH113*(1-GG118)/(GI109-2)),4),"")</f>
        <v>±0,7932</v>
      </c>
      <c r="GH121" s="18"/>
      <c r="GI121" s="18"/>
      <c r="GJ121" s="16" t="s">
        <v>125</v>
      </c>
      <c r="GK121" s="14" t="str">
        <f>IF(GM109&gt;0,"±"&amp;ROUND(SQRT(GL113*(1-GK118)/(GM109-2)),4),"")</f>
        <v>±1,968</v>
      </c>
      <c r="GL121" s="18"/>
      <c r="GM121" s="18"/>
      <c r="GN121" s="14" t="str">
        <f>IF(GP109&gt;0,"±"&amp;ROUND(SQRT(GO113*(1-GN118)/(GP109-2)),4),"")</f>
        <v>±0,8177</v>
      </c>
      <c r="GO121" s="18"/>
      <c r="GP121" s="18"/>
      <c r="GQ121" s="14" t="str">
        <f>IF(GS109&gt;0,"±"&amp;ROUND(SQRT(GR113*(1-GQ118)/(GS109-2)),4),"")</f>
        <v>±1,0942</v>
      </c>
      <c r="GR121" s="18"/>
      <c r="GS121" s="18"/>
      <c r="GT121" s="14" t="str">
        <f>IF(GV109&gt;0,"±"&amp;ROUND(SQRT(GU113*(1-GT118)/(GV109-2)),4),"")</f>
        <v>±0,6326</v>
      </c>
      <c r="GU121" s="18"/>
      <c r="GV121" s="18"/>
      <c r="GW121" s="16" t="s">
        <v>125</v>
      </c>
      <c r="GX121" s="14" t="str">
        <f>IF(GZ109&gt;0,"±"&amp;ROUND(SQRT(GY113*(1-GX118)/(GZ109-2)),4),"")</f>
        <v>±1,0791</v>
      </c>
      <c r="GY121" s="18"/>
      <c r="GZ121" s="18"/>
      <c r="HA121" s="14" t="str">
        <f>IF(HC109&gt;0,"±"&amp;ROUND(SQRT(HB113*(1-HA118)/(HC109-2)),4),"")</f>
        <v>±1,5177</v>
      </c>
      <c r="HB121" s="18"/>
      <c r="HC121" s="18"/>
      <c r="HD121" s="14" t="str">
        <f>IF(HF109&gt;0,"±"&amp;ROUND(SQRT(HE113*(1-HD118)/(HF109-2)),4),"")</f>
        <v>±0,82</v>
      </c>
      <c r="HE121" s="18"/>
      <c r="HF121" s="18"/>
      <c r="HG121" s="16" t="s">
        <v>125</v>
      </c>
      <c r="HH121" s="14" t="str">
        <f>IF(HJ109&gt;0,"±"&amp;ROUND(SQRT(HI113*(1-HH118)/(HJ109-2)),4),"")</f>
        <v>±1,1787</v>
      </c>
      <c r="HI121" s="18"/>
      <c r="HJ121" s="18"/>
      <c r="HK121" s="14" t="str">
        <f>IF(HM109&gt;0,"±"&amp;ROUND(SQRT(HL113*(1-HK118)/(HM109-2)),4),"")</f>
        <v>±0,5568</v>
      </c>
      <c r="HL121" s="18"/>
      <c r="HM121" s="18"/>
      <c r="HN121" s="16" t="s">
        <v>125</v>
      </c>
      <c r="HO121" s="14" t="str">
        <f>IF(HQ109&gt;0,"±"&amp;ROUND(SQRT(HP113*(1-HO118)/(HQ109-2)),4),"")</f>
        <v>±0,6577</v>
      </c>
      <c r="HP121" s="18"/>
      <c r="HQ121" s="18"/>
      <c r="HR121" s="16" t="s">
        <v>125</v>
      </c>
      <c r="HS121" s="14" t="str">
        <f>IF(HU109&gt;0,"±"&amp;ROUND(SQRT(HT113*(1-HS118)/(HU109-2)),3),"")</f>
        <v>±0,531</v>
      </c>
      <c r="HT121" s="18"/>
      <c r="HU121" s="18"/>
      <c r="HV121" s="14" t="str">
        <f>IF(HX109&gt;0,"±"&amp;ROUND(SQRT(HW113*(1-HV118)/(HX109-2)),3),"")</f>
        <v>±1,241</v>
      </c>
      <c r="HW121" s="18"/>
      <c r="HX121" s="18"/>
      <c r="HY121" s="14" t="str">
        <f>IF(IA109&gt;0,"±"&amp;ROUND(SQRT(HZ113*(1-HY118)/(IA109-2)),3),"")</f>
        <v>±0,939</v>
      </c>
      <c r="HZ121" s="18"/>
      <c r="IA121" s="18"/>
      <c r="IB121" s="14" t="str">
        <f>IF(ID109&gt;0,"±"&amp;ROUND(SQRT(IC113*(1-IB118)/(ID109-2)),3),"")</f>
        <v>±0,636</v>
      </c>
      <c r="IC121" s="18"/>
      <c r="ID121" s="18"/>
      <c r="IE121" s="14" t="str">
        <f>IF(IG109&gt;0,"±"&amp;ROUND(SQRT(IF113*(1-IE118)/(IG109-2)),3),"")</f>
        <v>±0,752</v>
      </c>
      <c r="IF121" s="18"/>
      <c r="IG121" s="18"/>
      <c r="IH121" s="14" t="str">
        <f>IF(IJ109&gt;0,"±"&amp;ROUND(SQRT(II113*(1-IH118)/(IJ109-2)),3),"")</f>
        <v>±0,592</v>
      </c>
      <c r="II121" s="18"/>
      <c r="IJ121" s="18"/>
      <c r="IK121" s="14" t="str">
        <f>IF(IM109&gt;0,"±"&amp;ROUND(SQRT(IL113*(1-IK118)/(IM109-2)),3),"")</f>
        <v>±0,565</v>
      </c>
      <c r="IL121" s="18"/>
      <c r="IM121" s="18"/>
      <c r="IN121" s="14" t="str">
        <f>IF(IP109&gt;0,"±"&amp;ROUND(SQRT(IO113*(1-IN118)/(IP109-2)),3),"")</f>
        <v>±1,582</v>
      </c>
      <c r="IO121" s="18"/>
      <c r="IP121" s="18"/>
      <c r="IQ121" s="14" t="str">
        <f>IF(IS109&gt;0,"±"&amp;ROUND(SQRT(IR113*(1-IQ118)/(IS109-2)),3),"")</f>
        <v>±0,588</v>
      </c>
      <c r="IR121" s="18"/>
      <c r="IS121" s="18"/>
      <c r="IT121" s="14" t="str">
        <f>IF(IV109&gt;0,"±"&amp;ROUND(SQRT(IU113*(1-IT118)/(IV109-2)),3),"")</f>
        <v>±0,884</v>
      </c>
      <c r="IU121" s="18"/>
      <c r="IV121" s="18"/>
    </row>
    <row r="122" spans="1:256" x14ac:dyDescent="0.2">
      <c r="A122" s="95" t="s">
        <v>6</v>
      </c>
      <c r="B122" s="88">
        <f>BC$117</f>
        <v>0.72</v>
      </c>
      <c r="C122" s="88">
        <f>CE$117</f>
        <v>0.46400000000000002</v>
      </c>
      <c r="D122" s="88" t="s">
        <v>109</v>
      </c>
      <c r="E122" s="88" t="s">
        <v>109</v>
      </c>
      <c r="F122" s="88" t="s">
        <v>109</v>
      </c>
      <c r="G122" s="88" t="s">
        <v>109</v>
      </c>
      <c r="H122" s="88" t="s">
        <v>109</v>
      </c>
      <c r="I122" s="88" t="s">
        <v>109</v>
      </c>
      <c r="J122" s="88" t="s">
        <v>109</v>
      </c>
      <c r="K122" s="88" t="s">
        <v>109</v>
      </c>
      <c r="L122" s="58"/>
      <c r="M122" s="10"/>
      <c r="N122" s="57"/>
      <c r="O122" s="72"/>
      <c r="P122" s="72"/>
      <c r="Q122" s="78" t="s">
        <v>23</v>
      </c>
      <c r="R122" s="78">
        <f t="shared" si="692"/>
        <v>0.30876250339885675</v>
      </c>
      <c r="S122" s="78"/>
      <c r="T122" s="78"/>
      <c r="U122" s="136">
        <f t="shared" si="693"/>
        <v>0.15526431146599734</v>
      </c>
      <c r="V122" s="78"/>
      <c r="W122" s="78"/>
      <c r="X122" s="78">
        <f t="shared" si="694"/>
        <v>0.68086284056358415</v>
      </c>
      <c r="Y122" s="78"/>
      <c r="Z122" s="78"/>
      <c r="AA122" s="78">
        <f t="shared" si="695"/>
        <v>0.29950744407706137</v>
      </c>
      <c r="AB122" s="78"/>
      <c r="AC122" s="78"/>
      <c r="AD122" s="78">
        <f t="shared" si="696"/>
        <v>0.31222717171560976</v>
      </c>
      <c r="AE122" s="78"/>
      <c r="AF122" s="78"/>
      <c r="AG122" s="78">
        <f t="shared" si="697"/>
        <v>0.42449417917223187</v>
      </c>
      <c r="AH122" s="78"/>
      <c r="AI122" s="78"/>
      <c r="AJ122" s="78">
        <f t="shared" si="698"/>
        <v>0.60362270062420764</v>
      </c>
      <c r="AK122" s="78"/>
      <c r="AL122" s="78"/>
      <c r="AM122" s="78">
        <f t="shared" si="699"/>
        <v>0.26450198322581026</v>
      </c>
      <c r="AN122" s="78"/>
      <c r="AO122" s="78"/>
      <c r="AP122" s="78">
        <f t="shared" si="700"/>
        <v>0.29971780275296112</v>
      </c>
      <c r="AQ122" s="78"/>
      <c r="AR122" s="78"/>
      <c r="AS122" s="78">
        <f t="shared" si="701"/>
        <v>0.26562326827727711</v>
      </c>
      <c r="AT122" s="78"/>
      <c r="AU122" s="10"/>
      <c r="AV122" s="78" t="str">
        <f t="shared" si="703"/>
        <v>±0,16</v>
      </c>
      <c r="AW122" s="132">
        <f t="shared" si="704"/>
        <v>0.16</v>
      </c>
      <c r="AX122" s="10"/>
      <c r="AY122" s="96"/>
      <c r="AZ122" s="2"/>
      <c r="BA122" s="2"/>
      <c r="BB122" s="2"/>
      <c r="DF122" s="18"/>
      <c r="DG122" s="18"/>
      <c r="DH122" s="18"/>
      <c r="DI122" s="18"/>
      <c r="DJ122" s="18"/>
      <c r="DK122" s="18"/>
      <c r="DL122" s="18"/>
      <c r="DM122" s="18"/>
      <c r="DN122" s="18"/>
      <c r="DO122" s="18"/>
      <c r="DP122" s="18"/>
      <c r="DQ122" s="18"/>
      <c r="DR122" s="18"/>
      <c r="DS122" s="18"/>
      <c r="DT122" s="18"/>
      <c r="DU122" s="18"/>
      <c r="DV122" s="18"/>
      <c r="DW122" s="18"/>
      <c r="DX122" s="18"/>
      <c r="DY122" s="18"/>
      <c r="DZ122" s="18"/>
      <c r="EA122" s="18"/>
      <c r="EB122" s="18"/>
      <c r="EC122" s="18"/>
      <c r="ED122" s="18"/>
      <c r="EE122" s="18"/>
      <c r="EF122" s="18"/>
      <c r="EG122" s="18"/>
      <c r="EH122" s="18"/>
      <c r="EI122" s="18"/>
    </row>
    <row r="123" spans="1:256" x14ac:dyDescent="0.2">
      <c r="A123" s="95" t="s">
        <v>110</v>
      </c>
      <c r="B123" s="88">
        <f>IF(BE$119&lt;0.001,0.001,BE$119)</f>
        <v>1E-3</v>
      </c>
      <c r="C123" s="88">
        <f>IF(CG$119&lt;0.001,0.001,CG$119)</f>
        <v>1.2901835435550641E-2</v>
      </c>
      <c r="D123" s="88" t="s">
        <v>109</v>
      </c>
      <c r="E123" s="88" t="s">
        <v>109</v>
      </c>
      <c r="F123" s="88" t="s">
        <v>109</v>
      </c>
      <c r="G123" s="88" t="s">
        <v>109</v>
      </c>
      <c r="H123" s="88" t="s">
        <v>109</v>
      </c>
      <c r="I123" s="88" t="s">
        <v>109</v>
      </c>
      <c r="J123" s="88" t="s">
        <v>109</v>
      </c>
      <c r="K123" s="88" t="s">
        <v>109</v>
      </c>
      <c r="L123" s="58"/>
      <c r="M123" s="10"/>
      <c r="N123" s="57"/>
      <c r="O123" s="72"/>
      <c r="P123" s="72"/>
      <c r="Q123" s="78" t="s">
        <v>24</v>
      </c>
      <c r="R123" s="78">
        <f t="shared" si="692"/>
        <v>0.88738552315186503</v>
      </c>
      <c r="S123" s="78"/>
      <c r="T123" s="78"/>
      <c r="U123" s="136">
        <f t="shared" si="693"/>
        <v>0.43450000396831917</v>
      </c>
      <c r="V123" s="78"/>
      <c r="W123" s="78"/>
      <c r="X123" s="78">
        <f t="shared" si="694"/>
        <v>0.84024665199483339</v>
      </c>
      <c r="Y123" s="78"/>
      <c r="Z123" s="78"/>
      <c r="AA123" s="78">
        <f t="shared" si="695"/>
        <v>0.54501972423543343</v>
      </c>
      <c r="AB123" s="78"/>
      <c r="AC123" s="78"/>
      <c r="AD123" s="78">
        <f t="shared" si="696"/>
        <v>1.743617071645186</v>
      </c>
      <c r="AE123" s="78"/>
      <c r="AF123" s="78"/>
      <c r="AG123" s="78">
        <f t="shared" si="697"/>
        <v>1.6422188809860943</v>
      </c>
      <c r="AH123" s="78"/>
      <c r="AI123" s="78"/>
      <c r="AJ123" s="78">
        <f t="shared" si="698"/>
        <v>1.2238546823348353</v>
      </c>
      <c r="AK123" s="78"/>
      <c r="AL123" s="78"/>
      <c r="AM123" s="78">
        <f t="shared" si="699"/>
        <v>1.9949728919172398</v>
      </c>
      <c r="AN123" s="78"/>
      <c r="AO123" s="78"/>
      <c r="AP123" s="78">
        <f t="shared" si="700"/>
        <v>0.97683134676711503</v>
      </c>
      <c r="AQ123" s="78"/>
      <c r="AR123" s="78"/>
      <c r="AS123" s="78">
        <f t="shared" si="701"/>
        <v>2.4430248016808003</v>
      </c>
      <c r="AT123" s="78"/>
      <c r="AU123" s="10"/>
      <c r="AV123" s="78" t="str">
        <f t="shared" si="703"/>
        <v>±0,66</v>
      </c>
      <c r="AW123" s="132">
        <f t="shared" si="704"/>
        <v>0.66</v>
      </c>
      <c r="AX123" s="10"/>
      <c r="AY123" s="97"/>
      <c r="AZ123" s="20"/>
      <c r="BA123" s="20"/>
      <c r="BB123" s="20"/>
      <c r="BC123" s="20"/>
      <c r="BD123" s="20"/>
      <c r="BE123" s="20"/>
      <c r="BF123" s="20"/>
      <c r="BG123" s="20"/>
      <c r="BH123" s="20"/>
      <c r="BI123" s="20"/>
      <c r="BJ123" s="20"/>
      <c r="BK123" s="20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19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/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C123" s="19"/>
      <c r="DD123" s="19"/>
      <c r="DE123" s="19"/>
    </row>
    <row r="124" spans="1:256" s="19" customFormat="1" x14ac:dyDescent="0.2">
      <c r="A124" s="89" t="s">
        <v>8</v>
      </c>
      <c r="B124" s="90">
        <f>BF$117</f>
        <v>0.91400000000000003</v>
      </c>
      <c r="C124" s="90">
        <f>CH$117</f>
        <v>0.60099999999999998</v>
      </c>
      <c r="D124" s="90">
        <f>DG$117</f>
        <v>0.59599999999999997</v>
      </c>
      <c r="E124" s="90" t="s">
        <v>109</v>
      </c>
      <c r="F124" s="90" t="s">
        <v>109</v>
      </c>
      <c r="G124" s="90" t="s">
        <v>109</v>
      </c>
      <c r="H124" s="90" t="s">
        <v>109</v>
      </c>
      <c r="I124" s="90" t="s">
        <v>109</v>
      </c>
      <c r="J124" s="90" t="s">
        <v>109</v>
      </c>
      <c r="K124" s="90" t="s">
        <v>109</v>
      </c>
      <c r="L124" s="91"/>
      <c r="M124" s="92"/>
      <c r="N124" s="93"/>
      <c r="O124" s="94"/>
      <c r="P124" s="94"/>
      <c r="Q124" s="78" t="s">
        <v>25</v>
      </c>
      <c r="R124" s="78">
        <f t="shared" si="692"/>
        <v>0.31539576039319034</v>
      </c>
      <c r="S124" s="78"/>
      <c r="T124" s="78"/>
      <c r="U124" s="136">
        <f t="shared" si="693"/>
        <v>0.10627169048257612</v>
      </c>
      <c r="V124" s="78"/>
      <c r="W124" s="78"/>
      <c r="X124" s="78">
        <f t="shared" si="694"/>
        <v>0.44393604682375143</v>
      </c>
      <c r="Y124" s="78"/>
      <c r="Z124" s="78"/>
      <c r="AA124" s="78">
        <f t="shared" si="695"/>
        <v>0.41833718216125881</v>
      </c>
      <c r="AB124" s="78"/>
      <c r="AC124" s="78"/>
      <c r="AD124" s="78">
        <f t="shared" si="696"/>
        <v>0.46906934702322683</v>
      </c>
      <c r="AE124" s="78"/>
      <c r="AF124" s="78"/>
      <c r="AG124" s="78">
        <f t="shared" si="697"/>
        <v>0.93060845629727174</v>
      </c>
      <c r="AH124" s="78"/>
      <c r="AI124" s="78"/>
      <c r="AJ124" s="78">
        <f t="shared" si="698"/>
        <v>0.40189842385911656</v>
      </c>
      <c r="AK124" s="78"/>
      <c r="AL124" s="78"/>
      <c r="AM124" s="78">
        <f t="shared" si="699"/>
        <v>0.1927030034053355</v>
      </c>
      <c r="AN124" s="78"/>
      <c r="AO124" s="78"/>
      <c r="AP124" s="78">
        <f t="shared" si="700"/>
        <v>0.31926507999881715</v>
      </c>
      <c r="AQ124" s="78"/>
      <c r="AR124" s="78"/>
      <c r="AS124" s="78">
        <f t="shared" si="701"/>
        <v>0.2407132860470976</v>
      </c>
      <c r="AT124" s="78"/>
      <c r="AU124" s="92"/>
      <c r="AV124" s="78" t="str">
        <f t="shared" si="703"/>
        <v>±0,22</v>
      </c>
      <c r="AW124" s="132">
        <f t="shared" si="704"/>
        <v>0.22</v>
      </c>
      <c r="AX124" s="92"/>
      <c r="AY124" s="98"/>
      <c r="AZ124" s="21"/>
      <c r="BA124" s="21"/>
      <c r="BB124" s="21"/>
      <c r="BC124" s="20"/>
      <c r="BD124" s="20"/>
      <c r="BE124" s="20"/>
      <c r="BF124" s="20"/>
      <c r="BG124" s="20"/>
      <c r="BH124" s="20"/>
      <c r="BI124" s="20"/>
      <c r="BJ124" s="20"/>
      <c r="BK124" s="20"/>
    </row>
    <row r="125" spans="1:256" s="19" customFormat="1" x14ac:dyDescent="0.2">
      <c r="A125" s="89" t="s">
        <v>110</v>
      </c>
      <c r="B125" s="90">
        <f>IF(BH$119&lt;0.001,0.001,BH$119)</f>
        <v>1E-3</v>
      </c>
      <c r="C125" s="90">
        <f>IF(CJ$119&lt;0.001,0.001,CJ$119)</f>
        <v>1E-3</v>
      </c>
      <c r="D125" s="90">
        <f>IF(DI$119&lt;0.001,0.001,DI$119)</f>
        <v>1E-3</v>
      </c>
      <c r="E125" s="90" t="s">
        <v>109</v>
      </c>
      <c r="F125" s="90" t="s">
        <v>109</v>
      </c>
      <c r="G125" s="90" t="s">
        <v>109</v>
      </c>
      <c r="H125" s="90" t="s">
        <v>109</v>
      </c>
      <c r="I125" s="90" t="s">
        <v>109</v>
      </c>
      <c r="J125" s="90" t="s">
        <v>109</v>
      </c>
      <c r="K125" s="90" t="s">
        <v>109</v>
      </c>
      <c r="L125" s="91"/>
      <c r="M125" s="92"/>
      <c r="N125" s="93"/>
      <c r="O125" s="94"/>
      <c r="P125" s="94"/>
      <c r="Q125" s="78" t="s">
        <v>26</v>
      </c>
      <c r="R125" s="78">
        <f t="shared" si="692"/>
        <v>0.82668745452054337</v>
      </c>
      <c r="S125" s="78"/>
      <c r="T125" s="78"/>
      <c r="U125" s="136">
        <f t="shared" si="693"/>
        <v>0.376915949182488</v>
      </c>
      <c r="V125" s="78"/>
      <c r="W125" s="78"/>
      <c r="X125" s="78">
        <f t="shared" si="694"/>
        <v>1.8042697419197125</v>
      </c>
      <c r="Y125" s="78"/>
      <c r="Z125" s="78"/>
      <c r="AA125" s="78">
        <f t="shared" si="695"/>
        <v>0.95785610562558221</v>
      </c>
      <c r="AB125" s="78"/>
      <c r="AC125" s="78"/>
      <c r="AD125" s="78">
        <f t="shared" si="696"/>
        <v>0.5980350723002309</v>
      </c>
      <c r="AE125" s="78"/>
      <c r="AF125" s="78"/>
      <c r="AG125" s="78">
        <f t="shared" si="697"/>
        <v>1.178454235782515</v>
      </c>
      <c r="AH125" s="78"/>
      <c r="AI125" s="78"/>
      <c r="AJ125" s="78">
        <f t="shared" si="698"/>
        <v>0.68973673130653679</v>
      </c>
      <c r="AK125" s="78"/>
      <c r="AL125" s="78"/>
      <c r="AM125" s="78">
        <f t="shared" si="699"/>
        <v>0.65432666281887164</v>
      </c>
      <c r="AN125" s="78"/>
      <c r="AO125" s="78"/>
      <c r="AP125" s="78">
        <f t="shared" si="700"/>
        <v>1.2898840062881729</v>
      </c>
      <c r="AQ125" s="78"/>
      <c r="AR125" s="78"/>
      <c r="AS125" s="78">
        <f t="shared" si="701"/>
        <v>0.52574775488604564</v>
      </c>
      <c r="AT125" s="78"/>
      <c r="AU125" s="92"/>
      <c r="AV125" s="78" t="str">
        <f t="shared" si="703"/>
        <v>±0,43</v>
      </c>
      <c r="AW125" s="132">
        <f t="shared" si="704"/>
        <v>0.43</v>
      </c>
      <c r="AX125" s="92"/>
      <c r="AY125" s="29"/>
      <c r="AZ125" s="1"/>
      <c r="BA125" s="1"/>
      <c r="BB125" s="1"/>
      <c r="BC125" s="2"/>
      <c r="BD125" s="2"/>
      <c r="BE125" s="2"/>
      <c r="BF125" s="2"/>
      <c r="BG125" s="2"/>
      <c r="BH125" s="2"/>
      <c r="BI125" s="2"/>
      <c r="BJ125" s="2"/>
      <c r="BK125" s="2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</row>
    <row r="126" spans="1:256" x14ac:dyDescent="0.2">
      <c r="A126" s="95" t="s">
        <v>0</v>
      </c>
      <c r="B126" s="88">
        <f>BI$117</f>
        <v>0.81599999999999995</v>
      </c>
      <c r="C126" s="88">
        <f>CK$117</f>
        <v>0.70799999999999996</v>
      </c>
      <c r="D126" s="88">
        <f>DJ$117</f>
        <v>0.59799999999999998</v>
      </c>
      <c r="E126" s="88">
        <f>EF$117</f>
        <v>0.79200000000000004</v>
      </c>
      <c r="F126" s="88" t="s">
        <v>109</v>
      </c>
      <c r="G126" s="88" t="s">
        <v>109</v>
      </c>
      <c r="H126" s="88" t="s">
        <v>109</v>
      </c>
      <c r="I126" s="88" t="s">
        <v>109</v>
      </c>
      <c r="J126" s="88" t="s">
        <v>109</v>
      </c>
      <c r="K126" s="88" t="s">
        <v>109</v>
      </c>
      <c r="L126" s="58"/>
      <c r="M126" s="10"/>
      <c r="N126" s="57"/>
      <c r="O126" s="72"/>
      <c r="P126" s="72"/>
      <c r="Q126" s="78" t="s">
        <v>27</v>
      </c>
      <c r="R126" s="78">
        <f t="shared" si="692"/>
        <v>1.3479109274975598</v>
      </c>
      <c r="S126" s="78"/>
      <c r="T126" s="78"/>
      <c r="U126" s="136">
        <f t="shared" si="693"/>
        <v>1.8880967250202516</v>
      </c>
      <c r="V126" s="78"/>
      <c r="W126" s="78"/>
      <c r="X126" s="78">
        <f t="shared" si="694"/>
        <v>0.56343937007801503</v>
      </c>
      <c r="Y126" s="78"/>
      <c r="Z126" s="78"/>
      <c r="AA126" s="78">
        <f t="shared" si="695"/>
        <v>0.77732206062736819</v>
      </c>
      <c r="AB126" s="78"/>
      <c r="AC126" s="78"/>
      <c r="AD126" s="78">
        <f t="shared" si="696"/>
        <v>1.0111422976401605</v>
      </c>
      <c r="AE126" s="78"/>
      <c r="AF126" s="78"/>
      <c r="AG126" s="78">
        <f t="shared" si="697"/>
        <v>0.35959411846053324</v>
      </c>
      <c r="AH126" s="78"/>
      <c r="AI126" s="78"/>
      <c r="AJ126" s="78">
        <f t="shared" si="698"/>
        <v>0.37848903061431433</v>
      </c>
      <c r="AK126" s="78"/>
      <c r="AL126" s="78"/>
      <c r="AM126" s="78">
        <f t="shared" si="699"/>
        <v>0.66687900420794377</v>
      </c>
      <c r="AN126" s="78"/>
      <c r="AO126" s="78"/>
      <c r="AP126" s="78">
        <f t="shared" si="700"/>
        <v>0.35998573442315562</v>
      </c>
      <c r="AQ126" s="78"/>
      <c r="AR126" s="78"/>
      <c r="AS126" s="78">
        <f t="shared" si="701"/>
        <v>0.66591064501454011</v>
      </c>
      <c r="AT126" s="78"/>
      <c r="AU126" s="10"/>
      <c r="AV126" s="78" t="str">
        <f t="shared" si="703"/>
        <v>±0,49</v>
      </c>
      <c r="AW126" s="132">
        <f t="shared" si="704"/>
        <v>0.49</v>
      </c>
      <c r="AX126" s="10"/>
    </row>
    <row r="127" spans="1:256" x14ac:dyDescent="0.2">
      <c r="A127" s="95" t="s">
        <v>110</v>
      </c>
      <c r="B127" s="88">
        <f>IF(BK$119&lt;0.001,0.001,BK$119)</f>
        <v>1E-3</v>
      </c>
      <c r="C127" s="88">
        <f>IF(CL$119&lt;0.001,0.001,CM$119)</f>
        <v>2.5144261359567566E-5</v>
      </c>
      <c r="D127" s="88">
        <f>IF(DL$119&lt;0.001,0.001,DL$119)</f>
        <v>1E-3</v>
      </c>
      <c r="E127" s="88">
        <f>IF(EH$119&lt;0.001,0.001,EH$119)</f>
        <v>1E-3</v>
      </c>
      <c r="F127" s="88" t="s">
        <v>109</v>
      </c>
      <c r="G127" s="88" t="s">
        <v>109</v>
      </c>
      <c r="H127" s="88" t="s">
        <v>109</v>
      </c>
      <c r="I127" s="88" t="s">
        <v>109</v>
      </c>
      <c r="J127" s="88" t="s">
        <v>109</v>
      </c>
      <c r="K127" s="88" t="s">
        <v>109</v>
      </c>
      <c r="L127" s="58"/>
      <c r="M127" s="10"/>
      <c r="N127" s="57"/>
      <c r="O127" s="72"/>
      <c r="P127" s="72"/>
      <c r="Q127" s="78" t="s">
        <v>28</v>
      </c>
      <c r="R127" s="78">
        <f t="shared" si="692"/>
        <v>1.3102458632574088</v>
      </c>
      <c r="S127" s="78"/>
      <c r="T127" s="78"/>
      <c r="U127" s="136">
        <f t="shared" si="693"/>
        <v>1.1059727195919407</v>
      </c>
      <c r="V127" s="78"/>
      <c r="W127" s="78"/>
      <c r="X127" s="78">
        <f t="shared" si="694"/>
        <v>1.0814921729369151</v>
      </c>
      <c r="Y127" s="78"/>
      <c r="Z127" s="78"/>
      <c r="AA127" s="78">
        <f t="shared" si="695"/>
        <v>1.1559249095304833</v>
      </c>
      <c r="AB127" s="78"/>
      <c r="AC127" s="78"/>
      <c r="AD127" s="78">
        <f t="shared" si="696"/>
        <v>0.34680697207471878</v>
      </c>
      <c r="AE127" s="78"/>
      <c r="AF127" s="78"/>
      <c r="AG127" s="78">
        <f t="shared" si="697"/>
        <v>0.79337651583646573</v>
      </c>
      <c r="AH127" s="78"/>
      <c r="AI127" s="78"/>
      <c r="AJ127" s="78">
        <f t="shared" si="698"/>
        <v>0.82579523342136041</v>
      </c>
      <c r="AK127" s="78"/>
      <c r="AL127" s="78"/>
      <c r="AM127" s="78">
        <f t="shared" si="699"/>
        <v>0.59126432213933222</v>
      </c>
      <c r="AN127" s="78"/>
      <c r="AO127" s="78"/>
      <c r="AP127" s="78">
        <f t="shared" si="700"/>
        <v>0.78303920967858709</v>
      </c>
      <c r="AQ127" s="78"/>
      <c r="AR127" s="78"/>
      <c r="AS127" s="78">
        <f t="shared" si="701"/>
        <v>1.013641671420296</v>
      </c>
      <c r="AT127" s="78"/>
      <c r="AU127" s="10"/>
      <c r="AV127" s="78" t="str">
        <f t="shared" si="703"/>
        <v>±0,29</v>
      </c>
      <c r="AW127" s="132">
        <f t="shared" si="704"/>
        <v>0.28999999999999998</v>
      </c>
      <c r="AX127" s="10"/>
      <c r="AY127" s="98"/>
      <c r="AZ127" s="21"/>
      <c r="BA127" s="21"/>
      <c r="BB127" s="21"/>
      <c r="BC127" s="20"/>
      <c r="BD127" s="20"/>
      <c r="BE127" s="20"/>
      <c r="BF127" s="20"/>
      <c r="BG127" s="20"/>
      <c r="BH127" s="20"/>
      <c r="BI127" s="20"/>
      <c r="BJ127" s="20"/>
      <c r="BK127" s="20"/>
      <c r="BL127" s="19"/>
      <c r="BM127" s="19"/>
      <c r="BN127" s="19"/>
      <c r="BO127" s="19"/>
      <c r="BP127" s="19"/>
      <c r="BQ127" s="19"/>
      <c r="BR127" s="19"/>
      <c r="BS127" s="19"/>
      <c r="BT127" s="19"/>
      <c r="BU127" s="19"/>
      <c r="BV127" s="19"/>
      <c r="BW127" s="19"/>
      <c r="BX127" s="19"/>
      <c r="BY127" s="19"/>
      <c r="BZ127" s="19"/>
      <c r="CA127" s="19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  <c r="CU127" s="19"/>
      <c r="CV127" s="19"/>
      <c r="CW127" s="19"/>
      <c r="CX127" s="19"/>
      <c r="CY127" s="19"/>
      <c r="CZ127" s="19"/>
      <c r="DA127" s="19"/>
      <c r="DB127" s="19"/>
      <c r="DC127" s="19"/>
      <c r="DD127" s="19"/>
      <c r="DE127" s="19"/>
    </row>
    <row r="128" spans="1:256" s="19" customFormat="1" x14ac:dyDescent="0.2">
      <c r="A128" s="89" t="s">
        <v>133</v>
      </c>
      <c r="B128" s="90">
        <f>BL$117</f>
        <v>0.63200000000000001</v>
      </c>
      <c r="C128" s="90">
        <f>CN$117</f>
        <v>0.54900000000000004</v>
      </c>
      <c r="D128" s="90">
        <f>DM$117</f>
        <v>0.49199999999999999</v>
      </c>
      <c r="E128" s="90">
        <f>EI$117</f>
        <v>0.66</v>
      </c>
      <c r="F128" s="90">
        <f>FB$117</f>
        <v>0.77500000000000002</v>
      </c>
      <c r="G128" s="90" t="s">
        <v>109</v>
      </c>
      <c r="H128" s="90" t="s">
        <v>109</v>
      </c>
      <c r="I128" s="90" t="s">
        <v>109</v>
      </c>
      <c r="J128" s="90" t="s">
        <v>109</v>
      </c>
      <c r="K128" s="90" t="s">
        <v>109</v>
      </c>
      <c r="L128" s="91"/>
      <c r="M128" s="92"/>
      <c r="N128" s="93"/>
      <c r="O128" s="94"/>
      <c r="P128" s="94"/>
      <c r="Q128" s="78" t="s">
        <v>29</v>
      </c>
      <c r="R128" s="78">
        <f t="shared" si="692"/>
        <v>0.61390783933663196</v>
      </c>
      <c r="S128" s="78"/>
      <c r="T128" s="78"/>
      <c r="U128" s="136">
        <f t="shared" si="693"/>
        <v>0.84359573805191601</v>
      </c>
      <c r="V128" s="78"/>
      <c r="W128" s="78"/>
      <c r="X128" s="78">
        <f t="shared" si="694"/>
        <v>0.8113014726335358</v>
      </c>
      <c r="Y128" s="78"/>
      <c r="Z128" s="78"/>
      <c r="AA128" s="78">
        <f t="shared" si="695"/>
        <v>0.65772079097174407</v>
      </c>
      <c r="AB128" s="78"/>
      <c r="AC128" s="78"/>
      <c r="AD128" s="78">
        <f t="shared" si="696"/>
        <v>0.43069828211688382</v>
      </c>
      <c r="AE128" s="78"/>
      <c r="AF128" s="78"/>
      <c r="AG128" s="78">
        <f t="shared" si="697"/>
        <v>0.84027781285119529</v>
      </c>
      <c r="AH128" s="78"/>
      <c r="AI128" s="78"/>
      <c r="AJ128" s="78">
        <f t="shared" si="698"/>
        <v>1.0854350523351441</v>
      </c>
      <c r="AK128" s="78"/>
      <c r="AL128" s="78"/>
      <c r="AM128" s="78">
        <f t="shared" si="699"/>
        <v>2.1389266795767998</v>
      </c>
      <c r="AN128" s="78"/>
      <c r="AO128" s="78"/>
      <c r="AP128" s="78">
        <f t="shared" si="700"/>
        <v>0.8941392436081339</v>
      </c>
      <c r="AQ128" s="78"/>
      <c r="AR128" s="78"/>
      <c r="AS128" s="78">
        <f t="shared" si="701"/>
        <v>1.0406117790824676</v>
      </c>
      <c r="AT128" s="78"/>
      <c r="AU128" s="92"/>
      <c r="AV128" s="78" t="str">
        <f t="shared" si="703"/>
        <v>±0,47</v>
      </c>
      <c r="AW128" s="132">
        <f t="shared" si="704"/>
        <v>0.47</v>
      </c>
      <c r="AX128" s="92"/>
      <c r="AY128" s="98"/>
      <c r="AZ128" s="21"/>
      <c r="BA128" s="21"/>
      <c r="BB128" s="21"/>
      <c r="BC128" s="20"/>
      <c r="BD128" s="20"/>
      <c r="BE128" s="20"/>
      <c r="BF128" s="20"/>
      <c r="BG128" s="20"/>
      <c r="BH128" s="20"/>
      <c r="BI128" s="20"/>
      <c r="BJ128" s="20"/>
      <c r="BK128" s="20"/>
    </row>
    <row r="129" spans="1:109" s="19" customFormat="1" x14ac:dyDescent="0.2">
      <c r="A129" s="89" t="s">
        <v>110</v>
      </c>
      <c r="B129" s="90">
        <f>IF(BN$119&lt;0.001,0.001,BN$119)</f>
        <v>1E-3</v>
      </c>
      <c r="C129" s="90">
        <f>IF(CP$119&lt;0.001,0.001,CP$119)</f>
        <v>2.4777673215761495E-3</v>
      </c>
      <c r="D129" s="90">
        <f>IF(DO$119&lt;0.001,0.001,DO$119)</f>
        <v>7.8598806004315791E-3</v>
      </c>
      <c r="E129" s="90">
        <f>IF(EK$119&lt;0.001,0.001,EK$119)</f>
        <v>1E-3</v>
      </c>
      <c r="F129" s="90">
        <f>IF(FD$119&lt;0.001,0.001,FD$119)</f>
        <v>1E-3</v>
      </c>
      <c r="G129" s="90" t="s">
        <v>109</v>
      </c>
      <c r="H129" s="90" t="s">
        <v>109</v>
      </c>
      <c r="I129" s="90" t="s">
        <v>109</v>
      </c>
      <c r="J129" s="90" t="s">
        <v>109</v>
      </c>
      <c r="K129" s="90" t="s">
        <v>109</v>
      </c>
      <c r="L129" s="91"/>
      <c r="M129" s="92"/>
      <c r="N129" s="93"/>
      <c r="O129" s="94"/>
      <c r="P129" s="94"/>
      <c r="Q129" s="78" t="s">
        <v>30</v>
      </c>
      <c r="R129" s="78">
        <f t="shared" si="692"/>
        <v>0.51425165532110884</v>
      </c>
      <c r="S129" s="78"/>
      <c r="T129" s="78"/>
      <c r="U129" s="136">
        <f t="shared" si="693"/>
        <v>0.46809342950513394</v>
      </c>
      <c r="V129" s="78"/>
      <c r="W129" s="78"/>
      <c r="X129" s="78">
        <f t="shared" si="694"/>
        <v>1.976447280690653</v>
      </c>
      <c r="Y129" s="78"/>
      <c r="Z129" s="78"/>
      <c r="AA129" s="78">
        <f t="shared" si="695"/>
        <v>0.80485480235793361</v>
      </c>
      <c r="AB129" s="78"/>
      <c r="AC129" s="78"/>
      <c r="AD129" s="78">
        <f t="shared" si="696"/>
        <v>0.59412193115401812</v>
      </c>
      <c r="AE129" s="78"/>
      <c r="AF129" s="78"/>
      <c r="AG129" s="78">
        <f t="shared" si="697"/>
        <v>1.0306497276102145</v>
      </c>
      <c r="AH129" s="78"/>
      <c r="AI129" s="78"/>
      <c r="AJ129" s="78">
        <f t="shared" si="698"/>
        <v>0.63669681924734789</v>
      </c>
      <c r="AK129" s="78"/>
      <c r="AL129" s="78"/>
      <c r="AM129" s="78">
        <f t="shared" si="699"/>
        <v>5.8208389758827875E-2</v>
      </c>
      <c r="AN129" s="78"/>
      <c r="AO129" s="78"/>
      <c r="AP129" s="78">
        <f t="shared" si="700"/>
        <v>1.2109097561572024</v>
      </c>
      <c r="AQ129" s="78"/>
      <c r="AR129" s="78"/>
      <c r="AS129" s="78">
        <f t="shared" si="701"/>
        <v>1.0070090789258532</v>
      </c>
      <c r="AT129" s="78"/>
      <c r="AU129" s="92"/>
      <c r="AV129" s="78" t="str">
        <f t="shared" si="703"/>
        <v>±0,52</v>
      </c>
      <c r="AW129" s="132">
        <f t="shared" si="704"/>
        <v>0.52</v>
      </c>
      <c r="AX129" s="92"/>
      <c r="AY129" s="29"/>
      <c r="AZ129" s="1"/>
      <c r="BA129" s="1"/>
      <c r="BB129" s="1"/>
      <c r="BC129" s="2"/>
      <c r="BD129" s="2"/>
      <c r="BE129" s="2"/>
      <c r="BF129" s="2"/>
      <c r="BG129" s="2"/>
      <c r="BH129" s="2"/>
      <c r="BI129" s="2"/>
      <c r="BJ129" s="2"/>
      <c r="BK129" s="2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</row>
    <row r="130" spans="1:109" x14ac:dyDescent="0.2">
      <c r="A130" s="95" t="s">
        <v>142</v>
      </c>
      <c r="B130" s="88">
        <f>BO$117</f>
        <v>0.71099999999999997</v>
      </c>
      <c r="C130" s="88">
        <f>CQ$117</f>
        <v>0.76700000000000002</v>
      </c>
      <c r="D130" s="88">
        <f>DP$117</f>
        <v>0.54200000000000004</v>
      </c>
      <c r="E130" s="88">
        <f>EL$117</f>
        <v>0.65500000000000003</v>
      </c>
      <c r="F130" s="88">
        <f>FE$117</f>
        <v>0.77900000000000003</v>
      </c>
      <c r="G130" s="88">
        <f>FU$117</f>
        <v>0.81699999999999995</v>
      </c>
      <c r="H130" s="88" t="s">
        <v>109</v>
      </c>
      <c r="I130" s="88" t="s">
        <v>109</v>
      </c>
      <c r="J130" s="88" t="s">
        <v>109</v>
      </c>
      <c r="K130" s="88" t="s">
        <v>109</v>
      </c>
      <c r="L130" s="58"/>
      <c r="M130" s="10"/>
      <c r="N130" s="57"/>
      <c r="O130" s="72"/>
      <c r="P130" s="72"/>
      <c r="Q130" s="78" t="s">
        <v>31</v>
      </c>
      <c r="R130" s="78">
        <f t="shared" si="692"/>
        <v>0.59675323532353375</v>
      </c>
      <c r="S130" s="78"/>
      <c r="T130" s="78"/>
      <c r="U130" s="136">
        <f t="shared" si="693"/>
        <v>0.28171743434202345</v>
      </c>
      <c r="V130" s="78"/>
      <c r="W130" s="78"/>
      <c r="X130" s="78">
        <f t="shared" si="694"/>
        <v>1.0012197839649095</v>
      </c>
      <c r="Y130" s="78"/>
      <c r="Z130" s="78"/>
      <c r="AA130" s="78">
        <f t="shared" si="695"/>
        <v>0.9380594092678548</v>
      </c>
      <c r="AB130" s="78"/>
      <c r="AC130" s="78"/>
      <c r="AD130" s="78">
        <f t="shared" si="696"/>
        <v>0.87516256296881711</v>
      </c>
      <c r="AE130" s="78"/>
      <c r="AF130" s="78"/>
      <c r="AG130" s="78">
        <f t="shared" si="697"/>
        <v>1.3911433414210375</v>
      </c>
      <c r="AH130" s="78"/>
      <c r="AI130" s="78"/>
      <c r="AJ130" s="78">
        <f t="shared" si="698"/>
        <v>0.49089995102072126</v>
      </c>
      <c r="AK130" s="78"/>
      <c r="AL130" s="78"/>
      <c r="AM130" s="78">
        <f t="shared" si="699"/>
        <v>0.18318166898699237</v>
      </c>
      <c r="AN130" s="78"/>
      <c r="AO130" s="78"/>
      <c r="AP130" s="78">
        <f t="shared" si="700"/>
        <v>0.89980633067132731</v>
      </c>
      <c r="AQ130" s="78"/>
      <c r="AR130" s="78"/>
      <c r="AS130" s="78">
        <f t="shared" si="701"/>
        <v>0.81086408749420036</v>
      </c>
      <c r="AT130" s="78"/>
      <c r="AU130" s="10"/>
      <c r="AV130" s="78" t="str">
        <f t="shared" si="703"/>
        <v>±0,36</v>
      </c>
      <c r="AW130" s="132">
        <f t="shared" si="704"/>
        <v>0.36</v>
      </c>
      <c r="AX130" s="10"/>
    </row>
    <row r="131" spans="1:109" x14ac:dyDescent="0.2">
      <c r="A131" s="95" t="s">
        <v>110</v>
      </c>
      <c r="B131" s="88">
        <f>IF(BQ$119&lt;0.001,0.001,BQ$119)</f>
        <v>1E-3</v>
      </c>
      <c r="C131" s="88">
        <f>IF(CS$119&lt;0.001,0.001,CS$119)</f>
        <v>1E-3</v>
      </c>
      <c r="D131" s="88">
        <f>IF(DR$119&lt;0.001,0.001,DR$119)</f>
        <v>2.8796946570240371E-3</v>
      </c>
      <c r="E131" s="88">
        <f>IF(EN$119&lt;0.001,0.001,EN$119)</f>
        <v>1E-3</v>
      </c>
      <c r="F131" s="88">
        <f>IF(FG$119&lt;0.001,0.001,FG$119)</f>
        <v>1E-3</v>
      </c>
      <c r="G131" s="88">
        <f>IF(FW$119&lt;0.001,0.001,FW$119)</f>
        <v>1E-3</v>
      </c>
      <c r="H131" s="88" t="s">
        <v>109</v>
      </c>
      <c r="I131" s="88" t="s">
        <v>109</v>
      </c>
      <c r="J131" s="88" t="s">
        <v>109</v>
      </c>
      <c r="K131" s="88" t="s">
        <v>109</v>
      </c>
      <c r="L131" s="58"/>
      <c r="M131" s="10"/>
      <c r="N131" s="57"/>
      <c r="O131" s="72"/>
      <c r="P131" s="72"/>
      <c r="Q131" s="78" t="s">
        <v>32</v>
      </c>
      <c r="R131" s="78">
        <f t="shared" si="692"/>
        <v>0.54040006545713659</v>
      </c>
      <c r="S131" s="78"/>
      <c r="T131" s="78"/>
      <c r="U131" s="136">
        <f t="shared" si="693"/>
        <v>0.78837322745839578</v>
      </c>
      <c r="V131" s="78"/>
      <c r="W131" s="78"/>
      <c r="X131" s="78">
        <f t="shared" si="694"/>
        <v>0.58354145811340985</v>
      </c>
      <c r="Y131" s="78"/>
      <c r="Z131" s="78"/>
      <c r="AA131" s="78">
        <f t="shared" si="695"/>
        <v>0.925089444242718</v>
      </c>
      <c r="AB131" s="78"/>
      <c r="AC131" s="78"/>
      <c r="AD131" s="78">
        <f t="shared" si="696"/>
        <v>0.48472163551847369</v>
      </c>
      <c r="AE131" s="78"/>
      <c r="AF131" s="78"/>
      <c r="AG131" s="78">
        <f t="shared" si="697"/>
        <v>0.84027781285119529</v>
      </c>
      <c r="AH131" s="78"/>
      <c r="AI131" s="78"/>
      <c r="AJ131" s="78">
        <f t="shared" si="698"/>
        <v>1.1602798163744907</v>
      </c>
      <c r="AK131" s="78"/>
      <c r="AL131" s="78"/>
      <c r="AM131" s="78">
        <f t="shared" si="699"/>
        <v>1.0324115734499955</v>
      </c>
      <c r="AN131" s="78"/>
      <c r="AO131" s="78"/>
      <c r="AP131" s="78">
        <f t="shared" si="700"/>
        <v>0.95245405684468565</v>
      </c>
      <c r="AQ131" s="78"/>
      <c r="AR131" s="78"/>
      <c r="AS131" s="78">
        <f t="shared" si="701"/>
        <v>0.94302386408700334</v>
      </c>
      <c r="AT131" s="78"/>
      <c r="AU131" s="10"/>
      <c r="AV131" s="78" t="str">
        <f t="shared" si="703"/>
        <v>±0,22</v>
      </c>
      <c r="AW131" s="132">
        <f t="shared" si="704"/>
        <v>0.22</v>
      </c>
      <c r="AX131" s="10"/>
      <c r="AY131" s="98"/>
      <c r="AZ131" s="21"/>
      <c r="BA131" s="21"/>
      <c r="BB131" s="21"/>
      <c r="BC131" s="20"/>
      <c r="BD131" s="20"/>
      <c r="BE131" s="20"/>
      <c r="BF131" s="20"/>
      <c r="BG131" s="20"/>
      <c r="BH131" s="20"/>
      <c r="BI131" s="20"/>
      <c r="BJ131" s="20"/>
      <c r="BK131" s="20"/>
      <c r="BL131" s="19"/>
      <c r="BM131" s="19"/>
      <c r="BN131" s="19"/>
      <c r="BO131" s="19"/>
      <c r="BP131" s="19"/>
      <c r="BQ131" s="19"/>
      <c r="BR131" s="19"/>
      <c r="BS131" s="19"/>
      <c r="BT131" s="19"/>
      <c r="BU131" s="19"/>
      <c r="BV131" s="19"/>
      <c r="BW131" s="19"/>
      <c r="BX131" s="19"/>
      <c r="BY131" s="19"/>
      <c r="BZ131" s="19"/>
      <c r="CA131" s="19"/>
      <c r="CB131" s="19"/>
      <c r="CC131" s="19"/>
      <c r="CD131" s="19"/>
      <c r="CE131" s="19"/>
      <c r="CF131" s="19"/>
      <c r="CG131" s="19"/>
      <c r="CH131" s="19"/>
      <c r="CI131" s="19"/>
      <c r="CJ131" s="19"/>
      <c r="CK131" s="19"/>
      <c r="CL131" s="19"/>
      <c r="CM131" s="19"/>
      <c r="CN131" s="19"/>
      <c r="CO131" s="19"/>
      <c r="CP131" s="19"/>
      <c r="CQ131" s="19"/>
      <c r="CR131" s="19"/>
      <c r="CS131" s="19"/>
      <c r="CT131" s="19"/>
      <c r="CU131" s="19"/>
      <c r="CV131" s="19"/>
      <c r="CW131" s="19"/>
      <c r="CX131" s="19"/>
      <c r="CY131" s="19"/>
      <c r="CZ131" s="19"/>
      <c r="DA131" s="19"/>
      <c r="DB131" s="19"/>
      <c r="DC131" s="19"/>
      <c r="DD131" s="19"/>
      <c r="DE131" s="19"/>
    </row>
    <row r="132" spans="1:109" s="19" customFormat="1" x14ac:dyDescent="0.2">
      <c r="A132" s="89" t="s">
        <v>131</v>
      </c>
      <c r="B132" s="90">
        <f>BR$117</f>
        <v>0.72799999999999998</v>
      </c>
      <c r="C132" s="90">
        <f>CT$117</f>
        <v>0.71699999999999997</v>
      </c>
      <c r="D132" s="90">
        <f>DS$117</f>
        <v>0.47</v>
      </c>
      <c r="E132" s="90">
        <f>EO$117</f>
        <v>0.60399999999999998</v>
      </c>
      <c r="F132" s="90">
        <f>FH$117</f>
        <v>0.65100000000000002</v>
      </c>
      <c r="G132" s="90">
        <f>FX$117</f>
        <v>0.52300000000000002</v>
      </c>
      <c r="H132" s="90">
        <f>GK$117</f>
        <v>0.65</v>
      </c>
      <c r="I132" s="90" t="s">
        <v>109</v>
      </c>
      <c r="J132" s="90" t="s">
        <v>109</v>
      </c>
      <c r="K132" s="90" t="s">
        <v>109</v>
      </c>
      <c r="L132" s="91"/>
      <c r="M132" s="92"/>
      <c r="N132" s="93"/>
      <c r="O132" s="94"/>
      <c r="P132" s="94"/>
      <c r="Q132" s="78" t="s">
        <v>33</v>
      </c>
      <c r="R132" s="78">
        <f t="shared" si="692"/>
        <v>0.70736760028636003</v>
      </c>
      <c r="S132" s="78"/>
      <c r="T132" s="78"/>
      <c r="U132" s="136">
        <f t="shared" si="693"/>
        <v>1.4598045171665561</v>
      </c>
      <c r="V132" s="78"/>
      <c r="W132" s="78"/>
      <c r="X132" s="78">
        <f t="shared" si="694"/>
        <v>0.7616897595110188</v>
      </c>
      <c r="Y132" s="78"/>
      <c r="Z132" s="78"/>
      <c r="AA132" s="78">
        <f t="shared" si="695"/>
        <v>0.41543507158535897</v>
      </c>
      <c r="AB132" s="78"/>
      <c r="AC132" s="78"/>
      <c r="AD132" s="78">
        <f t="shared" si="696"/>
        <v>0.79309037089972734</v>
      </c>
      <c r="AE132" s="78"/>
      <c r="AF132" s="78"/>
      <c r="AG132" s="78">
        <f t="shared" si="697"/>
        <v>0.96078126376127782</v>
      </c>
      <c r="AH132" s="78"/>
      <c r="AI132" s="78"/>
      <c r="AJ132" s="78">
        <f t="shared" si="698"/>
        <v>0.91876957295495421</v>
      </c>
      <c r="AK132" s="78"/>
      <c r="AL132" s="78"/>
      <c r="AM132" s="78">
        <f t="shared" si="699"/>
        <v>1.5682173608304086</v>
      </c>
      <c r="AN132" s="78"/>
      <c r="AO132" s="78"/>
      <c r="AP132" s="78">
        <f t="shared" si="700"/>
        <v>0.55318407829718585</v>
      </c>
      <c r="AQ132" s="78"/>
      <c r="AR132" s="78"/>
      <c r="AS132" s="78">
        <f t="shared" si="701"/>
        <v>0.47022880759544416</v>
      </c>
      <c r="AT132" s="78"/>
      <c r="AU132" s="92"/>
      <c r="AV132" s="78" t="str">
        <f t="shared" si="703"/>
        <v>±0,39</v>
      </c>
      <c r="AW132" s="132">
        <f t="shared" si="704"/>
        <v>0.39</v>
      </c>
      <c r="AX132" s="92"/>
      <c r="AY132" s="98"/>
      <c r="AZ132" s="21"/>
      <c r="BA132" s="21"/>
      <c r="BB132" s="21"/>
      <c r="BC132" s="20"/>
      <c r="BD132" s="20"/>
      <c r="BE132" s="20"/>
      <c r="BF132" s="20"/>
      <c r="BG132" s="20"/>
      <c r="BH132" s="20"/>
      <c r="BI132" s="20"/>
      <c r="BJ132" s="20"/>
      <c r="BK132" s="20"/>
    </row>
    <row r="133" spans="1:109" s="19" customFormat="1" x14ac:dyDescent="0.2">
      <c r="A133" s="89" t="s">
        <v>110</v>
      </c>
      <c r="B133" s="90">
        <f>IF(BT$119&lt;0.001,0.001,BT$119)</f>
        <v>1E-3</v>
      </c>
      <c r="C133" s="90">
        <f>IF(CV$119&lt;0.001,0.001,CV$119)</f>
        <v>1E-3</v>
      </c>
      <c r="D133" s="90">
        <f>IF(DU$119&lt;0.001,0.001,DU$119)</f>
        <v>1.1480856521595872E-2</v>
      </c>
      <c r="E133" s="90">
        <f>IF(EQ$119&lt;0.001,0.001,EQ$119)</f>
        <v>1E-3</v>
      </c>
      <c r="F133" s="90">
        <f>IF(FJ$119&lt;0.001,0.001,FJ$119)</f>
        <v>1E-3</v>
      </c>
      <c r="G133" s="90">
        <f>IF(FZ$119&lt;0.001,0.001,FZ$119)</f>
        <v>4.2828661408970464E-3</v>
      </c>
      <c r="H133" s="90">
        <f>IF(GM$119&lt;0.001,0.001,GM$119)</f>
        <v>1E-3</v>
      </c>
      <c r="I133" s="90" t="s">
        <v>109</v>
      </c>
      <c r="J133" s="90" t="s">
        <v>109</v>
      </c>
      <c r="K133" s="90" t="s">
        <v>109</v>
      </c>
      <c r="L133" s="91"/>
      <c r="M133" s="92"/>
      <c r="N133" s="93"/>
      <c r="O133" s="94"/>
      <c r="P133" s="94"/>
      <c r="Q133" s="78" t="s">
        <v>34</v>
      </c>
      <c r="R133" s="78">
        <f t="shared" si="692"/>
        <v>1.0152598806227719</v>
      </c>
      <c r="S133" s="78"/>
      <c r="T133" s="78"/>
      <c r="U133" s="136">
        <f t="shared" si="693"/>
        <v>2.1765543121569393</v>
      </c>
      <c r="V133" s="78"/>
      <c r="W133" s="78"/>
      <c r="X133" s="78">
        <f t="shared" si="694"/>
        <v>0.21562304102804256</v>
      </c>
      <c r="Y133" s="78"/>
      <c r="Z133" s="78"/>
      <c r="AA133" s="78">
        <f t="shared" si="695"/>
        <v>1.5270807202180585</v>
      </c>
      <c r="AB133" s="78"/>
      <c r="AC133" s="78"/>
      <c r="AD133" s="78">
        <f t="shared" si="696"/>
        <v>0.89844813735932005</v>
      </c>
      <c r="AE133" s="78"/>
      <c r="AF133" s="78"/>
      <c r="AG133" s="78">
        <f t="shared" si="697"/>
        <v>1.3560817047337155</v>
      </c>
      <c r="AH133" s="78"/>
      <c r="AI133" s="78"/>
      <c r="AJ133" s="78">
        <f t="shared" si="698"/>
        <v>0.98869283972984223</v>
      </c>
      <c r="AK133" s="78"/>
      <c r="AL133" s="78"/>
      <c r="AM133" s="78">
        <f t="shared" si="699"/>
        <v>3.4178717497346698</v>
      </c>
      <c r="AN133" s="78"/>
      <c r="AO133" s="78"/>
      <c r="AP133" s="78">
        <f t="shared" si="700"/>
        <v>1.8844470334627363</v>
      </c>
      <c r="AQ133" s="78"/>
      <c r="AR133" s="78"/>
      <c r="AS133" s="78">
        <f t="shared" si="701"/>
        <v>0.4764434626954327</v>
      </c>
      <c r="AT133" s="78"/>
      <c r="AU133" s="92"/>
      <c r="AV133" s="78" t="str">
        <f t="shared" si="703"/>
        <v>±0,93</v>
      </c>
      <c r="AW133" s="132">
        <f t="shared" si="704"/>
        <v>0.93</v>
      </c>
      <c r="AX133" s="92"/>
      <c r="AY133" s="29"/>
      <c r="AZ133" s="1"/>
      <c r="BA133" s="1"/>
      <c r="BB133" s="1"/>
      <c r="BC133" s="2"/>
      <c r="BD133" s="2"/>
      <c r="BE133" s="2"/>
      <c r="BF133" s="2"/>
      <c r="BG133" s="2"/>
      <c r="BH133" s="2"/>
      <c r="BI133" s="2"/>
      <c r="BJ133" s="2"/>
      <c r="BK133" s="2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</row>
    <row r="134" spans="1:109" x14ac:dyDescent="0.2">
      <c r="A134" s="95" t="s">
        <v>129</v>
      </c>
      <c r="B134" s="88">
        <f>BU$117</f>
        <v>0.78500000000000003</v>
      </c>
      <c r="C134" s="88">
        <f>CW$117</f>
        <v>0.71099999999999997</v>
      </c>
      <c r="D134" s="88">
        <f>DV$117</f>
        <v>0.55000000000000004</v>
      </c>
      <c r="E134" s="88">
        <f>ER$117</f>
        <v>0.83499999999999996</v>
      </c>
      <c r="F134" s="88">
        <f>FK$117</f>
        <v>0.83</v>
      </c>
      <c r="G134" s="88">
        <f>GA$117</f>
        <v>0.83799999999999997</v>
      </c>
      <c r="H134" s="88">
        <f>GN$117</f>
        <v>0.81699999999999995</v>
      </c>
      <c r="I134" s="88">
        <f>GX$117</f>
        <v>0.64800000000000002</v>
      </c>
      <c r="J134" s="88" t="s">
        <v>109</v>
      </c>
      <c r="K134" s="88" t="s">
        <v>109</v>
      </c>
      <c r="L134" s="58"/>
      <c r="M134" s="10"/>
      <c r="N134" s="57"/>
      <c r="O134" s="72"/>
      <c r="P134" s="72"/>
      <c r="Q134" s="78" t="s">
        <v>35</v>
      </c>
      <c r="R134" s="78">
        <f t="shared" si="692"/>
        <v>0.22130992421796242</v>
      </c>
      <c r="S134" s="78"/>
      <c r="T134" s="78"/>
      <c r="U134" s="136">
        <f t="shared" si="693"/>
        <v>0.30972569611443584</v>
      </c>
      <c r="V134" s="78"/>
      <c r="W134" s="78"/>
      <c r="X134" s="78">
        <f t="shared" si="694"/>
        <v>0.31707715812079557</v>
      </c>
      <c r="Y134" s="78"/>
      <c r="Z134" s="78"/>
      <c r="AA134" s="78">
        <f t="shared" si="695"/>
        <v>0.37685720902874847</v>
      </c>
      <c r="AB134" s="78"/>
      <c r="AC134" s="78"/>
      <c r="AD134" s="78">
        <f t="shared" si="696"/>
        <v>0.41679047757069326</v>
      </c>
      <c r="AE134" s="78"/>
      <c r="AF134" s="78"/>
      <c r="AG134" s="78">
        <f t="shared" si="697"/>
        <v>0.52400018705440077</v>
      </c>
      <c r="AH134" s="78"/>
      <c r="AI134" s="78"/>
      <c r="AJ134" s="78">
        <f t="shared" si="698"/>
        <v>0.58382960888403834</v>
      </c>
      <c r="AK134" s="78"/>
      <c r="AL134" s="78"/>
      <c r="AM134" s="78">
        <f t="shared" si="699"/>
        <v>0.12213221584879294</v>
      </c>
      <c r="AN134" s="78"/>
      <c r="AO134" s="78"/>
      <c r="AP134" s="78">
        <f t="shared" si="700"/>
        <v>0.45478815525402322</v>
      </c>
      <c r="AQ134" s="78"/>
      <c r="AR134" s="78"/>
      <c r="AS134" s="78">
        <f t="shared" si="701"/>
        <v>0.30891623479878033</v>
      </c>
      <c r="AT134" s="78"/>
      <c r="AU134" s="10"/>
      <c r="AV134" s="78" t="str">
        <f t="shared" si="703"/>
        <v>±0,14</v>
      </c>
      <c r="AW134" s="132">
        <f t="shared" si="704"/>
        <v>0.14000000000000001</v>
      </c>
      <c r="AX134" s="10"/>
    </row>
    <row r="135" spans="1:109" x14ac:dyDescent="0.2">
      <c r="A135" s="95" t="s">
        <v>110</v>
      </c>
      <c r="B135" s="88">
        <f>IF(BW$119&lt;0.001,0.001,BW$119)</f>
        <v>1E-3</v>
      </c>
      <c r="C135" s="88">
        <f>IF(CY$119&lt;0.001,0.001,CY$119)</f>
        <v>1E-3</v>
      </c>
      <c r="D135" s="88">
        <f>IF(DX$119&lt;0.001,0.001,DX$119)</f>
        <v>2.416283254693505E-3</v>
      </c>
      <c r="E135" s="88">
        <f>IF(ET$119&lt;0.001,0.001,ET$119)</f>
        <v>1E-3</v>
      </c>
      <c r="F135" s="88">
        <f>IF(FM$119&lt;0.001,0.001,FM$119)</f>
        <v>1E-3</v>
      </c>
      <c r="G135" s="88">
        <f>IF(GC$119&lt;0.001,0.001,GC$119)</f>
        <v>1E-3</v>
      </c>
      <c r="H135" s="88">
        <f>IF(GP$119&lt;0.001,0.001,GP$119)</f>
        <v>1E-3</v>
      </c>
      <c r="I135" s="88">
        <f>IF(GZ$119&lt;0.001,0.001,GZ$119)</f>
        <v>1E-3</v>
      </c>
      <c r="J135" s="88" t="s">
        <v>109</v>
      </c>
      <c r="K135" s="88" t="s">
        <v>109</v>
      </c>
      <c r="L135" s="58"/>
      <c r="M135" s="10"/>
      <c r="N135" s="57"/>
      <c r="O135" s="72"/>
      <c r="P135" s="72"/>
      <c r="Q135" s="78" t="s">
        <v>36</v>
      </c>
      <c r="R135" s="78">
        <f t="shared" si="692"/>
        <v>0.29801564044136691</v>
      </c>
      <c r="S135" s="78"/>
      <c r="T135" s="78"/>
      <c r="U135" s="136">
        <f t="shared" si="693"/>
        <v>1.4401714635823388</v>
      </c>
      <c r="V135" s="78"/>
      <c r="W135" s="78"/>
      <c r="X135" s="78">
        <f t="shared" si="694"/>
        <v>0.25158403771335686</v>
      </c>
      <c r="Y135" s="78"/>
      <c r="Z135" s="78"/>
      <c r="AA135" s="78">
        <f t="shared" si="695"/>
        <v>0.54123878490413602</v>
      </c>
      <c r="AB135" s="78"/>
      <c r="AC135" s="78"/>
      <c r="AD135" s="78">
        <f t="shared" si="696"/>
        <v>0.53488258643909126</v>
      </c>
      <c r="AE135" s="78"/>
      <c r="AF135" s="78"/>
      <c r="AG135" s="78">
        <f t="shared" si="697"/>
        <v>0.7255682247343892</v>
      </c>
      <c r="AH135" s="78"/>
      <c r="AI135" s="78"/>
      <c r="AJ135" s="78">
        <f t="shared" si="698"/>
        <v>0.61581921053415012</v>
      </c>
      <c r="AK135" s="78"/>
      <c r="AL135" s="78"/>
      <c r="AM135" s="78">
        <f t="shared" si="699"/>
        <v>0.17413077772471752</v>
      </c>
      <c r="AN135" s="78"/>
      <c r="AO135" s="78"/>
      <c r="AP135" s="78">
        <f t="shared" si="700"/>
        <v>1.1296112547136949</v>
      </c>
      <c r="AQ135" s="78"/>
      <c r="AR135" s="78"/>
      <c r="AS135" s="78">
        <f t="shared" si="701"/>
        <v>0.28928774081152481</v>
      </c>
      <c r="AT135" s="78"/>
      <c r="AU135" s="10"/>
      <c r="AV135" s="78" t="str">
        <f t="shared" si="703"/>
        <v>±0,41</v>
      </c>
      <c r="AW135" s="132">
        <f t="shared" si="704"/>
        <v>0.41</v>
      </c>
      <c r="AX135" s="10"/>
      <c r="AY135" s="98"/>
      <c r="AZ135" s="21"/>
      <c r="BA135" s="21"/>
      <c r="BB135" s="21"/>
      <c r="BC135" s="20"/>
      <c r="BD135" s="20"/>
      <c r="BE135" s="20"/>
      <c r="BF135" s="20"/>
      <c r="BG135" s="20"/>
      <c r="BH135" s="20"/>
      <c r="BI135" s="20"/>
      <c r="BJ135" s="20"/>
      <c r="BK135" s="20"/>
      <c r="BL135" s="19"/>
      <c r="BM135" s="19"/>
      <c r="BN135" s="19"/>
      <c r="BO135" s="19"/>
      <c r="BP135" s="19"/>
      <c r="BQ135" s="19"/>
      <c r="BR135" s="19"/>
      <c r="BS135" s="19"/>
      <c r="BT135" s="19"/>
      <c r="BU135" s="19"/>
      <c r="BV135" s="19"/>
      <c r="BW135" s="19"/>
      <c r="BX135" s="19"/>
      <c r="BY135" s="19"/>
      <c r="BZ135" s="19"/>
      <c r="CA135" s="19"/>
      <c r="CB135" s="19"/>
      <c r="CC135" s="19"/>
      <c r="CD135" s="19"/>
      <c r="CE135" s="19"/>
      <c r="CF135" s="19"/>
      <c r="CG135" s="19"/>
      <c r="CH135" s="19"/>
      <c r="CI135" s="19"/>
      <c r="CJ135" s="19"/>
      <c r="CK135" s="19"/>
      <c r="CL135" s="19"/>
      <c r="CM135" s="19"/>
      <c r="CN135" s="19"/>
      <c r="CO135" s="19"/>
      <c r="CP135" s="19"/>
      <c r="CQ135" s="19"/>
      <c r="CR135" s="19"/>
      <c r="CS135" s="19"/>
      <c r="CT135" s="19"/>
      <c r="CU135" s="19"/>
      <c r="CV135" s="19"/>
      <c r="CW135" s="19"/>
      <c r="CX135" s="19"/>
      <c r="CY135" s="19"/>
      <c r="CZ135" s="19"/>
      <c r="DA135" s="19"/>
      <c r="DB135" s="19"/>
      <c r="DC135" s="19"/>
      <c r="DD135" s="19"/>
      <c r="DE135" s="19"/>
    </row>
    <row r="136" spans="1:109" s="19" customFormat="1" x14ac:dyDescent="0.2">
      <c r="A136" s="89" t="s">
        <v>126</v>
      </c>
      <c r="B136" s="90">
        <f>BX$117</f>
        <v>0.85799999999999998</v>
      </c>
      <c r="C136" s="90">
        <f>CZ$117</f>
        <v>0.59399999999999997</v>
      </c>
      <c r="D136" s="90">
        <f>DY$117</f>
        <v>0.65600000000000003</v>
      </c>
      <c r="E136" s="90">
        <f>EU$117</f>
        <v>0.82</v>
      </c>
      <c r="F136" s="90">
        <f>FN$117</f>
        <v>0.75800000000000001</v>
      </c>
      <c r="G136" s="90">
        <f>GD$117</f>
        <v>0.72799999999999998</v>
      </c>
      <c r="H136" s="90">
        <f>GQ$117</f>
        <v>0.79500000000000004</v>
      </c>
      <c r="I136" s="90">
        <f>HA$117</f>
        <v>0.54</v>
      </c>
      <c r="J136" s="90">
        <f>HH117</f>
        <v>0.75700000000000001</v>
      </c>
      <c r="K136" s="90" t="s">
        <v>109</v>
      </c>
      <c r="L136" s="91"/>
      <c r="M136" s="92"/>
      <c r="N136" s="93"/>
      <c r="O136" s="94"/>
      <c r="P136" s="94"/>
      <c r="Q136" s="78" t="s">
        <v>37</v>
      </c>
      <c r="R136" s="78" t="str">
        <f t="shared" si="692"/>
        <v/>
      </c>
      <c r="S136" s="78"/>
      <c r="T136" s="78"/>
      <c r="U136" s="136" t="str">
        <f t="shared" si="693"/>
        <v/>
      </c>
      <c r="V136" s="78"/>
      <c r="W136" s="78"/>
      <c r="X136" s="78" t="str">
        <f t="shared" si="694"/>
        <v/>
      </c>
      <c r="Y136" s="78"/>
      <c r="Z136" s="78"/>
      <c r="AA136" s="78" t="str">
        <f t="shared" si="695"/>
        <v/>
      </c>
      <c r="AB136" s="78"/>
      <c r="AC136" s="78"/>
      <c r="AD136" s="78" t="str">
        <f t="shared" si="696"/>
        <v/>
      </c>
      <c r="AE136" s="78"/>
      <c r="AF136" s="78"/>
      <c r="AG136" s="78" t="str">
        <f t="shared" si="697"/>
        <v/>
      </c>
      <c r="AH136" s="78"/>
      <c r="AI136" s="78"/>
      <c r="AJ136" s="78" t="str">
        <f t="shared" si="698"/>
        <v/>
      </c>
      <c r="AK136" s="78"/>
      <c r="AL136" s="78"/>
      <c r="AM136" s="78" t="str">
        <f t="shared" si="699"/>
        <v/>
      </c>
      <c r="AN136" s="78"/>
      <c r="AO136" s="78"/>
      <c r="AP136" s="78" t="str">
        <f t="shared" si="700"/>
        <v/>
      </c>
      <c r="AQ136" s="78"/>
      <c r="AR136" s="78"/>
      <c r="AS136" s="78" t="str">
        <f t="shared" si="701"/>
        <v/>
      </c>
      <c r="AT136" s="78"/>
      <c r="AU136" s="92"/>
      <c r="AV136" s="78" t="str">
        <f t="shared" si="703"/>
        <v/>
      </c>
      <c r="AW136" s="132" t="str">
        <f t="shared" si="704"/>
        <v/>
      </c>
      <c r="AX136" s="92"/>
      <c r="AY136" s="98"/>
      <c r="AZ136" s="21"/>
      <c r="BA136" s="21"/>
      <c r="BB136" s="21"/>
      <c r="BC136" s="20"/>
      <c r="BD136" s="20"/>
      <c r="BE136" s="20"/>
      <c r="BF136" s="20"/>
      <c r="BG136" s="20"/>
      <c r="BH136" s="20"/>
      <c r="BI136" s="20"/>
      <c r="BJ136" s="20"/>
      <c r="BK136" s="20"/>
    </row>
    <row r="137" spans="1:109" s="19" customFormat="1" x14ac:dyDescent="0.2">
      <c r="A137" s="89" t="s">
        <v>110</v>
      </c>
      <c r="B137" s="90">
        <f>IF(BZ$119&lt;0.001,0.001,BZ$119)</f>
        <v>1E-3</v>
      </c>
      <c r="C137" s="90">
        <f>IF(DB$119&lt;0.001,0.001,DB$119)</f>
        <v>1E-3</v>
      </c>
      <c r="D137" s="90">
        <f>IF(EA$119&lt;0.001,0.001,EA$119)</f>
        <v>1E-3</v>
      </c>
      <c r="E137" s="90">
        <f>IF(EW$119&lt;0.001,0.001,EW$119)</f>
        <v>1E-3</v>
      </c>
      <c r="F137" s="90">
        <f>IF(FP$119&lt;0.001,0.001,FP$119)</f>
        <v>1E-3</v>
      </c>
      <c r="G137" s="90">
        <f>IF(GF$119&lt;0.001,0.001,GF$119)</f>
        <v>1E-3</v>
      </c>
      <c r="H137" s="90">
        <f>IF(GS$119&lt;0.001,0.001,GS$119)</f>
        <v>1E-3</v>
      </c>
      <c r="I137" s="90">
        <f>IF(HC$119&lt;0.001,0.001,HC$119)</f>
        <v>3.0271501959671034E-3</v>
      </c>
      <c r="J137" s="90">
        <f>IF(HJ$119&lt;0.001,0.001,HJ$119)</f>
        <v>1E-3</v>
      </c>
      <c r="K137" s="90" t="s">
        <v>109</v>
      </c>
      <c r="L137" s="91"/>
      <c r="M137" s="92"/>
      <c r="N137" s="93"/>
      <c r="O137" s="94"/>
      <c r="P137" s="94"/>
      <c r="Q137" s="78" t="s">
        <v>38</v>
      </c>
      <c r="R137" s="78" t="str">
        <f t="shared" si="692"/>
        <v/>
      </c>
      <c r="S137" s="78"/>
      <c r="T137" s="78"/>
      <c r="U137" s="136" t="str">
        <f t="shared" si="693"/>
        <v/>
      </c>
      <c r="V137" s="78"/>
      <c r="W137" s="78"/>
      <c r="X137" s="78" t="str">
        <f t="shared" si="694"/>
        <v/>
      </c>
      <c r="Y137" s="78"/>
      <c r="Z137" s="78"/>
      <c r="AA137" s="78" t="str">
        <f t="shared" si="695"/>
        <v/>
      </c>
      <c r="AB137" s="78"/>
      <c r="AC137" s="78"/>
      <c r="AD137" s="78" t="str">
        <f t="shared" si="696"/>
        <v/>
      </c>
      <c r="AE137" s="78"/>
      <c r="AF137" s="78"/>
      <c r="AG137" s="78" t="str">
        <f t="shared" si="697"/>
        <v/>
      </c>
      <c r="AH137" s="78"/>
      <c r="AI137" s="78"/>
      <c r="AJ137" s="78" t="str">
        <f t="shared" si="698"/>
        <v/>
      </c>
      <c r="AK137" s="78"/>
      <c r="AL137" s="78"/>
      <c r="AM137" s="78" t="str">
        <f t="shared" si="699"/>
        <v/>
      </c>
      <c r="AN137" s="78"/>
      <c r="AO137" s="78"/>
      <c r="AP137" s="78" t="str">
        <f t="shared" si="700"/>
        <v/>
      </c>
      <c r="AQ137" s="78"/>
      <c r="AR137" s="78"/>
      <c r="AS137" s="78" t="str">
        <f t="shared" si="701"/>
        <v/>
      </c>
      <c r="AT137" s="78"/>
      <c r="AU137" s="92"/>
      <c r="AV137" s="78" t="str">
        <f t="shared" si="703"/>
        <v/>
      </c>
      <c r="AW137" s="132" t="str">
        <f t="shared" si="704"/>
        <v/>
      </c>
      <c r="AX137" s="92"/>
      <c r="AY137" s="98"/>
      <c r="AZ137" s="21"/>
      <c r="BA137" s="21"/>
      <c r="BB137" s="21"/>
      <c r="BC137" s="20"/>
      <c r="BD137" s="20"/>
      <c r="BE137" s="20"/>
      <c r="BF137" s="20"/>
      <c r="BG137" s="20"/>
      <c r="BH137" s="20"/>
      <c r="BI137" s="20"/>
      <c r="BJ137" s="20"/>
      <c r="BK137" s="20"/>
    </row>
    <row r="138" spans="1:109" s="19" customFormat="1" x14ac:dyDescent="0.2">
      <c r="A138" s="89"/>
      <c r="B138" s="90"/>
      <c r="C138" s="90"/>
      <c r="D138" s="90"/>
      <c r="E138" s="90"/>
      <c r="F138" s="90"/>
      <c r="G138" s="90"/>
      <c r="H138" s="90"/>
      <c r="I138" s="90"/>
      <c r="J138" s="90"/>
      <c r="K138" s="90"/>
      <c r="L138" s="91"/>
      <c r="M138" s="92"/>
      <c r="N138" s="93"/>
      <c r="O138" s="94"/>
      <c r="P138" s="94"/>
      <c r="Q138" s="78" t="s">
        <v>39</v>
      </c>
      <c r="R138" s="78" t="str">
        <f t="shared" si="692"/>
        <v/>
      </c>
      <c r="S138" s="78"/>
      <c r="T138" s="78"/>
      <c r="U138" s="136" t="str">
        <f t="shared" si="693"/>
        <v/>
      </c>
      <c r="V138" s="78"/>
      <c r="W138" s="78"/>
      <c r="X138" s="78" t="str">
        <f t="shared" si="694"/>
        <v/>
      </c>
      <c r="Y138" s="78"/>
      <c r="Z138" s="78"/>
      <c r="AA138" s="78" t="str">
        <f t="shared" si="695"/>
        <v/>
      </c>
      <c r="AB138" s="78"/>
      <c r="AC138" s="78"/>
      <c r="AD138" s="78" t="str">
        <f t="shared" si="696"/>
        <v/>
      </c>
      <c r="AE138" s="78"/>
      <c r="AF138" s="78"/>
      <c r="AG138" s="78" t="str">
        <f t="shared" si="697"/>
        <v/>
      </c>
      <c r="AH138" s="78"/>
      <c r="AI138" s="78"/>
      <c r="AJ138" s="78" t="str">
        <f t="shared" si="698"/>
        <v/>
      </c>
      <c r="AK138" s="78"/>
      <c r="AL138" s="78"/>
      <c r="AM138" s="78" t="str">
        <f t="shared" si="699"/>
        <v/>
      </c>
      <c r="AN138" s="78"/>
      <c r="AO138" s="78"/>
      <c r="AP138" s="78" t="str">
        <f t="shared" si="700"/>
        <v/>
      </c>
      <c r="AQ138" s="78"/>
      <c r="AR138" s="78"/>
      <c r="AS138" s="78" t="str">
        <f t="shared" si="701"/>
        <v/>
      </c>
      <c r="AT138" s="78"/>
      <c r="AU138" s="92"/>
      <c r="AV138" s="78" t="str">
        <f t="shared" si="703"/>
        <v/>
      </c>
      <c r="AW138" s="132" t="str">
        <f t="shared" si="704"/>
        <v/>
      </c>
      <c r="AX138" s="92"/>
      <c r="AY138" s="29"/>
      <c r="AZ138" s="1"/>
      <c r="BA138" s="1"/>
      <c r="BB138" s="1"/>
      <c r="BC138" s="2"/>
      <c r="BD138" s="2"/>
      <c r="BE138" s="2"/>
      <c r="BF138" s="2"/>
      <c r="BG138" s="2"/>
      <c r="BH138" s="2"/>
      <c r="BI138" s="2"/>
      <c r="BJ138" s="2"/>
      <c r="BK138" s="2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</row>
    <row r="139" spans="1:109" x14ac:dyDescent="0.2">
      <c r="A139" s="99" t="s">
        <v>361</v>
      </c>
      <c r="B139" s="137" t="s">
        <v>2</v>
      </c>
      <c r="C139" s="137" t="s">
        <v>4</v>
      </c>
      <c r="D139" s="137" t="s">
        <v>6</v>
      </c>
      <c r="E139" s="137" t="s">
        <v>8</v>
      </c>
      <c r="F139" s="137" t="s">
        <v>0</v>
      </c>
      <c r="G139" s="137" t="s">
        <v>133</v>
      </c>
      <c r="H139" s="137" t="s">
        <v>142</v>
      </c>
      <c r="I139" s="137" t="s">
        <v>131</v>
      </c>
      <c r="J139" s="137" t="s">
        <v>129</v>
      </c>
      <c r="K139" s="137" t="s">
        <v>126</v>
      </c>
      <c r="L139" s="58"/>
      <c r="M139" s="10"/>
      <c r="N139" s="57"/>
      <c r="O139" s="72"/>
      <c r="P139" s="72"/>
      <c r="Q139" s="78" t="s">
        <v>40</v>
      </c>
      <c r="R139" s="78" t="str">
        <f t="shared" si="692"/>
        <v/>
      </c>
      <c r="S139" s="78"/>
      <c r="T139" s="78"/>
      <c r="U139" s="136" t="str">
        <f t="shared" si="693"/>
        <v/>
      </c>
      <c r="V139" s="78"/>
      <c r="W139" s="78"/>
      <c r="X139" s="78" t="str">
        <f t="shared" si="694"/>
        <v/>
      </c>
      <c r="Y139" s="78"/>
      <c r="Z139" s="78"/>
      <c r="AA139" s="78" t="str">
        <f t="shared" si="695"/>
        <v/>
      </c>
      <c r="AB139" s="78"/>
      <c r="AC139" s="78"/>
      <c r="AD139" s="78" t="str">
        <f t="shared" si="696"/>
        <v/>
      </c>
      <c r="AE139" s="78"/>
      <c r="AF139" s="78"/>
      <c r="AG139" s="78" t="str">
        <f t="shared" si="697"/>
        <v/>
      </c>
      <c r="AH139" s="78"/>
      <c r="AI139" s="78"/>
      <c r="AJ139" s="78" t="str">
        <f t="shared" si="698"/>
        <v/>
      </c>
      <c r="AK139" s="78"/>
      <c r="AL139" s="78"/>
      <c r="AM139" s="78" t="str">
        <f t="shared" si="699"/>
        <v/>
      </c>
      <c r="AN139" s="78"/>
      <c r="AO139" s="78"/>
      <c r="AP139" s="78" t="str">
        <f t="shared" si="700"/>
        <v/>
      </c>
      <c r="AQ139" s="78"/>
      <c r="AR139" s="78"/>
      <c r="AS139" s="78" t="str">
        <f t="shared" si="701"/>
        <v/>
      </c>
      <c r="AT139" s="78"/>
      <c r="AU139" s="10"/>
      <c r="AV139" s="78" t="str">
        <f t="shared" si="703"/>
        <v/>
      </c>
      <c r="AW139" s="132" t="str">
        <f t="shared" si="704"/>
        <v/>
      </c>
      <c r="AX139" s="10"/>
      <c r="AY139" s="101"/>
      <c r="AZ139" s="102"/>
      <c r="BA139" s="102"/>
      <c r="BB139" s="102"/>
      <c r="BC139" s="103"/>
      <c r="BD139" s="103"/>
      <c r="BE139" s="103"/>
      <c r="BF139" s="103"/>
      <c r="BG139" s="103"/>
      <c r="BH139" s="103"/>
      <c r="BI139" s="103"/>
      <c r="BJ139" s="103"/>
      <c r="BK139" s="103"/>
      <c r="BL139" s="54"/>
      <c r="BM139" s="54"/>
      <c r="BN139" s="54"/>
      <c r="BO139" s="54"/>
      <c r="BP139" s="54"/>
      <c r="BQ139" s="54"/>
      <c r="BR139" s="54"/>
      <c r="BS139" s="54"/>
      <c r="BT139" s="54"/>
      <c r="BU139" s="54"/>
      <c r="BV139" s="54"/>
      <c r="BW139" s="54"/>
      <c r="BX139" s="54"/>
      <c r="BY139" s="54"/>
      <c r="BZ139" s="54"/>
      <c r="CA139" s="54"/>
      <c r="CB139" s="54"/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  <c r="CS139" s="54"/>
      <c r="CT139" s="54"/>
      <c r="CU139" s="54"/>
      <c r="CV139" s="54"/>
      <c r="CW139" s="54"/>
      <c r="CX139" s="54"/>
      <c r="CY139" s="54"/>
      <c r="CZ139" s="54"/>
      <c r="DA139" s="54"/>
      <c r="DB139" s="54"/>
      <c r="DC139" s="54"/>
      <c r="DD139" s="54"/>
      <c r="DE139" s="54"/>
    </row>
    <row r="140" spans="1:109" s="54" customFormat="1" x14ac:dyDescent="0.2">
      <c r="A140" s="104" t="s">
        <v>336</v>
      </c>
      <c r="B140" s="105">
        <f>CA$117</f>
        <v>0.93</v>
      </c>
      <c r="C140" s="105">
        <f>DC$117</f>
        <v>0.82199999999999995</v>
      </c>
      <c r="D140" s="105">
        <f>EB$117</f>
        <v>0.69399999999999995</v>
      </c>
      <c r="E140" s="105">
        <f>EX$117</f>
        <v>0.878</v>
      </c>
      <c r="F140" s="105">
        <f>FQ$117</f>
        <v>0.90500000000000003</v>
      </c>
      <c r="G140" s="105">
        <f>GG$117</f>
        <v>0.80700000000000005</v>
      </c>
      <c r="H140" s="105">
        <f>GT$117</f>
        <v>0.88200000000000001</v>
      </c>
      <c r="I140" s="105">
        <f>HD$117</f>
        <v>0.79200000000000004</v>
      </c>
      <c r="J140" s="105">
        <f>HK$117</f>
        <v>0.91</v>
      </c>
      <c r="K140" s="105">
        <f>HO$117</f>
        <v>0.872</v>
      </c>
      <c r="L140" s="106"/>
      <c r="M140" s="107"/>
      <c r="N140" s="108"/>
      <c r="O140" s="109"/>
      <c r="P140" s="109"/>
      <c r="Q140" s="78" t="s">
        <v>41</v>
      </c>
      <c r="R140" s="78" t="str">
        <f t="shared" ref="R140:R171" si="721">IF(AND(NOT($P$198=""),NOT(R38="")),$P$198^R38,"")</f>
        <v/>
      </c>
      <c r="S140" s="78"/>
      <c r="T140" s="78"/>
      <c r="U140" s="136" t="str">
        <f t="shared" ref="U140:U171" si="722">IF(AND(NOT($P$199=""),NOT(U38="")),$P$199^U38,"")</f>
        <v/>
      </c>
      <c r="V140" s="78"/>
      <c r="W140" s="78"/>
      <c r="X140" s="78" t="str">
        <f t="shared" ref="X140:X171" si="723">IF(AND(NOT($P$200=""),NOT(X38="")),$P$200^X38,"")</f>
        <v/>
      </c>
      <c r="Y140" s="78"/>
      <c r="Z140" s="78"/>
      <c r="AA140" s="78" t="str">
        <f t="shared" ref="AA140:AA171" si="724">IF(AND(NOT($P$201=""),NOT(AA38="")),$P$201^AA38,"")</f>
        <v/>
      </c>
      <c r="AB140" s="78"/>
      <c r="AC140" s="78"/>
      <c r="AD140" s="78" t="str">
        <f t="shared" ref="AD140:AD171" si="725">IF(AND(NOT($P$202=""),NOT(AD38="")),$P$202^AD38,"")</f>
        <v/>
      </c>
      <c r="AE140" s="78"/>
      <c r="AF140" s="78"/>
      <c r="AG140" s="78" t="str">
        <f t="shared" ref="AG140:AG171" si="726">IF(AND(NOT($P$203=""),NOT(AG38="")),$P$203^AG38,"")</f>
        <v/>
      </c>
      <c r="AH140" s="78"/>
      <c r="AI140" s="78"/>
      <c r="AJ140" s="78" t="str">
        <f t="shared" ref="AJ140:AJ171" si="727">IF(AND(NOT($P$204=""),NOT(AJ38="")),$P$204^AJ38,"")</f>
        <v/>
      </c>
      <c r="AK140" s="78"/>
      <c r="AL140" s="78"/>
      <c r="AM140" s="78" t="str">
        <f t="shared" ref="AM140:AM171" si="728">IF(AND(NOT($P$205=""),NOT(AM38="")),$P$205^AM38,"")</f>
        <v/>
      </c>
      <c r="AN140" s="78"/>
      <c r="AO140" s="78"/>
      <c r="AP140" s="78" t="str">
        <f t="shared" ref="AP140:AP171" si="729">IF(AND(NOT($P$206=""),NOT(AP38="")),$P$206^AP38,"")</f>
        <v/>
      </c>
      <c r="AQ140" s="78"/>
      <c r="AR140" s="78"/>
      <c r="AS140" s="78" t="str">
        <f t="shared" ref="AS140:AS171" si="730">IF(AND(NOT($P$207=""),NOT(AS38="")),$P$207^AS38,"")</f>
        <v/>
      </c>
      <c r="AT140" s="78"/>
      <c r="AU140" s="107"/>
      <c r="AV140" s="78" t="str">
        <f t="shared" si="703"/>
        <v/>
      </c>
      <c r="AW140" s="132" t="str">
        <f t="shared" si="704"/>
        <v/>
      </c>
      <c r="AX140" s="107"/>
      <c r="AY140" s="101"/>
      <c r="AZ140" s="102"/>
      <c r="BA140" s="102"/>
      <c r="BB140" s="102"/>
      <c r="BC140" s="103"/>
      <c r="BD140" s="103"/>
      <c r="BE140" s="103"/>
      <c r="BF140" s="103"/>
      <c r="BG140" s="103"/>
      <c r="BH140" s="103"/>
      <c r="BI140" s="103"/>
      <c r="BJ140" s="103"/>
      <c r="BK140" s="103"/>
    </row>
    <row r="141" spans="1:109" s="54" customFormat="1" x14ac:dyDescent="0.2">
      <c r="A141" s="99" t="s">
        <v>110</v>
      </c>
      <c r="B141" s="105">
        <f>IF(CC$119&lt;0.001,0.001,CC$119)</f>
        <v>1E-3</v>
      </c>
      <c r="C141" s="105">
        <f>IF(DE$119&lt;0.001,0.001,DE$119)</f>
        <v>1E-3</v>
      </c>
      <c r="D141" s="105">
        <f>IF(ED$119&lt;0.001,0.001,ED$119)</f>
        <v>1E-3</v>
      </c>
      <c r="E141" s="105">
        <f>IF(EZ$119&lt;0.001,0.001,EZ$119)</f>
        <v>1E-3</v>
      </c>
      <c r="F141" s="105">
        <f>IF(FS$119&lt;0.001,0.001,FS$119)</f>
        <v>1E-3</v>
      </c>
      <c r="G141" s="105">
        <f>IF(GI$119&lt;0.001,0.001,GI$119)</f>
        <v>1E-3</v>
      </c>
      <c r="H141" s="105">
        <f>IF(GV$119&lt;0.001,0.001,GV$119)</f>
        <v>1E-3</v>
      </c>
      <c r="I141" s="105">
        <f>IF(HF$119&lt;0.001,0.001,HF$119)</f>
        <v>1E-3</v>
      </c>
      <c r="J141" s="105">
        <f>IF(HM$119&lt;0.001,0.001,HM$119)</f>
        <v>1E-3</v>
      </c>
      <c r="K141" s="105">
        <f>IF(HQ$119&lt;0.001,0.001,HQ$119)</f>
        <v>1E-3</v>
      </c>
      <c r="L141" s="106"/>
      <c r="M141" s="107"/>
      <c r="N141" s="108"/>
      <c r="O141" s="109"/>
      <c r="P141" s="109"/>
      <c r="Q141" s="78" t="s">
        <v>42</v>
      </c>
      <c r="R141" s="78" t="str">
        <f t="shared" si="721"/>
        <v/>
      </c>
      <c r="S141" s="78"/>
      <c r="T141" s="78"/>
      <c r="U141" s="136" t="str">
        <f t="shared" si="722"/>
        <v/>
      </c>
      <c r="V141" s="78"/>
      <c r="W141" s="78"/>
      <c r="X141" s="78" t="str">
        <f t="shared" si="723"/>
        <v/>
      </c>
      <c r="Y141" s="78"/>
      <c r="Z141" s="78"/>
      <c r="AA141" s="78" t="str">
        <f t="shared" si="724"/>
        <v/>
      </c>
      <c r="AB141" s="78"/>
      <c r="AC141" s="78"/>
      <c r="AD141" s="78" t="str">
        <f t="shared" si="725"/>
        <v/>
      </c>
      <c r="AE141" s="78"/>
      <c r="AF141" s="78"/>
      <c r="AG141" s="78" t="str">
        <f t="shared" si="726"/>
        <v/>
      </c>
      <c r="AH141" s="78"/>
      <c r="AI141" s="78"/>
      <c r="AJ141" s="78" t="str">
        <f t="shared" si="727"/>
        <v/>
      </c>
      <c r="AK141" s="78"/>
      <c r="AL141" s="78"/>
      <c r="AM141" s="78" t="str">
        <f t="shared" si="728"/>
        <v/>
      </c>
      <c r="AN141" s="78"/>
      <c r="AO141" s="78"/>
      <c r="AP141" s="78" t="str">
        <f t="shared" si="729"/>
        <v/>
      </c>
      <c r="AQ141" s="78"/>
      <c r="AR141" s="78"/>
      <c r="AS141" s="78" t="str">
        <f t="shared" si="730"/>
        <v/>
      </c>
      <c r="AT141" s="78"/>
      <c r="AU141" s="107"/>
      <c r="AV141" s="78" t="str">
        <f t="shared" si="703"/>
        <v/>
      </c>
      <c r="AW141" s="132" t="str">
        <f t="shared" si="704"/>
        <v/>
      </c>
      <c r="AX141" s="107"/>
      <c r="AY141" s="29"/>
      <c r="AZ141" s="1"/>
      <c r="BA141" s="1"/>
      <c r="BB141" s="1"/>
      <c r="BC141" s="2"/>
      <c r="BD141" s="2"/>
      <c r="BE141" s="2"/>
      <c r="BF141" s="2"/>
      <c r="BG141" s="2"/>
      <c r="BH141" s="2"/>
      <c r="BI141" s="2"/>
      <c r="BJ141" s="2"/>
      <c r="BK141" s="2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</row>
    <row r="142" spans="1:109" x14ac:dyDescent="0.2">
      <c r="A142" s="57"/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8"/>
      <c r="M142" s="10"/>
      <c r="N142" s="57"/>
      <c r="O142" s="72"/>
      <c r="P142" s="72"/>
      <c r="Q142" s="78" t="s">
        <v>43</v>
      </c>
      <c r="R142" s="78" t="str">
        <f t="shared" si="721"/>
        <v/>
      </c>
      <c r="S142" s="78"/>
      <c r="T142" s="78"/>
      <c r="U142" s="136" t="str">
        <f t="shared" si="722"/>
        <v/>
      </c>
      <c r="V142" s="78"/>
      <c r="W142" s="78"/>
      <c r="X142" s="78" t="str">
        <f t="shared" si="723"/>
        <v/>
      </c>
      <c r="Y142" s="78"/>
      <c r="Z142" s="78"/>
      <c r="AA142" s="78" t="str">
        <f t="shared" si="724"/>
        <v/>
      </c>
      <c r="AB142" s="78"/>
      <c r="AC142" s="78"/>
      <c r="AD142" s="78" t="str">
        <f t="shared" si="725"/>
        <v/>
      </c>
      <c r="AE142" s="78"/>
      <c r="AF142" s="78"/>
      <c r="AG142" s="78" t="str">
        <f t="shared" si="726"/>
        <v/>
      </c>
      <c r="AH142" s="78"/>
      <c r="AI142" s="78"/>
      <c r="AJ142" s="78" t="str">
        <f t="shared" si="727"/>
        <v/>
      </c>
      <c r="AK142" s="78"/>
      <c r="AL142" s="78"/>
      <c r="AM142" s="78" t="str">
        <f t="shared" si="728"/>
        <v/>
      </c>
      <c r="AN142" s="78"/>
      <c r="AO142" s="78"/>
      <c r="AP142" s="78" t="str">
        <f t="shared" si="729"/>
        <v/>
      </c>
      <c r="AQ142" s="78"/>
      <c r="AR142" s="78"/>
      <c r="AS142" s="78" t="str">
        <f t="shared" si="730"/>
        <v/>
      </c>
      <c r="AT142" s="78"/>
      <c r="AU142" s="10"/>
      <c r="AV142" s="78" t="str">
        <f t="shared" si="703"/>
        <v/>
      </c>
      <c r="AW142" s="132" t="str">
        <f t="shared" si="704"/>
        <v/>
      </c>
      <c r="AX142" s="10"/>
    </row>
    <row r="143" spans="1:109" x14ac:dyDescent="0.2">
      <c r="A143" s="22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57"/>
      <c r="O143" s="72"/>
      <c r="P143" s="72"/>
      <c r="Q143" s="78" t="s">
        <v>44</v>
      </c>
      <c r="R143" s="78" t="str">
        <f t="shared" si="721"/>
        <v/>
      </c>
      <c r="S143" s="78"/>
      <c r="T143" s="78"/>
      <c r="U143" s="136" t="str">
        <f t="shared" si="722"/>
        <v/>
      </c>
      <c r="V143" s="78"/>
      <c r="W143" s="78"/>
      <c r="X143" s="78" t="str">
        <f t="shared" si="723"/>
        <v/>
      </c>
      <c r="Y143" s="78"/>
      <c r="Z143" s="78"/>
      <c r="AA143" s="78" t="str">
        <f t="shared" si="724"/>
        <v/>
      </c>
      <c r="AB143" s="78"/>
      <c r="AC143" s="78"/>
      <c r="AD143" s="78" t="str">
        <f t="shared" si="725"/>
        <v/>
      </c>
      <c r="AE143" s="78"/>
      <c r="AF143" s="78"/>
      <c r="AG143" s="78" t="str">
        <f t="shared" si="726"/>
        <v/>
      </c>
      <c r="AH143" s="78"/>
      <c r="AI143" s="78"/>
      <c r="AJ143" s="78" t="str">
        <f t="shared" si="727"/>
        <v/>
      </c>
      <c r="AK143" s="78"/>
      <c r="AL143" s="78"/>
      <c r="AM143" s="78" t="str">
        <f t="shared" si="728"/>
        <v/>
      </c>
      <c r="AN143" s="78"/>
      <c r="AO143" s="78"/>
      <c r="AP143" s="78" t="str">
        <f t="shared" si="729"/>
        <v/>
      </c>
      <c r="AQ143" s="78"/>
      <c r="AR143" s="78"/>
      <c r="AS143" s="78" t="str">
        <f t="shared" si="730"/>
        <v/>
      </c>
      <c r="AT143" s="78"/>
      <c r="AU143" s="10"/>
      <c r="AV143" s="78" t="str">
        <f t="shared" si="703"/>
        <v/>
      </c>
      <c r="AW143" s="132" t="str">
        <f t="shared" si="704"/>
        <v/>
      </c>
      <c r="AX143" s="10"/>
    </row>
    <row r="144" spans="1:109" x14ac:dyDescent="0.2">
      <c r="A144" s="110" t="s">
        <v>332</v>
      </c>
      <c r="B144" s="87"/>
      <c r="C144" s="87"/>
      <c r="D144" s="87"/>
      <c r="E144" s="87"/>
      <c r="F144" s="87"/>
      <c r="G144" s="87"/>
      <c r="H144" s="87"/>
      <c r="I144" s="87"/>
      <c r="J144" s="87"/>
      <c r="K144" s="87"/>
      <c r="L144" s="22"/>
      <c r="M144" s="22"/>
      <c r="N144" s="57"/>
      <c r="O144" s="72"/>
      <c r="P144" s="72"/>
      <c r="Q144" s="78" t="s">
        <v>45</v>
      </c>
      <c r="R144" s="78" t="str">
        <f t="shared" si="721"/>
        <v/>
      </c>
      <c r="S144" s="78"/>
      <c r="T144" s="78"/>
      <c r="U144" s="136" t="str">
        <f t="shared" si="722"/>
        <v/>
      </c>
      <c r="V144" s="78"/>
      <c r="W144" s="78"/>
      <c r="X144" s="78" t="str">
        <f t="shared" si="723"/>
        <v/>
      </c>
      <c r="Y144" s="78"/>
      <c r="Z144" s="78"/>
      <c r="AA144" s="78" t="str">
        <f t="shared" si="724"/>
        <v/>
      </c>
      <c r="AB144" s="78"/>
      <c r="AC144" s="78"/>
      <c r="AD144" s="78" t="str">
        <f t="shared" si="725"/>
        <v/>
      </c>
      <c r="AE144" s="78"/>
      <c r="AF144" s="78"/>
      <c r="AG144" s="78" t="str">
        <f t="shared" si="726"/>
        <v/>
      </c>
      <c r="AH144" s="78"/>
      <c r="AI144" s="78"/>
      <c r="AJ144" s="78" t="str">
        <f t="shared" si="727"/>
        <v/>
      </c>
      <c r="AK144" s="78"/>
      <c r="AL144" s="78"/>
      <c r="AM144" s="78" t="str">
        <f t="shared" si="728"/>
        <v/>
      </c>
      <c r="AN144" s="78"/>
      <c r="AO144" s="78"/>
      <c r="AP144" s="78" t="str">
        <f t="shared" si="729"/>
        <v/>
      </c>
      <c r="AQ144" s="78"/>
      <c r="AR144" s="78"/>
      <c r="AS144" s="78" t="str">
        <f t="shared" si="730"/>
        <v/>
      </c>
      <c r="AT144" s="78"/>
      <c r="AU144" s="10"/>
      <c r="AV144" s="78" t="str">
        <f t="shared" si="703"/>
        <v/>
      </c>
      <c r="AW144" s="132" t="str">
        <f t="shared" si="704"/>
        <v/>
      </c>
      <c r="AX144" s="10"/>
    </row>
    <row r="145" spans="1:50" x14ac:dyDescent="0.2">
      <c r="A145" s="110"/>
      <c r="B145" s="87" t="str">
        <f>B118</f>
        <v>ACTB</v>
      </c>
      <c r="C145" s="87" t="str">
        <f t="shared" ref="C145:K145" si="731">C118</f>
        <v>SDHA</v>
      </c>
      <c r="D145" s="87" t="str">
        <f t="shared" si="731"/>
        <v>HPRT1</v>
      </c>
      <c r="E145" s="87" t="str">
        <f t="shared" si="731"/>
        <v>UBC</v>
      </c>
      <c r="F145" s="87" t="str">
        <f t="shared" si="731"/>
        <v>PGK1</v>
      </c>
      <c r="G145" s="87" t="str">
        <f t="shared" si="731"/>
        <v>PPIA</v>
      </c>
      <c r="H145" s="87" t="str">
        <f t="shared" si="731"/>
        <v>ATP5B</v>
      </c>
      <c r="I145" s="87" t="str">
        <f t="shared" si="731"/>
        <v>GUSB</v>
      </c>
      <c r="J145" s="87" t="str">
        <f t="shared" si="731"/>
        <v>GAPDH</v>
      </c>
      <c r="K145" s="87" t="str">
        <f t="shared" si="731"/>
        <v>YWHAZ</v>
      </c>
      <c r="L145" s="11"/>
      <c r="M145" s="22"/>
      <c r="N145" s="57"/>
      <c r="O145" s="72"/>
      <c r="P145" s="72"/>
      <c r="Q145" s="78" t="s">
        <v>46</v>
      </c>
      <c r="R145" s="78" t="str">
        <f t="shared" si="721"/>
        <v/>
      </c>
      <c r="S145" s="78"/>
      <c r="T145" s="78"/>
      <c r="U145" s="136" t="str">
        <f t="shared" si="722"/>
        <v/>
      </c>
      <c r="V145" s="78"/>
      <c r="W145" s="78"/>
      <c r="X145" s="78" t="str">
        <f t="shared" si="723"/>
        <v/>
      </c>
      <c r="Y145" s="78"/>
      <c r="Z145" s="78"/>
      <c r="AA145" s="78" t="str">
        <f t="shared" si="724"/>
        <v/>
      </c>
      <c r="AB145" s="78"/>
      <c r="AC145" s="78"/>
      <c r="AD145" s="78" t="str">
        <f t="shared" si="725"/>
        <v/>
      </c>
      <c r="AE145" s="78"/>
      <c r="AF145" s="78"/>
      <c r="AG145" s="78" t="str">
        <f t="shared" si="726"/>
        <v/>
      </c>
      <c r="AH145" s="78"/>
      <c r="AI145" s="78"/>
      <c r="AJ145" s="78" t="str">
        <f t="shared" si="727"/>
        <v/>
      </c>
      <c r="AK145" s="78"/>
      <c r="AL145" s="78"/>
      <c r="AM145" s="78" t="str">
        <f t="shared" si="728"/>
        <v/>
      </c>
      <c r="AN145" s="78"/>
      <c r="AO145" s="78"/>
      <c r="AP145" s="78" t="str">
        <f t="shared" si="729"/>
        <v/>
      </c>
      <c r="AQ145" s="78"/>
      <c r="AR145" s="78"/>
      <c r="AS145" s="78" t="str">
        <f t="shared" si="730"/>
        <v/>
      </c>
      <c r="AT145" s="78"/>
      <c r="AU145" s="10"/>
      <c r="AV145" s="78" t="str">
        <f t="shared" si="703"/>
        <v/>
      </c>
      <c r="AW145" s="132" t="str">
        <f t="shared" si="704"/>
        <v/>
      </c>
      <c r="AX145" s="10"/>
    </row>
    <row r="146" spans="1:50" x14ac:dyDescent="0.2">
      <c r="A146" s="111"/>
      <c r="B146" s="138" t="s">
        <v>227</v>
      </c>
      <c r="C146" s="138" t="s">
        <v>228</v>
      </c>
      <c r="D146" s="138" t="s">
        <v>229</v>
      </c>
      <c r="E146" s="138" t="s">
        <v>230</v>
      </c>
      <c r="F146" s="138" t="s">
        <v>231</v>
      </c>
      <c r="G146" s="138" t="s">
        <v>232</v>
      </c>
      <c r="H146" s="138" t="s">
        <v>233</v>
      </c>
      <c r="I146" s="138" t="s">
        <v>234</v>
      </c>
      <c r="J146" s="138" t="s">
        <v>235</v>
      </c>
      <c r="K146" s="138" t="s">
        <v>236</v>
      </c>
      <c r="L146" s="22"/>
      <c r="M146" s="22"/>
      <c r="N146" s="57"/>
      <c r="O146" s="72"/>
      <c r="P146" s="72"/>
      <c r="Q146" s="78" t="s">
        <v>47</v>
      </c>
      <c r="R146" s="78" t="str">
        <f t="shared" si="721"/>
        <v/>
      </c>
      <c r="S146" s="78"/>
      <c r="T146" s="78"/>
      <c r="U146" s="136" t="str">
        <f t="shared" si="722"/>
        <v/>
      </c>
      <c r="V146" s="78"/>
      <c r="W146" s="78"/>
      <c r="X146" s="78" t="str">
        <f t="shared" si="723"/>
        <v/>
      </c>
      <c r="Y146" s="78"/>
      <c r="Z146" s="78"/>
      <c r="AA146" s="78" t="str">
        <f t="shared" si="724"/>
        <v/>
      </c>
      <c r="AB146" s="78"/>
      <c r="AC146" s="78"/>
      <c r="AD146" s="78" t="str">
        <f t="shared" si="725"/>
        <v/>
      </c>
      <c r="AE146" s="78"/>
      <c r="AF146" s="78"/>
      <c r="AG146" s="78" t="str">
        <f t="shared" si="726"/>
        <v/>
      </c>
      <c r="AH146" s="78"/>
      <c r="AI146" s="78"/>
      <c r="AJ146" s="78" t="str">
        <f t="shared" si="727"/>
        <v/>
      </c>
      <c r="AK146" s="78"/>
      <c r="AL146" s="78"/>
      <c r="AM146" s="78" t="str">
        <f t="shared" si="728"/>
        <v/>
      </c>
      <c r="AN146" s="78"/>
      <c r="AO146" s="78"/>
      <c r="AP146" s="78" t="str">
        <f t="shared" si="729"/>
        <v/>
      </c>
      <c r="AQ146" s="78"/>
      <c r="AR146" s="78"/>
      <c r="AS146" s="78" t="str">
        <f t="shared" si="730"/>
        <v/>
      </c>
      <c r="AT146" s="78"/>
      <c r="AU146" s="10"/>
      <c r="AV146" s="78" t="str">
        <f t="shared" si="703"/>
        <v/>
      </c>
      <c r="AW146" s="132" t="str">
        <f t="shared" si="704"/>
        <v/>
      </c>
      <c r="AX146" s="10"/>
    </row>
    <row r="147" spans="1:50" x14ac:dyDescent="0.2">
      <c r="A147" s="24"/>
      <c r="B147" s="112" t="s">
        <v>185</v>
      </c>
      <c r="C147" s="112" t="s">
        <v>185</v>
      </c>
      <c r="D147" s="112" t="s">
        <v>185</v>
      </c>
      <c r="E147" s="112" t="s">
        <v>185</v>
      </c>
      <c r="F147" s="112" t="s">
        <v>185</v>
      </c>
      <c r="G147" s="112" t="s">
        <v>185</v>
      </c>
      <c r="H147" s="112" t="s">
        <v>185</v>
      </c>
      <c r="I147" s="112" t="s">
        <v>185</v>
      </c>
      <c r="J147" s="112" t="s">
        <v>185</v>
      </c>
      <c r="K147" s="112" t="s">
        <v>185</v>
      </c>
      <c r="L147" s="22"/>
      <c r="M147" s="22"/>
      <c r="N147" s="57"/>
      <c r="O147" s="72"/>
      <c r="P147" s="72"/>
      <c r="Q147" s="78" t="s">
        <v>48</v>
      </c>
      <c r="R147" s="78" t="str">
        <f t="shared" si="721"/>
        <v/>
      </c>
      <c r="S147" s="78"/>
      <c r="T147" s="78"/>
      <c r="U147" s="136" t="str">
        <f t="shared" si="722"/>
        <v/>
      </c>
      <c r="V147" s="78"/>
      <c r="W147" s="78"/>
      <c r="X147" s="78" t="str">
        <f t="shared" si="723"/>
        <v/>
      </c>
      <c r="Y147" s="78"/>
      <c r="Z147" s="78"/>
      <c r="AA147" s="78" t="str">
        <f t="shared" si="724"/>
        <v/>
      </c>
      <c r="AB147" s="78"/>
      <c r="AC147" s="78"/>
      <c r="AD147" s="78" t="str">
        <f t="shared" si="725"/>
        <v/>
      </c>
      <c r="AE147" s="78"/>
      <c r="AF147" s="78"/>
      <c r="AG147" s="78" t="str">
        <f t="shared" si="726"/>
        <v/>
      </c>
      <c r="AH147" s="78"/>
      <c r="AI147" s="78"/>
      <c r="AJ147" s="78" t="str">
        <f t="shared" si="727"/>
        <v/>
      </c>
      <c r="AK147" s="78"/>
      <c r="AL147" s="78"/>
      <c r="AM147" s="78" t="str">
        <f t="shared" si="728"/>
        <v/>
      </c>
      <c r="AN147" s="78"/>
      <c r="AO147" s="78"/>
      <c r="AP147" s="78" t="str">
        <f t="shared" si="729"/>
        <v/>
      </c>
      <c r="AQ147" s="78"/>
      <c r="AR147" s="78"/>
      <c r="AS147" s="78" t="str">
        <f t="shared" si="730"/>
        <v/>
      </c>
      <c r="AT147" s="78"/>
      <c r="AU147" s="10"/>
      <c r="AV147" s="78" t="str">
        <f t="shared" si="703"/>
        <v/>
      </c>
      <c r="AW147" s="132" t="str">
        <f t="shared" si="704"/>
        <v/>
      </c>
      <c r="AX147" s="10"/>
    </row>
    <row r="148" spans="1:50" x14ac:dyDescent="0.2">
      <c r="A148" s="24"/>
      <c r="B148" s="112" t="s">
        <v>165</v>
      </c>
      <c r="C148" s="112" t="s">
        <v>165</v>
      </c>
      <c r="D148" s="112" t="s">
        <v>165</v>
      </c>
      <c r="E148" s="112" t="s">
        <v>165</v>
      </c>
      <c r="F148" s="112" t="s">
        <v>165</v>
      </c>
      <c r="G148" s="112" t="s">
        <v>165</v>
      </c>
      <c r="H148" s="112" t="s">
        <v>165</v>
      </c>
      <c r="I148" s="112" t="s">
        <v>165</v>
      </c>
      <c r="J148" s="112" t="s">
        <v>165</v>
      </c>
      <c r="K148" s="112" t="s">
        <v>165</v>
      </c>
      <c r="L148" s="22"/>
      <c r="M148" s="22"/>
      <c r="N148" s="57"/>
      <c r="O148" s="72"/>
      <c r="P148" s="72"/>
      <c r="Q148" s="78" t="s">
        <v>49</v>
      </c>
      <c r="R148" s="78" t="str">
        <f t="shared" si="721"/>
        <v/>
      </c>
      <c r="S148" s="78"/>
      <c r="T148" s="78"/>
      <c r="U148" s="136" t="str">
        <f t="shared" si="722"/>
        <v/>
      </c>
      <c r="V148" s="78"/>
      <c r="W148" s="78"/>
      <c r="X148" s="78" t="str">
        <f t="shared" si="723"/>
        <v/>
      </c>
      <c r="Y148" s="78"/>
      <c r="Z148" s="78"/>
      <c r="AA148" s="78" t="str">
        <f t="shared" si="724"/>
        <v/>
      </c>
      <c r="AB148" s="78"/>
      <c r="AC148" s="78"/>
      <c r="AD148" s="78" t="str">
        <f t="shared" si="725"/>
        <v/>
      </c>
      <c r="AE148" s="78"/>
      <c r="AF148" s="78"/>
      <c r="AG148" s="78" t="str">
        <f t="shared" si="726"/>
        <v/>
      </c>
      <c r="AH148" s="78"/>
      <c r="AI148" s="78"/>
      <c r="AJ148" s="78" t="str">
        <f t="shared" si="727"/>
        <v/>
      </c>
      <c r="AK148" s="78"/>
      <c r="AL148" s="78"/>
      <c r="AM148" s="78" t="str">
        <f t="shared" si="728"/>
        <v/>
      </c>
      <c r="AN148" s="78"/>
      <c r="AO148" s="78"/>
      <c r="AP148" s="78" t="str">
        <f t="shared" si="729"/>
        <v/>
      </c>
      <c r="AQ148" s="78"/>
      <c r="AR148" s="78"/>
      <c r="AS148" s="78" t="str">
        <f t="shared" si="730"/>
        <v/>
      </c>
      <c r="AT148" s="78"/>
      <c r="AU148" s="10"/>
      <c r="AV148" s="78" t="str">
        <f t="shared" si="703"/>
        <v/>
      </c>
      <c r="AW148" s="132" t="str">
        <f t="shared" si="704"/>
        <v/>
      </c>
      <c r="AX148" s="10"/>
    </row>
    <row r="149" spans="1:50" x14ac:dyDescent="0.2">
      <c r="A149" s="113" t="s">
        <v>336</v>
      </c>
      <c r="B149" s="114">
        <f>HS117</f>
        <v>0.93</v>
      </c>
      <c r="C149" s="114">
        <f>HV117</f>
        <v>0.82199999999999995</v>
      </c>
      <c r="D149" s="114">
        <f>HY117</f>
        <v>0.69399999999999995</v>
      </c>
      <c r="E149" s="114">
        <f>IB117</f>
        <v>0.878</v>
      </c>
      <c r="F149" s="114">
        <f>IE117</f>
        <v>0.90500000000000003</v>
      </c>
      <c r="G149" s="114">
        <f>IH117</f>
        <v>0.80700000000000005</v>
      </c>
      <c r="H149" s="114">
        <f>IK117</f>
        <v>0.88200000000000001</v>
      </c>
      <c r="I149" s="114">
        <f>IN117</f>
        <v>0.79200000000000004</v>
      </c>
      <c r="J149" s="114">
        <f>IQ117</f>
        <v>0.91</v>
      </c>
      <c r="K149" s="114">
        <f>IT117</f>
        <v>0.872</v>
      </c>
      <c r="L149" s="22"/>
      <c r="M149" s="22"/>
      <c r="N149" s="57"/>
      <c r="O149" s="72"/>
      <c r="P149" s="72"/>
      <c r="Q149" s="78" t="s">
        <v>50</v>
      </c>
      <c r="R149" s="78" t="str">
        <f t="shared" si="721"/>
        <v/>
      </c>
      <c r="S149" s="78"/>
      <c r="T149" s="78"/>
      <c r="U149" s="136" t="str">
        <f t="shared" si="722"/>
        <v/>
      </c>
      <c r="V149" s="78"/>
      <c r="W149" s="78"/>
      <c r="X149" s="78" t="str">
        <f t="shared" si="723"/>
        <v/>
      </c>
      <c r="Y149" s="78"/>
      <c r="Z149" s="78"/>
      <c r="AA149" s="78" t="str">
        <f t="shared" si="724"/>
        <v/>
      </c>
      <c r="AB149" s="78"/>
      <c r="AC149" s="78"/>
      <c r="AD149" s="78" t="str">
        <f t="shared" si="725"/>
        <v/>
      </c>
      <c r="AE149" s="78"/>
      <c r="AF149" s="78"/>
      <c r="AG149" s="78" t="str">
        <f t="shared" si="726"/>
        <v/>
      </c>
      <c r="AH149" s="78"/>
      <c r="AI149" s="78"/>
      <c r="AJ149" s="78" t="str">
        <f t="shared" si="727"/>
        <v/>
      </c>
      <c r="AK149" s="78"/>
      <c r="AL149" s="78"/>
      <c r="AM149" s="78" t="str">
        <f t="shared" si="728"/>
        <v/>
      </c>
      <c r="AN149" s="78"/>
      <c r="AO149" s="78"/>
      <c r="AP149" s="78" t="str">
        <f t="shared" si="729"/>
        <v/>
      </c>
      <c r="AQ149" s="78"/>
      <c r="AR149" s="78"/>
      <c r="AS149" s="78" t="str">
        <f t="shared" si="730"/>
        <v/>
      </c>
      <c r="AT149" s="78"/>
      <c r="AU149" s="10"/>
      <c r="AV149" s="78" t="str">
        <f t="shared" si="703"/>
        <v/>
      </c>
      <c r="AW149" s="132" t="str">
        <f t="shared" si="704"/>
        <v/>
      </c>
      <c r="AX149" s="10"/>
    </row>
    <row r="150" spans="1:50" x14ac:dyDescent="0.2">
      <c r="A150" s="113" t="s">
        <v>337</v>
      </c>
      <c r="B150" s="114">
        <f>HS118</f>
        <v>0.86499999999999999</v>
      </c>
      <c r="C150" s="114">
        <f>HV118</f>
        <v>0.67600000000000005</v>
      </c>
      <c r="D150" s="114">
        <f>HY118</f>
        <v>0.48199999999999998</v>
      </c>
      <c r="E150" s="114">
        <f>IB118</f>
        <v>0.77100000000000002</v>
      </c>
      <c r="F150" s="114">
        <f>IE118</f>
        <v>0.81899999999999995</v>
      </c>
      <c r="G150" s="114">
        <f>IH118</f>
        <v>0.65100000000000002</v>
      </c>
      <c r="H150" s="114">
        <f>IK118</f>
        <v>0.77800000000000002</v>
      </c>
      <c r="I150" s="114">
        <f>IN118</f>
        <v>0.627</v>
      </c>
      <c r="J150" s="114">
        <f>IQ118</f>
        <v>0.82799999999999996</v>
      </c>
      <c r="K150" s="114">
        <f>IT118</f>
        <v>0.76</v>
      </c>
      <c r="L150" s="22"/>
      <c r="M150" s="22"/>
      <c r="N150" s="57"/>
      <c r="O150" s="72"/>
      <c r="P150" s="72"/>
      <c r="Q150" s="78" t="s">
        <v>51</v>
      </c>
      <c r="R150" s="78" t="str">
        <f t="shared" si="721"/>
        <v/>
      </c>
      <c r="S150" s="78"/>
      <c r="T150" s="78"/>
      <c r="U150" s="136" t="str">
        <f t="shared" si="722"/>
        <v/>
      </c>
      <c r="V150" s="78"/>
      <c r="W150" s="78"/>
      <c r="X150" s="78" t="str">
        <f t="shared" si="723"/>
        <v/>
      </c>
      <c r="Y150" s="78"/>
      <c r="Z150" s="78"/>
      <c r="AA150" s="78" t="str">
        <f t="shared" si="724"/>
        <v/>
      </c>
      <c r="AB150" s="78"/>
      <c r="AC150" s="78"/>
      <c r="AD150" s="78" t="str">
        <f t="shared" si="725"/>
        <v/>
      </c>
      <c r="AE150" s="78"/>
      <c r="AF150" s="78"/>
      <c r="AG150" s="78" t="str">
        <f t="shared" si="726"/>
        <v/>
      </c>
      <c r="AH150" s="78"/>
      <c r="AI150" s="78"/>
      <c r="AJ150" s="78" t="str">
        <f t="shared" si="727"/>
        <v/>
      </c>
      <c r="AK150" s="78"/>
      <c r="AL150" s="78"/>
      <c r="AM150" s="78" t="str">
        <f t="shared" si="728"/>
        <v/>
      </c>
      <c r="AN150" s="78"/>
      <c r="AO150" s="78"/>
      <c r="AP150" s="78" t="str">
        <f t="shared" si="729"/>
        <v/>
      </c>
      <c r="AQ150" s="78"/>
      <c r="AR150" s="78"/>
      <c r="AS150" s="78" t="str">
        <f t="shared" si="730"/>
        <v/>
      </c>
      <c r="AT150" s="78"/>
      <c r="AU150" s="10"/>
      <c r="AV150" s="78" t="str">
        <f t="shared" si="703"/>
        <v/>
      </c>
      <c r="AW150" s="132" t="str">
        <f t="shared" si="704"/>
        <v/>
      </c>
      <c r="AX150" s="10"/>
    </row>
    <row r="151" spans="1:50" x14ac:dyDescent="0.2">
      <c r="A151" s="113" t="s">
        <v>333</v>
      </c>
      <c r="B151" s="114">
        <f>HS119</f>
        <v>-2.63</v>
      </c>
      <c r="C151" s="114">
        <f>HV119</f>
        <v>-4.8078000000000003</v>
      </c>
      <c r="D151" s="114">
        <f>HY119</f>
        <v>11.128399999999999</v>
      </c>
      <c r="E151" s="114">
        <f>IB119</f>
        <v>-6.25E-2</v>
      </c>
      <c r="F151" s="114">
        <f>IE119</f>
        <v>-3.1856</v>
      </c>
      <c r="G151" s="114">
        <f>IH119</f>
        <v>7.6006999999999998</v>
      </c>
      <c r="H151" s="114">
        <f>IK119</f>
        <v>2.7206000000000001</v>
      </c>
      <c r="I151" s="114">
        <f>IN119</f>
        <v>-7.1173999999999999</v>
      </c>
      <c r="J151" s="114">
        <f>IQ119</f>
        <v>-2.9933999999999998</v>
      </c>
      <c r="K151" s="114">
        <f>IT119</f>
        <v>-1.2203999999999999</v>
      </c>
      <c r="L151" s="22"/>
      <c r="M151" s="22"/>
      <c r="N151" s="57"/>
      <c r="O151" s="72"/>
      <c r="P151" s="72"/>
      <c r="Q151" s="78" t="s">
        <v>52</v>
      </c>
      <c r="R151" s="78" t="str">
        <f t="shared" si="721"/>
        <v/>
      </c>
      <c r="S151" s="78"/>
      <c r="T151" s="78"/>
      <c r="U151" s="136" t="str">
        <f t="shared" si="722"/>
        <v/>
      </c>
      <c r="V151" s="78"/>
      <c r="W151" s="78"/>
      <c r="X151" s="78" t="str">
        <f t="shared" si="723"/>
        <v/>
      </c>
      <c r="Y151" s="78"/>
      <c r="Z151" s="78"/>
      <c r="AA151" s="78" t="str">
        <f t="shared" si="724"/>
        <v/>
      </c>
      <c r="AB151" s="78"/>
      <c r="AC151" s="78"/>
      <c r="AD151" s="78" t="str">
        <f t="shared" si="725"/>
        <v/>
      </c>
      <c r="AE151" s="78"/>
      <c r="AF151" s="78"/>
      <c r="AG151" s="78" t="str">
        <f t="shared" si="726"/>
        <v/>
      </c>
      <c r="AH151" s="78"/>
      <c r="AI151" s="78"/>
      <c r="AJ151" s="78" t="str">
        <f t="shared" si="727"/>
        <v/>
      </c>
      <c r="AK151" s="78"/>
      <c r="AL151" s="78"/>
      <c r="AM151" s="78" t="str">
        <f t="shared" si="728"/>
        <v/>
      </c>
      <c r="AN151" s="78"/>
      <c r="AO151" s="78"/>
      <c r="AP151" s="78" t="str">
        <f t="shared" si="729"/>
        <v/>
      </c>
      <c r="AQ151" s="78"/>
      <c r="AR151" s="78"/>
      <c r="AS151" s="78" t="str">
        <f t="shared" si="730"/>
        <v/>
      </c>
      <c r="AT151" s="78"/>
      <c r="AU151" s="10"/>
      <c r="AV151" s="78" t="str">
        <f t="shared" si="703"/>
        <v/>
      </c>
      <c r="AW151" s="132" t="str">
        <f t="shared" si="704"/>
        <v/>
      </c>
      <c r="AX151" s="10"/>
    </row>
    <row r="152" spans="1:50" x14ac:dyDescent="0.2">
      <c r="A152" s="113" t="s">
        <v>334</v>
      </c>
      <c r="B152" s="114">
        <f>HS120</f>
        <v>1.0005999999999999</v>
      </c>
      <c r="C152" s="114">
        <f>HV120</f>
        <v>1.3338000000000001</v>
      </c>
      <c r="D152" s="114">
        <f>HY120</f>
        <v>0.6744</v>
      </c>
      <c r="E152" s="114">
        <f>IB120</f>
        <v>0.86880000000000002</v>
      </c>
      <c r="F152" s="114">
        <f>IE120</f>
        <v>1.1923999999999999</v>
      </c>
      <c r="G152" s="114">
        <f>IH120</f>
        <v>0.60199999999999998</v>
      </c>
      <c r="H152" s="114">
        <f>IK120</f>
        <v>0.78800000000000003</v>
      </c>
      <c r="I152" s="114">
        <f>IN120</f>
        <v>1.5286999999999999</v>
      </c>
      <c r="J152" s="114">
        <f>IQ120</f>
        <v>0.96050000000000002</v>
      </c>
      <c r="K152" s="114">
        <f>IT120</f>
        <v>1.1720999999999999</v>
      </c>
      <c r="L152" s="23"/>
      <c r="M152" s="25"/>
      <c r="N152" s="57"/>
      <c r="O152" s="72"/>
      <c r="P152" s="72"/>
      <c r="Q152" s="78" t="s">
        <v>53</v>
      </c>
      <c r="R152" s="78" t="str">
        <f t="shared" si="721"/>
        <v/>
      </c>
      <c r="S152" s="78"/>
      <c r="T152" s="78"/>
      <c r="U152" s="136" t="str">
        <f t="shared" si="722"/>
        <v/>
      </c>
      <c r="V152" s="78"/>
      <c r="W152" s="78"/>
      <c r="X152" s="78" t="str">
        <f t="shared" si="723"/>
        <v/>
      </c>
      <c r="Y152" s="78"/>
      <c r="Z152" s="78"/>
      <c r="AA152" s="78" t="str">
        <f t="shared" si="724"/>
        <v/>
      </c>
      <c r="AB152" s="78"/>
      <c r="AC152" s="78"/>
      <c r="AD152" s="78" t="str">
        <f t="shared" si="725"/>
        <v/>
      </c>
      <c r="AE152" s="78"/>
      <c r="AF152" s="78"/>
      <c r="AG152" s="78" t="str">
        <f t="shared" si="726"/>
        <v/>
      </c>
      <c r="AH152" s="78"/>
      <c r="AI152" s="78"/>
      <c r="AJ152" s="78" t="str">
        <f t="shared" si="727"/>
        <v/>
      </c>
      <c r="AK152" s="78"/>
      <c r="AL152" s="78"/>
      <c r="AM152" s="78" t="str">
        <f t="shared" si="728"/>
        <v/>
      </c>
      <c r="AN152" s="78"/>
      <c r="AO152" s="78"/>
      <c r="AP152" s="78" t="str">
        <f t="shared" si="729"/>
        <v/>
      </c>
      <c r="AQ152" s="78"/>
      <c r="AR152" s="78"/>
      <c r="AS152" s="78" t="str">
        <f t="shared" si="730"/>
        <v/>
      </c>
      <c r="AT152" s="78"/>
      <c r="AU152" s="10"/>
      <c r="AV152" s="78" t="str">
        <f t="shared" si="703"/>
        <v/>
      </c>
      <c r="AW152" s="132" t="str">
        <f t="shared" si="704"/>
        <v/>
      </c>
      <c r="AX152" s="10"/>
    </row>
    <row r="153" spans="1:50" x14ac:dyDescent="0.2">
      <c r="A153" s="113" t="s">
        <v>335</v>
      </c>
      <c r="B153" s="114" t="str">
        <f>HS121</f>
        <v>±0,531</v>
      </c>
      <c r="C153" s="114" t="str">
        <f>HV121</f>
        <v>±1,241</v>
      </c>
      <c r="D153" s="114" t="str">
        <f>HY121</f>
        <v>±0,939</v>
      </c>
      <c r="E153" s="114" t="str">
        <f>IB121</f>
        <v>±0,636</v>
      </c>
      <c r="F153" s="114" t="str">
        <f>IE121</f>
        <v>±0,752</v>
      </c>
      <c r="G153" s="114" t="str">
        <f>IH121</f>
        <v>±0,592</v>
      </c>
      <c r="H153" s="114" t="str">
        <f>IK121</f>
        <v>±0,565</v>
      </c>
      <c r="I153" s="114" t="str">
        <f>IN121</f>
        <v>±1,582</v>
      </c>
      <c r="J153" s="114" t="str">
        <f>IQ121</f>
        <v>±0,588</v>
      </c>
      <c r="K153" s="114" t="str">
        <f>IT121</f>
        <v>±0,884</v>
      </c>
      <c r="L153" s="26"/>
      <c r="M153" s="25"/>
      <c r="N153" s="57"/>
      <c r="O153" s="72"/>
      <c r="P153" s="72"/>
      <c r="Q153" s="78" t="s">
        <v>54</v>
      </c>
      <c r="R153" s="78" t="str">
        <f t="shared" si="721"/>
        <v/>
      </c>
      <c r="S153" s="78"/>
      <c r="T153" s="78"/>
      <c r="U153" s="136" t="str">
        <f t="shared" si="722"/>
        <v/>
      </c>
      <c r="V153" s="78"/>
      <c r="W153" s="78"/>
      <c r="X153" s="78" t="str">
        <f t="shared" si="723"/>
        <v/>
      </c>
      <c r="Y153" s="78"/>
      <c r="Z153" s="78"/>
      <c r="AA153" s="78" t="str">
        <f t="shared" si="724"/>
        <v/>
      </c>
      <c r="AB153" s="78"/>
      <c r="AC153" s="78"/>
      <c r="AD153" s="78" t="str">
        <f t="shared" si="725"/>
        <v/>
      </c>
      <c r="AE153" s="78"/>
      <c r="AF153" s="78"/>
      <c r="AG153" s="78" t="str">
        <f t="shared" si="726"/>
        <v/>
      </c>
      <c r="AH153" s="78"/>
      <c r="AI153" s="78"/>
      <c r="AJ153" s="78" t="str">
        <f t="shared" si="727"/>
        <v/>
      </c>
      <c r="AK153" s="78"/>
      <c r="AL153" s="78"/>
      <c r="AM153" s="78" t="str">
        <f t="shared" si="728"/>
        <v/>
      </c>
      <c r="AN153" s="78"/>
      <c r="AO153" s="78"/>
      <c r="AP153" s="78" t="str">
        <f t="shared" si="729"/>
        <v/>
      </c>
      <c r="AQ153" s="78"/>
      <c r="AR153" s="78"/>
      <c r="AS153" s="78" t="str">
        <f t="shared" si="730"/>
        <v/>
      </c>
      <c r="AT153" s="78"/>
      <c r="AU153" s="10"/>
      <c r="AV153" s="78" t="str">
        <f t="shared" si="703"/>
        <v/>
      </c>
      <c r="AW153" s="132" t="str">
        <f t="shared" si="704"/>
        <v/>
      </c>
      <c r="AX153" s="10"/>
    </row>
    <row r="154" spans="1:50" x14ac:dyDescent="0.2">
      <c r="A154" s="49" t="s">
        <v>110</v>
      </c>
      <c r="B154" s="105">
        <f>IF(CC$119&lt;0.001,0.001,CC$119)</f>
        <v>1E-3</v>
      </c>
      <c r="C154" s="105">
        <f>IF(DE$119&lt;0.001,0.001,DE$119)</f>
        <v>1E-3</v>
      </c>
      <c r="D154" s="105">
        <f>IF(ED$119&lt;0.001,0.001,ED$119)</f>
        <v>1E-3</v>
      </c>
      <c r="E154" s="105">
        <f>IF(EZ$119&lt;0.001,0.001,EZ$119)</f>
        <v>1E-3</v>
      </c>
      <c r="F154" s="105">
        <f>IF(FS$119&lt;0.001,0.001,FS$119)</f>
        <v>1E-3</v>
      </c>
      <c r="G154" s="105">
        <f>IF(GI$119&lt;0.001,0.001,GI$119)</f>
        <v>1E-3</v>
      </c>
      <c r="H154" s="105">
        <f>IF(GV$119&lt;0.001,0.001,GV$119)</f>
        <v>1E-3</v>
      </c>
      <c r="I154" s="105">
        <f>IF(HF$119&lt;0.001,0.001,HF$119)</f>
        <v>1E-3</v>
      </c>
      <c r="J154" s="105">
        <f>IF(HM$119&lt;0.001,0.001,HM$119)</f>
        <v>1E-3</v>
      </c>
      <c r="K154" s="105">
        <f>IF(HQ$119&lt;0.001,0.001,HQ$119)</f>
        <v>1E-3</v>
      </c>
      <c r="L154" s="26"/>
      <c r="M154" s="25"/>
      <c r="N154" s="57"/>
      <c r="O154" s="72"/>
      <c r="P154" s="72"/>
      <c r="Q154" s="78" t="s">
        <v>55</v>
      </c>
      <c r="R154" s="78" t="str">
        <f t="shared" si="721"/>
        <v/>
      </c>
      <c r="S154" s="78"/>
      <c r="T154" s="78"/>
      <c r="U154" s="136" t="str">
        <f t="shared" si="722"/>
        <v/>
      </c>
      <c r="V154" s="78"/>
      <c r="W154" s="78"/>
      <c r="X154" s="78" t="str">
        <f t="shared" si="723"/>
        <v/>
      </c>
      <c r="Y154" s="78"/>
      <c r="Z154" s="78"/>
      <c r="AA154" s="78" t="str">
        <f t="shared" si="724"/>
        <v/>
      </c>
      <c r="AB154" s="78"/>
      <c r="AC154" s="78"/>
      <c r="AD154" s="78" t="str">
        <f t="shared" si="725"/>
        <v/>
      </c>
      <c r="AE154" s="78"/>
      <c r="AF154" s="78"/>
      <c r="AG154" s="78" t="str">
        <f t="shared" si="726"/>
        <v/>
      </c>
      <c r="AH154" s="78"/>
      <c r="AI154" s="78"/>
      <c r="AJ154" s="78" t="str">
        <f t="shared" si="727"/>
        <v/>
      </c>
      <c r="AK154" s="78"/>
      <c r="AL154" s="78"/>
      <c r="AM154" s="78" t="str">
        <f t="shared" si="728"/>
        <v/>
      </c>
      <c r="AN154" s="78"/>
      <c r="AO154" s="78"/>
      <c r="AP154" s="78" t="str">
        <f t="shared" si="729"/>
        <v/>
      </c>
      <c r="AQ154" s="78"/>
      <c r="AR154" s="78"/>
      <c r="AS154" s="78" t="str">
        <f t="shared" si="730"/>
        <v/>
      </c>
      <c r="AT154" s="78"/>
      <c r="AU154" s="10"/>
      <c r="AV154" s="78" t="str">
        <f t="shared" si="703"/>
        <v/>
      </c>
      <c r="AW154" s="132" t="str">
        <f t="shared" si="704"/>
        <v/>
      </c>
      <c r="AX154" s="10"/>
    </row>
    <row r="155" spans="1:50" x14ac:dyDescent="0.2">
      <c r="A155" s="49" t="s">
        <v>395</v>
      </c>
      <c r="B155" s="115">
        <f>IF(B109&gt;0,$P198^B152,"")</f>
        <v>2.0318635961168505</v>
      </c>
      <c r="C155" s="115">
        <f>IF(C109&gt;0,$P199^C152,"")</f>
        <v>2.4670086401042579</v>
      </c>
      <c r="D155" s="115">
        <f>IF(D109&gt;0,$P200^D152,"")</f>
        <v>1.6045321073502146</v>
      </c>
      <c r="E155" s="115">
        <f>IF(E109&gt;0,$P201^E152,"")</f>
        <v>1.8309020495759838</v>
      </c>
      <c r="F155" s="115">
        <f>IF(F109&gt;0,$P202^F152,"")</f>
        <v>2.1875683033155684</v>
      </c>
      <c r="G155" s="115">
        <f>IF(G109&gt;0,$P203^G152,"")</f>
        <v>1.4684009932851605</v>
      </c>
      <c r="H155" s="115">
        <f>IF(H109&gt;0,$P204^H152,"")</f>
        <v>1.6912043795030189</v>
      </c>
      <c r="I155" s="115">
        <f>IF(I109&gt;0,$P205^I152,"")</f>
        <v>2.6333959873513151</v>
      </c>
      <c r="J155" s="115">
        <f>IF(J109&gt;0,$P206^J152,"")</f>
        <v>1.8346382261016008</v>
      </c>
      <c r="K155" s="115">
        <f>IF(K109&gt;0,$P207^K152,"")</f>
        <v>2.1586088305123243</v>
      </c>
      <c r="L155" s="23"/>
      <c r="M155" s="22"/>
      <c r="N155" s="57"/>
      <c r="O155" s="72"/>
      <c r="P155" s="72"/>
      <c r="Q155" s="78" t="s">
        <v>56</v>
      </c>
      <c r="R155" s="78" t="str">
        <f t="shared" si="721"/>
        <v/>
      </c>
      <c r="S155" s="78"/>
      <c r="T155" s="78"/>
      <c r="U155" s="136" t="str">
        <f t="shared" si="722"/>
        <v/>
      </c>
      <c r="V155" s="78"/>
      <c r="W155" s="78"/>
      <c r="X155" s="78" t="str">
        <f t="shared" si="723"/>
        <v/>
      </c>
      <c r="Y155" s="78"/>
      <c r="Z155" s="78"/>
      <c r="AA155" s="78" t="str">
        <f t="shared" si="724"/>
        <v/>
      </c>
      <c r="AB155" s="78"/>
      <c r="AC155" s="78"/>
      <c r="AD155" s="78" t="str">
        <f t="shared" si="725"/>
        <v/>
      </c>
      <c r="AE155" s="78"/>
      <c r="AF155" s="78"/>
      <c r="AG155" s="78" t="str">
        <f t="shared" si="726"/>
        <v/>
      </c>
      <c r="AH155" s="78"/>
      <c r="AI155" s="78"/>
      <c r="AJ155" s="78" t="str">
        <f t="shared" si="727"/>
        <v/>
      </c>
      <c r="AK155" s="78"/>
      <c r="AL155" s="78"/>
      <c r="AM155" s="78" t="str">
        <f t="shared" si="728"/>
        <v/>
      </c>
      <c r="AN155" s="78"/>
      <c r="AO155" s="78"/>
      <c r="AP155" s="78" t="str">
        <f t="shared" si="729"/>
        <v/>
      </c>
      <c r="AQ155" s="78"/>
      <c r="AR155" s="78"/>
      <c r="AS155" s="78" t="str">
        <f t="shared" si="730"/>
        <v/>
      </c>
      <c r="AT155" s="78"/>
      <c r="AU155" s="10"/>
      <c r="AV155" s="78" t="str">
        <f>IF(L53&gt;0,"±"&amp;ROUND(STDEV(R155,U155,X155,AA155,AD155,AG155,AJ155,AM155,AP155,AS155),2),"")</f>
        <v/>
      </c>
      <c r="AW155" s="132" t="str">
        <f t="shared" si="704"/>
        <v/>
      </c>
      <c r="AX155" s="10"/>
    </row>
    <row r="156" spans="1:50" x14ac:dyDescent="0.2">
      <c r="A156" s="26"/>
      <c r="B156" s="27"/>
      <c r="C156" s="28"/>
      <c r="D156" s="28"/>
      <c r="L156" s="58"/>
      <c r="M156" s="10"/>
      <c r="N156" s="57"/>
      <c r="O156" s="72"/>
      <c r="P156" s="72"/>
      <c r="Q156" s="78" t="s">
        <v>57</v>
      </c>
      <c r="R156" s="78" t="str">
        <f t="shared" si="721"/>
        <v/>
      </c>
      <c r="S156" s="78"/>
      <c r="T156" s="78"/>
      <c r="U156" s="136" t="str">
        <f t="shared" si="722"/>
        <v/>
      </c>
      <c r="V156" s="78"/>
      <c r="W156" s="78"/>
      <c r="X156" s="78" t="str">
        <f t="shared" si="723"/>
        <v/>
      </c>
      <c r="Y156" s="78"/>
      <c r="Z156" s="78"/>
      <c r="AA156" s="78" t="str">
        <f t="shared" si="724"/>
        <v/>
      </c>
      <c r="AB156" s="78"/>
      <c r="AC156" s="78"/>
      <c r="AD156" s="78" t="str">
        <f t="shared" si="725"/>
        <v/>
      </c>
      <c r="AE156" s="78"/>
      <c r="AF156" s="78"/>
      <c r="AG156" s="78" t="str">
        <f t="shared" si="726"/>
        <v/>
      </c>
      <c r="AH156" s="78"/>
      <c r="AI156" s="78"/>
      <c r="AJ156" s="78" t="str">
        <f t="shared" si="727"/>
        <v/>
      </c>
      <c r="AK156" s="78"/>
      <c r="AL156" s="78"/>
      <c r="AM156" s="78" t="str">
        <f t="shared" si="728"/>
        <v/>
      </c>
      <c r="AN156" s="78"/>
      <c r="AO156" s="78"/>
      <c r="AP156" s="78" t="str">
        <f t="shared" si="729"/>
        <v/>
      </c>
      <c r="AQ156" s="78"/>
      <c r="AR156" s="78"/>
      <c r="AS156" s="78" t="str">
        <f t="shared" si="730"/>
        <v/>
      </c>
      <c r="AT156" s="78"/>
      <c r="AU156" s="10"/>
      <c r="AV156" s="78" t="str">
        <f t="shared" si="703"/>
        <v/>
      </c>
      <c r="AW156" s="132" t="str">
        <f t="shared" si="704"/>
        <v/>
      </c>
      <c r="AX156" s="10"/>
    </row>
    <row r="157" spans="1:50" x14ac:dyDescent="0.2">
      <c r="A157" s="35" t="s">
        <v>215</v>
      </c>
      <c r="B157" s="36" t="s">
        <v>216</v>
      </c>
      <c r="C157" s="33"/>
      <c r="D157" s="33"/>
      <c r="E157" s="36" t="s">
        <v>217</v>
      </c>
      <c r="F157" s="30"/>
      <c r="G157" s="32"/>
      <c r="H157" s="32" t="s">
        <v>363</v>
      </c>
      <c r="O157" s="6"/>
      <c r="P157" s="6"/>
      <c r="Q157" s="78" t="s">
        <v>58</v>
      </c>
      <c r="R157" s="78" t="str">
        <f t="shared" si="721"/>
        <v/>
      </c>
      <c r="S157" s="78"/>
      <c r="T157" s="78"/>
      <c r="U157" s="136" t="str">
        <f t="shared" si="722"/>
        <v/>
      </c>
      <c r="V157" s="78"/>
      <c r="W157" s="78"/>
      <c r="X157" s="78" t="str">
        <f t="shared" si="723"/>
        <v/>
      </c>
      <c r="Y157" s="78"/>
      <c r="Z157" s="78"/>
      <c r="AA157" s="78" t="str">
        <f t="shared" si="724"/>
        <v/>
      </c>
      <c r="AB157" s="78"/>
      <c r="AC157" s="78"/>
      <c r="AD157" s="78" t="str">
        <f t="shared" si="725"/>
        <v/>
      </c>
      <c r="AE157" s="78"/>
      <c r="AF157" s="78"/>
      <c r="AG157" s="78" t="str">
        <f t="shared" si="726"/>
        <v/>
      </c>
      <c r="AH157" s="78"/>
      <c r="AI157" s="78"/>
      <c r="AJ157" s="78" t="str">
        <f t="shared" si="727"/>
        <v/>
      </c>
      <c r="AK157" s="78"/>
      <c r="AL157" s="78"/>
      <c r="AM157" s="78" t="str">
        <f t="shared" si="728"/>
        <v/>
      </c>
      <c r="AN157" s="78"/>
      <c r="AO157" s="78"/>
      <c r="AP157" s="78" t="str">
        <f t="shared" si="729"/>
        <v/>
      </c>
      <c r="AQ157" s="78"/>
      <c r="AR157" s="78"/>
      <c r="AS157" s="78" t="str">
        <f t="shared" si="730"/>
        <v/>
      </c>
      <c r="AT157" s="78"/>
      <c r="AV157" s="78" t="str">
        <f t="shared" si="703"/>
        <v/>
      </c>
      <c r="AW157" s="132" t="str">
        <f t="shared" si="704"/>
        <v/>
      </c>
    </row>
    <row r="158" spans="1:50" x14ac:dyDescent="0.2">
      <c r="O158" s="6"/>
      <c r="P158" s="6"/>
      <c r="Q158" s="78" t="s">
        <v>59</v>
      </c>
      <c r="R158" s="78" t="str">
        <f t="shared" si="721"/>
        <v/>
      </c>
      <c r="S158" s="78"/>
      <c r="T158" s="78"/>
      <c r="U158" s="136" t="str">
        <f t="shared" si="722"/>
        <v/>
      </c>
      <c r="V158" s="78"/>
      <c r="W158" s="78"/>
      <c r="X158" s="78" t="str">
        <f t="shared" si="723"/>
        <v/>
      </c>
      <c r="Y158" s="78"/>
      <c r="Z158" s="78"/>
      <c r="AA158" s="78" t="str">
        <f t="shared" si="724"/>
        <v/>
      </c>
      <c r="AB158" s="78"/>
      <c r="AC158" s="78"/>
      <c r="AD158" s="78" t="str">
        <f t="shared" si="725"/>
        <v/>
      </c>
      <c r="AE158" s="78"/>
      <c r="AF158" s="78"/>
      <c r="AG158" s="78" t="str">
        <f t="shared" si="726"/>
        <v/>
      </c>
      <c r="AH158" s="78"/>
      <c r="AI158" s="78"/>
      <c r="AJ158" s="78" t="str">
        <f t="shared" si="727"/>
        <v/>
      </c>
      <c r="AK158" s="78"/>
      <c r="AL158" s="78"/>
      <c r="AM158" s="78" t="str">
        <f t="shared" si="728"/>
        <v/>
      </c>
      <c r="AN158" s="78"/>
      <c r="AO158" s="78"/>
      <c r="AP158" s="78" t="str">
        <f t="shared" si="729"/>
        <v/>
      </c>
      <c r="AQ158" s="78"/>
      <c r="AR158" s="78"/>
      <c r="AS158" s="78" t="str">
        <f t="shared" si="730"/>
        <v/>
      </c>
      <c r="AT158" s="78"/>
      <c r="AV158" s="78" t="str">
        <f t="shared" si="703"/>
        <v/>
      </c>
      <c r="AW158" s="132" t="str">
        <f t="shared" si="704"/>
        <v/>
      </c>
    </row>
    <row r="159" spans="1:50" x14ac:dyDescent="0.2">
      <c r="O159" s="6"/>
      <c r="P159" s="6"/>
      <c r="Q159" s="78" t="s">
        <v>60</v>
      </c>
      <c r="R159" s="78" t="str">
        <f t="shared" si="721"/>
        <v/>
      </c>
      <c r="S159" s="78"/>
      <c r="T159" s="78"/>
      <c r="U159" s="136" t="str">
        <f t="shared" si="722"/>
        <v/>
      </c>
      <c r="V159" s="78"/>
      <c r="W159" s="78"/>
      <c r="X159" s="78" t="str">
        <f t="shared" si="723"/>
        <v/>
      </c>
      <c r="Y159" s="78"/>
      <c r="Z159" s="78"/>
      <c r="AA159" s="78" t="str">
        <f t="shared" si="724"/>
        <v/>
      </c>
      <c r="AB159" s="78"/>
      <c r="AC159" s="78"/>
      <c r="AD159" s="78" t="str">
        <f t="shared" si="725"/>
        <v/>
      </c>
      <c r="AE159" s="78"/>
      <c r="AF159" s="78"/>
      <c r="AG159" s="78" t="str">
        <f t="shared" si="726"/>
        <v/>
      </c>
      <c r="AH159" s="78"/>
      <c r="AI159" s="78"/>
      <c r="AJ159" s="78" t="str">
        <f t="shared" si="727"/>
        <v/>
      </c>
      <c r="AK159" s="78"/>
      <c r="AL159" s="78"/>
      <c r="AM159" s="78" t="str">
        <f t="shared" si="728"/>
        <v/>
      </c>
      <c r="AN159" s="78"/>
      <c r="AO159" s="78"/>
      <c r="AP159" s="78" t="str">
        <f t="shared" si="729"/>
        <v/>
      </c>
      <c r="AQ159" s="78"/>
      <c r="AR159" s="78"/>
      <c r="AS159" s="78" t="str">
        <f t="shared" si="730"/>
        <v/>
      </c>
      <c r="AT159" s="78"/>
      <c r="AV159" s="78" t="str">
        <f t="shared" si="703"/>
        <v/>
      </c>
      <c r="AW159" s="132" t="str">
        <f t="shared" si="704"/>
        <v/>
      </c>
    </row>
    <row r="160" spans="1:50" x14ac:dyDescent="0.2">
      <c r="O160" s="6"/>
      <c r="P160" s="6"/>
      <c r="Q160" s="78" t="s">
        <v>61</v>
      </c>
      <c r="R160" s="78" t="str">
        <f t="shared" si="721"/>
        <v/>
      </c>
      <c r="S160" s="78"/>
      <c r="T160" s="78"/>
      <c r="U160" s="136" t="str">
        <f t="shared" si="722"/>
        <v/>
      </c>
      <c r="V160" s="78"/>
      <c r="W160" s="78"/>
      <c r="X160" s="78" t="str">
        <f t="shared" si="723"/>
        <v/>
      </c>
      <c r="Y160" s="78"/>
      <c r="Z160" s="78"/>
      <c r="AA160" s="78" t="str">
        <f t="shared" si="724"/>
        <v/>
      </c>
      <c r="AB160" s="78"/>
      <c r="AC160" s="78"/>
      <c r="AD160" s="78" t="str">
        <f t="shared" si="725"/>
        <v/>
      </c>
      <c r="AE160" s="78"/>
      <c r="AF160" s="78"/>
      <c r="AG160" s="78" t="str">
        <f t="shared" si="726"/>
        <v/>
      </c>
      <c r="AH160" s="78"/>
      <c r="AI160" s="78"/>
      <c r="AJ160" s="78" t="str">
        <f t="shared" si="727"/>
        <v/>
      </c>
      <c r="AK160" s="78"/>
      <c r="AL160" s="78"/>
      <c r="AM160" s="78" t="str">
        <f t="shared" si="728"/>
        <v/>
      </c>
      <c r="AN160" s="78"/>
      <c r="AO160" s="78"/>
      <c r="AP160" s="78" t="str">
        <f t="shared" si="729"/>
        <v/>
      </c>
      <c r="AQ160" s="78"/>
      <c r="AR160" s="78"/>
      <c r="AS160" s="78" t="str">
        <f t="shared" si="730"/>
        <v/>
      </c>
      <c r="AT160" s="78"/>
      <c r="AV160" s="78" t="str">
        <f t="shared" si="703"/>
        <v/>
      </c>
      <c r="AW160" s="132" t="str">
        <f t="shared" si="704"/>
        <v/>
      </c>
    </row>
    <row r="161" spans="15:49" x14ac:dyDescent="0.2">
      <c r="O161" s="6"/>
      <c r="P161" s="6"/>
      <c r="Q161" s="78" t="s">
        <v>62</v>
      </c>
      <c r="R161" s="78" t="str">
        <f t="shared" si="721"/>
        <v/>
      </c>
      <c r="S161" s="78"/>
      <c r="T161" s="78"/>
      <c r="U161" s="136" t="str">
        <f t="shared" si="722"/>
        <v/>
      </c>
      <c r="V161" s="78"/>
      <c r="W161" s="78"/>
      <c r="X161" s="78" t="str">
        <f t="shared" si="723"/>
        <v/>
      </c>
      <c r="Y161" s="78"/>
      <c r="Z161" s="78"/>
      <c r="AA161" s="78" t="str">
        <f t="shared" si="724"/>
        <v/>
      </c>
      <c r="AB161" s="78"/>
      <c r="AC161" s="78"/>
      <c r="AD161" s="78" t="str">
        <f t="shared" si="725"/>
        <v/>
      </c>
      <c r="AE161" s="78"/>
      <c r="AF161" s="78"/>
      <c r="AG161" s="78" t="str">
        <f t="shared" si="726"/>
        <v/>
      </c>
      <c r="AH161" s="78"/>
      <c r="AI161" s="78"/>
      <c r="AJ161" s="78" t="str">
        <f t="shared" si="727"/>
        <v/>
      </c>
      <c r="AK161" s="78"/>
      <c r="AL161" s="78"/>
      <c r="AM161" s="78" t="str">
        <f t="shared" si="728"/>
        <v/>
      </c>
      <c r="AN161" s="78"/>
      <c r="AO161" s="78"/>
      <c r="AP161" s="78" t="str">
        <f t="shared" si="729"/>
        <v/>
      </c>
      <c r="AQ161" s="78"/>
      <c r="AR161" s="78"/>
      <c r="AS161" s="78" t="str">
        <f t="shared" si="730"/>
        <v/>
      </c>
      <c r="AT161" s="78"/>
      <c r="AV161" s="78" t="str">
        <f t="shared" si="703"/>
        <v/>
      </c>
      <c r="AW161" s="132" t="str">
        <f t="shared" si="704"/>
        <v/>
      </c>
    </row>
    <row r="162" spans="15:49" x14ac:dyDescent="0.2">
      <c r="O162" s="6"/>
      <c r="P162" s="6"/>
      <c r="Q162" s="78" t="s">
        <v>63</v>
      </c>
      <c r="R162" s="78" t="str">
        <f t="shared" si="721"/>
        <v/>
      </c>
      <c r="S162" s="78"/>
      <c r="T162" s="78"/>
      <c r="U162" s="136" t="str">
        <f t="shared" si="722"/>
        <v/>
      </c>
      <c r="V162" s="78"/>
      <c r="W162" s="78"/>
      <c r="X162" s="78" t="str">
        <f t="shared" si="723"/>
        <v/>
      </c>
      <c r="Y162" s="78"/>
      <c r="Z162" s="78"/>
      <c r="AA162" s="78" t="str">
        <f t="shared" si="724"/>
        <v/>
      </c>
      <c r="AB162" s="78"/>
      <c r="AC162" s="78"/>
      <c r="AD162" s="78" t="str">
        <f t="shared" si="725"/>
        <v/>
      </c>
      <c r="AE162" s="78"/>
      <c r="AF162" s="78"/>
      <c r="AG162" s="78" t="str">
        <f t="shared" si="726"/>
        <v/>
      </c>
      <c r="AH162" s="78"/>
      <c r="AI162" s="78"/>
      <c r="AJ162" s="78" t="str">
        <f t="shared" si="727"/>
        <v/>
      </c>
      <c r="AK162" s="78"/>
      <c r="AL162" s="78"/>
      <c r="AM162" s="78" t="str">
        <f t="shared" si="728"/>
        <v/>
      </c>
      <c r="AN162" s="78"/>
      <c r="AO162" s="78"/>
      <c r="AP162" s="78" t="str">
        <f t="shared" si="729"/>
        <v/>
      </c>
      <c r="AQ162" s="78"/>
      <c r="AR162" s="78"/>
      <c r="AS162" s="78" t="str">
        <f t="shared" si="730"/>
        <v/>
      </c>
      <c r="AT162" s="78"/>
      <c r="AV162" s="78" t="str">
        <f t="shared" si="703"/>
        <v/>
      </c>
      <c r="AW162" s="132" t="str">
        <f t="shared" si="704"/>
        <v/>
      </c>
    </row>
    <row r="163" spans="15:49" x14ac:dyDescent="0.2">
      <c r="O163" s="6"/>
      <c r="P163" s="6"/>
      <c r="Q163" s="78" t="s">
        <v>64</v>
      </c>
      <c r="R163" s="78" t="str">
        <f t="shared" si="721"/>
        <v/>
      </c>
      <c r="S163" s="78"/>
      <c r="T163" s="78"/>
      <c r="U163" s="136" t="str">
        <f t="shared" si="722"/>
        <v/>
      </c>
      <c r="V163" s="78"/>
      <c r="W163" s="78"/>
      <c r="X163" s="78" t="str">
        <f t="shared" si="723"/>
        <v/>
      </c>
      <c r="Y163" s="78"/>
      <c r="Z163" s="78"/>
      <c r="AA163" s="78" t="str">
        <f t="shared" si="724"/>
        <v/>
      </c>
      <c r="AB163" s="78"/>
      <c r="AC163" s="78"/>
      <c r="AD163" s="78" t="str">
        <f t="shared" si="725"/>
        <v/>
      </c>
      <c r="AE163" s="78"/>
      <c r="AF163" s="78"/>
      <c r="AG163" s="78" t="str">
        <f t="shared" si="726"/>
        <v/>
      </c>
      <c r="AH163" s="78"/>
      <c r="AI163" s="78"/>
      <c r="AJ163" s="78" t="str">
        <f t="shared" si="727"/>
        <v/>
      </c>
      <c r="AK163" s="78"/>
      <c r="AL163" s="78"/>
      <c r="AM163" s="78" t="str">
        <f t="shared" si="728"/>
        <v/>
      </c>
      <c r="AN163" s="78"/>
      <c r="AO163" s="78"/>
      <c r="AP163" s="78" t="str">
        <f t="shared" si="729"/>
        <v/>
      </c>
      <c r="AQ163" s="78"/>
      <c r="AR163" s="78"/>
      <c r="AS163" s="78" t="str">
        <f t="shared" si="730"/>
        <v/>
      </c>
      <c r="AT163" s="78"/>
      <c r="AV163" s="78" t="str">
        <f t="shared" si="703"/>
        <v/>
      </c>
      <c r="AW163" s="132" t="str">
        <f t="shared" si="704"/>
        <v/>
      </c>
    </row>
    <row r="164" spans="15:49" x14ac:dyDescent="0.2">
      <c r="O164" s="6"/>
      <c r="P164" s="6"/>
      <c r="Q164" s="78" t="s">
        <v>65</v>
      </c>
      <c r="R164" s="78" t="str">
        <f t="shared" si="721"/>
        <v/>
      </c>
      <c r="S164" s="78"/>
      <c r="T164" s="78"/>
      <c r="U164" s="136" t="str">
        <f t="shared" si="722"/>
        <v/>
      </c>
      <c r="V164" s="78"/>
      <c r="W164" s="78"/>
      <c r="X164" s="78" t="str">
        <f t="shared" si="723"/>
        <v/>
      </c>
      <c r="Y164" s="78"/>
      <c r="Z164" s="78"/>
      <c r="AA164" s="78" t="str">
        <f t="shared" si="724"/>
        <v/>
      </c>
      <c r="AB164" s="78"/>
      <c r="AC164" s="78"/>
      <c r="AD164" s="78" t="str">
        <f t="shared" si="725"/>
        <v/>
      </c>
      <c r="AE164" s="78"/>
      <c r="AF164" s="78"/>
      <c r="AG164" s="78" t="str">
        <f t="shared" si="726"/>
        <v/>
      </c>
      <c r="AH164" s="78"/>
      <c r="AI164" s="78"/>
      <c r="AJ164" s="78" t="str">
        <f t="shared" si="727"/>
        <v/>
      </c>
      <c r="AK164" s="78"/>
      <c r="AL164" s="78"/>
      <c r="AM164" s="78" t="str">
        <f t="shared" si="728"/>
        <v/>
      </c>
      <c r="AN164" s="78"/>
      <c r="AO164" s="78"/>
      <c r="AP164" s="78" t="str">
        <f t="shared" si="729"/>
        <v/>
      </c>
      <c r="AQ164" s="78"/>
      <c r="AR164" s="78"/>
      <c r="AS164" s="78" t="str">
        <f t="shared" si="730"/>
        <v/>
      </c>
      <c r="AT164" s="78"/>
      <c r="AV164" s="78" t="str">
        <f t="shared" si="703"/>
        <v/>
      </c>
      <c r="AW164" s="132" t="str">
        <f t="shared" si="704"/>
        <v/>
      </c>
    </row>
    <row r="165" spans="15:49" x14ac:dyDescent="0.2">
      <c r="O165" s="6"/>
      <c r="P165" s="6"/>
      <c r="Q165" s="78" t="s">
        <v>66</v>
      </c>
      <c r="R165" s="78" t="str">
        <f t="shared" si="721"/>
        <v/>
      </c>
      <c r="S165" s="78"/>
      <c r="T165" s="78"/>
      <c r="U165" s="136" t="str">
        <f t="shared" si="722"/>
        <v/>
      </c>
      <c r="V165" s="78"/>
      <c r="W165" s="78"/>
      <c r="X165" s="78" t="str">
        <f t="shared" si="723"/>
        <v/>
      </c>
      <c r="Y165" s="78"/>
      <c r="Z165" s="78"/>
      <c r="AA165" s="78" t="str">
        <f t="shared" si="724"/>
        <v/>
      </c>
      <c r="AB165" s="78"/>
      <c r="AC165" s="78"/>
      <c r="AD165" s="78" t="str">
        <f t="shared" si="725"/>
        <v/>
      </c>
      <c r="AE165" s="78"/>
      <c r="AF165" s="78"/>
      <c r="AG165" s="78" t="str">
        <f t="shared" si="726"/>
        <v/>
      </c>
      <c r="AH165" s="78"/>
      <c r="AI165" s="78"/>
      <c r="AJ165" s="78" t="str">
        <f t="shared" si="727"/>
        <v/>
      </c>
      <c r="AK165" s="78"/>
      <c r="AL165" s="78"/>
      <c r="AM165" s="78" t="str">
        <f t="shared" si="728"/>
        <v/>
      </c>
      <c r="AN165" s="78"/>
      <c r="AO165" s="78"/>
      <c r="AP165" s="78" t="str">
        <f t="shared" si="729"/>
        <v/>
      </c>
      <c r="AQ165" s="78"/>
      <c r="AR165" s="78"/>
      <c r="AS165" s="78" t="str">
        <f t="shared" si="730"/>
        <v/>
      </c>
      <c r="AT165" s="78"/>
      <c r="AV165" s="78" t="str">
        <f t="shared" si="703"/>
        <v/>
      </c>
      <c r="AW165" s="132" t="str">
        <f t="shared" si="704"/>
        <v/>
      </c>
    </row>
    <row r="166" spans="15:49" x14ac:dyDescent="0.2">
      <c r="O166" s="6"/>
      <c r="P166" s="6"/>
      <c r="Q166" s="78" t="s">
        <v>67</v>
      </c>
      <c r="R166" s="78" t="str">
        <f t="shared" si="721"/>
        <v/>
      </c>
      <c r="S166" s="78"/>
      <c r="T166" s="78"/>
      <c r="U166" s="136" t="str">
        <f t="shared" si="722"/>
        <v/>
      </c>
      <c r="V166" s="78"/>
      <c r="W166" s="78"/>
      <c r="X166" s="78" t="str">
        <f t="shared" si="723"/>
        <v/>
      </c>
      <c r="Y166" s="78"/>
      <c r="Z166" s="78"/>
      <c r="AA166" s="78" t="str">
        <f t="shared" si="724"/>
        <v/>
      </c>
      <c r="AB166" s="78"/>
      <c r="AC166" s="78"/>
      <c r="AD166" s="78" t="str">
        <f t="shared" si="725"/>
        <v/>
      </c>
      <c r="AE166" s="78"/>
      <c r="AF166" s="78"/>
      <c r="AG166" s="78" t="str">
        <f t="shared" si="726"/>
        <v/>
      </c>
      <c r="AH166" s="78"/>
      <c r="AI166" s="78"/>
      <c r="AJ166" s="78" t="str">
        <f t="shared" si="727"/>
        <v/>
      </c>
      <c r="AK166" s="78"/>
      <c r="AL166" s="78"/>
      <c r="AM166" s="78" t="str">
        <f t="shared" si="728"/>
        <v/>
      </c>
      <c r="AN166" s="78"/>
      <c r="AO166" s="78"/>
      <c r="AP166" s="78" t="str">
        <f t="shared" si="729"/>
        <v/>
      </c>
      <c r="AQ166" s="78"/>
      <c r="AR166" s="78"/>
      <c r="AS166" s="78" t="str">
        <f t="shared" si="730"/>
        <v/>
      </c>
      <c r="AT166" s="78"/>
      <c r="AV166" s="78" t="str">
        <f t="shared" si="703"/>
        <v/>
      </c>
      <c r="AW166" s="132" t="str">
        <f t="shared" si="704"/>
        <v/>
      </c>
    </row>
    <row r="167" spans="15:49" x14ac:dyDescent="0.2">
      <c r="O167" s="6"/>
      <c r="P167" s="6"/>
      <c r="Q167" s="78" t="s">
        <v>68</v>
      </c>
      <c r="R167" s="78" t="str">
        <f t="shared" si="721"/>
        <v/>
      </c>
      <c r="S167" s="78"/>
      <c r="T167" s="78"/>
      <c r="U167" s="136" t="str">
        <f t="shared" si="722"/>
        <v/>
      </c>
      <c r="V167" s="78"/>
      <c r="W167" s="78"/>
      <c r="X167" s="78" t="str">
        <f t="shared" si="723"/>
        <v/>
      </c>
      <c r="Y167" s="78"/>
      <c r="Z167" s="78"/>
      <c r="AA167" s="78" t="str">
        <f t="shared" si="724"/>
        <v/>
      </c>
      <c r="AB167" s="78"/>
      <c r="AC167" s="78"/>
      <c r="AD167" s="78" t="str">
        <f t="shared" si="725"/>
        <v/>
      </c>
      <c r="AE167" s="78"/>
      <c r="AF167" s="78"/>
      <c r="AG167" s="78" t="str">
        <f t="shared" si="726"/>
        <v/>
      </c>
      <c r="AH167" s="78"/>
      <c r="AI167" s="78"/>
      <c r="AJ167" s="78" t="str">
        <f t="shared" si="727"/>
        <v/>
      </c>
      <c r="AK167" s="78"/>
      <c r="AL167" s="78"/>
      <c r="AM167" s="78" t="str">
        <f t="shared" si="728"/>
        <v/>
      </c>
      <c r="AN167" s="78"/>
      <c r="AO167" s="78"/>
      <c r="AP167" s="78" t="str">
        <f t="shared" si="729"/>
        <v/>
      </c>
      <c r="AQ167" s="78"/>
      <c r="AR167" s="78"/>
      <c r="AS167" s="78" t="str">
        <f t="shared" si="730"/>
        <v/>
      </c>
      <c r="AT167" s="78"/>
      <c r="AV167" s="78" t="str">
        <f t="shared" si="703"/>
        <v/>
      </c>
      <c r="AW167" s="132" t="str">
        <f t="shared" si="704"/>
        <v/>
      </c>
    </row>
    <row r="168" spans="15:49" x14ac:dyDescent="0.2">
      <c r="O168" s="6"/>
      <c r="P168" s="6"/>
      <c r="Q168" s="78" t="s">
        <v>69</v>
      </c>
      <c r="R168" s="78" t="str">
        <f t="shared" si="721"/>
        <v/>
      </c>
      <c r="S168" s="78"/>
      <c r="T168" s="78"/>
      <c r="U168" s="136" t="str">
        <f t="shared" si="722"/>
        <v/>
      </c>
      <c r="V168" s="78"/>
      <c r="W168" s="78"/>
      <c r="X168" s="78" t="str">
        <f t="shared" si="723"/>
        <v/>
      </c>
      <c r="Y168" s="78"/>
      <c r="Z168" s="78"/>
      <c r="AA168" s="78" t="str">
        <f t="shared" si="724"/>
        <v/>
      </c>
      <c r="AB168" s="78"/>
      <c r="AC168" s="78"/>
      <c r="AD168" s="78" t="str">
        <f t="shared" si="725"/>
        <v/>
      </c>
      <c r="AE168" s="78"/>
      <c r="AF168" s="78"/>
      <c r="AG168" s="78" t="str">
        <f t="shared" si="726"/>
        <v/>
      </c>
      <c r="AH168" s="78"/>
      <c r="AI168" s="78"/>
      <c r="AJ168" s="78" t="str">
        <f t="shared" si="727"/>
        <v/>
      </c>
      <c r="AK168" s="78"/>
      <c r="AL168" s="78"/>
      <c r="AM168" s="78" t="str">
        <f t="shared" si="728"/>
        <v/>
      </c>
      <c r="AN168" s="78"/>
      <c r="AO168" s="78"/>
      <c r="AP168" s="78" t="str">
        <f t="shared" si="729"/>
        <v/>
      </c>
      <c r="AQ168" s="78"/>
      <c r="AR168" s="78"/>
      <c r="AS168" s="78" t="str">
        <f t="shared" si="730"/>
        <v/>
      </c>
      <c r="AT168" s="78"/>
      <c r="AV168" s="78" t="str">
        <f t="shared" si="703"/>
        <v/>
      </c>
      <c r="AW168" s="132" t="str">
        <f t="shared" si="704"/>
        <v/>
      </c>
    </row>
    <row r="169" spans="15:49" x14ac:dyDescent="0.2">
      <c r="O169" s="6"/>
      <c r="P169" s="6"/>
      <c r="Q169" s="78" t="s">
        <v>70</v>
      </c>
      <c r="R169" s="78" t="str">
        <f t="shared" si="721"/>
        <v/>
      </c>
      <c r="S169" s="78"/>
      <c r="T169" s="78"/>
      <c r="U169" s="136" t="str">
        <f t="shared" si="722"/>
        <v/>
      </c>
      <c r="V169" s="78"/>
      <c r="W169" s="78"/>
      <c r="X169" s="78" t="str">
        <f t="shared" si="723"/>
        <v/>
      </c>
      <c r="Y169" s="78"/>
      <c r="Z169" s="78"/>
      <c r="AA169" s="78" t="str">
        <f t="shared" si="724"/>
        <v/>
      </c>
      <c r="AB169" s="78"/>
      <c r="AC169" s="78"/>
      <c r="AD169" s="78" t="str">
        <f t="shared" si="725"/>
        <v/>
      </c>
      <c r="AE169" s="78"/>
      <c r="AF169" s="78"/>
      <c r="AG169" s="78" t="str">
        <f t="shared" si="726"/>
        <v/>
      </c>
      <c r="AH169" s="78"/>
      <c r="AI169" s="78"/>
      <c r="AJ169" s="78" t="str">
        <f t="shared" si="727"/>
        <v/>
      </c>
      <c r="AK169" s="78"/>
      <c r="AL169" s="78"/>
      <c r="AM169" s="78" t="str">
        <f t="shared" si="728"/>
        <v/>
      </c>
      <c r="AN169" s="78"/>
      <c r="AO169" s="78"/>
      <c r="AP169" s="78" t="str">
        <f t="shared" si="729"/>
        <v/>
      </c>
      <c r="AQ169" s="78"/>
      <c r="AR169" s="78"/>
      <c r="AS169" s="78" t="str">
        <f t="shared" si="730"/>
        <v/>
      </c>
      <c r="AT169" s="78"/>
      <c r="AV169" s="78" t="str">
        <f t="shared" si="703"/>
        <v/>
      </c>
      <c r="AW169" s="132" t="str">
        <f t="shared" si="704"/>
        <v/>
      </c>
    </row>
    <row r="170" spans="15:49" x14ac:dyDescent="0.2">
      <c r="O170" s="6"/>
      <c r="P170" s="6"/>
      <c r="Q170" s="78" t="s">
        <v>71</v>
      </c>
      <c r="R170" s="78" t="str">
        <f t="shared" si="721"/>
        <v/>
      </c>
      <c r="S170" s="78"/>
      <c r="T170" s="78"/>
      <c r="U170" s="136" t="str">
        <f t="shared" si="722"/>
        <v/>
      </c>
      <c r="V170" s="78"/>
      <c r="W170" s="78"/>
      <c r="X170" s="78" t="str">
        <f t="shared" si="723"/>
        <v/>
      </c>
      <c r="Y170" s="78"/>
      <c r="Z170" s="78"/>
      <c r="AA170" s="78" t="str">
        <f t="shared" si="724"/>
        <v/>
      </c>
      <c r="AB170" s="78"/>
      <c r="AC170" s="78"/>
      <c r="AD170" s="78" t="str">
        <f t="shared" si="725"/>
        <v/>
      </c>
      <c r="AE170" s="78"/>
      <c r="AF170" s="78"/>
      <c r="AG170" s="78" t="str">
        <f t="shared" si="726"/>
        <v/>
      </c>
      <c r="AH170" s="78"/>
      <c r="AI170" s="78"/>
      <c r="AJ170" s="78" t="str">
        <f t="shared" si="727"/>
        <v/>
      </c>
      <c r="AK170" s="78"/>
      <c r="AL170" s="78"/>
      <c r="AM170" s="78" t="str">
        <f t="shared" si="728"/>
        <v/>
      </c>
      <c r="AN170" s="78"/>
      <c r="AO170" s="78"/>
      <c r="AP170" s="78" t="str">
        <f t="shared" si="729"/>
        <v/>
      </c>
      <c r="AQ170" s="78"/>
      <c r="AR170" s="78"/>
      <c r="AS170" s="78" t="str">
        <f t="shared" si="730"/>
        <v/>
      </c>
      <c r="AT170" s="78"/>
      <c r="AV170" s="78" t="str">
        <f t="shared" si="703"/>
        <v/>
      </c>
      <c r="AW170" s="132" t="str">
        <f t="shared" si="704"/>
        <v/>
      </c>
    </row>
    <row r="171" spans="15:49" x14ac:dyDescent="0.2">
      <c r="O171" s="6"/>
      <c r="P171" s="6"/>
      <c r="Q171" s="78" t="s">
        <v>72</v>
      </c>
      <c r="R171" s="78" t="str">
        <f t="shared" si="721"/>
        <v/>
      </c>
      <c r="S171" s="78"/>
      <c r="T171" s="78"/>
      <c r="U171" s="136" t="str">
        <f t="shared" si="722"/>
        <v/>
      </c>
      <c r="V171" s="78"/>
      <c r="W171" s="78"/>
      <c r="X171" s="78" t="str">
        <f t="shared" si="723"/>
        <v/>
      </c>
      <c r="Y171" s="78"/>
      <c r="Z171" s="78"/>
      <c r="AA171" s="78" t="str">
        <f t="shared" si="724"/>
        <v/>
      </c>
      <c r="AB171" s="78"/>
      <c r="AC171" s="78"/>
      <c r="AD171" s="78" t="str">
        <f t="shared" si="725"/>
        <v/>
      </c>
      <c r="AE171" s="78"/>
      <c r="AF171" s="78"/>
      <c r="AG171" s="78" t="str">
        <f t="shared" si="726"/>
        <v/>
      </c>
      <c r="AH171" s="78"/>
      <c r="AI171" s="78"/>
      <c r="AJ171" s="78" t="str">
        <f t="shared" si="727"/>
        <v/>
      </c>
      <c r="AK171" s="78"/>
      <c r="AL171" s="78"/>
      <c r="AM171" s="78" t="str">
        <f t="shared" si="728"/>
        <v/>
      </c>
      <c r="AN171" s="78"/>
      <c r="AO171" s="78"/>
      <c r="AP171" s="78" t="str">
        <f t="shared" si="729"/>
        <v/>
      </c>
      <c r="AQ171" s="78"/>
      <c r="AR171" s="78"/>
      <c r="AS171" s="78" t="str">
        <f t="shared" si="730"/>
        <v/>
      </c>
      <c r="AT171" s="78"/>
      <c r="AV171" s="78" t="str">
        <f t="shared" si="703"/>
        <v/>
      </c>
      <c r="AW171" s="132" t="str">
        <f>IF(L69&gt;0,ROUND(STDEV(R171,U171,X171,AA171,AD171,AG171,AJ171,AM171,AP171,AS171),2),"")</f>
        <v/>
      </c>
    </row>
    <row r="172" spans="15:49" x14ac:dyDescent="0.2">
      <c r="O172" s="6"/>
      <c r="P172" s="6"/>
      <c r="Q172" s="78" t="s">
        <v>73</v>
      </c>
      <c r="R172" s="78" t="str">
        <f>IF(AND(NOT($P$198=""),NOT(R70="")),$P$198^R70,"")</f>
        <v/>
      </c>
      <c r="S172" s="78"/>
      <c r="T172" s="78"/>
      <c r="U172" s="136" t="str">
        <f>IF(AND(NOT($P$199=""),NOT(U70="")),$P$199^U70,"")</f>
        <v/>
      </c>
      <c r="V172" s="78"/>
      <c r="W172" s="78"/>
      <c r="X172" s="78" t="str">
        <f>IF(AND(NOT($P$200=""),NOT(X70="")),$P$200^X70,"")</f>
        <v/>
      </c>
      <c r="Y172" s="78"/>
      <c r="Z172" s="78"/>
      <c r="AA172" s="78" t="str">
        <f>IF(AND(NOT($P$201=""),NOT(AA70="")),$P$201^AA70,"")</f>
        <v/>
      </c>
      <c r="AB172" s="78"/>
      <c r="AC172" s="78"/>
      <c r="AD172" s="78" t="str">
        <f>IF(AND(NOT($P$202=""),NOT(AD70="")),$P$202^AD70,"")</f>
        <v/>
      </c>
      <c r="AE172" s="78"/>
      <c r="AF172" s="78"/>
      <c r="AG172" s="78" t="str">
        <f>IF(AND(NOT($P$203=""),NOT(AG70="")),$P$203^AG70,"")</f>
        <v/>
      </c>
      <c r="AH172" s="78"/>
      <c r="AI172" s="78"/>
      <c r="AJ172" s="78" t="str">
        <f>IF(AND(NOT($P$204=""),NOT(AJ70="")),$P$204^AJ70,"")</f>
        <v/>
      </c>
      <c r="AK172" s="78"/>
      <c r="AL172" s="78"/>
      <c r="AM172" s="78" t="str">
        <f>IF(AND(NOT($P$205=""),NOT(AM70="")),$P$205^AM70,"")</f>
        <v/>
      </c>
      <c r="AN172" s="78"/>
      <c r="AO172" s="78"/>
      <c r="AP172" s="78" t="str">
        <f>IF(AND(NOT($P$206=""),NOT(AP70="")),$P$206^AP70,"")</f>
        <v/>
      </c>
      <c r="AQ172" s="78"/>
      <c r="AR172" s="78"/>
      <c r="AS172" s="78" t="str">
        <f>IF(AND(NOT($P$207=""),NOT(AS70="")),$P$207^AS70,"")</f>
        <v/>
      </c>
      <c r="AT172" s="78"/>
      <c r="AV172" s="78" t="str">
        <f t="shared" si="703"/>
        <v/>
      </c>
      <c r="AW172" s="132" t="str">
        <f t="shared" si="704"/>
        <v/>
      </c>
    </row>
    <row r="173" spans="15:49" x14ac:dyDescent="0.2">
      <c r="O173" s="6"/>
      <c r="P173" s="6"/>
      <c r="Q173" s="78" t="s">
        <v>74</v>
      </c>
      <c r="R173" s="78" t="str">
        <f t="shared" ref="R173:R207" si="732">IF(AND(NOT($P$198=""),NOT(R71="")),$P$198^R71,"")</f>
        <v/>
      </c>
      <c r="S173" s="78"/>
      <c r="T173" s="78"/>
      <c r="U173" s="136" t="str">
        <f t="shared" ref="U173:U207" si="733">IF(AND(NOT($P$199=""),NOT(U71="")),$P$199^U71,"")</f>
        <v/>
      </c>
      <c r="V173" s="78"/>
      <c r="W173" s="78"/>
      <c r="X173" s="78" t="str">
        <f t="shared" ref="X173:X207" si="734">IF(AND(NOT($P$200=""),NOT(X71="")),$P$200^X71,"")</f>
        <v/>
      </c>
      <c r="Y173" s="78"/>
      <c r="Z173" s="78"/>
      <c r="AA173" s="78" t="str">
        <f t="shared" ref="AA173:AA207" si="735">IF(AND(NOT($P$201=""),NOT(AA71="")),$P$201^AA71,"")</f>
        <v/>
      </c>
      <c r="AB173" s="78"/>
      <c r="AC173" s="78"/>
      <c r="AD173" s="78" t="str">
        <f t="shared" ref="AD173:AD207" si="736">IF(AND(NOT($P$202=""),NOT(AD71="")),$P$202^AD71,"")</f>
        <v/>
      </c>
      <c r="AE173" s="78"/>
      <c r="AF173" s="78"/>
      <c r="AG173" s="78" t="str">
        <f t="shared" ref="AG173:AG207" si="737">IF(AND(NOT($P$203=""),NOT(AG71="")),$P$203^AG71,"")</f>
        <v/>
      </c>
      <c r="AH173" s="78"/>
      <c r="AI173" s="78"/>
      <c r="AJ173" s="78" t="str">
        <f t="shared" ref="AJ173:AJ207" si="738">IF(AND(NOT($P$204=""),NOT(AJ71="")),$P$204^AJ71,"")</f>
        <v/>
      </c>
      <c r="AK173" s="78"/>
      <c r="AL173" s="78"/>
      <c r="AM173" s="78" t="str">
        <f t="shared" ref="AM173:AM207" si="739">IF(AND(NOT($P$205=""),NOT(AM71="")),$P$205^AM71,"")</f>
        <v/>
      </c>
      <c r="AN173" s="78"/>
      <c r="AO173" s="78"/>
      <c r="AP173" s="78" t="str">
        <f t="shared" ref="AP173:AP207" si="740">IF(AND(NOT($P$206=""),NOT(AP71="")),$P$206^AP71,"")</f>
        <v/>
      </c>
      <c r="AQ173" s="78"/>
      <c r="AR173" s="78"/>
      <c r="AS173" s="78" t="str">
        <f t="shared" ref="AS173:AS207" si="741">IF(AND(NOT($P$207=""),NOT(AS71="")),$P$207^AS71,"")</f>
        <v/>
      </c>
      <c r="AT173" s="78"/>
      <c r="AV173" s="78" t="str">
        <f t="shared" ref="AV173:AV207" si="742">IF(L71&gt;0,"±"&amp;ROUND(STDEV(R173,U173,X173,AA173,AD173,AG173,AJ173,AM173,AP173,AS173),2),"")</f>
        <v/>
      </c>
      <c r="AW173" s="132" t="str">
        <f t="shared" ref="AW173:AW201" si="743">IF(L71&gt;0,ROUND(STDEV(R173,U173,X173,AA173,AD173,AG173,AJ173,AM173,AP173,AS173),2),"")</f>
        <v/>
      </c>
    </row>
    <row r="174" spans="15:49" x14ac:dyDescent="0.2">
      <c r="O174" s="6"/>
      <c r="P174" s="6"/>
      <c r="Q174" s="78" t="s">
        <v>75</v>
      </c>
      <c r="R174" s="78" t="str">
        <f t="shared" si="732"/>
        <v/>
      </c>
      <c r="S174" s="78"/>
      <c r="T174" s="78"/>
      <c r="U174" s="136" t="str">
        <f t="shared" si="733"/>
        <v/>
      </c>
      <c r="V174" s="78"/>
      <c r="W174" s="78"/>
      <c r="X174" s="78" t="str">
        <f t="shared" si="734"/>
        <v/>
      </c>
      <c r="Y174" s="78"/>
      <c r="Z174" s="78"/>
      <c r="AA174" s="78" t="str">
        <f t="shared" si="735"/>
        <v/>
      </c>
      <c r="AB174" s="78"/>
      <c r="AC174" s="78"/>
      <c r="AD174" s="78" t="str">
        <f t="shared" si="736"/>
        <v/>
      </c>
      <c r="AE174" s="78"/>
      <c r="AF174" s="78"/>
      <c r="AG174" s="78" t="str">
        <f t="shared" si="737"/>
        <v/>
      </c>
      <c r="AH174" s="78"/>
      <c r="AI174" s="78"/>
      <c r="AJ174" s="78" t="str">
        <f t="shared" si="738"/>
        <v/>
      </c>
      <c r="AK174" s="78"/>
      <c r="AL174" s="78"/>
      <c r="AM174" s="78" t="str">
        <f t="shared" si="739"/>
        <v/>
      </c>
      <c r="AN174" s="78"/>
      <c r="AO174" s="78"/>
      <c r="AP174" s="78" t="str">
        <f t="shared" si="740"/>
        <v/>
      </c>
      <c r="AQ174" s="78"/>
      <c r="AR174" s="78"/>
      <c r="AS174" s="78" t="str">
        <f t="shared" si="741"/>
        <v/>
      </c>
      <c r="AT174" s="78"/>
      <c r="AV174" s="78" t="str">
        <f t="shared" si="742"/>
        <v/>
      </c>
      <c r="AW174" s="132" t="str">
        <f t="shared" si="743"/>
        <v/>
      </c>
    </row>
    <row r="175" spans="15:49" x14ac:dyDescent="0.2">
      <c r="O175" s="6"/>
      <c r="P175" s="6"/>
      <c r="Q175" s="78" t="s">
        <v>76</v>
      </c>
      <c r="R175" s="78" t="str">
        <f t="shared" si="732"/>
        <v/>
      </c>
      <c r="S175" s="78"/>
      <c r="T175" s="78"/>
      <c r="U175" s="136" t="str">
        <f t="shared" si="733"/>
        <v/>
      </c>
      <c r="V175" s="78"/>
      <c r="W175" s="78"/>
      <c r="X175" s="78" t="str">
        <f t="shared" si="734"/>
        <v/>
      </c>
      <c r="Y175" s="78"/>
      <c r="Z175" s="78"/>
      <c r="AA175" s="78" t="str">
        <f t="shared" si="735"/>
        <v/>
      </c>
      <c r="AB175" s="78"/>
      <c r="AC175" s="78"/>
      <c r="AD175" s="78" t="str">
        <f t="shared" si="736"/>
        <v/>
      </c>
      <c r="AE175" s="78"/>
      <c r="AF175" s="78"/>
      <c r="AG175" s="78" t="str">
        <f t="shared" si="737"/>
        <v/>
      </c>
      <c r="AH175" s="78"/>
      <c r="AI175" s="78"/>
      <c r="AJ175" s="78" t="str">
        <f t="shared" si="738"/>
        <v/>
      </c>
      <c r="AK175" s="78"/>
      <c r="AL175" s="78"/>
      <c r="AM175" s="78" t="str">
        <f t="shared" si="739"/>
        <v/>
      </c>
      <c r="AN175" s="78"/>
      <c r="AO175" s="78"/>
      <c r="AP175" s="78" t="str">
        <f t="shared" si="740"/>
        <v/>
      </c>
      <c r="AQ175" s="78"/>
      <c r="AR175" s="78"/>
      <c r="AS175" s="78" t="str">
        <f t="shared" si="741"/>
        <v/>
      </c>
      <c r="AT175" s="78"/>
      <c r="AV175" s="78" t="str">
        <f t="shared" si="742"/>
        <v/>
      </c>
      <c r="AW175" s="132" t="str">
        <f t="shared" si="743"/>
        <v/>
      </c>
    </row>
    <row r="176" spans="15:49" x14ac:dyDescent="0.2">
      <c r="O176" s="6"/>
      <c r="P176" s="6"/>
      <c r="Q176" s="78" t="s">
        <v>77</v>
      </c>
      <c r="R176" s="78" t="str">
        <f t="shared" si="732"/>
        <v/>
      </c>
      <c r="S176" s="78"/>
      <c r="T176" s="78"/>
      <c r="U176" s="136" t="str">
        <f t="shared" si="733"/>
        <v/>
      </c>
      <c r="V176" s="78"/>
      <c r="W176" s="78"/>
      <c r="X176" s="78" t="str">
        <f t="shared" si="734"/>
        <v/>
      </c>
      <c r="Y176" s="78"/>
      <c r="Z176" s="78"/>
      <c r="AA176" s="78" t="str">
        <f t="shared" si="735"/>
        <v/>
      </c>
      <c r="AB176" s="78"/>
      <c r="AC176" s="78"/>
      <c r="AD176" s="78" t="str">
        <f t="shared" si="736"/>
        <v/>
      </c>
      <c r="AE176" s="78"/>
      <c r="AF176" s="78"/>
      <c r="AG176" s="78" t="str">
        <f t="shared" si="737"/>
        <v/>
      </c>
      <c r="AH176" s="78"/>
      <c r="AI176" s="78"/>
      <c r="AJ176" s="78" t="str">
        <f t="shared" si="738"/>
        <v/>
      </c>
      <c r="AK176" s="78"/>
      <c r="AL176" s="78"/>
      <c r="AM176" s="78" t="str">
        <f t="shared" si="739"/>
        <v/>
      </c>
      <c r="AN176" s="78"/>
      <c r="AO176" s="78"/>
      <c r="AP176" s="78" t="str">
        <f t="shared" si="740"/>
        <v/>
      </c>
      <c r="AQ176" s="78"/>
      <c r="AR176" s="78"/>
      <c r="AS176" s="78" t="str">
        <f t="shared" si="741"/>
        <v/>
      </c>
      <c r="AT176" s="78"/>
      <c r="AV176" s="78" t="str">
        <f t="shared" si="742"/>
        <v/>
      </c>
      <c r="AW176" s="132" t="str">
        <f t="shared" si="743"/>
        <v/>
      </c>
    </row>
    <row r="177" spans="15:49" x14ac:dyDescent="0.2">
      <c r="O177" s="6"/>
      <c r="P177" s="6"/>
      <c r="Q177" s="78" t="s">
        <v>78</v>
      </c>
      <c r="R177" s="78" t="str">
        <f t="shared" si="732"/>
        <v/>
      </c>
      <c r="S177" s="78"/>
      <c r="T177" s="78"/>
      <c r="U177" s="136" t="str">
        <f t="shared" si="733"/>
        <v/>
      </c>
      <c r="V177" s="78"/>
      <c r="W177" s="78"/>
      <c r="X177" s="78" t="str">
        <f t="shared" si="734"/>
        <v/>
      </c>
      <c r="Y177" s="78"/>
      <c r="Z177" s="78"/>
      <c r="AA177" s="78" t="str">
        <f t="shared" si="735"/>
        <v/>
      </c>
      <c r="AB177" s="78"/>
      <c r="AC177" s="78"/>
      <c r="AD177" s="78" t="str">
        <f t="shared" si="736"/>
        <v/>
      </c>
      <c r="AE177" s="78"/>
      <c r="AF177" s="78"/>
      <c r="AG177" s="78" t="str">
        <f t="shared" si="737"/>
        <v/>
      </c>
      <c r="AH177" s="78"/>
      <c r="AI177" s="78"/>
      <c r="AJ177" s="78" t="str">
        <f t="shared" si="738"/>
        <v/>
      </c>
      <c r="AK177" s="78"/>
      <c r="AL177" s="78"/>
      <c r="AM177" s="78" t="str">
        <f t="shared" si="739"/>
        <v/>
      </c>
      <c r="AN177" s="78"/>
      <c r="AO177" s="78"/>
      <c r="AP177" s="78" t="str">
        <f t="shared" si="740"/>
        <v/>
      </c>
      <c r="AQ177" s="78"/>
      <c r="AR177" s="78"/>
      <c r="AS177" s="78" t="str">
        <f t="shared" si="741"/>
        <v/>
      </c>
      <c r="AT177" s="78"/>
      <c r="AV177" s="78" t="str">
        <f t="shared" si="742"/>
        <v/>
      </c>
      <c r="AW177" s="132" t="str">
        <f t="shared" si="743"/>
        <v/>
      </c>
    </row>
    <row r="178" spans="15:49" x14ac:dyDescent="0.2">
      <c r="O178" s="6"/>
      <c r="P178" s="6"/>
      <c r="Q178" s="78" t="s">
        <v>79</v>
      </c>
      <c r="R178" s="78" t="str">
        <f t="shared" si="732"/>
        <v/>
      </c>
      <c r="S178" s="78"/>
      <c r="T178" s="78"/>
      <c r="U178" s="136" t="str">
        <f t="shared" si="733"/>
        <v/>
      </c>
      <c r="V178" s="78"/>
      <c r="W178" s="78"/>
      <c r="X178" s="78" t="str">
        <f t="shared" si="734"/>
        <v/>
      </c>
      <c r="Y178" s="78"/>
      <c r="Z178" s="78"/>
      <c r="AA178" s="78" t="str">
        <f t="shared" si="735"/>
        <v/>
      </c>
      <c r="AB178" s="78"/>
      <c r="AC178" s="78"/>
      <c r="AD178" s="78" t="str">
        <f t="shared" si="736"/>
        <v/>
      </c>
      <c r="AE178" s="78"/>
      <c r="AF178" s="78"/>
      <c r="AG178" s="78" t="str">
        <f t="shared" si="737"/>
        <v/>
      </c>
      <c r="AH178" s="78"/>
      <c r="AI178" s="78"/>
      <c r="AJ178" s="78" t="str">
        <f t="shared" si="738"/>
        <v/>
      </c>
      <c r="AK178" s="78"/>
      <c r="AL178" s="78"/>
      <c r="AM178" s="78" t="str">
        <f t="shared" si="739"/>
        <v/>
      </c>
      <c r="AN178" s="78"/>
      <c r="AO178" s="78"/>
      <c r="AP178" s="78" t="str">
        <f t="shared" si="740"/>
        <v/>
      </c>
      <c r="AQ178" s="78"/>
      <c r="AR178" s="78"/>
      <c r="AS178" s="78" t="str">
        <f t="shared" si="741"/>
        <v/>
      </c>
      <c r="AT178" s="78"/>
      <c r="AV178" s="78" t="str">
        <f t="shared" si="742"/>
        <v/>
      </c>
      <c r="AW178" s="132" t="str">
        <f t="shared" si="743"/>
        <v/>
      </c>
    </row>
    <row r="179" spans="15:49" x14ac:dyDescent="0.2">
      <c r="O179" s="6"/>
      <c r="P179" s="6"/>
      <c r="Q179" s="78" t="s">
        <v>80</v>
      </c>
      <c r="R179" s="78" t="str">
        <f t="shared" si="732"/>
        <v/>
      </c>
      <c r="S179" s="78"/>
      <c r="T179" s="78"/>
      <c r="U179" s="136" t="str">
        <f t="shared" si="733"/>
        <v/>
      </c>
      <c r="V179" s="78"/>
      <c r="W179" s="78"/>
      <c r="X179" s="78" t="str">
        <f t="shared" si="734"/>
        <v/>
      </c>
      <c r="Y179" s="78"/>
      <c r="Z179" s="78"/>
      <c r="AA179" s="78" t="str">
        <f t="shared" si="735"/>
        <v/>
      </c>
      <c r="AB179" s="78"/>
      <c r="AC179" s="78"/>
      <c r="AD179" s="78" t="str">
        <f t="shared" si="736"/>
        <v/>
      </c>
      <c r="AE179" s="78"/>
      <c r="AF179" s="78"/>
      <c r="AG179" s="78" t="str">
        <f t="shared" si="737"/>
        <v/>
      </c>
      <c r="AH179" s="78"/>
      <c r="AI179" s="78"/>
      <c r="AJ179" s="78" t="str">
        <f t="shared" si="738"/>
        <v/>
      </c>
      <c r="AK179" s="78"/>
      <c r="AL179" s="78"/>
      <c r="AM179" s="78" t="str">
        <f t="shared" si="739"/>
        <v/>
      </c>
      <c r="AN179" s="78"/>
      <c r="AO179" s="78"/>
      <c r="AP179" s="78" t="str">
        <f t="shared" si="740"/>
        <v/>
      </c>
      <c r="AQ179" s="78"/>
      <c r="AR179" s="78"/>
      <c r="AS179" s="78" t="str">
        <f t="shared" si="741"/>
        <v/>
      </c>
      <c r="AT179" s="78"/>
      <c r="AV179" s="78" t="str">
        <f t="shared" si="742"/>
        <v/>
      </c>
      <c r="AW179" s="132" t="str">
        <f t="shared" si="743"/>
        <v/>
      </c>
    </row>
    <row r="180" spans="15:49" x14ac:dyDescent="0.2">
      <c r="O180" s="6"/>
      <c r="P180" s="6"/>
      <c r="Q180" s="78" t="s">
        <v>81</v>
      </c>
      <c r="R180" s="78" t="str">
        <f t="shared" si="732"/>
        <v/>
      </c>
      <c r="S180" s="78"/>
      <c r="T180" s="78"/>
      <c r="U180" s="136" t="str">
        <f t="shared" si="733"/>
        <v/>
      </c>
      <c r="V180" s="78"/>
      <c r="W180" s="78"/>
      <c r="X180" s="78" t="str">
        <f t="shared" si="734"/>
        <v/>
      </c>
      <c r="Y180" s="78"/>
      <c r="Z180" s="78"/>
      <c r="AA180" s="78" t="str">
        <f t="shared" si="735"/>
        <v/>
      </c>
      <c r="AB180" s="78"/>
      <c r="AC180" s="78"/>
      <c r="AD180" s="78" t="str">
        <f t="shared" si="736"/>
        <v/>
      </c>
      <c r="AE180" s="78"/>
      <c r="AF180" s="78"/>
      <c r="AG180" s="78" t="str">
        <f t="shared" si="737"/>
        <v/>
      </c>
      <c r="AH180" s="78"/>
      <c r="AI180" s="78"/>
      <c r="AJ180" s="78" t="str">
        <f t="shared" si="738"/>
        <v/>
      </c>
      <c r="AK180" s="78"/>
      <c r="AL180" s="78"/>
      <c r="AM180" s="78" t="str">
        <f t="shared" si="739"/>
        <v/>
      </c>
      <c r="AN180" s="78"/>
      <c r="AO180" s="78"/>
      <c r="AP180" s="78" t="str">
        <f t="shared" si="740"/>
        <v/>
      </c>
      <c r="AQ180" s="78"/>
      <c r="AR180" s="78"/>
      <c r="AS180" s="78" t="str">
        <f t="shared" si="741"/>
        <v/>
      </c>
      <c r="AT180" s="78"/>
      <c r="AV180" s="78" t="str">
        <f t="shared" si="742"/>
        <v/>
      </c>
      <c r="AW180" s="132" t="str">
        <f t="shared" si="743"/>
        <v/>
      </c>
    </row>
    <row r="181" spans="15:49" x14ac:dyDescent="0.2">
      <c r="O181" s="6"/>
      <c r="P181" s="6"/>
      <c r="Q181" s="78" t="s">
        <v>82</v>
      </c>
      <c r="R181" s="78" t="str">
        <f t="shared" si="732"/>
        <v/>
      </c>
      <c r="S181" s="78"/>
      <c r="T181" s="78"/>
      <c r="U181" s="136" t="str">
        <f t="shared" si="733"/>
        <v/>
      </c>
      <c r="V181" s="78"/>
      <c r="W181" s="78"/>
      <c r="X181" s="78" t="str">
        <f t="shared" si="734"/>
        <v/>
      </c>
      <c r="Y181" s="78"/>
      <c r="Z181" s="78"/>
      <c r="AA181" s="78" t="str">
        <f t="shared" si="735"/>
        <v/>
      </c>
      <c r="AB181" s="78"/>
      <c r="AC181" s="78"/>
      <c r="AD181" s="78" t="str">
        <f t="shared" si="736"/>
        <v/>
      </c>
      <c r="AE181" s="78"/>
      <c r="AF181" s="78"/>
      <c r="AG181" s="78" t="str">
        <f t="shared" si="737"/>
        <v/>
      </c>
      <c r="AH181" s="78"/>
      <c r="AI181" s="78"/>
      <c r="AJ181" s="78" t="str">
        <f t="shared" si="738"/>
        <v/>
      </c>
      <c r="AK181" s="78"/>
      <c r="AL181" s="78"/>
      <c r="AM181" s="78" t="str">
        <f t="shared" si="739"/>
        <v/>
      </c>
      <c r="AN181" s="78"/>
      <c r="AO181" s="78"/>
      <c r="AP181" s="78" t="str">
        <f t="shared" si="740"/>
        <v/>
      </c>
      <c r="AQ181" s="78"/>
      <c r="AR181" s="78"/>
      <c r="AS181" s="78" t="str">
        <f t="shared" si="741"/>
        <v/>
      </c>
      <c r="AT181" s="78"/>
      <c r="AV181" s="78" t="str">
        <f t="shared" si="742"/>
        <v/>
      </c>
      <c r="AW181" s="132" t="str">
        <f t="shared" si="743"/>
        <v/>
      </c>
    </row>
    <row r="182" spans="15:49" x14ac:dyDescent="0.2">
      <c r="O182" s="6"/>
      <c r="P182" s="6"/>
      <c r="Q182" s="78" t="s">
        <v>83</v>
      </c>
      <c r="R182" s="78" t="str">
        <f t="shared" si="732"/>
        <v/>
      </c>
      <c r="S182" s="78"/>
      <c r="T182" s="78"/>
      <c r="U182" s="136" t="str">
        <f t="shared" si="733"/>
        <v/>
      </c>
      <c r="V182" s="78"/>
      <c r="W182" s="78"/>
      <c r="X182" s="78" t="str">
        <f t="shared" si="734"/>
        <v/>
      </c>
      <c r="Y182" s="78"/>
      <c r="Z182" s="78"/>
      <c r="AA182" s="78" t="str">
        <f t="shared" si="735"/>
        <v/>
      </c>
      <c r="AB182" s="78"/>
      <c r="AC182" s="78"/>
      <c r="AD182" s="78" t="str">
        <f t="shared" si="736"/>
        <v/>
      </c>
      <c r="AE182" s="78"/>
      <c r="AF182" s="78"/>
      <c r="AG182" s="78" t="str">
        <f t="shared" si="737"/>
        <v/>
      </c>
      <c r="AH182" s="78"/>
      <c r="AI182" s="78"/>
      <c r="AJ182" s="78" t="str">
        <f t="shared" si="738"/>
        <v/>
      </c>
      <c r="AK182" s="78"/>
      <c r="AL182" s="78"/>
      <c r="AM182" s="78" t="str">
        <f t="shared" si="739"/>
        <v/>
      </c>
      <c r="AN182" s="78"/>
      <c r="AO182" s="78"/>
      <c r="AP182" s="78" t="str">
        <f t="shared" si="740"/>
        <v/>
      </c>
      <c r="AQ182" s="78"/>
      <c r="AR182" s="78"/>
      <c r="AS182" s="78" t="str">
        <f t="shared" si="741"/>
        <v/>
      </c>
      <c r="AT182" s="78"/>
      <c r="AV182" s="78" t="str">
        <f t="shared" si="742"/>
        <v/>
      </c>
      <c r="AW182" s="132" t="str">
        <f t="shared" si="743"/>
        <v/>
      </c>
    </row>
    <row r="183" spans="15:49" x14ac:dyDescent="0.2">
      <c r="O183" s="6"/>
      <c r="P183" s="6"/>
      <c r="Q183" s="78" t="s">
        <v>84</v>
      </c>
      <c r="R183" s="78" t="str">
        <f t="shared" si="732"/>
        <v/>
      </c>
      <c r="S183" s="78"/>
      <c r="T183" s="78"/>
      <c r="U183" s="136" t="str">
        <f t="shared" si="733"/>
        <v/>
      </c>
      <c r="V183" s="78"/>
      <c r="W183" s="78"/>
      <c r="X183" s="78" t="str">
        <f t="shared" si="734"/>
        <v/>
      </c>
      <c r="Y183" s="78"/>
      <c r="Z183" s="78"/>
      <c r="AA183" s="78" t="str">
        <f t="shared" si="735"/>
        <v/>
      </c>
      <c r="AB183" s="78"/>
      <c r="AC183" s="78"/>
      <c r="AD183" s="78" t="str">
        <f t="shared" si="736"/>
        <v/>
      </c>
      <c r="AE183" s="78"/>
      <c r="AF183" s="78"/>
      <c r="AG183" s="78" t="str">
        <f t="shared" si="737"/>
        <v/>
      </c>
      <c r="AH183" s="78"/>
      <c r="AI183" s="78"/>
      <c r="AJ183" s="78" t="str">
        <f t="shared" si="738"/>
        <v/>
      </c>
      <c r="AK183" s="78"/>
      <c r="AL183" s="78"/>
      <c r="AM183" s="78" t="str">
        <f t="shared" si="739"/>
        <v/>
      </c>
      <c r="AN183" s="78"/>
      <c r="AO183" s="78"/>
      <c r="AP183" s="78" t="str">
        <f t="shared" si="740"/>
        <v/>
      </c>
      <c r="AQ183" s="78"/>
      <c r="AR183" s="78"/>
      <c r="AS183" s="78" t="str">
        <f t="shared" si="741"/>
        <v/>
      </c>
      <c r="AT183" s="78"/>
      <c r="AV183" s="78" t="str">
        <f t="shared" si="742"/>
        <v/>
      </c>
      <c r="AW183" s="132" t="str">
        <f t="shared" si="743"/>
        <v/>
      </c>
    </row>
    <row r="184" spans="15:49" x14ac:dyDescent="0.2">
      <c r="O184" s="6"/>
      <c r="P184" s="6"/>
      <c r="Q184" s="78" t="s">
        <v>85</v>
      </c>
      <c r="R184" s="78" t="str">
        <f t="shared" si="732"/>
        <v/>
      </c>
      <c r="S184" s="78"/>
      <c r="T184" s="78"/>
      <c r="U184" s="136" t="str">
        <f t="shared" si="733"/>
        <v/>
      </c>
      <c r="V184" s="78"/>
      <c r="W184" s="78"/>
      <c r="X184" s="78" t="str">
        <f t="shared" si="734"/>
        <v/>
      </c>
      <c r="Y184" s="78"/>
      <c r="Z184" s="78"/>
      <c r="AA184" s="78" t="str">
        <f t="shared" si="735"/>
        <v/>
      </c>
      <c r="AB184" s="78"/>
      <c r="AC184" s="78"/>
      <c r="AD184" s="78" t="str">
        <f t="shared" si="736"/>
        <v/>
      </c>
      <c r="AE184" s="78"/>
      <c r="AF184" s="78"/>
      <c r="AG184" s="78" t="str">
        <f t="shared" si="737"/>
        <v/>
      </c>
      <c r="AH184" s="78"/>
      <c r="AI184" s="78"/>
      <c r="AJ184" s="78" t="str">
        <f t="shared" si="738"/>
        <v/>
      </c>
      <c r="AK184" s="78"/>
      <c r="AL184" s="78"/>
      <c r="AM184" s="78" t="str">
        <f t="shared" si="739"/>
        <v/>
      </c>
      <c r="AN184" s="78"/>
      <c r="AO184" s="78"/>
      <c r="AP184" s="78" t="str">
        <f t="shared" si="740"/>
        <v/>
      </c>
      <c r="AQ184" s="78"/>
      <c r="AR184" s="78"/>
      <c r="AS184" s="78" t="str">
        <f t="shared" si="741"/>
        <v/>
      </c>
      <c r="AT184" s="78"/>
      <c r="AV184" s="78" t="str">
        <f t="shared" si="742"/>
        <v/>
      </c>
      <c r="AW184" s="132" t="str">
        <f t="shared" si="743"/>
        <v/>
      </c>
    </row>
    <row r="185" spans="15:49" x14ac:dyDescent="0.2">
      <c r="O185" s="6"/>
      <c r="P185" s="6"/>
      <c r="Q185" s="78" t="s">
        <v>86</v>
      </c>
      <c r="R185" s="78" t="str">
        <f t="shared" si="732"/>
        <v/>
      </c>
      <c r="S185" s="78"/>
      <c r="T185" s="78"/>
      <c r="U185" s="136" t="str">
        <f t="shared" si="733"/>
        <v/>
      </c>
      <c r="V185" s="78"/>
      <c r="W185" s="78"/>
      <c r="X185" s="78" t="str">
        <f t="shared" si="734"/>
        <v/>
      </c>
      <c r="Y185" s="78"/>
      <c r="Z185" s="78"/>
      <c r="AA185" s="78" t="str">
        <f t="shared" si="735"/>
        <v/>
      </c>
      <c r="AB185" s="78"/>
      <c r="AC185" s="78"/>
      <c r="AD185" s="78" t="str">
        <f t="shared" si="736"/>
        <v/>
      </c>
      <c r="AE185" s="78"/>
      <c r="AF185" s="78"/>
      <c r="AG185" s="78" t="str">
        <f t="shared" si="737"/>
        <v/>
      </c>
      <c r="AH185" s="78"/>
      <c r="AI185" s="78"/>
      <c r="AJ185" s="78" t="str">
        <f t="shared" si="738"/>
        <v/>
      </c>
      <c r="AK185" s="78"/>
      <c r="AL185" s="78"/>
      <c r="AM185" s="78" t="str">
        <f t="shared" si="739"/>
        <v/>
      </c>
      <c r="AN185" s="78"/>
      <c r="AO185" s="78"/>
      <c r="AP185" s="78" t="str">
        <f t="shared" si="740"/>
        <v/>
      </c>
      <c r="AQ185" s="78"/>
      <c r="AR185" s="78"/>
      <c r="AS185" s="78" t="str">
        <f t="shared" si="741"/>
        <v/>
      </c>
      <c r="AT185" s="78"/>
      <c r="AV185" s="78" t="str">
        <f t="shared" si="742"/>
        <v/>
      </c>
      <c r="AW185" s="132" t="str">
        <f t="shared" si="743"/>
        <v/>
      </c>
    </row>
    <row r="186" spans="15:49" x14ac:dyDescent="0.2">
      <c r="O186" s="6"/>
      <c r="P186" s="6"/>
      <c r="Q186" s="78" t="s">
        <v>87</v>
      </c>
      <c r="R186" s="78" t="str">
        <f t="shared" si="732"/>
        <v/>
      </c>
      <c r="S186" s="78"/>
      <c r="T186" s="78"/>
      <c r="U186" s="136" t="str">
        <f t="shared" si="733"/>
        <v/>
      </c>
      <c r="V186" s="78"/>
      <c r="W186" s="78"/>
      <c r="X186" s="78" t="str">
        <f t="shared" si="734"/>
        <v/>
      </c>
      <c r="Y186" s="78"/>
      <c r="Z186" s="78"/>
      <c r="AA186" s="78" t="str">
        <f t="shared" si="735"/>
        <v/>
      </c>
      <c r="AB186" s="78"/>
      <c r="AC186" s="78"/>
      <c r="AD186" s="78" t="str">
        <f t="shared" si="736"/>
        <v/>
      </c>
      <c r="AE186" s="78"/>
      <c r="AF186" s="78"/>
      <c r="AG186" s="78" t="str">
        <f t="shared" si="737"/>
        <v/>
      </c>
      <c r="AH186" s="78"/>
      <c r="AI186" s="78"/>
      <c r="AJ186" s="78" t="str">
        <f t="shared" si="738"/>
        <v/>
      </c>
      <c r="AK186" s="78"/>
      <c r="AL186" s="78"/>
      <c r="AM186" s="78" t="str">
        <f t="shared" si="739"/>
        <v/>
      </c>
      <c r="AN186" s="78"/>
      <c r="AO186" s="78"/>
      <c r="AP186" s="78" t="str">
        <f t="shared" si="740"/>
        <v/>
      </c>
      <c r="AQ186" s="78"/>
      <c r="AR186" s="78"/>
      <c r="AS186" s="78" t="str">
        <f t="shared" si="741"/>
        <v/>
      </c>
      <c r="AT186" s="78"/>
      <c r="AV186" s="78" t="str">
        <f t="shared" si="742"/>
        <v/>
      </c>
      <c r="AW186" s="132" t="str">
        <f t="shared" si="743"/>
        <v/>
      </c>
    </row>
    <row r="187" spans="15:49" x14ac:dyDescent="0.2">
      <c r="O187" s="6"/>
      <c r="P187" s="6"/>
      <c r="Q187" s="78" t="s">
        <v>88</v>
      </c>
      <c r="R187" s="78" t="str">
        <f t="shared" si="732"/>
        <v/>
      </c>
      <c r="S187" s="78"/>
      <c r="T187" s="78"/>
      <c r="U187" s="136" t="str">
        <f t="shared" si="733"/>
        <v/>
      </c>
      <c r="V187" s="78"/>
      <c r="W187" s="78"/>
      <c r="X187" s="78" t="str">
        <f t="shared" si="734"/>
        <v/>
      </c>
      <c r="Y187" s="78"/>
      <c r="Z187" s="78"/>
      <c r="AA187" s="78" t="str">
        <f t="shared" si="735"/>
        <v/>
      </c>
      <c r="AB187" s="78"/>
      <c r="AC187" s="78"/>
      <c r="AD187" s="78" t="str">
        <f t="shared" si="736"/>
        <v/>
      </c>
      <c r="AE187" s="78"/>
      <c r="AF187" s="78"/>
      <c r="AG187" s="78" t="str">
        <f t="shared" si="737"/>
        <v/>
      </c>
      <c r="AH187" s="78"/>
      <c r="AI187" s="78"/>
      <c r="AJ187" s="78" t="str">
        <f t="shared" si="738"/>
        <v/>
      </c>
      <c r="AK187" s="78"/>
      <c r="AL187" s="78"/>
      <c r="AM187" s="78" t="str">
        <f t="shared" si="739"/>
        <v/>
      </c>
      <c r="AN187" s="78"/>
      <c r="AO187" s="78"/>
      <c r="AP187" s="78" t="str">
        <f t="shared" si="740"/>
        <v/>
      </c>
      <c r="AQ187" s="78"/>
      <c r="AR187" s="78"/>
      <c r="AS187" s="78" t="str">
        <f t="shared" si="741"/>
        <v/>
      </c>
      <c r="AT187" s="78"/>
      <c r="AV187" s="78" t="str">
        <f t="shared" si="742"/>
        <v/>
      </c>
      <c r="AW187" s="132" t="str">
        <f t="shared" si="743"/>
        <v/>
      </c>
    </row>
    <row r="188" spans="15:49" x14ac:dyDescent="0.2">
      <c r="O188" s="6"/>
      <c r="P188" s="6"/>
      <c r="Q188" s="78" t="s">
        <v>89</v>
      </c>
      <c r="R188" s="78" t="str">
        <f t="shared" si="732"/>
        <v/>
      </c>
      <c r="S188" s="78"/>
      <c r="T188" s="78"/>
      <c r="U188" s="136" t="str">
        <f t="shared" si="733"/>
        <v/>
      </c>
      <c r="V188" s="78"/>
      <c r="W188" s="78"/>
      <c r="X188" s="78" t="str">
        <f t="shared" si="734"/>
        <v/>
      </c>
      <c r="Y188" s="78"/>
      <c r="Z188" s="78"/>
      <c r="AA188" s="78" t="str">
        <f t="shared" si="735"/>
        <v/>
      </c>
      <c r="AB188" s="78"/>
      <c r="AC188" s="78"/>
      <c r="AD188" s="78" t="str">
        <f t="shared" si="736"/>
        <v/>
      </c>
      <c r="AE188" s="78"/>
      <c r="AF188" s="78"/>
      <c r="AG188" s="78" t="str">
        <f t="shared" si="737"/>
        <v/>
      </c>
      <c r="AH188" s="78"/>
      <c r="AI188" s="78"/>
      <c r="AJ188" s="78" t="str">
        <f t="shared" si="738"/>
        <v/>
      </c>
      <c r="AK188" s="78"/>
      <c r="AL188" s="78"/>
      <c r="AM188" s="78" t="str">
        <f t="shared" si="739"/>
        <v/>
      </c>
      <c r="AN188" s="78"/>
      <c r="AO188" s="78"/>
      <c r="AP188" s="78" t="str">
        <f t="shared" si="740"/>
        <v/>
      </c>
      <c r="AQ188" s="78"/>
      <c r="AR188" s="78"/>
      <c r="AS188" s="78" t="str">
        <f t="shared" si="741"/>
        <v/>
      </c>
      <c r="AT188" s="78"/>
      <c r="AV188" s="78" t="str">
        <f t="shared" si="742"/>
        <v/>
      </c>
      <c r="AW188" s="132" t="str">
        <f t="shared" si="743"/>
        <v/>
      </c>
    </row>
    <row r="189" spans="15:49" x14ac:dyDescent="0.2">
      <c r="O189" s="6"/>
      <c r="P189" s="6"/>
      <c r="Q189" s="78" t="s">
        <v>90</v>
      </c>
      <c r="R189" s="78" t="str">
        <f t="shared" si="732"/>
        <v/>
      </c>
      <c r="S189" s="78"/>
      <c r="T189" s="78"/>
      <c r="U189" s="136" t="str">
        <f t="shared" si="733"/>
        <v/>
      </c>
      <c r="V189" s="78"/>
      <c r="W189" s="78"/>
      <c r="X189" s="78" t="str">
        <f t="shared" si="734"/>
        <v/>
      </c>
      <c r="Y189" s="78"/>
      <c r="Z189" s="78"/>
      <c r="AA189" s="78" t="str">
        <f t="shared" si="735"/>
        <v/>
      </c>
      <c r="AB189" s="78"/>
      <c r="AC189" s="78"/>
      <c r="AD189" s="78" t="str">
        <f t="shared" si="736"/>
        <v/>
      </c>
      <c r="AE189" s="78"/>
      <c r="AF189" s="78"/>
      <c r="AG189" s="78" t="str">
        <f t="shared" si="737"/>
        <v/>
      </c>
      <c r="AH189" s="78"/>
      <c r="AI189" s="78"/>
      <c r="AJ189" s="78" t="str">
        <f t="shared" si="738"/>
        <v/>
      </c>
      <c r="AK189" s="78"/>
      <c r="AL189" s="78"/>
      <c r="AM189" s="78" t="str">
        <f t="shared" si="739"/>
        <v/>
      </c>
      <c r="AN189" s="78"/>
      <c r="AO189" s="78"/>
      <c r="AP189" s="78" t="str">
        <f t="shared" si="740"/>
        <v/>
      </c>
      <c r="AQ189" s="78"/>
      <c r="AR189" s="78"/>
      <c r="AS189" s="78" t="str">
        <f t="shared" si="741"/>
        <v/>
      </c>
      <c r="AT189" s="78"/>
      <c r="AV189" s="78" t="str">
        <f t="shared" si="742"/>
        <v/>
      </c>
      <c r="AW189" s="132" t="str">
        <f t="shared" si="743"/>
        <v/>
      </c>
    </row>
    <row r="190" spans="15:49" x14ac:dyDescent="0.2">
      <c r="O190" s="6"/>
      <c r="P190" s="6"/>
      <c r="Q190" s="78" t="s">
        <v>91</v>
      </c>
      <c r="R190" s="78" t="str">
        <f t="shared" si="732"/>
        <v/>
      </c>
      <c r="S190" s="78"/>
      <c r="T190" s="78"/>
      <c r="U190" s="136" t="str">
        <f t="shared" si="733"/>
        <v/>
      </c>
      <c r="V190" s="78"/>
      <c r="W190" s="78"/>
      <c r="X190" s="78" t="str">
        <f t="shared" si="734"/>
        <v/>
      </c>
      <c r="Y190" s="78"/>
      <c r="Z190" s="78"/>
      <c r="AA190" s="78" t="str">
        <f t="shared" si="735"/>
        <v/>
      </c>
      <c r="AB190" s="78"/>
      <c r="AC190" s="78"/>
      <c r="AD190" s="78" t="str">
        <f t="shared" si="736"/>
        <v/>
      </c>
      <c r="AE190" s="78"/>
      <c r="AF190" s="78"/>
      <c r="AG190" s="78" t="str">
        <f t="shared" si="737"/>
        <v/>
      </c>
      <c r="AH190" s="78"/>
      <c r="AI190" s="78"/>
      <c r="AJ190" s="78" t="str">
        <f t="shared" si="738"/>
        <v/>
      </c>
      <c r="AK190" s="78"/>
      <c r="AL190" s="78"/>
      <c r="AM190" s="78" t="str">
        <f t="shared" si="739"/>
        <v/>
      </c>
      <c r="AN190" s="78"/>
      <c r="AO190" s="78"/>
      <c r="AP190" s="78" t="str">
        <f t="shared" si="740"/>
        <v/>
      </c>
      <c r="AQ190" s="78"/>
      <c r="AR190" s="78"/>
      <c r="AS190" s="78" t="str">
        <f t="shared" si="741"/>
        <v/>
      </c>
      <c r="AT190" s="78"/>
      <c r="AV190" s="78" t="str">
        <f t="shared" si="742"/>
        <v/>
      </c>
      <c r="AW190" s="132" t="str">
        <f t="shared" si="743"/>
        <v/>
      </c>
    </row>
    <row r="191" spans="15:49" x14ac:dyDescent="0.2">
      <c r="O191" s="6"/>
      <c r="P191" s="6"/>
      <c r="Q191" s="78" t="s">
        <v>92</v>
      </c>
      <c r="R191" s="78" t="str">
        <f t="shared" si="732"/>
        <v/>
      </c>
      <c r="S191" s="78"/>
      <c r="T191" s="78"/>
      <c r="U191" s="136" t="str">
        <f t="shared" si="733"/>
        <v/>
      </c>
      <c r="V191" s="78"/>
      <c r="W191" s="78"/>
      <c r="X191" s="78" t="str">
        <f t="shared" si="734"/>
        <v/>
      </c>
      <c r="Y191" s="78"/>
      <c r="Z191" s="78"/>
      <c r="AA191" s="78" t="str">
        <f t="shared" si="735"/>
        <v/>
      </c>
      <c r="AB191" s="78"/>
      <c r="AC191" s="78"/>
      <c r="AD191" s="78" t="str">
        <f t="shared" si="736"/>
        <v/>
      </c>
      <c r="AE191" s="78"/>
      <c r="AF191" s="78"/>
      <c r="AG191" s="78" t="str">
        <f t="shared" si="737"/>
        <v/>
      </c>
      <c r="AH191" s="78"/>
      <c r="AI191" s="78"/>
      <c r="AJ191" s="78" t="str">
        <f t="shared" si="738"/>
        <v/>
      </c>
      <c r="AK191" s="78"/>
      <c r="AL191" s="78"/>
      <c r="AM191" s="78" t="str">
        <f t="shared" si="739"/>
        <v/>
      </c>
      <c r="AN191" s="78"/>
      <c r="AO191" s="78"/>
      <c r="AP191" s="78" t="str">
        <f t="shared" si="740"/>
        <v/>
      </c>
      <c r="AQ191" s="78"/>
      <c r="AR191" s="78"/>
      <c r="AS191" s="78" t="str">
        <f t="shared" si="741"/>
        <v/>
      </c>
      <c r="AT191" s="78"/>
      <c r="AV191" s="78" t="str">
        <f t="shared" si="742"/>
        <v/>
      </c>
      <c r="AW191" s="132" t="str">
        <f t="shared" si="743"/>
        <v/>
      </c>
    </row>
    <row r="192" spans="15:49" x14ac:dyDescent="0.2">
      <c r="O192" s="6"/>
      <c r="P192" s="6"/>
      <c r="Q192" s="78" t="s">
        <v>93</v>
      </c>
      <c r="R192" s="78" t="str">
        <f t="shared" si="732"/>
        <v/>
      </c>
      <c r="S192" s="78"/>
      <c r="T192" s="78"/>
      <c r="U192" s="136" t="str">
        <f t="shared" si="733"/>
        <v/>
      </c>
      <c r="V192" s="78"/>
      <c r="W192" s="78"/>
      <c r="X192" s="78" t="str">
        <f t="shared" si="734"/>
        <v/>
      </c>
      <c r="Y192" s="78"/>
      <c r="Z192" s="78"/>
      <c r="AA192" s="78" t="str">
        <f t="shared" si="735"/>
        <v/>
      </c>
      <c r="AB192" s="78"/>
      <c r="AC192" s="78"/>
      <c r="AD192" s="78" t="str">
        <f t="shared" si="736"/>
        <v/>
      </c>
      <c r="AE192" s="78"/>
      <c r="AF192" s="78"/>
      <c r="AG192" s="78" t="str">
        <f t="shared" si="737"/>
        <v/>
      </c>
      <c r="AH192" s="78"/>
      <c r="AI192" s="78"/>
      <c r="AJ192" s="78" t="str">
        <f t="shared" si="738"/>
        <v/>
      </c>
      <c r="AK192" s="78"/>
      <c r="AL192" s="78"/>
      <c r="AM192" s="78" t="str">
        <f t="shared" si="739"/>
        <v/>
      </c>
      <c r="AN192" s="78"/>
      <c r="AO192" s="78"/>
      <c r="AP192" s="78" t="str">
        <f t="shared" si="740"/>
        <v/>
      </c>
      <c r="AQ192" s="78"/>
      <c r="AR192" s="78"/>
      <c r="AS192" s="78" t="str">
        <f t="shared" si="741"/>
        <v/>
      </c>
      <c r="AT192" s="78"/>
      <c r="AV192" s="78" t="str">
        <f t="shared" si="742"/>
        <v/>
      </c>
      <c r="AW192" s="132" t="str">
        <f t="shared" si="743"/>
        <v/>
      </c>
    </row>
    <row r="193" spans="15:49" x14ac:dyDescent="0.2">
      <c r="O193" s="6"/>
      <c r="P193" s="6"/>
      <c r="Q193" s="78" t="s">
        <v>94</v>
      </c>
      <c r="R193" s="78" t="str">
        <f t="shared" si="732"/>
        <v/>
      </c>
      <c r="S193" s="78"/>
      <c r="T193" s="78"/>
      <c r="U193" s="136" t="str">
        <f t="shared" si="733"/>
        <v/>
      </c>
      <c r="V193" s="78"/>
      <c r="W193" s="78"/>
      <c r="X193" s="78" t="str">
        <f t="shared" si="734"/>
        <v/>
      </c>
      <c r="Y193" s="78"/>
      <c r="Z193" s="78"/>
      <c r="AA193" s="78" t="str">
        <f t="shared" si="735"/>
        <v/>
      </c>
      <c r="AB193" s="78"/>
      <c r="AC193" s="78"/>
      <c r="AD193" s="78" t="str">
        <f t="shared" si="736"/>
        <v/>
      </c>
      <c r="AE193" s="78"/>
      <c r="AF193" s="78"/>
      <c r="AG193" s="78" t="str">
        <f t="shared" si="737"/>
        <v/>
      </c>
      <c r="AH193" s="78"/>
      <c r="AI193" s="78"/>
      <c r="AJ193" s="78" t="str">
        <f t="shared" si="738"/>
        <v/>
      </c>
      <c r="AK193" s="78"/>
      <c r="AL193" s="78"/>
      <c r="AM193" s="78" t="str">
        <f t="shared" si="739"/>
        <v/>
      </c>
      <c r="AN193" s="78"/>
      <c r="AO193" s="78"/>
      <c r="AP193" s="78" t="str">
        <f t="shared" si="740"/>
        <v/>
      </c>
      <c r="AQ193" s="78"/>
      <c r="AR193" s="78"/>
      <c r="AS193" s="78" t="str">
        <f t="shared" si="741"/>
        <v/>
      </c>
      <c r="AT193" s="78"/>
      <c r="AV193" s="78" t="str">
        <f t="shared" si="742"/>
        <v/>
      </c>
      <c r="AW193" s="132" t="str">
        <f t="shared" si="743"/>
        <v/>
      </c>
    </row>
    <row r="194" spans="15:49" x14ac:dyDescent="0.2">
      <c r="O194" s="6"/>
      <c r="P194" s="6"/>
      <c r="Q194" s="78" t="s">
        <v>95</v>
      </c>
      <c r="R194" s="78" t="str">
        <f t="shared" si="732"/>
        <v/>
      </c>
      <c r="S194" s="78"/>
      <c r="T194" s="78"/>
      <c r="U194" s="136" t="str">
        <f t="shared" si="733"/>
        <v/>
      </c>
      <c r="V194" s="78"/>
      <c r="W194" s="78"/>
      <c r="X194" s="78" t="str">
        <f t="shared" si="734"/>
        <v/>
      </c>
      <c r="Y194" s="78"/>
      <c r="Z194" s="78"/>
      <c r="AA194" s="78" t="str">
        <f t="shared" si="735"/>
        <v/>
      </c>
      <c r="AB194" s="78"/>
      <c r="AC194" s="78"/>
      <c r="AD194" s="78" t="str">
        <f t="shared" si="736"/>
        <v/>
      </c>
      <c r="AE194" s="78"/>
      <c r="AF194" s="78"/>
      <c r="AG194" s="78" t="str">
        <f t="shared" si="737"/>
        <v/>
      </c>
      <c r="AH194" s="78"/>
      <c r="AI194" s="78"/>
      <c r="AJ194" s="78" t="str">
        <f t="shared" si="738"/>
        <v/>
      </c>
      <c r="AK194" s="78"/>
      <c r="AL194" s="78"/>
      <c r="AM194" s="78" t="str">
        <f t="shared" si="739"/>
        <v/>
      </c>
      <c r="AN194" s="78"/>
      <c r="AO194" s="78"/>
      <c r="AP194" s="78" t="str">
        <f t="shared" si="740"/>
        <v/>
      </c>
      <c r="AQ194" s="78"/>
      <c r="AR194" s="78"/>
      <c r="AS194" s="78" t="str">
        <f t="shared" si="741"/>
        <v/>
      </c>
      <c r="AT194" s="78"/>
      <c r="AV194" s="78" t="str">
        <f t="shared" si="742"/>
        <v/>
      </c>
      <c r="AW194" s="132" t="str">
        <f t="shared" si="743"/>
        <v/>
      </c>
    </row>
    <row r="195" spans="15:49" x14ac:dyDescent="0.2">
      <c r="O195" s="6"/>
      <c r="P195" s="6"/>
      <c r="Q195" s="78" t="s">
        <v>96</v>
      </c>
      <c r="R195" s="78" t="str">
        <f t="shared" si="732"/>
        <v/>
      </c>
      <c r="S195" s="78"/>
      <c r="T195" s="78"/>
      <c r="U195" s="136" t="str">
        <f t="shared" si="733"/>
        <v/>
      </c>
      <c r="V195" s="78"/>
      <c r="W195" s="78"/>
      <c r="X195" s="78" t="str">
        <f t="shared" si="734"/>
        <v/>
      </c>
      <c r="Y195" s="78"/>
      <c r="Z195" s="78"/>
      <c r="AA195" s="78" t="str">
        <f t="shared" si="735"/>
        <v/>
      </c>
      <c r="AB195" s="78"/>
      <c r="AC195" s="78"/>
      <c r="AD195" s="78" t="str">
        <f t="shared" si="736"/>
        <v/>
      </c>
      <c r="AE195" s="78"/>
      <c r="AF195" s="78"/>
      <c r="AG195" s="78" t="str">
        <f t="shared" si="737"/>
        <v/>
      </c>
      <c r="AH195" s="78"/>
      <c r="AI195" s="78"/>
      <c r="AJ195" s="78" t="str">
        <f t="shared" si="738"/>
        <v/>
      </c>
      <c r="AK195" s="78"/>
      <c r="AL195" s="78"/>
      <c r="AM195" s="78" t="str">
        <f t="shared" si="739"/>
        <v/>
      </c>
      <c r="AN195" s="78"/>
      <c r="AO195" s="78"/>
      <c r="AP195" s="78" t="str">
        <f t="shared" si="740"/>
        <v/>
      </c>
      <c r="AQ195" s="78"/>
      <c r="AR195" s="78"/>
      <c r="AS195" s="78" t="str">
        <f t="shared" si="741"/>
        <v/>
      </c>
      <c r="AT195" s="78"/>
      <c r="AV195" s="78" t="str">
        <f t="shared" si="742"/>
        <v/>
      </c>
      <c r="AW195" s="132" t="str">
        <f t="shared" si="743"/>
        <v/>
      </c>
    </row>
    <row r="196" spans="15:49" x14ac:dyDescent="0.2">
      <c r="O196" s="76"/>
      <c r="P196" s="77"/>
      <c r="Q196" s="78" t="s">
        <v>97</v>
      </c>
      <c r="R196" s="78" t="str">
        <f t="shared" si="732"/>
        <v/>
      </c>
      <c r="S196" s="78"/>
      <c r="T196" s="78"/>
      <c r="U196" s="136" t="str">
        <f t="shared" si="733"/>
        <v/>
      </c>
      <c r="V196" s="78"/>
      <c r="W196" s="78"/>
      <c r="X196" s="78" t="str">
        <f t="shared" si="734"/>
        <v/>
      </c>
      <c r="Y196" s="78"/>
      <c r="Z196" s="78"/>
      <c r="AA196" s="78" t="str">
        <f t="shared" si="735"/>
        <v/>
      </c>
      <c r="AB196" s="78"/>
      <c r="AC196" s="78"/>
      <c r="AD196" s="78" t="str">
        <f t="shared" si="736"/>
        <v/>
      </c>
      <c r="AE196" s="78"/>
      <c r="AF196" s="78"/>
      <c r="AG196" s="78" t="str">
        <f t="shared" si="737"/>
        <v/>
      </c>
      <c r="AH196" s="78"/>
      <c r="AI196" s="78"/>
      <c r="AJ196" s="78" t="str">
        <f t="shared" si="738"/>
        <v/>
      </c>
      <c r="AK196" s="78"/>
      <c r="AL196" s="78"/>
      <c r="AM196" s="78" t="str">
        <f t="shared" si="739"/>
        <v/>
      </c>
      <c r="AN196" s="78"/>
      <c r="AO196" s="78"/>
      <c r="AP196" s="78" t="str">
        <f t="shared" si="740"/>
        <v/>
      </c>
      <c r="AQ196" s="78"/>
      <c r="AR196" s="78"/>
      <c r="AS196" s="78" t="str">
        <f t="shared" si="741"/>
        <v/>
      </c>
      <c r="AT196" s="78"/>
      <c r="AV196" s="78" t="str">
        <f t="shared" si="742"/>
        <v/>
      </c>
      <c r="AW196" s="132" t="str">
        <f t="shared" si="743"/>
        <v/>
      </c>
    </row>
    <row r="197" spans="15:49" x14ac:dyDescent="0.2">
      <c r="O197" s="76"/>
      <c r="P197" s="77"/>
      <c r="Q197" s="78" t="s">
        <v>98</v>
      </c>
      <c r="R197" s="78" t="str">
        <f t="shared" si="732"/>
        <v/>
      </c>
      <c r="S197" s="78"/>
      <c r="T197" s="78"/>
      <c r="U197" s="136" t="str">
        <f t="shared" si="733"/>
        <v/>
      </c>
      <c r="V197" s="78"/>
      <c r="W197" s="78"/>
      <c r="X197" s="78" t="str">
        <f t="shared" si="734"/>
        <v/>
      </c>
      <c r="Y197" s="78"/>
      <c r="Z197" s="78"/>
      <c r="AA197" s="78" t="str">
        <f t="shared" si="735"/>
        <v/>
      </c>
      <c r="AB197" s="78"/>
      <c r="AC197" s="78"/>
      <c r="AD197" s="78" t="str">
        <f t="shared" si="736"/>
        <v/>
      </c>
      <c r="AE197" s="78"/>
      <c r="AF197" s="78"/>
      <c r="AG197" s="78" t="str">
        <f t="shared" si="737"/>
        <v/>
      </c>
      <c r="AH197" s="78"/>
      <c r="AI197" s="78"/>
      <c r="AJ197" s="78" t="str">
        <f t="shared" si="738"/>
        <v/>
      </c>
      <c r="AK197" s="78"/>
      <c r="AL197" s="78"/>
      <c r="AM197" s="78" t="str">
        <f t="shared" si="739"/>
        <v/>
      </c>
      <c r="AN197" s="78"/>
      <c r="AO197" s="78"/>
      <c r="AP197" s="78" t="str">
        <f t="shared" si="740"/>
        <v/>
      </c>
      <c r="AQ197" s="78"/>
      <c r="AR197" s="78"/>
      <c r="AS197" s="78" t="str">
        <f t="shared" si="741"/>
        <v/>
      </c>
      <c r="AT197" s="78"/>
      <c r="AV197" s="78" t="str">
        <f t="shared" si="742"/>
        <v/>
      </c>
      <c r="AW197" s="132" t="str">
        <f t="shared" si="743"/>
        <v/>
      </c>
    </row>
    <row r="198" spans="15:49" x14ac:dyDescent="0.2">
      <c r="O198" s="139" t="s">
        <v>2</v>
      </c>
      <c r="P198" s="140">
        <f>Intro!C17</f>
        <v>2.0310000000000001</v>
      </c>
      <c r="Q198" s="78" t="s">
        <v>99</v>
      </c>
      <c r="R198" s="78" t="str">
        <f t="shared" si="732"/>
        <v/>
      </c>
      <c r="S198" s="78"/>
      <c r="T198" s="78"/>
      <c r="U198" s="136" t="str">
        <f t="shared" si="733"/>
        <v/>
      </c>
      <c r="V198" s="78"/>
      <c r="W198" s="78"/>
      <c r="X198" s="78" t="str">
        <f t="shared" si="734"/>
        <v/>
      </c>
      <c r="Y198" s="78"/>
      <c r="Z198" s="78"/>
      <c r="AA198" s="78" t="str">
        <f t="shared" si="735"/>
        <v/>
      </c>
      <c r="AB198" s="78"/>
      <c r="AC198" s="78"/>
      <c r="AD198" s="78" t="str">
        <f t="shared" si="736"/>
        <v/>
      </c>
      <c r="AE198" s="78"/>
      <c r="AF198" s="78"/>
      <c r="AG198" s="78" t="str">
        <f t="shared" si="737"/>
        <v/>
      </c>
      <c r="AH198" s="78"/>
      <c r="AI198" s="78"/>
      <c r="AJ198" s="78" t="str">
        <f t="shared" si="738"/>
        <v/>
      </c>
      <c r="AK198" s="78"/>
      <c r="AL198" s="78"/>
      <c r="AM198" s="78" t="str">
        <f t="shared" si="739"/>
        <v/>
      </c>
      <c r="AN198" s="78"/>
      <c r="AO198" s="78"/>
      <c r="AP198" s="78" t="str">
        <f t="shared" si="740"/>
        <v/>
      </c>
      <c r="AQ198" s="78"/>
      <c r="AR198" s="78"/>
      <c r="AS198" s="78" t="str">
        <f t="shared" si="741"/>
        <v/>
      </c>
      <c r="AT198" s="78"/>
      <c r="AV198" s="78" t="str">
        <f t="shared" si="742"/>
        <v/>
      </c>
      <c r="AW198" s="132" t="str">
        <f t="shared" si="743"/>
        <v/>
      </c>
    </row>
    <row r="199" spans="15:49" x14ac:dyDescent="0.2">
      <c r="O199" s="139" t="s">
        <v>4</v>
      </c>
      <c r="P199" s="140">
        <f>Intro!C18</f>
        <v>1.968</v>
      </c>
      <c r="Q199" s="78" t="s">
        <v>100</v>
      </c>
      <c r="R199" s="78" t="str">
        <f t="shared" si="732"/>
        <v/>
      </c>
      <c r="S199" s="78"/>
      <c r="T199" s="78"/>
      <c r="U199" s="136" t="str">
        <f t="shared" si="733"/>
        <v/>
      </c>
      <c r="V199" s="78"/>
      <c r="W199" s="78"/>
      <c r="X199" s="78" t="str">
        <f t="shared" si="734"/>
        <v/>
      </c>
      <c r="Y199" s="78"/>
      <c r="Z199" s="78"/>
      <c r="AA199" s="78" t="str">
        <f t="shared" si="735"/>
        <v/>
      </c>
      <c r="AB199" s="78"/>
      <c r="AC199" s="78"/>
      <c r="AD199" s="78" t="str">
        <f t="shared" si="736"/>
        <v/>
      </c>
      <c r="AE199" s="78"/>
      <c r="AF199" s="78"/>
      <c r="AG199" s="78" t="str">
        <f t="shared" si="737"/>
        <v/>
      </c>
      <c r="AH199" s="78"/>
      <c r="AI199" s="78"/>
      <c r="AJ199" s="78" t="str">
        <f t="shared" si="738"/>
        <v/>
      </c>
      <c r="AK199" s="78"/>
      <c r="AL199" s="78"/>
      <c r="AM199" s="78" t="str">
        <f t="shared" si="739"/>
        <v/>
      </c>
      <c r="AN199" s="78"/>
      <c r="AO199" s="78"/>
      <c r="AP199" s="78" t="str">
        <f t="shared" si="740"/>
        <v/>
      </c>
      <c r="AQ199" s="78"/>
      <c r="AR199" s="78"/>
      <c r="AS199" s="78" t="str">
        <f t="shared" si="741"/>
        <v/>
      </c>
      <c r="AT199" s="78"/>
      <c r="AV199" s="78" t="str">
        <f t="shared" si="742"/>
        <v/>
      </c>
      <c r="AW199" s="132" t="str">
        <f t="shared" si="743"/>
        <v/>
      </c>
    </row>
    <row r="200" spans="15:49" x14ac:dyDescent="0.2">
      <c r="O200" s="139" t="s">
        <v>6</v>
      </c>
      <c r="P200" s="140">
        <f>Intro!C19</f>
        <v>2.016</v>
      </c>
      <c r="Q200" s="78" t="s">
        <v>101</v>
      </c>
      <c r="R200" s="78" t="str">
        <f t="shared" si="732"/>
        <v/>
      </c>
      <c r="S200" s="78"/>
      <c r="T200" s="78"/>
      <c r="U200" s="136" t="str">
        <f t="shared" si="733"/>
        <v/>
      </c>
      <c r="V200" s="78"/>
      <c r="W200" s="78"/>
      <c r="X200" s="78" t="str">
        <f t="shared" si="734"/>
        <v/>
      </c>
      <c r="Y200" s="78"/>
      <c r="Z200" s="78"/>
      <c r="AA200" s="78" t="str">
        <f t="shared" si="735"/>
        <v/>
      </c>
      <c r="AB200" s="78"/>
      <c r="AC200" s="78"/>
      <c r="AD200" s="78" t="str">
        <f t="shared" si="736"/>
        <v/>
      </c>
      <c r="AE200" s="78"/>
      <c r="AF200" s="78"/>
      <c r="AG200" s="78" t="str">
        <f t="shared" si="737"/>
        <v/>
      </c>
      <c r="AH200" s="78"/>
      <c r="AI200" s="78"/>
      <c r="AJ200" s="78" t="str">
        <f t="shared" si="738"/>
        <v/>
      </c>
      <c r="AK200" s="78"/>
      <c r="AL200" s="78"/>
      <c r="AM200" s="78" t="str">
        <f t="shared" si="739"/>
        <v/>
      </c>
      <c r="AN200" s="78"/>
      <c r="AO200" s="78"/>
      <c r="AP200" s="78" t="str">
        <f t="shared" si="740"/>
        <v/>
      </c>
      <c r="AQ200" s="78"/>
      <c r="AR200" s="78"/>
      <c r="AS200" s="78" t="str">
        <f t="shared" si="741"/>
        <v/>
      </c>
      <c r="AT200" s="78"/>
      <c r="AV200" s="78" t="str">
        <f t="shared" si="742"/>
        <v/>
      </c>
      <c r="AW200" s="132" t="str">
        <f t="shared" si="743"/>
        <v/>
      </c>
    </row>
    <row r="201" spans="15:49" x14ac:dyDescent="0.2">
      <c r="O201" s="139" t="s">
        <v>8</v>
      </c>
      <c r="P201" s="140">
        <f>Intro!C20</f>
        <v>2.0059999999999998</v>
      </c>
      <c r="Q201" s="78" t="s">
        <v>102</v>
      </c>
      <c r="R201" s="78" t="str">
        <f t="shared" si="732"/>
        <v/>
      </c>
      <c r="S201" s="78"/>
      <c r="T201" s="78"/>
      <c r="U201" s="136" t="str">
        <f t="shared" si="733"/>
        <v/>
      </c>
      <c r="V201" s="78"/>
      <c r="W201" s="78"/>
      <c r="X201" s="78" t="str">
        <f t="shared" si="734"/>
        <v/>
      </c>
      <c r="Y201" s="78"/>
      <c r="Z201" s="78"/>
      <c r="AA201" s="78" t="str">
        <f t="shared" si="735"/>
        <v/>
      </c>
      <c r="AB201" s="78"/>
      <c r="AC201" s="78"/>
      <c r="AD201" s="78" t="str">
        <f t="shared" si="736"/>
        <v/>
      </c>
      <c r="AE201" s="78"/>
      <c r="AF201" s="78"/>
      <c r="AG201" s="78" t="str">
        <f t="shared" si="737"/>
        <v/>
      </c>
      <c r="AH201" s="78"/>
      <c r="AI201" s="78"/>
      <c r="AJ201" s="78" t="str">
        <f t="shared" si="738"/>
        <v/>
      </c>
      <c r="AK201" s="78"/>
      <c r="AL201" s="78"/>
      <c r="AM201" s="78" t="str">
        <f t="shared" si="739"/>
        <v/>
      </c>
      <c r="AN201" s="78"/>
      <c r="AO201" s="78"/>
      <c r="AP201" s="78" t="str">
        <f t="shared" si="740"/>
        <v/>
      </c>
      <c r="AQ201" s="78"/>
      <c r="AR201" s="78"/>
      <c r="AS201" s="78" t="str">
        <f t="shared" si="741"/>
        <v/>
      </c>
      <c r="AT201" s="78"/>
      <c r="AV201" s="78" t="str">
        <f t="shared" si="742"/>
        <v/>
      </c>
      <c r="AW201" s="132" t="str">
        <f t="shared" si="743"/>
        <v/>
      </c>
    </row>
    <row r="202" spans="15:49" x14ac:dyDescent="0.2">
      <c r="O202" s="139" t="s">
        <v>0</v>
      </c>
      <c r="P202" s="140">
        <f>Intro!C21</f>
        <v>1.9279999999999999</v>
      </c>
      <c r="Q202" s="78" t="s">
        <v>103</v>
      </c>
      <c r="R202" s="78" t="str">
        <f t="shared" si="732"/>
        <v/>
      </c>
      <c r="S202" s="78"/>
      <c r="T202" s="78"/>
      <c r="U202" s="136" t="str">
        <f t="shared" si="733"/>
        <v/>
      </c>
      <c r="V202" s="78"/>
      <c r="W202" s="78"/>
      <c r="X202" s="78" t="str">
        <f t="shared" si="734"/>
        <v/>
      </c>
      <c r="Y202" s="78"/>
      <c r="Z202" s="78"/>
      <c r="AA202" s="78" t="str">
        <f t="shared" si="735"/>
        <v/>
      </c>
      <c r="AB202" s="78"/>
      <c r="AC202" s="78"/>
      <c r="AD202" s="78" t="str">
        <f t="shared" si="736"/>
        <v/>
      </c>
      <c r="AE202" s="78"/>
      <c r="AF202" s="78"/>
      <c r="AG202" s="78" t="str">
        <f t="shared" si="737"/>
        <v/>
      </c>
      <c r="AH202" s="78"/>
      <c r="AI202" s="78"/>
      <c r="AJ202" s="78" t="str">
        <f t="shared" si="738"/>
        <v/>
      </c>
      <c r="AK202" s="78"/>
      <c r="AL202" s="78"/>
      <c r="AM202" s="78" t="str">
        <f t="shared" si="739"/>
        <v/>
      </c>
      <c r="AN202" s="78"/>
      <c r="AO202" s="78"/>
      <c r="AP202" s="78" t="str">
        <f t="shared" si="740"/>
        <v/>
      </c>
      <c r="AQ202" s="78"/>
      <c r="AR202" s="78"/>
      <c r="AS202" s="78" t="str">
        <f t="shared" si="741"/>
        <v/>
      </c>
      <c r="AT202" s="78"/>
      <c r="AV202" s="78" t="str">
        <f t="shared" si="742"/>
        <v/>
      </c>
      <c r="AW202" s="132" t="str">
        <f t="shared" ref="AW202:AW207" si="744">IF(L100&gt;0,ROUND(STDEV(R202,U202,X202,AA202,AD202,AG202,AJ202,AM202,AP202,AS202),2),"")</f>
        <v/>
      </c>
    </row>
    <row r="203" spans="15:49" x14ac:dyDescent="0.2">
      <c r="O203" s="139" t="s">
        <v>133</v>
      </c>
      <c r="P203" s="140">
        <f>Intro!C22</f>
        <v>1.893</v>
      </c>
      <c r="Q203" s="78" t="s">
        <v>104</v>
      </c>
      <c r="R203" s="78" t="str">
        <f t="shared" si="732"/>
        <v/>
      </c>
      <c r="S203" s="78"/>
      <c r="T203" s="78"/>
      <c r="U203" s="136" t="str">
        <f t="shared" si="733"/>
        <v/>
      </c>
      <c r="V203" s="78"/>
      <c r="W203" s="78"/>
      <c r="X203" s="78" t="str">
        <f t="shared" si="734"/>
        <v/>
      </c>
      <c r="Y203" s="78"/>
      <c r="Z203" s="78"/>
      <c r="AA203" s="78" t="str">
        <f t="shared" si="735"/>
        <v/>
      </c>
      <c r="AB203" s="78"/>
      <c r="AC203" s="78"/>
      <c r="AD203" s="78" t="str">
        <f t="shared" si="736"/>
        <v/>
      </c>
      <c r="AE203" s="78"/>
      <c r="AF203" s="78"/>
      <c r="AG203" s="78" t="str">
        <f t="shared" si="737"/>
        <v/>
      </c>
      <c r="AH203" s="78"/>
      <c r="AI203" s="78"/>
      <c r="AJ203" s="78" t="str">
        <f t="shared" si="738"/>
        <v/>
      </c>
      <c r="AK203" s="78"/>
      <c r="AL203" s="78"/>
      <c r="AM203" s="78" t="str">
        <f t="shared" si="739"/>
        <v/>
      </c>
      <c r="AN203" s="78"/>
      <c r="AO203" s="78"/>
      <c r="AP203" s="78" t="str">
        <f t="shared" si="740"/>
        <v/>
      </c>
      <c r="AQ203" s="78"/>
      <c r="AR203" s="78"/>
      <c r="AS203" s="78" t="str">
        <f t="shared" si="741"/>
        <v/>
      </c>
      <c r="AT203" s="78"/>
      <c r="AV203" s="78" t="str">
        <f t="shared" si="742"/>
        <v/>
      </c>
      <c r="AW203" s="132" t="str">
        <f t="shared" si="744"/>
        <v/>
      </c>
    </row>
    <row r="204" spans="15:49" x14ac:dyDescent="0.2">
      <c r="O204" s="139" t="s">
        <v>142</v>
      </c>
      <c r="P204" s="140">
        <f>Intro!C23</f>
        <v>1.948</v>
      </c>
      <c r="Q204" s="78" t="s">
        <v>105</v>
      </c>
      <c r="R204" s="78" t="str">
        <f t="shared" si="732"/>
        <v/>
      </c>
      <c r="S204" s="78"/>
      <c r="T204" s="78"/>
      <c r="U204" s="136" t="str">
        <f t="shared" si="733"/>
        <v/>
      </c>
      <c r="V204" s="78"/>
      <c r="W204" s="78"/>
      <c r="X204" s="78" t="str">
        <f t="shared" si="734"/>
        <v/>
      </c>
      <c r="Y204" s="78"/>
      <c r="Z204" s="78"/>
      <c r="AA204" s="78" t="str">
        <f t="shared" si="735"/>
        <v/>
      </c>
      <c r="AB204" s="78"/>
      <c r="AC204" s="78"/>
      <c r="AD204" s="78" t="str">
        <f t="shared" si="736"/>
        <v/>
      </c>
      <c r="AE204" s="78"/>
      <c r="AF204" s="78"/>
      <c r="AG204" s="78" t="str">
        <f t="shared" si="737"/>
        <v/>
      </c>
      <c r="AH204" s="78"/>
      <c r="AI204" s="78"/>
      <c r="AJ204" s="78" t="str">
        <f t="shared" si="738"/>
        <v/>
      </c>
      <c r="AK204" s="78"/>
      <c r="AL204" s="78"/>
      <c r="AM204" s="78" t="str">
        <f t="shared" si="739"/>
        <v/>
      </c>
      <c r="AN204" s="78"/>
      <c r="AO204" s="78"/>
      <c r="AP204" s="78" t="str">
        <f t="shared" si="740"/>
        <v/>
      </c>
      <c r="AQ204" s="78"/>
      <c r="AR204" s="78"/>
      <c r="AS204" s="78" t="str">
        <f t="shared" si="741"/>
        <v/>
      </c>
      <c r="AT204" s="78"/>
      <c r="AV204" s="78" t="str">
        <f t="shared" si="742"/>
        <v/>
      </c>
      <c r="AW204" s="132" t="str">
        <f t="shared" si="744"/>
        <v/>
      </c>
    </row>
    <row r="205" spans="15:49" x14ac:dyDescent="0.2">
      <c r="O205" s="139" t="s">
        <v>131</v>
      </c>
      <c r="P205" s="140">
        <f>Intro!C24</f>
        <v>1.8839999999999999</v>
      </c>
      <c r="Q205" s="78" t="s">
        <v>106</v>
      </c>
      <c r="R205" s="78" t="str">
        <f t="shared" si="732"/>
        <v/>
      </c>
      <c r="S205" s="78"/>
      <c r="T205" s="78"/>
      <c r="U205" s="136" t="str">
        <f t="shared" si="733"/>
        <v/>
      </c>
      <c r="V205" s="78"/>
      <c r="W205" s="78"/>
      <c r="X205" s="78" t="str">
        <f t="shared" si="734"/>
        <v/>
      </c>
      <c r="Y205" s="78"/>
      <c r="Z205" s="78"/>
      <c r="AA205" s="78" t="str">
        <f t="shared" si="735"/>
        <v/>
      </c>
      <c r="AB205" s="78"/>
      <c r="AC205" s="78"/>
      <c r="AD205" s="78" t="str">
        <f t="shared" si="736"/>
        <v/>
      </c>
      <c r="AE205" s="78"/>
      <c r="AF205" s="78"/>
      <c r="AG205" s="78" t="str">
        <f t="shared" si="737"/>
        <v/>
      </c>
      <c r="AH205" s="78"/>
      <c r="AI205" s="78"/>
      <c r="AJ205" s="78" t="str">
        <f t="shared" si="738"/>
        <v/>
      </c>
      <c r="AK205" s="78"/>
      <c r="AL205" s="78"/>
      <c r="AM205" s="78" t="str">
        <f t="shared" si="739"/>
        <v/>
      </c>
      <c r="AN205" s="78"/>
      <c r="AO205" s="78"/>
      <c r="AP205" s="78" t="str">
        <f t="shared" si="740"/>
        <v/>
      </c>
      <c r="AQ205" s="78"/>
      <c r="AR205" s="78"/>
      <c r="AS205" s="78" t="str">
        <f t="shared" si="741"/>
        <v/>
      </c>
      <c r="AT205" s="78"/>
      <c r="AV205" s="78" t="str">
        <f t="shared" si="742"/>
        <v/>
      </c>
      <c r="AW205" s="132" t="str">
        <f t="shared" si="744"/>
        <v/>
      </c>
    </row>
    <row r="206" spans="15:49" x14ac:dyDescent="0.2">
      <c r="O206" s="139" t="s">
        <v>129</v>
      </c>
      <c r="P206" s="140">
        <f>Intro!C25</f>
        <v>1.881</v>
      </c>
      <c r="Q206" s="78" t="s">
        <v>107</v>
      </c>
      <c r="R206" s="78" t="str">
        <f t="shared" si="732"/>
        <v/>
      </c>
      <c r="S206" s="78"/>
      <c r="T206" s="78"/>
      <c r="U206" s="136" t="str">
        <f t="shared" si="733"/>
        <v/>
      </c>
      <c r="V206" s="78"/>
      <c r="W206" s="78"/>
      <c r="X206" s="78" t="str">
        <f t="shared" si="734"/>
        <v/>
      </c>
      <c r="Y206" s="78"/>
      <c r="Z206" s="78"/>
      <c r="AA206" s="78" t="str">
        <f t="shared" si="735"/>
        <v/>
      </c>
      <c r="AB206" s="78"/>
      <c r="AC206" s="78"/>
      <c r="AD206" s="78" t="str">
        <f t="shared" si="736"/>
        <v/>
      </c>
      <c r="AE206" s="78"/>
      <c r="AF206" s="78"/>
      <c r="AG206" s="78" t="str">
        <f t="shared" si="737"/>
        <v/>
      </c>
      <c r="AH206" s="78"/>
      <c r="AI206" s="78"/>
      <c r="AJ206" s="78" t="str">
        <f t="shared" si="738"/>
        <v/>
      </c>
      <c r="AK206" s="78"/>
      <c r="AL206" s="78"/>
      <c r="AM206" s="78" t="str">
        <f t="shared" si="739"/>
        <v/>
      </c>
      <c r="AN206" s="78"/>
      <c r="AO206" s="78"/>
      <c r="AP206" s="78" t="str">
        <f t="shared" si="740"/>
        <v/>
      </c>
      <c r="AQ206" s="78"/>
      <c r="AR206" s="78"/>
      <c r="AS206" s="78" t="str">
        <f t="shared" si="741"/>
        <v/>
      </c>
      <c r="AT206" s="78"/>
      <c r="AV206" s="78" t="str">
        <f t="shared" si="742"/>
        <v/>
      </c>
      <c r="AW206" s="132" t="str">
        <f t="shared" si="744"/>
        <v/>
      </c>
    </row>
    <row r="207" spans="15:49" x14ac:dyDescent="0.2">
      <c r="O207" s="139" t="s">
        <v>126</v>
      </c>
      <c r="P207" s="140">
        <f>Intro!C26</f>
        <v>1.9279999999999999</v>
      </c>
      <c r="Q207" s="78" t="s">
        <v>108</v>
      </c>
      <c r="R207" s="78" t="str">
        <f t="shared" si="732"/>
        <v/>
      </c>
      <c r="S207" s="78"/>
      <c r="T207" s="78"/>
      <c r="U207" s="136" t="str">
        <f t="shared" si="733"/>
        <v/>
      </c>
      <c r="V207" s="78"/>
      <c r="W207" s="78"/>
      <c r="X207" s="78" t="str">
        <f t="shared" si="734"/>
        <v/>
      </c>
      <c r="Y207" s="78"/>
      <c r="Z207" s="78"/>
      <c r="AA207" s="78" t="str">
        <f t="shared" si="735"/>
        <v/>
      </c>
      <c r="AB207" s="78"/>
      <c r="AC207" s="78"/>
      <c r="AD207" s="78" t="str">
        <f t="shared" si="736"/>
        <v/>
      </c>
      <c r="AE207" s="78"/>
      <c r="AF207" s="78"/>
      <c r="AG207" s="78" t="str">
        <f t="shared" si="737"/>
        <v/>
      </c>
      <c r="AH207" s="78"/>
      <c r="AI207" s="78"/>
      <c r="AJ207" s="78" t="str">
        <f t="shared" si="738"/>
        <v/>
      </c>
      <c r="AK207" s="78"/>
      <c r="AL207" s="78"/>
      <c r="AM207" s="78" t="str">
        <f t="shared" si="739"/>
        <v/>
      </c>
      <c r="AN207" s="78"/>
      <c r="AO207" s="78"/>
      <c r="AP207" s="78" t="str">
        <f t="shared" si="740"/>
        <v/>
      </c>
      <c r="AQ207" s="78"/>
      <c r="AR207" s="78"/>
      <c r="AS207" s="78" t="str">
        <f t="shared" si="741"/>
        <v/>
      </c>
      <c r="AT207" s="78"/>
      <c r="AV207" s="78" t="str">
        <f t="shared" si="742"/>
        <v/>
      </c>
      <c r="AW207" s="132" t="str">
        <f t="shared" si="744"/>
        <v/>
      </c>
    </row>
    <row r="208" spans="15:49" x14ac:dyDescent="0.2">
      <c r="AV208" s="78"/>
    </row>
    <row r="209" spans="48:48" x14ac:dyDescent="0.2">
      <c r="AV209" s="78"/>
    </row>
    <row r="210" spans="48:48" x14ac:dyDescent="0.2">
      <c r="AV210" s="78"/>
    </row>
    <row r="211" spans="48:48" x14ac:dyDescent="0.2">
      <c r="AV211" s="78"/>
    </row>
    <row r="212" spans="48:48" x14ac:dyDescent="0.2">
      <c r="AV212" s="78"/>
    </row>
    <row r="213" spans="48:48" x14ac:dyDescent="0.2">
      <c r="AV213" s="78"/>
    </row>
    <row r="214" spans="48:48" x14ac:dyDescent="0.2">
      <c r="AV214" s="78"/>
    </row>
    <row r="215" spans="48:48" x14ac:dyDescent="0.2">
      <c r="AV215" s="78"/>
    </row>
    <row r="216" spans="48:48" x14ac:dyDescent="0.2">
      <c r="AV216" s="78"/>
    </row>
    <row r="217" spans="48:48" x14ac:dyDescent="0.2">
      <c r="AV217" s="78"/>
    </row>
    <row r="218" spans="48:48" x14ac:dyDescent="0.2">
      <c r="AV218" s="78"/>
    </row>
    <row r="219" spans="48:48" x14ac:dyDescent="0.2">
      <c r="AV219" s="78"/>
    </row>
    <row r="220" spans="48:48" x14ac:dyDescent="0.2">
      <c r="AV220" s="78"/>
    </row>
    <row r="221" spans="48:48" x14ac:dyDescent="0.2">
      <c r="AV221" s="78"/>
    </row>
    <row r="222" spans="48:48" x14ac:dyDescent="0.2">
      <c r="AV222" s="78"/>
    </row>
    <row r="223" spans="48:48" x14ac:dyDescent="0.2">
      <c r="AV223" s="78"/>
    </row>
    <row r="224" spans="48:48" x14ac:dyDescent="0.2">
      <c r="AV224" s="78"/>
    </row>
    <row r="225" spans="48:48" x14ac:dyDescent="0.2">
      <c r="AV225" s="78"/>
    </row>
    <row r="226" spans="48:48" x14ac:dyDescent="0.2">
      <c r="AV226" s="78"/>
    </row>
    <row r="227" spans="48:48" x14ac:dyDescent="0.2">
      <c r="AV227" s="78"/>
    </row>
    <row r="228" spans="48:48" x14ac:dyDescent="0.2">
      <c r="AV228" s="78"/>
    </row>
    <row r="229" spans="48:48" x14ac:dyDescent="0.2">
      <c r="AV229" s="78"/>
    </row>
  </sheetData>
  <sheetProtection password="EB75" sheet="1" objects="1" scenarios="1"/>
  <phoneticPr fontId="0" type="noConversion"/>
  <conditionalFormatting sqref="B114:M114">
    <cfRule type="cellIs" dxfId="16" priority="1" stopIfTrue="1" operator="between">
      <formula>1</formula>
      <formula>20</formula>
    </cfRule>
  </conditionalFormatting>
  <conditionalFormatting sqref="N6:N105">
    <cfRule type="cellIs" dxfId="15" priority="2" stopIfTrue="1" operator="between">
      <formula>1</formula>
      <formula>100</formula>
    </cfRule>
  </conditionalFormatting>
  <conditionalFormatting sqref="O6:O105">
    <cfRule type="cellIs" dxfId="14" priority="3" stopIfTrue="1" operator="between">
      <formula>10</formula>
      <formula>1000</formula>
    </cfRule>
  </conditionalFormatting>
  <conditionalFormatting sqref="B141:K141 B154:K154">
    <cfRule type="cellIs" dxfId="13" priority="4" stopIfTrue="1" operator="between">
      <formula>0.0001</formula>
      <formula>0.05</formula>
    </cfRule>
  </conditionalFormatting>
  <conditionalFormatting sqref="P6:P105">
    <cfRule type="cellIs" dxfId="12" priority="5" stopIfTrue="1" operator="between">
      <formula>10</formula>
      <formula>100</formula>
    </cfRule>
  </conditionalFormatting>
  <conditionalFormatting sqref="AW20:AW105">
    <cfRule type="cellIs" dxfId="11" priority="6" stopIfTrue="1" operator="between">
      <formula>10</formula>
      <formula>100</formula>
    </cfRule>
  </conditionalFormatting>
  <hyperlinks>
    <hyperlink ref="B157" r:id="rId1"/>
    <hyperlink ref="E157" r:id="rId2"/>
  </hyperlinks>
  <pageMargins left="0.75" right="0.75" top="1" bottom="1" header="0.4921259845" footer="0.4921259845"/>
  <pageSetup paperSize="9" scale="40" orientation="landscape" r:id="rId3"/>
  <headerFooter alignWithMargins="0"/>
  <rowBreaks count="2" manualBreakCount="2">
    <brk id="55" max="254" man="1"/>
    <brk id="105" max="16383" man="1"/>
  </rowBreaks>
  <colBreaks count="4" manualBreakCount="4">
    <brk id="16" max="157" man="1"/>
    <brk id="127" max="157" man="1"/>
    <brk id="157" max="1048575" man="1"/>
    <brk id="191" max="157" man="1"/>
  </colBreaks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IU295"/>
  <sheetViews>
    <sheetView view="pageBreakPreview" zoomScaleNormal="75" workbookViewId="0">
      <pane ySplit="1635" topLeftCell="A83" activePane="bottomLeft"/>
      <selection sqref="A1:IV65536"/>
      <selection pane="bottomLeft" activeCell="D99" sqref="D99"/>
    </sheetView>
  </sheetViews>
  <sheetFormatPr defaultColWidth="11.5703125" defaultRowHeight="12.75" x14ac:dyDescent="0.2"/>
  <cols>
    <col min="1" max="1" width="16.7109375" style="290" customWidth="1"/>
    <col min="2" max="2" width="15" style="47" customWidth="1"/>
    <col min="3" max="3" width="13.5703125" style="47" customWidth="1"/>
    <col min="4" max="4" width="14.140625" style="47" customWidth="1"/>
    <col min="5" max="5" width="12.7109375" style="47" customWidth="1"/>
    <col min="6" max="7" width="13.5703125" style="47" customWidth="1"/>
    <col min="8" max="8" width="15.28515625" style="47" customWidth="1"/>
    <col min="9" max="9" width="12.85546875" style="47" customWidth="1"/>
    <col min="10" max="10" width="12" style="47" customWidth="1"/>
    <col min="11" max="11" width="15.42578125" style="47" customWidth="1"/>
    <col min="12" max="12" width="6.28515625" style="30" customWidth="1"/>
    <col min="13" max="13" width="13.140625" style="30" customWidth="1"/>
    <col min="14" max="14" width="12.28515625" style="30" customWidth="1"/>
    <col min="15" max="15" width="13.42578125" style="30" customWidth="1"/>
    <col min="16" max="16" width="15" style="30" customWidth="1"/>
    <col min="17" max="17" width="12.7109375" style="30" customWidth="1"/>
    <col min="18" max="18" width="26.7109375" style="30" customWidth="1"/>
    <col min="19" max="19" width="25" style="30" customWidth="1"/>
    <col min="20" max="20" width="13.28515625" style="30" customWidth="1"/>
    <col min="21" max="21" width="27.28515625" style="30" customWidth="1"/>
    <col min="22" max="22" width="25.7109375" style="30" customWidth="1"/>
    <col min="23" max="23" width="13.28515625" style="30" customWidth="1"/>
    <col min="24" max="24" width="27.28515625" style="30" customWidth="1"/>
    <col min="25" max="25" width="25.7109375" style="30" customWidth="1"/>
    <col min="26" max="26" width="13.28515625" style="30" customWidth="1"/>
    <col min="27" max="27" width="27.28515625" style="30" customWidth="1"/>
    <col min="28" max="28" width="25.7109375" style="30" customWidth="1"/>
    <col min="29" max="29" width="13.28515625" style="30" customWidth="1"/>
    <col min="30" max="30" width="27.28515625" style="30" customWidth="1"/>
    <col min="31" max="31" width="25.7109375" style="30" customWidth="1"/>
    <col min="32" max="32" width="13.28515625" style="30" customWidth="1"/>
    <col min="33" max="33" width="27.28515625" style="30" customWidth="1"/>
    <col min="34" max="34" width="25.7109375" style="30" customWidth="1"/>
    <col min="35" max="35" width="13.28515625" style="30" customWidth="1"/>
    <col min="36" max="36" width="27.28515625" style="30" customWidth="1"/>
    <col min="37" max="37" width="25.7109375" style="30" customWidth="1"/>
    <col min="38" max="38" width="13.28515625" style="30" customWidth="1"/>
    <col min="39" max="39" width="27.28515625" style="30" customWidth="1"/>
    <col min="40" max="40" width="25.7109375" style="30" customWidth="1"/>
    <col min="41" max="41" width="13.28515625" style="30" customWidth="1"/>
    <col min="42" max="42" width="27.28515625" style="30" customWidth="1"/>
    <col min="43" max="43" width="25.7109375" style="30" customWidth="1"/>
    <col min="44" max="44" width="14.28515625" style="30" customWidth="1"/>
    <col min="45" max="45" width="28.28515625" style="30" customWidth="1"/>
    <col min="46" max="46" width="26.7109375" style="30" customWidth="1"/>
    <col min="47" max="47" width="20.28515625" style="30" customWidth="1"/>
    <col min="48" max="48" width="16.7109375" style="30" customWidth="1"/>
    <col min="49" max="49" width="16.85546875" style="30" customWidth="1"/>
    <col min="50" max="50" width="25.85546875" style="47" customWidth="1"/>
    <col min="51" max="51" width="10.140625" style="204" customWidth="1"/>
    <col min="52" max="52" width="10.5703125" style="204" customWidth="1"/>
    <col min="53" max="53" width="13" style="204" customWidth="1"/>
    <col min="54" max="54" width="10.140625" style="205" customWidth="1"/>
    <col min="55" max="55" width="10.5703125" style="205" customWidth="1"/>
    <col min="56" max="56" width="13" style="205" customWidth="1"/>
    <col min="57" max="57" width="10.140625" style="205" customWidth="1"/>
    <col min="58" max="58" width="10.5703125" style="205" customWidth="1"/>
    <col min="59" max="59" width="13" style="205" customWidth="1"/>
    <col min="60" max="60" width="10.140625" style="205" customWidth="1"/>
    <col min="61" max="61" width="10.5703125" style="205" customWidth="1"/>
    <col min="62" max="62" width="13" style="205" customWidth="1"/>
    <col min="63" max="63" width="10.140625" style="30" customWidth="1"/>
    <col min="64" max="64" width="10.5703125" style="30" customWidth="1"/>
    <col min="65" max="65" width="13" style="30" customWidth="1"/>
    <col min="66" max="66" width="10.140625" style="30" customWidth="1"/>
    <col min="67" max="67" width="10.5703125" style="30" customWidth="1"/>
    <col min="68" max="68" width="13" style="30" customWidth="1"/>
    <col min="69" max="69" width="10.140625" style="30" customWidth="1"/>
    <col min="70" max="70" width="10.5703125" style="30" customWidth="1"/>
    <col min="71" max="71" width="13" style="30" customWidth="1"/>
    <col min="72" max="72" width="10.140625" style="30" customWidth="1"/>
    <col min="73" max="73" width="10.5703125" style="30" customWidth="1"/>
    <col min="74" max="74" width="13" style="30" customWidth="1"/>
    <col min="75" max="75" width="10.140625" style="30" customWidth="1"/>
    <col min="76" max="76" width="11.7109375" style="30" customWidth="1"/>
    <col min="77" max="77" width="14.140625" style="30" customWidth="1"/>
    <col min="78" max="78" width="10.140625" style="30" customWidth="1"/>
    <col min="79" max="79" width="7" style="30" customWidth="1"/>
    <col min="80" max="80" width="15.42578125" style="30" customWidth="1"/>
    <col min="81" max="81" width="27.28515625" style="30" customWidth="1"/>
    <col min="82" max="83" width="10.5703125" style="30" customWidth="1"/>
    <col min="84" max="84" width="13.42578125" style="30" customWidth="1"/>
    <col min="85" max="86" width="10.5703125" style="30" customWidth="1"/>
    <col min="87" max="87" width="13.42578125" style="30" customWidth="1"/>
    <col min="88" max="89" width="10.5703125" style="30" customWidth="1"/>
    <col min="90" max="90" width="13.42578125" style="30" customWidth="1"/>
    <col min="91" max="92" width="10.5703125" style="30" customWidth="1"/>
    <col min="93" max="93" width="13.42578125" style="30" customWidth="1"/>
    <col min="94" max="95" width="10.5703125" style="30" customWidth="1"/>
    <col min="96" max="96" width="13.42578125" style="30" customWidth="1"/>
    <col min="97" max="98" width="10.5703125" style="30" customWidth="1"/>
    <col min="99" max="99" width="13.42578125" style="30" customWidth="1"/>
    <col min="100" max="101" width="10.5703125" style="30" customWidth="1"/>
    <col min="102" max="102" width="13.42578125" style="30" customWidth="1"/>
    <col min="103" max="103" width="10.5703125" style="30" customWidth="1"/>
    <col min="104" max="104" width="11.7109375" style="30" customWidth="1"/>
    <col min="105" max="105" width="14.5703125" style="30" customWidth="1"/>
    <col min="106" max="106" width="10.5703125" style="30" customWidth="1"/>
    <col min="107" max="107" width="7" style="30" customWidth="1"/>
    <col min="108" max="108" width="15.85546875" style="30" customWidth="1"/>
    <col min="109" max="109" width="28" style="30" customWidth="1"/>
    <col min="110" max="111" width="10.5703125" style="30" customWidth="1"/>
    <col min="112" max="112" width="13.42578125" style="30" customWidth="1"/>
    <col min="113" max="114" width="10.5703125" style="30" customWidth="1"/>
    <col min="115" max="115" width="13.42578125" style="30" customWidth="1"/>
    <col min="116" max="117" width="10.5703125" style="30" customWidth="1"/>
    <col min="118" max="118" width="13.42578125" style="30" customWidth="1"/>
    <col min="119" max="120" width="10.5703125" style="30" customWidth="1"/>
    <col min="121" max="121" width="13.42578125" style="30" customWidth="1"/>
    <col min="122" max="123" width="10.5703125" style="30" customWidth="1"/>
    <col min="124" max="124" width="13.42578125" style="30" customWidth="1"/>
    <col min="125" max="126" width="10.5703125" style="30" customWidth="1"/>
    <col min="127" max="127" width="13.42578125" style="30" customWidth="1"/>
    <col min="128" max="128" width="10.5703125" style="30" customWidth="1"/>
    <col min="129" max="129" width="11.7109375" style="30" customWidth="1"/>
    <col min="130" max="130" width="14.5703125" style="30" customWidth="1"/>
    <col min="131" max="131" width="10.5703125" style="30" customWidth="1"/>
    <col min="132" max="132" width="7" style="30" customWidth="1"/>
    <col min="133" max="133" width="15.85546875" style="30" customWidth="1"/>
    <col min="134" max="134" width="26.85546875" style="30" customWidth="1"/>
    <col min="135" max="136" width="10.5703125" style="30" customWidth="1"/>
    <col min="137" max="137" width="13.42578125" style="30" customWidth="1"/>
    <col min="138" max="139" width="10.5703125" style="30" customWidth="1"/>
    <col min="140" max="140" width="13.42578125" style="30" customWidth="1"/>
    <col min="141" max="142" width="10.5703125" style="30" customWidth="1"/>
    <col min="143" max="143" width="13.42578125" style="30" customWidth="1"/>
    <col min="144" max="145" width="10.5703125" style="30" customWidth="1"/>
    <col min="146" max="146" width="13.42578125" style="30" customWidth="1"/>
    <col min="147" max="148" width="10.5703125" style="30" customWidth="1"/>
    <col min="149" max="149" width="13.42578125" style="30" customWidth="1"/>
    <col min="150" max="150" width="10.5703125" style="30" customWidth="1"/>
    <col min="151" max="151" width="11.7109375" style="30" customWidth="1"/>
    <col min="152" max="152" width="14.5703125" style="30" customWidth="1"/>
    <col min="153" max="153" width="10.5703125" style="30" customWidth="1"/>
    <col min="154" max="154" width="7" style="30" customWidth="1"/>
    <col min="155" max="155" width="15.85546875" style="30" customWidth="1"/>
    <col min="156" max="156" width="30.85546875" style="30" customWidth="1"/>
    <col min="157" max="158" width="10.5703125" style="30" customWidth="1"/>
    <col min="159" max="159" width="13.42578125" style="30" customWidth="1"/>
    <col min="160" max="161" width="10.5703125" style="30" customWidth="1"/>
    <col min="162" max="162" width="13.42578125" style="30" customWidth="1"/>
    <col min="163" max="164" width="10.5703125" style="30" customWidth="1"/>
    <col min="165" max="165" width="13.42578125" style="30" customWidth="1"/>
    <col min="166" max="167" width="10.5703125" style="30" customWidth="1"/>
    <col min="168" max="168" width="13.42578125" style="30" customWidth="1"/>
    <col min="169" max="169" width="10.5703125" style="30" customWidth="1"/>
    <col min="170" max="170" width="11.7109375" style="30" customWidth="1"/>
    <col min="171" max="171" width="14.5703125" style="30" customWidth="1"/>
    <col min="172" max="172" width="10.5703125" style="30" customWidth="1"/>
    <col min="173" max="173" width="13.7109375" style="30" customWidth="1"/>
    <col min="174" max="174" width="15.85546875" style="30" customWidth="1"/>
    <col min="175" max="175" width="31.7109375" style="30" customWidth="1"/>
    <col min="176" max="177" width="10.5703125" style="30" customWidth="1"/>
    <col min="178" max="178" width="13.42578125" style="30" customWidth="1"/>
    <col min="179" max="180" width="10.5703125" style="30" customWidth="1"/>
    <col min="181" max="181" width="13.42578125" style="30" customWidth="1"/>
    <col min="182" max="183" width="10.5703125" style="30" customWidth="1"/>
    <col min="184" max="184" width="13.42578125" style="30" customWidth="1"/>
    <col min="185" max="185" width="10.5703125" style="30" customWidth="1"/>
    <col min="186" max="186" width="11.7109375" style="30" customWidth="1"/>
    <col min="187" max="187" width="14.5703125" style="30" customWidth="1"/>
    <col min="188" max="188" width="10.5703125" style="30" customWidth="1"/>
    <col min="189" max="189" width="7" style="30" customWidth="1"/>
    <col min="190" max="190" width="15.85546875" style="30" customWidth="1"/>
    <col min="191" max="191" width="30" style="30" customWidth="1"/>
    <col min="192" max="196" width="11.5703125" style="30" customWidth="1"/>
    <col min="197" max="197" width="12.85546875" style="30" customWidth="1"/>
    <col min="198" max="199" width="11.5703125" style="30" customWidth="1"/>
    <col min="200" max="200" width="14" style="30" customWidth="1"/>
    <col min="201" max="202" width="11.5703125" style="30" customWidth="1"/>
    <col min="203" max="203" width="14.85546875" style="30" customWidth="1"/>
    <col min="204" max="204" width="28.42578125" style="30" customWidth="1"/>
    <col min="205" max="206" width="11.5703125" style="30" customWidth="1"/>
    <col min="207" max="207" width="15.140625" style="30" customWidth="1"/>
    <col min="208" max="208" width="11.5703125" style="30" customWidth="1"/>
    <col min="209" max="209" width="15.28515625" style="30" customWidth="1"/>
    <col min="210" max="210" width="14.85546875" style="30" customWidth="1"/>
    <col min="211" max="212" width="11.5703125" style="30" customWidth="1"/>
    <col min="213" max="213" width="14.7109375" style="30" customWidth="1"/>
    <col min="214" max="214" width="28.28515625" style="30" customWidth="1"/>
    <col min="215" max="216" width="11.5703125" style="30" customWidth="1"/>
    <col min="217" max="217" width="15.7109375" style="30" customWidth="1"/>
    <col min="218" max="219" width="11.5703125" style="30" customWidth="1"/>
    <col min="220" max="220" width="17.28515625" style="30" customWidth="1"/>
    <col min="221" max="221" width="27.5703125" style="30" customWidth="1"/>
    <col min="222" max="223" width="11.5703125" style="30" customWidth="1"/>
    <col min="224" max="224" width="16.28515625" style="30" customWidth="1"/>
    <col min="225" max="226" width="11.5703125" style="30" customWidth="1"/>
    <col min="227" max="227" width="17.7109375" style="30" customWidth="1"/>
    <col min="228" max="228" width="15.140625" style="30" customWidth="1"/>
    <col min="229" max="229" width="11.5703125" style="30" customWidth="1"/>
    <col min="230" max="230" width="15.140625" style="30" customWidth="1"/>
    <col min="231" max="232" width="11.5703125" style="30" customWidth="1"/>
    <col min="233" max="233" width="14.28515625" style="30" customWidth="1"/>
    <col min="234" max="234" width="15.7109375" style="30" customWidth="1"/>
    <col min="235" max="236" width="11.5703125" style="30" customWidth="1"/>
    <col min="237" max="237" width="19.140625" style="30" customWidth="1"/>
    <col min="238" max="239" width="11.5703125" style="30" customWidth="1"/>
    <col min="240" max="240" width="17.140625" style="30" customWidth="1"/>
    <col min="241" max="242" width="11.5703125" style="30" customWidth="1"/>
    <col min="243" max="243" width="16.28515625" style="30" customWidth="1"/>
    <col min="244" max="245" width="11.5703125" style="30" customWidth="1"/>
    <col min="246" max="246" width="17.28515625" style="30" customWidth="1"/>
    <col min="247" max="248" width="11.5703125" style="30" customWidth="1"/>
    <col min="249" max="249" width="16.85546875" style="30" customWidth="1"/>
    <col min="250" max="251" width="11.5703125" style="30" customWidth="1"/>
    <col min="252" max="252" width="15.28515625" style="30" customWidth="1"/>
    <col min="253" max="254" width="11.5703125" style="30" customWidth="1"/>
    <col min="255" max="255" width="16.85546875" style="30" customWidth="1"/>
    <col min="256" max="16384" width="11.5703125" style="30"/>
  </cols>
  <sheetData>
    <row r="1" spans="1:255" ht="15.75" x14ac:dyDescent="0.25">
      <c r="A1" s="170" t="s">
        <v>394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1"/>
      <c r="M1" s="202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  <c r="AA1" s="200"/>
      <c r="AB1" s="200"/>
      <c r="AC1" s="200"/>
      <c r="AD1" s="200"/>
      <c r="AE1" s="200"/>
      <c r="AF1" s="200"/>
      <c r="AG1" s="200"/>
      <c r="AH1" s="200"/>
      <c r="AI1" s="200"/>
      <c r="AJ1" s="200"/>
      <c r="AK1" s="200"/>
      <c r="AL1" s="200"/>
      <c r="AM1" s="200"/>
      <c r="AN1" s="200"/>
      <c r="AO1" s="200"/>
      <c r="AP1" s="200"/>
      <c r="AQ1" s="200"/>
      <c r="AR1" s="200"/>
      <c r="AS1" s="200"/>
      <c r="AT1" s="200"/>
      <c r="AU1" s="202"/>
      <c r="AV1" s="202"/>
      <c r="AW1" s="202"/>
      <c r="AY1" s="203" t="s">
        <v>151</v>
      </c>
      <c r="HR1" s="203" t="s">
        <v>349</v>
      </c>
    </row>
    <row r="2" spans="1:255" x14ac:dyDescent="0.2">
      <c r="A2" s="56"/>
      <c r="B2" s="200"/>
      <c r="C2" s="200"/>
      <c r="D2" s="200"/>
      <c r="E2" s="200"/>
      <c r="F2" s="200"/>
      <c r="G2" s="206" t="s">
        <v>358</v>
      </c>
      <c r="H2" s="200"/>
      <c r="I2" s="32" t="s">
        <v>363</v>
      </c>
      <c r="J2" s="200"/>
      <c r="K2" s="200"/>
      <c r="L2" s="201"/>
      <c r="M2" s="202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0"/>
      <c r="AD2" s="200"/>
      <c r="AE2" s="200"/>
      <c r="AF2" s="200"/>
      <c r="AG2" s="200"/>
      <c r="AH2" s="200"/>
      <c r="AI2" s="200"/>
      <c r="AJ2" s="200"/>
      <c r="AK2" s="200"/>
      <c r="AL2" s="200"/>
      <c r="AM2" s="200"/>
      <c r="AN2" s="200"/>
      <c r="AO2" s="200"/>
      <c r="AP2" s="200"/>
      <c r="AQ2" s="200"/>
      <c r="AR2" s="200"/>
      <c r="AS2" s="200"/>
      <c r="AT2" s="200"/>
      <c r="AU2" s="202"/>
      <c r="AV2" s="202"/>
      <c r="AW2" s="202"/>
      <c r="AY2" s="203"/>
    </row>
    <row r="3" spans="1:255" x14ac:dyDescent="0.2">
      <c r="A3" s="56"/>
      <c r="B3" s="200"/>
      <c r="C3" s="200"/>
      <c r="D3" s="200"/>
      <c r="E3" s="200"/>
      <c r="F3" s="200"/>
      <c r="G3" s="200"/>
      <c r="H3" s="200"/>
      <c r="I3" s="200"/>
      <c r="J3" s="200"/>
      <c r="K3" s="200"/>
      <c r="L3" s="201"/>
      <c r="M3" s="202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0"/>
      <c r="AT3" s="200"/>
      <c r="AU3" s="202"/>
      <c r="AV3" s="202"/>
      <c r="AW3" s="202"/>
    </row>
    <row r="4" spans="1:255" x14ac:dyDescent="0.2">
      <c r="A4" s="207" t="s">
        <v>359</v>
      </c>
      <c r="B4" s="208" t="str">
        <f>IF(Intro!$B29&gt;0,Intro!$B29,"")</f>
        <v/>
      </c>
      <c r="C4" s="208" t="str">
        <f>IF(Intro!$B30&gt;0,Intro!$B30,"")</f>
        <v/>
      </c>
      <c r="D4" s="208" t="str">
        <f>IF(Intro!$B31&gt;0,Intro!$B31,"")</f>
        <v/>
      </c>
      <c r="E4" s="208" t="str">
        <f>IF(Intro!$B32&gt;0,Intro!$B32,"")</f>
        <v/>
      </c>
      <c r="F4" s="208" t="str">
        <f>IF(Intro!$B33&gt;0,Intro!$B33,"")</f>
        <v/>
      </c>
      <c r="G4" s="208" t="str">
        <f>IF(Intro!$B34&gt;0,Intro!$B34,"")</f>
        <v/>
      </c>
      <c r="H4" s="208" t="str">
        <f>IF(Intro!$B35&gt;0,Intro!$B35,"")</f>
        <v/>
      </c>
      <c r="I4" s="208" t="str">
        <f>IF(Intro!$B36&gt;0,Intro!$B36,"")</f>
        <v/>
      </c>
      <c r="J4" s="208" t="str">
        <f>IF(Intro!$B37&gt;0,Intro!$B37,"")</f>
        <v/>
      </c>
      <c r="K4" s="208" t="str">
        <f>IF(Intro!$B38&gt;0,Intro!$B38,"")</f>
        <v/>
      </c>
      <c r="L4" s="201"/>
      <c r="M4" s="202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200"/>
      <c r="AG4" s="200"/>
      <c r="AH4" s="200"/>
      <c r="AI4" s="200"/>
      <c r="AJ4" s="200"/>
      <c r="AK4" s="200"/>
      <c r="AL4" s="200"/>
      <c r="AM4" s="200"/>
      <c r="AN4" s="200"/>
      <c r="AO4" s="200"/>
      <c r="AP4" s="200"/>
      <c r="AQ4" s="200"/>
      <c r="AR4" s="200"/>
      <c r="AS4" s="200"/>
      <c r="AT4" s="200"/>
      <c r="AU4" s="202"/>
      <c r="AV4" s="202"/>
      <c r="AW4" s="202"/>
    </row>
    <row r="5" spans="1:255" s="216" customFormat="1" x14ac:dyDescent="0.2">
      <c r="A5" s="209"/>
      <c r="B5" s="208" t="s">
        <v>227</v>
      </c>
      <c r="C5" s="208" t="s">
        <v>228</v>
      </c>
      <c r="D5" s="208" t="s">
        <v>229</v>
      </c>
      <c r="E5" s="208" t="s">
        <v>230</v>
      </c>
      <c r="F5" s="208" t="s">
        <v>231</v>
      </c>
      <c r="G5" s="208" t="s">
        <v>232</v>
      </c>
      <c r="H5" s="208" t="s">
        <v>233</v>
      </c>
      <c r="I5" s="208" t="s">
        <v>234</v>
      </c>
      <c r="J5" s="208" t="s">
        <v>235</v>
      </c>
      <c r="K5" s="208" t="s">
        <v>236</v>
      </c>
      <c r="L5" s="210" t="s">
        <v>1</v>
      </c>
      <c r="M5" s="211" t="s">
        <v>149</v>
      </c>
      <c r="N5" s="212" t="s">
        <v>329</v>
      </c>
      <c r="O5" s="212" t="s">
        <v>330</v>
      </c>
      <c r="P5" s="212" t="s">
        <v>331</v>
      </c>
      <c r="Q5" s="212" t="s">
        <v>227</v>
      </c>
      <c r="R5" s="212" t="s">
        <v>239</v>
      </c>
      <c r="S5" s="212" t="s">
        <v>240</v>
      </c>
      <c r="T5" s="212" t="s">
        <v>228</v>
      </c>
      <c r="U5" s="212" t="s">
        <v>241</v>
      </c>
      <c r="V5" s="212" t="s">
        <v>242</v>
      </c>
      <c r="W5" s="212" t="s">
        <v>229</v>
      </c>
      <c r="X5" s="212" t="s">
        <v>243</v>
      </c>
      <c r="Y5" s="212" t="s">
        <v>244</v>
      </c>
      <c r="Z5" s="212" t="s">
        <v>230</v>
      </c>
      <c r="AA5" s="212" t="s">
        <v>245</v>
      </c>
      <c r="AB5" s="212" t="s">
        <v>246</v>
      </c>
      <c r="AC5" s="212" t="s">
        <v>231</v>
      </c>
      <c r="AD5" s="212" t="s">
        <v>247</v>
      </c>
      <c r="AE5" s="212" t="s">
        <v>248</v>
      </c>
      <c r="AF5" s="212" t="s">
        <v>232</v>
      </c>
      <c r="AG5" s="212" t="s">
        <v>249</v>
      </c>
      <c r="AH5" s="212" t="s">
        <v>250</v>
      </c>
      <c r="AI5" s="212" t="s">
        <v>233</v>
      </c>
      <c r="AJ5" s="212" t="s">
        <v>251</v>
      </c>
      <c r="AK5" s="212" t="s">
        <v>252</v>
      </c>
      <c r="AL5" s="212" t="s">
        <v>234</v>
      </c>
      <c r="AM5" s="212" t="s">
        <v>253</v>
      </c>
      <c r="AN5" s="212" t="s">
        <v>254</v>
      </c>
      <c r="AO5" s="212" t="s">
        <v>235</v>
      </c>
      <c r="AP5" s="212" t="s">
        <v>255</v>
      </c>
      <c r="AQ5" s="212" t="s">
        <v>256</v>
      </c>
      <c r="AR5" s="212" t="s">
        <v>236</v>
      </c>
      <c r="AS5" s="212" t="s">
        <v>257</v>
      </c>
      <c r="AT5" s="212" t="s">
        <v>258</v>
      </c>
      <c r="AU5" s="212"/>
      <c r="AV5" s="212"/>
      <c r="AW5" s="212"/>
      <c r="AX5" s="213"/>
      <c r="AY5" s="214" t="s">
        <v>227</v>
      </c>
      <c r="AZ5" s="214" t="s">
        <v>228</v>
      </c>
      <c r="BA5" s="214" t="s">
        <v>259</v>
      </c>
      <c r="BB5" s="215" t="s">
        <v>227</v>
      </c>
      <c r="BC5" s="215" t="s">
        <v>229</v>
      </c>
      <c r="BD5" s="215" t="s">
        <v>260</v>
      </c>
      <c r="BE5" s="215" t="s">
        <v>227</v>
      </c>
      <c r="BF5" s="215" t="s">
        <v>230</v>
      </c>
      <c r="BG5" s="215" t="s">
        <v>261</v>
      </c>
      <c r="BH5" s="215" t="s">
        <v>227</v>
      </c>
      <c r="BI5" s="215" t="s">
        <v>231</v>
      </c>
      <c r="BJ5" s="215" t="s">
        <v>262</v>
      </c>
      <c r="BK5" s="214" t="s">
        <v>227</v>
      </c>
      <c r="BL5" s="214" t="s">
        <v>232</v>
      </c>
      <c r="BM5" s="214" t="s">
        <v>263</v>
      </c>
      <c r="BN5" s="215" t="s">
        <v>227</v>
      </c>
      <c r="BO5" s="215" t="s">
        <v>233</v>
      </c>
      <c r="BP5" s="215" t="s">
        <v>264</v>
      </c>
      <c r="BQ5" s="215" t="s">
        <v>227</v>
      </c>
      <c r="BR5" s="215" t="s">
        <v>234</v>
      </c>
      <c r="BS5" s="215" t="s">
        <v>265</v>
      </c>
      <c r="BT5" s="215" t="s">
        <v>227</v>
      </c>
      <c r="BU5" s="215" t="s">
        <v>235</v>
      </c>
      <c r="BV5" s="215" t="s">
        <v>266</v>
      </c>
      <c r="BW5" s="215" t="s">
        <v>227</v>
      </c>
      <c r="BX5" s="215" t="s">
        <v>236</v>
      </c>
      <c r="BY5" s="215" t="s">
        <v>267</v>
      </c>
      <c r="BZ5" s="215" t="s">
        <v>227</v>
      </c>
      <c r="CA5" s="215" t="s">
        <v>165</v>
      </c>
      <c r="CB5" s="215" t="s">
        <v>268</v>
      </c>
      <c r="CD5" s="215" t="s">
        <v>228</v>
      </c>
      <c r="CE5" s="215" t="s">
        <v>229</v>
      </c>
      <c r="CF5" s="215" t="s">
        <v>269</v>
      </c>
      <c r="CG5" s="215" t="s">
        <v>228</v>
      </c>
      <c r="CH5" s="215" t="s">
        <v>230</v>
      </c>
      <c r="CI5" s="215" t="s">
        <v>270</v>
      </c>
      <c r="CJ5" s="215" t="s">
        <v>228</v>
      </c>
      <c r="CK5" s="215" t="s">
        <v>231</v>
      </c>
      <c r="CL5" s="215" t="s">
        <v>271</v>
      </c>
      <c r="CM5" s="215" t="s">
        <v>228</v>
      </c>
      <c r="CN5" s="214" t="s">
        <v>232</v>
      </c>
      <c r="CO5" s="214" t="s">
        <v>272</v>
      </c>
      <c r="CP5" s="215" t="s">
        <v>228</v>
      </c>
      <c r="CQ5" s="215" t="s">
        <v>233</v>
      </c>
      <c r="CR5" s="215" t="s">
        <v>273</v>
      </c>
      <c r="CS5" s="215" t="s">
        <v>228</v>
      </c>
      <c r="CT5" s="215" t="s">
        <v>234</v>
      </c>
      <c r="CU5" s="215" t="s">
        <v>274</v>
      </c>
      <c r="CV5" s="215" t="s">
        <v>228</v>
      </c>
      <c r="CW5" s="215" t="s">
        <v>235</v>
      </c>
      <c r="CX5" s="215" t="s">
        <v>275</v>
      </c>
      <c r="CY5" s="215" t="s">
        <v>228</v>
      </c>
      <c r="CZ5" s="215" t="s">
        <v>236</v>
      </c>
      <c r="DA5" s="215" t="s">
        <v>276</v>
      </c>
      <c r="DB5" s="215" t="s">
        <v>228</v>
      </c>
      <c r="DC5" s="215" t="s">
        <v>165</v>
      </c>
      <c r="DD5" s="215" t="s">
        <v>277</v>
      </c>
      <c r="DF5" s="215" t="s">
        <v>229</v>
      </c>
      <c r="DG5" s="215" t="s">
        <v>230</v>
      </c>
      <c r="DH5" s="215" t="s">
        <v>278</v>
      </c>
      <c r="DI5" s="215" t="s">
        <v>229</v>
      </c>
      <c r="DJ5" s="215" t="s">
        <v>231</v>
      </c>
      <c r="DK5" s="215" t="s">
        <v>279</v>
      </c>
      <c r="DL5" s="215" t="s">
        <v>229</v>
      </c>
      <c r="DM5" s="214" t="s">
        <v>232</v>
      </c>
      <c r="DN5" s="214" t="s">
        <v>280</v>
      </c>
      <c r="DO5" s="215" t="s">
        <v>229</v>
      </c>
      <c r="DP5" s="215" t="s">
        <v>233</v>
      </c>
      <c r="DQ5" s="215" t="s">
        <v>281</v>
      </c>
      <c r="DR5" s="215" t="s">
        <v>229</v>
      </c>
      <c r="DS5" s="215" t="s">
        <v>234</v>
      </c>
      <c r="DT5" s="215" t="s">
        <v>282</v>
      </c>
      <c r="DU5" s="215" t="s">
        <v>229</v>
      </c>
      <c r="DV5" s="215" t="s">
        <v>235</v>
      </c>
      <c r="DW5" s="215" t="s">
        <v>283</v>
      </c>
      <c r="DX5" s="215" t="s">
        <v>229</v>
      </c>
      <c r="DY5" s="215" t="s">
        <v>236</v>
      </c>
      <c r="DZ5" s="215" t="s">
        <v>284</v>
      </c>
      <c r="EA5" s="215" t="s">
        <v>229</v>
      </c>
      <c r="EB5" s="215" t="s">
        <v>165</v>
      </c>
      <c r="EC5" s="215" t="s">
        <v>285</v>
      </c>
      <c r="EE5" s="215" t="s">
        <v>230</v>
      </c>
      <c r="EF5" s="215" t="s">
        <v>231</v>
      </c>
      <c r="EG5" s="215" t="s">
        <v>286</v>
      </c>
      <c r="EH5" s="215" t="s">
        <v>230</v>
      </c>
      <c r="EI5" s="214" t="s">
        <v>232</v>
      </c>
      <c r="EJ5" s="214" t="s">
        <v>287</v>
      </c>
      <c r="EK5" s="215" t="s">
        <v>230</v>
      </c>
      <c r="EL5" s="215" t="s">
        <v>233</v>
      </c>
      <c r="EM5" s="215" t="s">
        <v>288</v>
      </c>
      <c r="EN5" s="215" t="s">
        <v>230</v>
      </c>
      <c r="EO5" s="215" t="s">
        <v>234</v>
      </c>
      <c r="EP5" s="215" t="s">
        <v>289</v>
      </c>
      <c r="EQ5" s="215" t="s">
        <v>230</v>
      </c>
      <c r="ER5" s="215" t="s">
        <v>235</v>
      </c>
      <c r="ES5" s="215" t="s">
        <v>290</v>
      </c>
      <c r="ET5" s="215" t="s">
        <v>230</v>
      </c>
      <c r="EU5" s="215" t="s">
        <v>236</v>
      </c>
      <c r="EV5" s="215" t="s">
        <v>291</v>
      </c>
      <c r="EW5" s="215" t="s">
        <v>230</v>
      </c>
      <c r="EX5" s="215" t="s">
        <v>165</v>
      </c>
      <c r="EY5" s="215" t="s">
        <v>292</v>
      </c>
      <c r="FA5" s="215" t="s">
        <v>231</v>
      </c>
      <c r="FB5" s="214" t="s">
        <v>232</v>
      </c>
      <c r="FC5" s="214" t="s">
        <v>293</v>
      </c>
      <c r="FD5" s="215" t="s">
        <v>231</v>
      </c>
      <c r="FE5" s="215" t="s">
        <v>233</v>
      </c>
      <c r="FF5" s="215" t="s">
        <v>294</v>
      </c>
      <c r="FG5" s="215" t="s">
        <v>231</v>
      </c>
      <c r="FH5" s="215" t="s">
        <v>234</v>
      </c>
      <c r="FI5" s="215" t="s">
        <v>295</v>
      </c>
      <c r="FJ5" s="215" t="s">
        <v>231</v>
      </c>
      <c r="FK5" s="215" t="s">
        <v>235</v>
      </c>
      <c r="FL5" s="215" t="s">
        <v>296</v>
      </c>
      <c r="FM5" s="215" t="s">
        <v>231</v>
      </c>
      <c r="FN5" s="215" t="s">
        <v>236</v>
      </c>
      <c r="FO5" s="215" t="s">
        <v>297</v>
      </c>
      <c r="FP5" s="215" t="s">
        <v>231</v>
      </c>
      <c r="FQ5" s="215" t="s">
        <v>165</v>
      </c>
      <c r="FR5" s="215" t="s">
        <v>298</v>
      </c>
      <c r="FT5" s="215" t="s">
        <v>232</v>
      </c>
      <c r="FU5" s="215" t="s">
        <v>233</v>
      </c>
      <c r="FV5" s="215" t="s">
        <v>299</v>
      </c>
      <c r="FW5" s="215" t="s">
        <v>232</v>
      </c>
      <c r="FX5" s="215" t="s">
        <v>234</v>
      </c>
      <c r="FY5" s="215" t="s">
        <v>300</v>
      </c>
      <c r="FZ5" s="215" t="s">
        <v>232</v>
      </c>
      <c r="GA5" s="215" t="s">
        <v>235</v>
      </c>
      <c r="GB5" s="215" t="s">
        <v>301</v>
      </c>
      <c r="GC5" s="215" t="s">
        <v>232</v>
      </c>
      <c r="GD5" s="215" t="s">
        <v>236</v>
      </c>
      <c r="GE5" s="215" t="s">
        <v>302</v>
      </c>
      <c r="GF5" s="215" t="s">
        <v>232</v>
      </c>
      <c r="GG5" s="215" t="s">
        <v>165</v>
      </c>
      <c r="GH5" s="215" t="s">
        <v>303</v>
      </c>
      <c r="GJ5" s="215" t="s">
        <v>233</v>
      </c>
      <c r="GK5" s="215" t="s">
        <v>234</v>
      </c>
      <c r="GL5" s="215" t="s">
        <v>304</v>
      </c>
      <c r="GM5" s="215" t="s">
        <v>233</v>
      </c>
      <c r="GN5" s="215" t="s">
        <v>235</v>
      </c>
      <c r="GO5" s="215" t="s">
        <v>305</v>
      </c>
      <c r="GP5" s="215" t="s">
        <v>233</v>
      </c>
      <c r="GQ5" s="215" t="s">
        <v>236</v>
      </c>
      <c r="GR5" s="215" t="s">
        <v>306</v>
      </c>
      <c r="GS5" s="215" t="s">
        <v>233</v>
      </c>
      <c r="GT5" s="215" t="s">
        <v>165</v>
      </c>
      <c r="GU5" s="215" t="s">
        <v>307</v>
      </c>
      <c r="GW5" s="215" t="s">
        <v>234</v>
      </c>
      <c r="GX5" s="215" t="s">
        <v>235</v>
      </c>
      <c r="GY5" s="215" t="s">
        <v>308</v>
      </c>
      <c r="GZ5" s="215" t="s">
        <v>234</v>
      </c>
      <c r="HA5" s="215" t="s">
        <v>236</v>
      </c>
      <c r="HB5" s="215" t="s">
        <v>309</v>
      </c>
      <c r="HC5" s="215" t="s">
        <v>234</v>
      </c>
      <c r="HD5" s="215" t="s">
        <v>165</v>
      </c>
      <c r="HE5" s="215" t="s">
        <v>310</v>
      </c>
      <c r="HG5" s="215" t="s">
        <v>235</v>
      </c>
      <c r="HH5" s="215" t="s">
        <v>236</v>
      </c>
      <c r="HI5" s="215" t="s">
        <v>311</v>
      </c>
      <c r="HJ5" s="215" t="s">
        <v>235</v>
      </c>
      <c r="HK5" s="215" t="s">
        <v>165</v>
      </c>
      <c r="HL5" s="215" t="s">
        <v>312</v>
      </c>
      <c r="HN5" s="215" t="s">
        <v>236</v>
      </c>
      <c r="HO5" s="215" t="s">
        <v>165</v>
      </c>
      <c r="HP5" s="215" t="s">
        <v>313</v>
      </c>
      <c r="HR5" s="215" t="s">
        <v>165</v>
      </c>
      <c r="HS5" s="215" t="s">
        <v>227</v>
      </c>
      <c r="HT5" s="215" t="s">
        <v>339</v>
      </c>
      <c r="HU5" s="215" t="s">
        <v>165</v>
      </c>
      <c r="HV5" s="215" t="s">
        <v>228</v>
      </c>
      <c r="HW5" s="215" t="s">
        <v>340</v>
      </c>
      <c r="HX5" s="215" t="s">
        <v>165</v>
      </c>
      <c r="HY5" s="215" t="s">
        <v>229</v>
      </c>
      <c r="HZ5" s="215" t="s">
        <v>341</v>
      </c>
      <c r="IA5" s="215" t="s">
        <v>165</v>
      </c>
      <c r="IB5" s="215" t="s">
        <v>230</v>
      </c>
      <c r="IC5" s="215" t="s">
        <v>342</v>
      </c>
      <c r="ID5" s="215" t="s">
        <v>165</v>
      </c>
      <c r="IE5" s="215" t="s">
        <v>231</v>
      </c>
      <c r="IF5" s="215" t="s">
        <v>343</v>
      </c>
      <c r="IG5" s="215" t="s">
        <v>165</v>
      </c>
      <c r="IH5" s="215" t="s">
        <v>232</v>
      </c>
      <c r="II5" s="215" t="s">
        <v>344</v>
      </c>
      <c r="IJ5" s="215" t="s">
        <v>165</v>
      </c>
      <c r="IK5" s="215" t="s">
        <v>233</v>
      </c>
      <c r="IL5" s="215" t="s">
        <v>345</v>
      </c>
      <c r="IM5" s="215" t="s">
        <v>165</v>
      </c>
      <c r="IN5" s="215" t="s">
        <v>234</v>
      </c>
      <c r="IO5" s="215" t="s">
        <v>346</v>
      </c>
      <c r="IP5" s="215" t="s">
        <v>165</v>
      </c>
      <c r="IQ5" s="215" t="s">
        <v>235</v>
      </c>
      <c r="IR5" s="215" t="s">
        <v>347</v>
      </c>
      <c r="IS5" s="215" t="s">
        <v>165</v>
      </c>
      <c r="IT5" s="215" t="s">
        <v>236</v>
      </c>
      <c r="IU5" s="215" t="s">
        <v>348</v>
      </c>
    </row>
    <row r="6" spans="1:255" x14ac:dyDescent="0.2">
      <c r="A6" s="200" t="s">
        <v>9</v>
      </c>
      <c r="B6" s="175"/>
      <c r="C6" s="176"/>
      <c r="D6" s="177"/>
      <c r="E6" s="177"/>
      <c r="F6" s="194"/>
      <c r="G6" s="195"/>
      <c r="H6" s="194"/>
      <c r="I6" s="194"/>
      <c r="J6" s="194"/>
      <c r="K6" s="196"/>
      <c r="L6" s="217" t="str">
        <f>IF(COUNT(B6:K6)&gt;0,COUNT(B6:K6),"")</f>
        <v/>
      </c>
      <c r="M6" s="218">
        <f>'HKG vs. BK'!M6</f>
        <v>21.595572654283895</v>
      </c>
      <c r="N6" s="218" t="str">
        <f>'HKG vs. BK'!N6</f>
        <v>±0,6</v>
      </c>
      <c r="O6" s="218" t="str">
        <f>'HKG vs. BK'!O6</f>
        <v>±2,81</v>
      </c>
      <c r="P6" s="218" t="str">
        <f>'HKG vs. BK'!P6</f>
        <v>±0,42</v>
      </c>
      <c r="Q6" s="219" t="str">
        <f>IF((L6&gt;0)*AND(B$109&gt;0),B6,"")</f>
        <v/>
      </c>
      <c r="R6" s="220" t="str">
        <f t="shared" ref="R6:R47" si="0">IF(($L6&gt;0)*AND(B$109&gt;0),(Q6-B$110),"")</f>
        <v/>
      </c>
      <c r="S6" s="220" t="str">
        <f t="shared" ref="S6:S47" si="1">IF(($L6&gt;0)*AND(B$109&gt;0),(Q6/B$110-1)*100,"")</f>
        <v/>
      </c>
      <c r="T6" s="219" t="str">
        <f t="shared" ref="T6:T47" si="2">IF((L6&gt;0)*AND(C$109&gt;0),C6,"")</f>
        <v/>
      </c>
      <c r="U6" s="220" t="str">
        <f t="shared" ref="U6:U47" si="3">IF((L6&gt;0)*AND(C$109&gt;0),(T6-C$110),"")</f>
        <v/>
      </c>
      <c r="V6" s="220" t="str">
        <f t="shared" ref="V6:V47" si="4">IF((L6&gt;0)*AND(C$109&gt;0),(T6/C$110-1)*100,"")</f>
        <v/>
      </c>
      <c r="W6" s="219" t="str">
        <f t="shared" ref="W6:W47" si="5">IF((L6&gt;0)*AND(D$109&gt;0),D6,"")</f>
        <v/>
      </c>
      <c r="X6" s="220" t="str">
        <f t="shared" ref="X6:X47" si="6">IF((L6&gt;0)*AND(D$109&gt;0),(W6-D$110),"")</f>
        <v/>
      </c>
      <c r="Y6" s="220" t="str">
        <f t="shared" ref="Y6:Y47" si="7">IF((L6&gt;0)*AND(D$109&gt;0),(W6/D$110-1)*100,"")</f>
        <v/>
      </c>
      <c r="Z6" s="219" t="str">
        <f t="shared" ref="Z6:Z47" si="8">IF((L6&gt;0)*AND(E$109&gt;0),E6,"")</f>
        <v/>
      </c>
      <c r="AA6" s="220" t="str">
        <f t="shared" ref="AA6:AA47" si="9">IF((L6&gt;0)*AND(E$109&gt;0),(Z6-E$110),"")</f>
        <v/>
      </c>
      <c r="AB6" s="220" t="str">
        <f t="shared" ref="AB6:AB47" si="10">IF((L6&gt;0)*AND(E$109&gt;0),(Z6/E$110-1)*100,"")</f>
        <v/>
      </c>
      <c r="AC6" s="219" t="str">
        <f t="shared" ref="AC6:AC47" si="11">IF((L6&gt;0)*AND(F$109&gt;0),F6,"")</f>
        <v/>
      </c>
      <c r="AD6" s="220" t="str">
        <f t="shared" ref="AD6:AD47" si="12">IF((L6&gt;0)*AND(F$109&gt;0),(AC6-F$110),"")</f>
        <v/>
      </c>
      <c r="AE6" s="220" t="str">
        <f t="shared" ref="AE6:AE47" si="13">IF((L6&gt;0)*AND(F$109&gt;0),(AC6/F$110-1)*100,"")</f>
        <v/>
      </c>
      <c r="AF6" s="219" t="str">
        <f t="shared" ref="AF6:AF47" si="14">IF((L6&gt;0)*AND(G$109&gt;0),G6,"")</f>
        <v/>
      </c>
      <c r="AG6" s="220" t="str">
        <f t="shared" ref="AG6:AG47" si="15">IF(($L6&gt;0)*AND(G$109&gt;0),(AF6-G$110),"")</f>
        <v/>
      </c>
      <c r="AH6" s="220" t="str">
        <f t="shared" ref="AH6:AH47" si="16">IF(($L6&gt;0)*AND(G$109&gt;0),(AF6/G$110-1)*100,"")</f>
        <v/>
      </c>
      <c r="AI6" s="219" t="str">
        <f t="shared" ref="AI6:AI47" si="17">IF((L6&gt;0)*AND(H$109&gt;0),H6,"")</f>
        <v/>
      </c>
      <c r="AJ6" s="220" t="str">
        <f t="shared" ref="AJ6:AJ47" si="18">IF(($L6&gt;0)*AND(H$109&gt;0),(AI6-H$110),"")</f>
        <v/>
      </c>
      <c r="AK6" s="220" t="str">
        <f t="shared" ref="AK6:AK47" si="19">IF(($L6&gt;0)*AND(H$109&gt;0),(AI6/H$110-1)*100,"")</f>
        <v/>
      </c>
      <c r="AL6" s="219" t="str">
        <f t="shared" ref="AL6:AL47" si="20">IF((L6&gt;0)*AND(I$109&gt;0),I6,"")</f>
        <v/>
      </c>
      <c r="AM6" s="220" t="str">
        <f t="shared" ref="AM6:AM47" si="21">IF(($L6&gt;0)*AND(I$109&gt;0),(AL6-I$110),"")</f>
        <v/>
      </c>
      <c r="AN6" s="220" t="str">
        <f t="shared" ref="AN6:AN47" si="22">IF(($L6&gt;0)*AND(I$109&gt;0),(AL6/I$110-1)*100,"")</f>
        <v/>
      </c>
      <c r="AO6" s="219" t="str">
        <f t="shared" ref="AO6:AO47" si="23">IF((L6&gt;0)*AND(J$109&gt;0),J6,"")</f>
        <v/>
      </c>
      <c r="AP6" s="220" t="str">
        <f t="shared" ref="AP6:AP47" si="24">IF(($L6&gt;0)*AND(J$109&gt;0),(AO6-J$110),"")</f>
        <v/>
      </c>
      <c r="AQ6" s="220" t="str">
        <f t="shared" ref="AQ6:AQ47" si="25">IF(($L6&gt;0)*AND(J$109&gt;0),(AO6/J$110-1)*100,"")</f>
        <v/>
      </c>
      <c r="AR6" s="219" t="str">
        <f t="shared" ref="AR6:AR47" si="26">IF((L6&gt;0)*AND(K$109&gt;0),K6,"")</f>
        <v/>
      </c>
      <c r="AS6" s="220" t="str">
        <f t="shared" ref="AS6:AS47" si="27">IF(($L6&gt;0)*AND(K$109&gt;0),(AR6-K$110),"")</f>
        <v/>
      </c>
      <c r="AT6" s="220" t="str">
        <f t="shared" ref="AT6:AT47" si="28">IF(($L6&gt;0)*AND(K$109&gt;0),(AR6/K$110-1)*100,"")</f>
        <v/>
      </c>
      <c r="AU6" s="221"/>
      <c r="AV6" s="221"/>
      <c r="AW6" s="221"/>
      <c r="AY6" s="218" t="str">
        <f>IF(AND(NOT($B6=""),NOT(C6="")),$B6,"")</f>
        <v/>
      </c>
      <c r="AZ6" s="218" t="str">
        <f>IF(AND(NOT($C6=""),NOT(B6="")),$C6,"")</f>
        <v/>
      </c>
      <c r="BA6" s="218" t="str">
        <f>IF(AND(NOT(AY6=""),NOT(AZ6="")),AY6*AZ6,"")</f>
        <v/>
      </c>
      <c r="BB6" s="218" t="str">
        <f>IF(AND(NOT($B6=""),NOT(D6="")),$B6,"")</f>
        <v/>
      </c>
      <c r="BC6" s="218" t="str">
        <f>IF(AND(NOT($D6=""),NOT(B6="")),$D6,"")</f>
        <v/>
      </c>
      <c r="BD6" s="218" t="str">
        <f>IF(AND(NOT(BB6=""),NOT(BC6="")),BB6*BC6,"")</f>
        <v/>
      </c>
      <c r="BE6" s="218" t="str">
        <f>IF(AND(NOT($B6=""),NOT(E6="")),$B6,"")</f>
        <v/>
      </c>
      <c r="BF6" s="218" t="str">
        <f>IF(AND(NOT($E6=""),NOT(B6="")),$E6,"")</f>
        <v/>
      </c>
      <c r="BG6" s="218" t="str">
        <f>IF(AND(NOT(BE6=""),NOT(BF6="")),BE6*BF6,"")</f>
        <v/>
      </c>
      <c r="BH6" s="218" t="str">
        <f>IF(AND(NOT($B6=""),NOT(F6="")),$B6,"")</f>
        <v/>
      </c>
      <c r="BI6" s="218" t="str">
        <f>IF(AND(NOT($F6=""),NOT(B6="")),$F6,"")</f>
        <v/>
      </c>
      <c r="BJ6" s="218" t="str">
        <f>IF(AND(NOT(BH6=""),NOT(BI6="")),BH6*BI6,"")</f>
        <v/>
      </c>
      <c r="BK6" s="218" t="str">
        <f>IF(AND(NOT($B6=""),NOT(G6="")),$B6,"")</f>
        <v/>
      </c>
      <c r="BL6" s="218" t="str">
        <f>IF(AND(NOT($G6=""),NOT(B6="")),$G6,"")</f>
        <v/>
      </c>
      <c r="BM6" s="218" t="str">
        <f>IF(AND(NOT(BK6=""),NOT(BL6="")),BK6*BL6,"")</f>
        <v/>
      </c>
      <c r="BN6" s="218" t="str">
        <f>IF(AND(NOT($B6=""),NOT(H6="")),$B6,"")</f>
        <v/>
      </c>
      <c r="BO6" s="218" t="str">
        <f>IF(AND(NOT($H6=""),NOT(B6="")),$H6,"")</f>
        <v/>
      </c>
      <c r="BP6" s="218" t="str">
        <f>IF(AND(NOT(BN6=""),NOT(BO6="")),BN6*BO6,"")</f>
        <v/>
      </c>
      <c r="BQ6" s="218" t="str">
        <f>IF(AND(NOT($B6=""),NOT(I6="")),$B6,"")</f>
        <v/>
      </c>
      <c r="BR6" s="218" t="str">
        <f>IF(AND(NOT($I6=""),NOT(B6="")),$I6,"")</f>
        <v/>
      </c>
      <c r="BS6" s="218" t="str">
        <f>IF(AND(NOT(BQ6=""),NOT(BR6="")),BQ6*BR6,"")</f>
        <v/>
      </c>
      <c r="BT6" s="218" t="str">
        <f>IF(AND(NOT($B6=""),NOT(J6="")),$B6,"")</f>
        <v/>
      </c>
      <c r="BU6" s="218" t="str">
        <f>IF(AND(NOT($J6=""),NOT(B6="")),$J6,"")</f>
        <v/>
      </c>
      <c r="BV6" s="218" t="str">
        <f>IF(AND(NOT(BT6=""),NOT(BU6="")),BT6*BU6,"")</f>
        <v/>
      </c>
      <c r="BW6" s="218" t="str">
        <f>IF(AND(NOT($B6=""),NOT(K6="")),$B6,"")</f>
        <v/>
      </c>
      <c r="BX6" s="218" t="str">
        <f>IF(AND(NOT($K6=""),NOT(B6="")),$K6,"")</f>
        <v/>
      </c>
      <c r="BY6" s="218" t="str">
        <f>IF(AND(NOT(BW6=""),NOT(BX6="")),BW6*BX6,"")</f>
        <v/>
      </c>
      <c r="BZ6" s="218" t="str">
        <f>IF(AND(NOT($B6=""),NOT(M6="")),$B6,"")</f>
        <v/>
      </c>
      <c r="CA6" s="218" t="str">
        <f>IF(AND(NOT($M6=""),NOT(B6="")),$M6,"")</f>
        <v/>
      </c>
      <c r="CB6" s="218" t="str">
        <f>IF(AND(NOT(BZ6=""),NOT(CA6="")),BZ6*CA6,"")</f>
        <v/>
      </c>
      <c r="CD6" s="218" t="str">
        <f>IF(AND(NOT($C6=""),NOT(D6="")),$C6,"")</f>
        <v/>
      </c>
      <c r="CE6" s="218" t="str">
        <f>IF(AND(NOT($D6=""),NOT(C6="")),$D6,"")</f>
        <v/>
      </c>
      <c r="CF6" s="218" t="str">
        <f>IF(AND(NOT(CD6=""),NOT(CE6="")),CD6*CE6,"")</f>
        <v/>
      </c>
      <c r="CG6" s="218" t="str">
        <f>IF(AND(NOT($C6=""),NOT(E6="")),$C6,"")</f>
        <v/>
      </c>
      <c r="CH6" s="218" t="str">
        <f>IF(AND(NOT($E6=""),NOT(C6="")),$E6,"")</f>
        <v/>
      </c>
      <c r="CI6" s="218" t="str">
        <f>IF(AND(NOT(CG6=""),NOT(CH6="")),CG6*CH6,"")</f>
        <v/>
      </c>
      <c r="CJ6" s="218" t="str">
        <f>IF(AND(NOT($C6=""),NOT(F6="")),$C6,"")</f>
        <v/>
      </c>
      <c r="CK6" s="218" t="str">
        <f>IF(AND(NOT($F6=""),NOT(C6="")),$F6,"")</f>
        <v/>
      </c>
      <c r="CL6" s="218" t="str">
        <f>IF(AND(NOT(CJ6=""),NOT(CK6="")),CJ6*CK6,"")</f>
        <v/>
      </c>
      <c r="CM6" s="218" t="str">
        <f>IF(AND(NOT($C6=""),NOT(G6="")),$C6,"")</f>
        <v/>
      </c>
      <c r="CN6" s="218" t="str">
        <f>IF(AND(NOT($G6=""),NOT(C6="")),$G6,"")</f>
        <v/>
      </c>
      <c r="CO6" s="218" t="str">
        <f>IF(AND(NOT(CM6=""),NOT(CN6="")),CM6*CN6,"")</f>
        <v/>
      </c>
      <c r="CP6" s="218" t="str">
        <f>IF(AND(NOT($C6=""),NOT(H6="")),$C6,"")</f>
        <v/>
      </c>
      <c r="CQ6" s="218" t="str">
        <f>IF(AND(NOT($H6=""),NOT(C6="")),$H6,"")</f>
        <v/>
      </c>
      <c r="CR6" s="218" t="str">
        <f>IF(AND(NOT(CP6=""),NOT(CQ6="")),CP6*CQ6,"")</f>
        <v/>
      </c>
      <c r="CS6" s="218" t="str">
        <f>IF(AND(NOT($C6=""),NOT(I6="")),$C6,"")</f>
        <v/>
      </c>
      <c r="CT6" s="218" t="str">
        <f>IF(AND(NOT($I6=""),NOT(C6="")),$I6,"")</f>
        <v/>
      </c>
      <c r="CU6" s="218" t="str">
        <f>IF(AND(NOT(CS6=""),NOT(CT6="")),CS6*CT6,"")</f>
        <v/>
      </c>
      <c r="CV6" s="218" t="str">
        <f>IF(AND(NOT($C6=""),NOT(J6="")),$C6,"")</f>
        <v/>
      </c>
      <c r="CW6" s="218" t="str">
        <f>IF(AND(NOT($J6=""),NOT(C6="")),$J6,"")</f>
        <v/>
      </c>
      <c r="CX6" s="218" t="str">
        <f>IF(AND(NOT(CV6=""),NOT(CW6="")),CV6*CW6,"")</f>
        <v/>
      </c>
      <c r="CY6" s="218" t="str">
        <f>IF(AND(NOT($C6=""),NOT(K6="")),$C6,"")</f>
        <v/>
      </c>
      <c r="CZ6" s="218" t="str">
        <f>IF(AND(NOT($K6=""),NOT(C6="")),$K6,"")</f>
        <v/>
      </c>
      <c r="DA6" s="218" t="str">
        <f>IF(AND(NOT(CY6=""),NOT(CZ6="")),CY6*CZ6,"")</f>
        <v/>
      </c>
      <c r="DB6" s="218" t="str">
        <f>IF(AND(NOT($C6=""),NOT($M6="")),$C6,"")</f>
        <v/>
      </c>
      <c r="DC6" s="218" t="str">
        <f>IF(AND(NOT($M6=""),NOT(C6="")),$M6,"")</f>
        <v/>
      </c>
      <c r="DD6" s="218" t="str">
        <f>IF(AND(NOT(DB6=""),NOT(DC6="")),DB6*DC6,"")</f>
        <v/>
      </c>
      <c r="DF6" s="218" t="str">
        <f>IF(AND(NOT($D6=""),NOT(E6="")),$D6,"")</f>
        <v/>
      </c>
      <c r="DG6" s="218" t="str">
        <f>IF(AND(NOT($E6=""),NOT(D6="")),$E6,"")</f>
        <v/>
      </c>
      <c r="DH6" s="218" t="str">
        <f>IF(AND(NOT(DF6=""),NOT(DG6="")),DF6*DG6,"")</f>
        <v/>
      </c>
      <c r="DI6" s="218" t="str">
        <f>IF(AND(NOT($D6=""),NOT(F6="")),$D6,"")</f>
        <v/>
      </c>
      <c r="DJ6" s="218" t="str">
        <f>IF(AND(NOT($F6=""),NOT(E6="")),$F6,"")</f>
        <v/>
      </c>
      <c r="DK6" s="218" t="str">
        <f>IF(AND(NOT(DI6=""),NOT(DJ6="")),DI6*DJ6,"")</f>
        <v/>
      </c>
      <c r="DL6" s="218" t="str">
        <f>IF(AND(NOT($D6=""),NOT(G6="")),$D6,"")</f>
        <v/>
      </c>
      <c r="DM6" s="218" t="str">
        <f>IF(AND(NOT($G6=""),NOT(D6="")),$G6,"")</f>
        <v/>
      </c>
      <c r="DN6" s="218" t="str">
        <f>IF(AND(NOT(DL6=""),NOT(DM6="")),DL6*DM6,"")</f>
        <v/>
      </c>
      <c r="DO6" s="218" t="str">
        <f>IF(AND(NOT($D6=""),NOT(H6="")),$D6,"")</f>
        <v/>
      </c>
      <c r="DP6" s="218" t="str">
        <f>IF(AND(NOT($H6=""),NOT(D6="")),$H6,"")</f>
        <v/>
      </c>
      <c r="DQ6" s="218" t="str">
        <f>IF(AND(NOT(DO6=""),NOT(DP6="")),DO6*DP6,"")</f>
        <v/>
      </c>
      <c r="DR6" s="218" t="str">
        <f>IF(AND(NOT($D6=""),NOT(I6="")),$D6,"")</f>
        <v/>
      </c>
      <c r="DS6" s="218" t="str">
        <f>IF(AND(NOT($I6=""),NOT(D6="")),$I6,"")</f>
        <v/>
      </c>
      <c r="DT6" s="218" t="str">
        <f>IF(AND(NOT(DR6=""),NOT(DS6="")),DR6*DS6,"")</f>
        <v/>
      </c>
      <c r="DU6" s="218" t="str">
        <f>IF(AND(NOT($D6=""),NOT(J6="")),$D6,"")</f>
        <v/>
      </c>
      <c r="DV6" s="218" t="str">
        <f>IF(AND(NOT($J6=""),NOT(D6="")),$J6,"")</f>
        <v/>
      </c>
      <c r="DW6" s="218" t="str">
        <f>IF(AND(NOT(DU6=""),NOT(DV6="")),DU6*DV6,"")</f>
        <v/>
      </c>
      <c r="DX6" s="218" t="str">
        <f>IF(AND(NOT($D6=""),NOT(K6="")),$D6,"")</f>
        <v/>
      </c>
      <c r="DY6" s="218" t="str">
        <f>IF(AND(NOT($K6=""),NOT(D6="")),$K6,"")</f>
        <v/>
      </c>
      <c r="DZ6" s="218" t="str">
        <f>IF(AND(NOT(DX6=""),NOT(DY6="")),DX6*DY6,"")</f>
        <v/>
      </c>
      <c r="EA6" s="218" t="str">
        <f>IF(AND(NOT($D6=""),NOT(M6="")),$D6,"")</f>
        <v/>
      </c>
      <c r="EB6" s="218" t="str">
        <f>IF(AND(NOT($M6=""),NOT(D6="")),$M6,"")</f>
        <v/>
      </c>
      <c r="EC6" s="218" t="str">
        <f>IF(AND(NOT(EA6=""),NOT(EB6="")),EA6*EB6,"")</f>
        <v/>
      </c>
      <c r="EE6" s="218" t="str">
        <f>IF(AND(NOT($E6=""),NOT(F6="")),$E6,"")</f>
        <v/>
      </c>
      <c r="EF6" s="218" t="str">
        <f>IF(AND(NOT($F6=""),NOT(E6="")),$F6,"")</f>
        <v/>
      </c>
      <c r="EG6" s="218" t="str">
        <f>IF(AND(NOT(EE6=""),NOT(EF6="")),EE6*EF6,"")</f>
        <v/>
      </c>
      <c r="EH6" s="218" t="str">
        <f>IF(AND(NOT($E6=""),NOT(G6="")),$E6,"")</f>
        <v/>
      </c>
      <c r="EI6" s="218" t="str">
        <f>IF(AND(NOT($G6=""),NOT(E6="")),$G6,"")</f>
        <v/>
      </c>
      <c r="EJ6" s="218" t="str">
        <f>IF(AND(NOT(EH6=""),NOT(EI6="")),EH6*EI6,"")</f>
        <v/>
      </c>
      <c r="EK6" s="218" t="str">
        <f>IF(AND(NOT($E6=""),NOT(H6="")),$E6,"")</f>
        <v/>
      </c>
      <c r="EL6" s="218" t="str">
        <f>IF(AND(NOT($H6=""),NOT(E6="")),$H6,"")</f>
        <v/>
      </c>
      <c r="EM6" s="218" t="str">
        <f>IF(AND(NOT(EK6=""),NOT(EL6="")),EK6*EL6,"")</f>
        <v/>
      </c>
      <c r="EN6" s="218" t="str">
        <f>IF(AND(NOT($E6=""),NOT(I6="")),$E6,"")</f>
        <v/>
      </c>
      <c r="EO6" s="218" t="str">
        <f>IF(AND(NOT($I6=""),NOT(E6="")),$I6,"")</f>
        <v/>
      </c>
      <c r="EP6" s="218" t="str">
        <f>IF(AND(NOT(EN6=""),NOT(EO6="")),EN6*EO6,"")</f>
        <v/>
      </c>
      <c r="EQ6" s="218" t="str">
        <f>IF(AND(NOT($E6=""),NOT(J6="")),$E6,"")</f>
        <v/>
      </c>
      <c r="ER6" s="218" t="str">
        <f>IF(AND(NOT($J6=""),NOT(E6="")),$J6,"")</f>
        <v/>
      </c>
      <c r="ES6" s="218" t="str">
        <f>IF(AND(NOT(EQ6=""),NOT(ER6="")),EQ6*ER6,"")</f>
        <v/>
      </c>
      <c r="ET6" s="218" t="str">
        <f>IF(AND(NOT($E6=""),NOT(K6="")),$E6,"")</f>
        <v/>
      </c>
      <c r="EU6" s="218" t="str">
        <f>IF(AND(NOT($K6=""),NOT(E6="")),$K6,"")</f>
        <v/>
      </c>
      <c r="EV6" s="218" t="str">
        <f>IF(AND(NOT(ET6=""),NOT(EU6="")),ET6*EU6,"")</f>
        <v/>
      </c>
      <c r="EW6" s="218" t="str">
        <f>IF(AND(NOT($E6=""),NOT(M6="")),$E6,"")</f>
        <v/>
      </c>
      <c r="EX6" s="218" t="str">
        <f>IF(AND(NOT($M6=""),NOT(E6="")),$M6,"")</f>
        <v/>
      </c>
      <c r="EY6" s="218" t="str">
        <f>IF(AND(NOT(EW6=""),NOT(EX6="")),EW6*EX6,"")</f>
        <v/>
      </c>
      <c r="FA6" s="218" t="str">
        <f>IF(AND(NOT($F6=""),NOT(G6="")),$F6,"")</f>
        <v/>
      </c>
      <c r="FB6" s="218" t="str">
        <f>IF(AND(NOT($G6=""),NOT(F6="")),$G6,"")</f>
        <v/>
      </c>
      <c r="FC6" s="218" t="str">
        <f>IF(AND(NOT(FA6=""),NOT(FB6="")),FA6*FB6,"")</f>
        <v/>
      </c>
      <c r="FD6" s="218" t="str">
        <f>IF(AND(NOT($F6=""),NOT(H6="")),$F6,"")</f>
        <v/>
      </c>
      <c r="FE6" s="218" t="str">
        <f>IF(AND(NOT($H6=""),NOT(F6="")),$H6,"")</f>
        <v/>
      </c>
      <c r="FF6" s="218" t="str">
        <f>IF(AND(NOT(FD6=""),NOT(FE6="")),FD6*FE6,"")</f>
        <v/>
      </c>
      <c r="FG6" s="218" t="str">
        <f>IF(AND(NOT($F6=""),NOT(I6="")),$F6,"")</f>
        <v/>
      </c>
      <c r="FH6" s="218" t="str">
        <f>IF(AND(NOT($I6=""),NOT(F6="")),$I6,"")</f>
        <v/>
      </c>
      <c r="FI6" s="218" t="str">
        <f>IF(AND(NOT(FG6=""),NOT(FH6="")),FG6*FH6,"")</f>
        <v/>
      </c>
      <c r="FJ6" s="218" t="str">
        <f>IF(AND(NOT($F6=""),NOT(J6="")),$F6,"")</f>
        <v/>
      </c>
      <c r="FK6" s="218" t="str">
        <f>IF(AND(NOT($J6=""),NOT(F6="")),$J6,"")</f>
        <v/>
      </c>
      <c r="FL6" s="218" t="str">
        <f>IF(AND(NOT(FJ6=""),NOT(FK6="")),FJ6*FK6,"")</f>
        <v/>
      </c>
      <c r="FM6" s="218" t="str">
        <f>IF(AND(NOT($F6=""),NOT(K6="")),$F6,"")</f>
        <v/>
      </c>
      <c r="FN6" s="218" t="str">
        <f>IF(AND(NOT($K6=""),NOT(F6="")),$K6,"")</f>
        <v/>
      </c>
      <c r="FO6" s="218" t="str">
        <f>IF(AND(NOT(FM6=""),NOT(FN6="")),FM6*FN6,"")</f>
        <v/>
      </c>
      <c r="FP6" s="218" t="str">
        <f>IF(AND(NOT($F6=""),NOT(M6="")),$F6,"")</f>
        <v/>
      </c>
      <c r="FQ6" s="218" t="str">
        <f>IF(AND(NOT($M6=""),NOT(F6="")),$M6,"")</f>
        <v/>
      </c>
      <c r="FR6" s="218" t="str">
        <f>IF(AND(NOT(FP6=""),NOT(FQ6="")),FP6*FQ6,"")</f>
        <v/>
      </c>
      <c r="FT6" s="218" t="str">
        <f>IF(AND(NOT($G6=""),NOT(H6="")),$G6,"")</f>
        <v/>
      </c>
      <c r="FU6" s="218" t="str">
        <f>IF(AND(NOT($H6=""),NOT(G6="")),$H6,"")</f>
        <v/>
      </c>
      <c r="FV6" s="218" t="str">
        <f>IF(AND(NOT(FT6=""),NOT(FU6="")),FT6*FU6,"")</f>
        <v/>
      </c>
      <c r="FW6" s="218" t="str">
        <f>IF(AND(NOT($G6=""),NOT(I6="")),$G6,"")</f>
        <v/>
      </c>
      <c r="FX6" s="218" t="str">
        <f>IF(AND(NOT($I6=""),NOT(G6="")),$I6,"")</f>
        <v/>
      </c>
      <c r="FY6" s="218" t="str">
        <f>IF(AND(NOT(FW6=""),NOT(FX6="")),FW6*FX6,"")</f>
        <v/>
      </c>
      <c r="FZ6" s="218" t="str">
        <f>IF(AND(NOT($G6=""),NOT(J6="")),$G6,"")</f>
        <v/>
      </c>
      <c r="GA6" s="218" t="str">
        <f>IF(AND(NOT($J6=""),NOT(G6="")),$J6,"")</f>
        <v/>
      </c>
      <c r="GB6" s="218" t="str">
        <f>IF(AND(NOT(FZ6=""),NOT(GA6="")),FZ6*GA6,"")</f>
        <v/>
      </c>
      <c r="GC6" s="218" t="str">
        <f>IF(AND(NOT($G6=""),NOT(K6="")),$G6,"")</f>
        <v/>
      </c>
      <c r="GD6" s="218" t="str">
        <f>IF(AND(NOT($K6=""),NOT(G6="")),$K6,"")</f>
        <v/>
      </c>
      <c r="GE6" s="218" t="str">
        <f>IF(AND(NOT(GC6=""),NOT(GD6="")),GC6*GD6,"")</f>
        <v/>
      </c>
      <c r="GF6" s="218" t="str">
        <f>IF(AND(NOT($G6=""),NOT(M6="")),$G6,"")</f>
        <v/>
      </c>
      <c r="GG6" s="218" t="str">
        <f>IF(AND(NOT($M6=""),NOT(G6="")),$M6,"")</f>
        <v/>
      </c>
      <c r="GH6" s="218" t="str">
        <f>IF(AND(NOT(GF6=""),NOT(GG6="")),GF6*GG6,"")</f>
        <v/>
      </c>
      <c r="GJ6" s="218" t="str">
        <f>IF(AND(NOT($H6=""),NOT(I6="")),$H6,"")</f>
        <v/>
      </c>
      <c r="GK6" s="218" t="str">
        <f>IF(AND(NOT($I6=""),NOT(H6="")),$I6,"")</f>
        <v/>
      </c>
      <c r="GL6" s="218" t="str">
        <f>IF(AND(NOT(GJ6=""),NOT(GK6="")),GJ6*GK6,"")</f>
        <v/>
      </c>
      <c r="GM6" s="218" t="str">
        <f>IF(AND(NOT($H6=""),NOT(J6="")),$H6,"")</f>
        <v/>
      </c>
      <c r="GN6" s="218" t="str">
        <f>IF(AND(NOT($J6=""),NOT(H6="")),$J6,"")</f>
        <v/>
      </c>
      <c r="GO6" s="218" t="str">
        <f>IF(AND(NOT(GM6=""),NOT(GN6="")),GM6*GN6,"")</f>
        <v/>
      </c>
      <c r="GP6" s="218" t="str">
        <f>IF(AND(NOT($H6=""),NOT(K6="")),$H6,"")</f>
        <v/>
      </c>
      <c r="GQ6" s="218" t="str">
        <f>IF(AND(NOT($K6=""),NOT(H6="")),$K6,"")</f>
        <v/>
      </c>
      <c r="GR6" s="218" t="str">
        <f>IF(AND(NOT(GP6=""),NOT(GQ6="")),GP6*GQ6,"")</f>
        <v/>
      </c>
      <c r="GS6" s="218" t="str">
        <f>IF(AND(NOT($H6=""),NOT(M6="")),$H6,"")</f>
        <v/>
      </c>
      <c r="GT6" s="218" t="str">
        <f>IF(AND(NOT($M6=""),NOT(H6="")),$M6,"")</f>
        <v/>
      </c>
      <c r="GU6" s="218" t="str">
        <f>IF(AND(NOT(GS6=""),NOT(GT6="")),GS6*GT6,"")</f>
        <v/>
      </c>
      <c r="GW6" s="218" t="str">
        <f>IF(AND(NOT($I6=""),NOT(J6="")),$I6,"")</f>
        <v/>
      </c>
      <c r="GX6" s="218" t="str">
        <f>IF(AND(NOT($J6=""),NOT(I6="")),$J6,"")</f>
        <v/>
      </c>
      <c r="GY6" s="218" t="str">
        <f>IF(AND(NOT(GW6=""),NOT(GX6="")),GW6*GX6,"")</f>
        <v/>
      </c>
      <c r="GZ6" s="218" t="str">
        <f>IF(AND(NOT($I6=""),NOT(K6="")),$I6,"")</f>
        <v/>
      </c>
      <c r="HA6" s="218" t="str">
        <f>IF(AND(NOT($K6=""),NOT(I6="")),$K6,"")</f>
        <v/>
      </c>
      <c r="HB6" s="218" t="str">
        <f>IF(AND(NOT(GZ6=""),NOT(HA6="")),GZ6*HA6,"")</f>
        <v/>
      </c>
      <c r="HC6" s="218" t="str">
        <f>IF(AND(NOT($I6=""),NOT(M6="")),$I6,"")</f>
        <v/>
      </c>
      <c r="HD6" s="218" t="str">
        <f>IF(AND(NOT($M6=""),NOT(I6="")),$M6,"")</f>
        <v/>
      </c>
      <c r="HE6" s="218" t="str">
        <f>IF(AND(NOT(HC6=""),NOT(HD6="")),HC6*HD6,"")</f>
        <v/>
      </c>
      <c r="HG6" s="218" t="str">
        <f>IF(AND(NOT($J6=""),NOT(K6="")),$J6,"")</f>
        <v/>
      </c>
      <c r="HH6" s="218" t="str">
        <f>IF(AND(NOT($K6=""),NOT(J6="")),$K6,"")</f>
        <v/>
      </c>
      <c r="HI6" s="218" t="str">
        <f>IF(AND(NOT(HG6=""),NOT(HH6="")),HG6*HH6,"")</f>
        <v/>
      </c>
      <c r="HJ6" s="218" t="str">
        <f>IF(AND(NOT($J6=""),NOT(M6="")),$J6,"")</f>
        <v/>
      </c>
      <c r="HK6" s="218" t="str">
        <f>IF(AND(NOT($M6=""),NOT(J6="")),$M6,"")</f>
        <v/>
      </c>
      <c r="HL6" s="218" t="str">
        <f>IF(AND(NOT(HJ6=""),NOT(HK6="")),HJ6*HK6,"")</f>
        <v/>
      </c>
      <c r="HN6" s="218" t="str">
        <f>IF(AND(NOT($K6=""),NOT(M6="")),$K6,"")</f>
        <v/>
      </c>
      <c r="HO6" s="218" t="str">
        <f>IF(AND(NOT($M6=""),NOT(K6="")),$M6,"")</f>
        <v/>
      </c>
      <c r="HP6" s="218" t="str">
        <f>IF(AND(NOT(HN6=""),NOT(HO6="")),HN6*HO6,"")</f>
        <v/>
      </c>
      <c r="HR6" s="218" t="str">
        <f>IF(AND(NOT($M6=""),NOT(B6="")),$M6,"")</f>
        <v/>
      </c>
      <c r="HS6" s="218" t="str">
        <f>IF(AND(NOT($B6=""),NOT($M6="")),$B6,"")</f>
        <v/>
      </c>
      <c r="HT6" s="218" t="str">
        <f>IF(AND(NOT(HR6=""),NOT(HS6="")),HR6*HS6,"")</f>
        <v/>
      </c>
      <c r="HU6" s="218" t="str">
        <f>IF(AND(NOT($M6=""),NOT($C6="")),$M6,"")</f>
        <v/>
      </c>
      <c r="HV6" s="218" t="str">
        <f>IF(AND(NOT($C6=""),NOT(M6="")),$C6,"")</f>
        <v/>
      </c>
      <c r="HW6" s="218" t="str">
        <f>IF(AND(NOT(HU6=""),NOT(HV6="")),HU6*HV6,"")</f>
        <v/>
      </c>
      <c r="HX6" s="218" t="str">
        <f>IF(AND(NOT($M6=""),NOT(D6="")),$M6,"")</f>
        <v/>
      </c>
      <c r="HY6" s="218" t="str">
        <f>IF(AND(NOT($D6=""),NOT($M6="")),$D6,"")</f>
        <v/>
      </c>
      <c r="HZ6" s="218" t="str">
        <f>IF(AND(NOT(HX6=""),NOT(HY6="")),HX6*HY6,"")</f>
        <v/>
      </c>
      <c r="IA6" s="218" t="str">
        <f>IF(AND(NOT($M6=""),NOT(E6="")),$M6,"")</f>
        <v/>
      </c>
      <c r="IB6" s="218" t="str">
        <f>IF(AND(NOT($E6=""),NOT($M6="")),$E6,"")</f>
        <v/>
      </c>
      <c r="IC6" s="218" t="str">
        <f>IF(AND(NOT(IA6=""),NOT(IB6="")),IA6*IB6,"")</f>
        <v/>
      </c>
      <c r="ID6" s="218" t="str">
        <f>IF(AND(NOT($M6=""),NOT(F6="")),$M6,"")</f>
        <v/>
      </c>
      <c r="IE6" s="218" t="str">
        <f>IF(AND(NOT($F6=""),NOT($M6="")),$F6,"")</f>
        <v/>
      </c>
      <c r="IF6" s="218" t="str">
        <f>IF(AND(NOT(ID6=""),NOT(IE6="")),ID6*IE6,"")</f>
        <v/>
      </c>
      <c r="IG6" s="218" t="str">
        <f>IF(AND(NOT($M6=""),NOT(G6="")),$M6,"")</f>
        <v/>
      </c>
      <c r="IH6" s="218" t="str">
        <f>IF(AND(NOT($G6=""),NOT($M6="")),$G6,"")</f>
        <v/>
      </c>
      <c r="II6" s="218" t="str">
        <f>IF(AND(NOT(IG6=""),NOT(IH6="")),IG6*IH6,"")</f>
        <v/>
      </c>
      <c r="IJ6" s="218" t="str">
        <f>IF(AND(NOT($M6=""),NOT(H6="")),$M6,"")</f>
        <v/>
      </c>
      <c r="IK6" s="218" t="str">
        <f>IF(AND(NOT($H6=""),NOT($M6="")),$H6,"")</f>
        <v/>
      </c>
      <c r="IL6" s="218" t="str">
        <f>IF(AND(NOT(IJ6=""),NOT(IK6="")),IJ6*IK6,"")</f>
        <v/>
      </c>
      <c r="IM6" s="218" t="str">
        <f>IF(AND(NOT($M6=""),NOT(I6="")),$M6,"")</f>
        <v/>
      </c>
      <c r="IN6" s="218" t="str">
        <f>IF(AND(NOT($I6=""),NOT($M6="")),$I6,"")</f>
        <v/>
      </c>
      <c r="IO6" s="218" t="str">
        <f>IF(AND(NOT(IM6=""),NOT(IN6="")),IM6*IN6,"")</f>
        <v/>
      </c>
      <c r="IP6" s="218" t="str">
        <f>IF(AND(NOT($M6=""),NOT(J6="")),$M6,"")</f>
        <v/>
      </c>
      <c r="IQ6" s="218" t="str">
        <f>IF(AND(NOT($J6=""),NOT($M6="")),$J6,"")</f>
        <v/>
      </c>
      <c r="IR6" s="218" t="str">
        <f>IF(AND(NOT(IP6=""),NOT(IQ6="")),IP6*IQ6,"")</f>
        <v/>
      </c>
      <c r="IS6" s="218" t="str">
        <f>IF(AND(NOT($M6=""),NOT(K6="")),$M6,"")</f>
        <v/>
      </c>
      <c r="IT6" s="218" t="str">
        <f>IF(AND(NOT($K6=""),NOT($M6="")),$K6,"")</f>
        <v/>
      </c>
      <c r="IU6" s="218" t="str">
        <f>IF(AND(NOT(IS6=""),NOT(IT6="")),IS6*IT6,"")</f>
        <v/>
      </c>
    </row>
    <row r="7" spans="1:255" x14ac:dyDescent="0.2">
      <c r="A7" s="200" t="s">
        <v>10</v>
      </c>
      <c r="B7" s="178"/>
      <c r="C7" s="179"/>
      <c r="D7" s="180"/>
      <c r="E7" s="180"/>
      <c r="F7" s="197"/>
      <c r="G7" s="198"/>
      <c r="H7" s="197"/>
      <c r="I7" s="197"/>
      <c r="J7" s="197"/>
      <c r="K7" s="185"/>
      <c r="L7" s="217" t="str">
        <f t="shared" ref="L7:L70" si="29">IF(COUNT(B7:K7)&gt;0,COUNT(B7:K7),"")</f>
        <v/>
      </c>
      <c r="M7" s="218">
        <f>'HKG vs. BK'!M7</f>
        <v>22.311930515127468</v>
      </c>
      <c r="N7" s="218" t="str">
        <f>'HKG vs. BK'!N7</f>
        <v>±1,24</v>
      </c>
      <c r="O7" s="218" t="str">
        <f>'HKG vs. BK'!O7</f>
        <v>±5,62</v>
      </c>
      <c r="P7" s="218" t="str">
        <f>'HKG vs. BK'!P7</f>
        <v>±1,15</v>
      </c>
      <c r="Q7" s="219" t="str">
        <f>IF((L7&gt;0)*AND(B$109&gt;0),B7,"")</f>
        <v/>
      </c>
      <c r="R7" s="220" t="str">
        <f t="shared" si="0"/>
        <v/>
      </c>
      <c r="S7" s="220" t="str">
        <f t="shared" si="1"/>
        <v/>
      </c>
      <c r="T7" s="219" t="str">
        <f t="shared" si="2"/>
        <v/>
      </c>
      <c r="U7" s="220" t="str">
        <f t="shared" si="3"/>
        <v/>
      </c>
      <c r="V7" s="220" t="str">
        <f t="shared" si="4"/>
        <v/>
      </c>
      <c r="W7" s="219" t="str">
        <f t="shared" si="5"/>
        <v/>
      </c>
      <c r="X7" s="220" t="str">
        <f t="shared" si="6"/>
        <v/>
      </c>
      <c r="Y7" s="220" t="str">
        <f t="shared" si="7"/>
        <v/>
      </c>
      <c r="Z7" s="219" t="str">
        <f t="shared" si="8"/>
        <v/>
      </c>
      <c r="AA7" s="220" t="str">
        <f t="shared" si="9"/>
        <v/>
      </c>
      <c r="AB7" s="220" t="str">
        <f t="shared" si="10"/>
        <v/>
      </c>
      <c r="AC7" s="219" t="str">
        <f t="shared" si="11"/>
        <v/>
      </c>
      <c r="AD7" s="220" t="str">
        <f t="shared" si="12"/>
        <v/>
      </c>
      <c r="AE7" s="220" t="str">
        <f t="shared" si="13"/>
        <v/>
      </c>
      <c r="AF7" s="219" t="str">
        <f t="shared" si="14"/>
        <v/>
      </c>
      <c r="AG7" s="220" t="str">
        <f t="shared" si="15"/>
        <v/>
      </c>
      <c r="AH7" s="220" t="str">
        <f t="shared" si="16"/>
        <v/>
      </c>
      <c r="AI7" s="219" t="str">
        <f t="shared" si="17"/>
        <v/>
      </c>
      <c r="AJ7" s="220" t="str">
        <f t="shared" si="18"/>
        <v/>
      </c>
      <c r="AK7" s="220" t="str">
        <f t="shared" si="19"/>
        <v/>
      </c>
      <c r="AL7" s="219" t="str">
        <f t="shared" si="20"/>
        <v/>
      </c>
      <c r="AM7" s="220" t="str">
        <f t="shared" si="21"/>
        <v/>
      </c>
      <c r="AN7" s="220" t="str">
        <f t="shared" si="22"/>
        <v/>
      </c>
      <c r="AO7" s="219" t="str">
        <f t="shared" si="23"/>
        <v/>
      </c>
      <c r="AP7" s="220" t="str">
        <f t="shared" si="24"/>
        <v/>
      </c>
      <c r="AQ7" s="220" t="str">
        <f t="shared" si="25"/>
        <v/>
      </c>
      <c r="AR7" s="219" t="str">
        <f t="shared" si="26"/>
        <v/>
      </c>
      <c r="AS7" s="220" t="str">
        <f t="shared" si="27"/>
        <v/>
      </c>
      <c r="AT7" s="220" t="str">
        <f t="shared" si="28"/>
        <v/>
      </c>
      <c r="AU7" s="221"/>
      <c r="AV7" s="221"/>
      <c r="AW7" s="221"/>
      <c r="AY7" s="218" t="str">
        <f>IF(AND(NOT($B7=""),NOT(C7="")),$B7,"")</f>
        <v/>
      </c>
      <c r="AZ7" s="218" t="str">
        <f>IF(AND(NOT($C7=""),NOT(B7="")),$C7,"")</f>
        <v/>
      </c>
      <c r="BA7" s="218" t="str">
        <f t="shared" ref="BA7:BA47" si="30">IF(AND(NOT(AY7=""),NOT(AZ7="")),AY7*AZ7,"")</f>
        <v/>
      </c>
      <c r="BB7" s="218" t="str">
        <f>IF(AND(NOT($B7=""),NOT(D7="")),$B7,"")</f>
        <v/>
      </c>
      <c r="BC7" s="218" t="str">
        <f>IF(AND(NOT($D7=""),NOT(B7="")),$D7,"")</f>
        <v/>
      </c>
      <c r="BD7" s="218" t="str">
        <f t="shared" ref="BD7:BD47" si="31">IF(AND(NOT(BB7=""),NOT(BC7="")),BB7*BC7,"")</f>
        <v/>
      </c>
      <c r="BE7" s="218" t="str">
        <f>IF(AND(NOT($B7=""),NOT(E7="")),$B7,"")</f>
        <v/>
      </c>
      <c r="BF7" s="218" t="str">
        <f>IF(AND(NOT($E7=""),NOT(B7="")),$E7,"")</f>
        <v/>
      </c>
      <c r="BG7" s="218" t="str">
        <f t="shared" ref="BG7:BG47" si="32">IF(AND(NOT(BE7=""),NOT(BF7="")),BE7*BF7,"")</f>
        <v/>
      </c>
      <c r="BH7" s="218" t="str">
        <f>IF(AND(NOT($B7=""),NOT(F7="")),$B7,"")</f>
        <v/>
      </c>
      <c r="BI7" s="218" t="str">
        <f>IF(AND(NOT($F7=""),NOT(B7="")),$F7,"")</f>
        <v/>
      </c>
      <c r="BJ7" s="218" t="str">
        <f t="shared" ref="BJ7:BJ47" si="33">IF(AND(NOT(BH7=""),NOT(BI7="")),BH7*BI7,"")</f>
        <v/>
      </c>
      <c r="BK7" s="218" t="str">
        <f>IF(AND(NOT($B7=""),NOT(G7="")),$B7,"")</f>
        <v/>
      </c>
      <c r="BL7" s="218" t="str">
        <f>IF(AND(NOT($G7=""),NOT(B7="")),$G7,"")</f>
        <v/>
      </c>
      <c r="BM7" s="218" t="str">
        <f t="shared" ref="BM7:BM47" si="34">IF(AND(NOT(BK7=""),NOT(BL7="")),BK7*BL7,"")</f>
        <v/>
      </c>
      <c r="BN7" s="218" t="str">
        <f>IF(AND(NOT($B7=""),NOT(H7="")),$B7,"")</f>
        <v/>
      </c>
      <c r="BO7" s="218" t="str">
        <f>IF(AND(NOT($H7=""),NOT(B7="")),$H7,"")</f>
        <v/>
      </c>
      <c r="BP7" s="218" t="str">
        <f t="shared" ref="BP7:BP47" si="35">IF(AND(NOT(BN7=""),NOT(BO7="")),BN7*BO7,"")</f>
        <v/>
      </c>
      <c r="BQ7" s="218" t="str">
        <f>IF(AND(NOT($B7=""),NOT(I7="")),$B7,"")</f>
        <v/>
      </c>
      <c r="BR7" s="218" t="str">
        <f>IF(AND(NOT($I7=""),NOT(B7="")),$I7,"")</f>
        <v/>
      </c>
      <c r="BS7" s="218" t="str">
        <f t="shared" ref="BS7:BS47" si="36">IF(AND(NOT(BQ7=""),NOT(BR7="")),BQ7*BR7,"")</f>
        <v/>
      </c>
      <c r="BT7" s="218" t="str">
        <f>IF(AND(NOT($B7=""),NOT(J7="")),$B7,"")</f>
        <v/>
      </c>
      <c r="BU7" s="218" t="str">
        <f>IF(AND(NOT($J7=""),NOT(B7="")),$J7,"")</f>
        <v/>
      </c>
      <c r="BV7" s="218" t="str">
        <f t="shared" ref="BV7:BV47" si="37">IF(AND(NOT(BT7=""),NOT(BU7="")),BT7*BU7,"")</f>
        <v/>
      </c>
      <c r="BW7" s="218" t="str">
        <f>IF(AND(NOT($B7=""),NOT(K7="")),$B7,"")</f>
        <v/>
      </c>
      <c r="BX7" s="218" t="str">
        <f>IF(AND(NOT($K7=""),NOT(B7="")),$K7,"")</f>
        <v/>
      </c>
      <c r="BY7" s="218" t="str">
        <f t="shared" ref="BY7:BY47" si="38">IF(AND(NOT(BW7=""),NOT(BX7="")),BW7*BX7,"")</f>
        <v/>
      </c>
      <c r="BZ7" s="218" t="str">
        <f>IF(AND(NOT($B7=""),NOT(M7="")),$B7,"")</f>
        <v/>
      </c>
      <c r="CA7" s="218" t="str">
        <f>IF(AND(NOT($M7=""),NOT(B7="")),$M7,"")</f>
        <v/>
      </c>
      <c r="CB7" s="218" t="str">
        <f t="shared" ref="CB7:CB47" si="39">IF(AND(NOT(BZ7=""),NOT(CA7="")),BZ7*CA7,"")</f>
        <v/>
      </c>
      <c r="CD7" s="218" t="str">
        <f t="shared" ref="CD7:CD47" si="40">IF(AND(NOT($C7=""),NOT(D7="")),$C7,"")</f>
        <v/>
      </c>
      <c r="CE7" s="218" t="str">
        <f t="shared" ref="CE7:CE47" si="41">IF(AND(NOT($D7=""),NOT(C7="")),$D7,"")</f>
        <v/>
      </c>
      <c r="CF7" s="218" t="str">
        <f t="shared" ref="CF7:CF47" si="42">IF(AND(NOT(CD7=""),NOT(CE7="")),CD7*CE7,"")</f>
        <v/>
      </c>
      <c r="CG7" s="218" t="str">
        <f t="shared" ref="CG7:CG47" si="43">IF(AND(NOT($C7=""),NOT(E7="")),$C7,"")</f>
        <v/>
      </c>
      <c r="CH7" s="218" t="str">
        <f t="shared" ref="CH7:CH47" si="44">IF(AND(NOT($E7=""),NOT(C7="")),$E7,"")</f>
        <v/>
      </c>
      <c r="CI7" s="218" t="str">
        <f t="shared" ref="CI7:CI47" si="45">IF(AND(NOT(CG7=""),NOT(CH7="")),CG7*CH7,"")</f>
        <v/>
      </c>
      <c r="CJ7" s="218" t="str">
        <f t="shared" ref="CJ7:CJ47" si="46">IF(AND(NOT($C7=""),NOT(F7="")),$C7,"")</f>
        <v/>
      </c>
      <c r="CK7" s="218" t="str">
        <f t="shared" ref="CK7:CK47" si="47">IF(AND(NOT($F7=""),NOT(C7="")),$F7,"")</f>
        <v/>
      </c>
      <c r="CL7" s="218" t="str">
        <f t="shared" ref="CL7:CL47" si="48">IF(AND(NOT(CJ7=""),NOT(CK7="")),CJ7*CK7,"")</f>
        <v/>
      </c>
      <c r="CM7" s="218" t="str">
        <f t="shared" ref="CM7:CM47" si="49">IF(AND(NOT($C7=""),NOT(G7="")),$C7,"")</f>
        <v/>
      </c>
      <c r="CN7" s="218" t="str">
        <f t="shared" ref="CN7:CN47" si="50">IF(AND(NOT($G7=""),NOT(C7="")),$G7,"")</f>
        <v/>
      </c>
      <c r="CO7" s="218" t="str">
        <f t="shared" ref="CO7:CO47" si="51">IF(AND(NOT(CM7=""),NOT(CN7="")),CM7*CN7,"")</f>
        <v/>
      </c>
      <c r="CP7" s="218" t="str">
        <f t="shared" ref="CP7:CP47" si="52">IF(AND(NOT($C7=""),NOT(H7="")),$C7,"")</f>
        <v/>
      </c>
      <c r="CQ7" s="218" t="str">
        <f t="shared" ref="CQ7:CQ47" si="53">IF(AND(NOT($H7=""),NOT(C7="")),$H7,"")</f>
        <v/>
      </c>
      <c r="CR7" s="218" t="str">
        <f t="shared" ref="CR7:CR47" si="54">IF(AND(NOT(CP7=""),NOT(CQ7="")),CP7*CQ7,"")</f>
        <v/>
      </c>
      <c r="CS7" s="218" t="str">
        <f t="shared" ref="CS7:CS47" si="55">IF(AND(NOT($C7=""),NOT(I7="")),$C7,"")</f>
        <v/>
      </c>
      <c r="CT7" s="218" t="str">
        <f t="shared" ref="CT7:CT47" si="56">IF(AND(NOT($I7=""),NOT(C7="")),$I7,"")</f>
        <v/>
      </c>
      <c r="CU7" s="218" t="str">
        <f t="shared" ref="CU7:CU47" si="57">IF(AND(NOT(CS7=""),NOT(CT7="")),CS7*CT7,"")</f>
        <v/>
      </c>
      <c r="CV7" s="218" t="str">
        <f t="shared" ref="CV7:CV47" si="58">IF(AND(NOT($C7=""),NOT(J7="")),$C7,"")</f>
        <v/>
      </c>
      <c r="CW7" s="218" t="str">
        <f t="shared" ref="CW7:CW47" si="59">IF(AND(NOT($J7=""),NOT(C7="")),$J7,"")</f>
        <v/>
      </c>
      <c r="CX7" s="218" t="str">
        <f t="shared" ref="CX7:CX47" si="60">IF(AND(NOT(CV7=""),NOT(CW7="")),CV7*CW7,"")</f>
        <v/>
      </c>
      <c r="CY7" s="218" t="str">
        <f t="shared" ref="CY7:CY47" si="61">IF(AND(NOT($C7=""),NOT(K7="")),$C7,"")</f>
        <v/>
      </c>
      <c r="CZ7" s="218" t="str">
        <f t="shared" ref="CZ7:CZ47" si="62">IF(AND(NOT($K7=""),NOT(C7="")),$K7,"")</f>
        <v/>
      </c>
      <c r="DA7" s="218" t="str">
        <f t="shared" ref="DA7:DA47" si="63">IF(AND(NOT(CY7=""),NOT(CZ7="")),CY7*CZ7,"")</f>
        <v/>
      </c>
      <c r="DB7" s="218" t="str">
        <f t="shared" ref="DB7:DB70" si="64">IF(AND(NOT($C7=""),NOT($M7="")),$C7,"")</f>
        <v/>
      </c>
      <c r="DC7" s="218" t="str">
        <f t="shared" ref="DC7:DC47" si="65">IF(AND(NOT($M7=""),NOT(C7="")),$M7,"")</f>
        <v/>
      </c>
      <c r="DD7" s="218" t="str">
        <f t="shared" ref="DD7:DD47" si="66">IF(AND(NOT(DB7=""),NOT(DC7="")),DB7*DC7,"")</f>
        <v/>
      </c>
      <c r="DF7" s="218" t="str">
        <f t="shared" ref="DF7:DF47" si="67">IF(AND(NOT($D7=""),NOT(E7="")),$D7,"")</f>
        <v/>
      </c>
      <c r="DG7" s="218" t="str">
        <f t="shared" ref="DG7:DG47" si="68">IF(AND(NOT($E7=""),NOT(D7="")),$E7,"")</f>
        <v/>
      </c>
      <c r="DH7" s="218" t="str">
        <f t="shared" ref="DH7:DH47" si="69">IF(AND(NOT(DF7=""),NOT(DG7="")),DF7*DG7,"")</f>
        <v/>
      </c>
      <c r="DI7" s="218" t="str">
        <f t="shared" ref="DI7:DI47" si="70">IF(AND(NOT($D7=""),NOT(F7="")),$D7,"")</f>
        <v/>
      </c>
      <c r="DJ7" s="218" t="str">
        <f t="shared" ref="DJ7:DJ47" si="71">IF(AND(NOT($F7=""),NOT(E7="")),$F7,"")</f>
        <v/>
      </c>
      <c r="DK7" s="218" t="str">
        <f t="shared" ref="DK7:DK47" si="72">IF(AND(NOT(DI7=""),NOT(DJ7="")),DI7*DJ7,"")</f>
        <v/>
      </c>
      <c r="DL7" s="218" t="str">
        <f t="shared" ref="DL7:DL47" si="73">IF(AND(NOT($D7=""),NOT(G7="")),$D7,"")</f>
        <v/>
      </c>
      <c r="DM7" s="218" t="str">
        <f t="shared" ref="DM7:DM47" si="74">IF(AND(NOT($G7=""),NOT(D7="")),$G7,"")</f>
        <v/>
      </c>
      <c r="DN7" s="218" t="str">
        <f t="shared" ref="DN7:DN47" si="75">IF(AND(NOT(DL7=""),NOT(DM7="")),DL7*DM7,"")</f>
        <v/>
      </c>
      <c r="DO7" s="218" t="str">
        <f t="shared" ref="DO7:DO47" si="76">IF(AND(NOT($D7=""),NOT(H7="")),$D7,"")</f>
        <v/>
      </c>
      <c r="DP7" s="218" t="str">
        <f t="shared" ref="DP7:DP47" si="77">IF(AND(NOT($H7=""),NOT(D7="")),$H7,"")</f>
        <v/>
      </c>
      <c r="DQ7" s="218" t="str">
        <f t="shared" ref="DQ7:DQ47" si="78">IF(AND(NOT(DO7=""),NOT(DP7="")),DO7*DP7,"")</f>
        <v/>
      </c>
      <c r="DR7" s="218" t="str">
        <f t="shared" ref="DR7:DR47" si="79">IF(AND(NOT($D7=""),NOT(I7="")),$D7,"")</f>
        <v/>
      </c>
      <c r="DS7" s="218" t="str">
        <f t="shared" ref="DS7:DS47" si="80">IF(AND(NOT($I7=""),NOT(D7="")),$I7,"")</f>
        <v/>
      </c>
      <c r="DT7" s="218" t="str">
        <f t="shared" ref="DT7:DT47" si="81">IF(AND(NOT(DR7=""),NOT(DS7="")),DR7*DS7,"")</f>
        <v/>
      </c>
      <c r="DU7" s="218" t="str">
        <f t="shared" ref="DU7:DU47" si="82">IF(AND(NOT($D7=""),NOT(J7="")),$D7,"")</f>
        <v/>
      </c>
      <c r="DV7" s="218" t="str">
        <f t="shared" ref="DV7:DV47" si="83">IF(AND(NOT($J7=""),NOT(D7="")),$J7,"")</f>
        <v/>
      </c>
      <c r="DW7" s="218" t="str">
        <f t="shared" ref="DW7:DW47" si="84">IF(AND(NOT(DU7=""),NOT(DV7="")),DU7*DV7,"")</f>
        <v/>
      </c>
      <c r="DX7" s="218" t="str">
        <f t="shared" ref="DX7:DX47" si="85">IF(AND(NOT($D7=""),NOT(K7="")),$D7,"")</f>
        <v/>
      </c>
      <c r="DY7" s="218" t="str">
        <f t="shared" ref="DY7:DY47" si="86">IF(AND(NOT($K7=""),NOT(D7="")),$K7,"")</f>
        <v/>
      </c>
      <c r="DZ7" s="218" t="str">
        <f t="shared" ref="DZ7:DZ47" si="87">IF(AND(NOT(DX7=""),NOT(DY7="")),DX7*DY7,"")</f>
        <v/>
      </c>
      <c r="EA7" s="218" t="str">
        <f t="shared" ref="EA7:EA47" si="88">IF(AND(NOT($D7=""),NOT(M7="")),$D7,"")</f>
        <v/>
      </c>
      <c r="EB7" s="218" t="str">
        <f t="shared" ref="EB7:EB47" si="89">IF(AND(NOT($M7=""),NOT(D7="")),$M7,"")</f>
        <v/>
      </c>
      <c r="EC7" s="218" t="str">
        <f t="shared" ref="EC7:EC47" si="90">IF(AND(NOT(EA7=""),NOT(EB7="")),EA7*EB7,"")</f>
        <v/>
      </c>
      <c r="EE7" s="218" t="str">
        <f t="shared" ref="EE7:EE47" si="91">IF(AND(NOT($E7=""),NOT(F7="")),$E7,"")</f>
        <v/>
      </c>
      <c r="EF7" s="218" t="str">
        <f t="shared" ref="EF7:EF47" si="92">IF(AND(NOT($F7=""),NOT(E7="")),$F7,"")</f>
        <v/>
      </c>
      <c r="EG7" s="218" t="str">
        <f t="shared" ref="EG7:EG47" si="93">IF(AND(NOT(EE7=""),NOT(EF7="")),EE7*EF7,"")</f>
        <v/>
      </c>
      <c r="EH7" s="218" t="str">
        <f t="shared" ref="EH7:EH47" si="94">IF(AND(NOT($E7=""),NOT(G7="")),$E7,"")</f>
        <v/>
      </c>
      <c r="EI7" s="218" t="str">
        <f t="shared" ref="EI7:EI47" si="95">IF(AND(NOT($G7=""),NOT(E7="")),$G7,"")</f>
        <v/>
      </c>
      <c r="EJ7" s="218" t="str">
        <f t="shared" ref="EJ7:EJ47" si="96">IF(AND(NOT(EH7=""),NOT(EI7="")),EH7*EI7,"")</f>
        <v/>
      </c>
      <c r="EK7" s="218" t="str">
        <f t="shared" ref="EK7:EK47" si="97">IF(AND(NOT($E7=""),NOT(H7="")),$E7,"")</f>
        <v/>
      </c>
      <c r="EL7" s="218" t="str">
        <f t="shared" ref="EL7:EL47" si="98">IF(AND(NOT($H7=""),NOT(E7="")),$H7,"")</f>
        <v/>
      </c>
      <c r="EM7" s="218" t="str">
        <f t="shared" ref="EM7:EM47" si="99">IF(AND(NOT(EK7=""),NOT(EL7="")),EK7*EL7,"")</f>
        <v/>
      </c>
      <c r="EN7" s="218" t="str">
        <f t="shared" ref="EN7:EN47" si="100">IF(AND(NOT($E7=""),NOT(I7="")),$E7,"")</f>
        <v/>
      </c>
      <c r="EO7" s="218" t="str">
        <f t="shared" ref="EO7:EO47" si="101">IF(AND(NOT($I7=""),NOT(E7="")),$I7,"")</f>
        <v/>
      </c>
      <c r="EP7" s="218" t="str">
        <f t="shared" ref="EP7:EP47" si="102">IF(AND(NOT(EN7=""),NOT(EO7="")),EN7*EO7,"")</f>
        <v/>
      </c>
      <c r="EQ7" s="218" t="str">
        <f t="shared" ref="EQ7:EQ47" si="103">IF(AND(NOT($E7=""),NOT(J7="")),$E7,"")</f>
        <v/>
      </c>
      <c r="ER7" s="218" t="str">
        <f t="shared" ref="ER7:ER47" si="104">IF(AND(NOT($J7=""),NOT(E7="")),$J7,"")</f>
        <v/>
      </c>
      <c r="ES7" s="218" t="str">
        <f t="shared" ref="ES7:ES47" si="105">IF(AND(NOT(EQ7=""),NOT(ER7="")),EQ7*ER7,"")</f>
        <v/>
      </c>
      <c r="ET7" s="218" t="str">
        <f t="shared" ref="ET7:ET47" si="106">IF(AND(NOT($E7=""),NOT(K7="")),$E7,"")</f>
        <v/>
      </c>
      <c r="EU7" s="218" t="str">
        <f t="shared" ref="EU7:EU47" si="107">IF(AND(NOT($K7=""),NOT(E7="")),$K7,"")</f>
        <v/>
      </c>
      <c r="EV7" s="218" t="str">
        <f t="shared" ref="EV7:EV47" si="108">IF(AND(NOT(ET7=""),NOT(EU7="")),ET7*EU7,"")</f>
        <v/>
      </c>
      <c r="EW7" s="218" t="str">
        <f t="shared" ref="EW7:EW47" si="109">IF(AND(NOT($E7=""),NOT(M7="")),$E7,"")</f>
        <v/>
      </c>
      <c r="EX7" s="218" t="str">
        <f t="shared" ref="EX7:EX47" si="110">IF(AND(NOT($M7=""),NOT(E7="")),$M7,"")</f>
        <v/>
      </c>
      <c r="EY7" s="218" t="str">
        <f t="shared" ref="EY7:EY47" si="111">IF(AND(NOT(EW7=""),NOT(EX7="")),EW7*EX7,"")</f>
        <v/>
      </c>
      <c r="FA7" s="218" t="str">
        <f t="shared" ref="FA7:FA47" si="112">IF(AND(NOT($F7=""),NOT(G7="")),$F7,"")</f>
        <v/>
      </c>
      <c r="FB7" s="218" t="str">
        <f t="shared" ref="FB7:FB47" si="113">IF(AND(NOT($G7=""),NOT(F7="")),$G7,"")</f>
        <v/>
      </c>
      <c r="FC7" s="218" t="str">
        <f t="shared" ref="FC7:FC47" si="114">IF(AND(NOT(FA7=""),NOT(FB7="")),FA7*FB7,"")</f>
        <v/>
      </c>
      <c r="FD7" s="218" t="str">
        <f t="shared" ref="FD7:FD47" si="115">IF(AND(NOT($F7=""),NOT(H7="")),$F7,"")</f>
        <v/>
      </c>
      <c r="FE7" s="218" t="str">
        <f t="shared" ref="FE7:FE47" si="116">IF(AND(NOT($H7=""),NOT(F7="")),$H7,"")</f>
        <v/>
      </c>
      <c r="FF7" s="218" t="str">
        <f t="shared" ref="FF7:FF47" si="117">IF(AND(NOT(FD7=""),NOT(FE7="")),FD7*FE7,"")</f>
        <v/>
      </c>
      <c r="FG7" s="218" t="str">
        <f t="shared" ref="FG7:FG47" si="118">IF(AND(NOT($F7=""),NOT(I7="")),$F7,"")</f>
        <v/>
      </c>
      <c r="FH7" s="218" t="str">
        <f t="shared" ref="FH7:FH47" si="119">IF(AND(NOT($I7=""),NOT(F7="")),$I7,"")</f>
        <v/>
      </c>
      <c r="FI7" s="218" t="str">
        <f t="shared" ref="FI7:FI47" si="120">IF(AND(NOT(FG7=""),NOT(FH7="")),FG7*FH7,"")</f>
        <v/>
      </c>
      <c r="FJ7" s="218" t="str">
        <f t="shared" ref="FJ7:FJ47" si="121">IF(AND(NOT($F7=""),NOT(J7="")),$F7,"")</f>
        <v/>
      </c>
      <c r="FK7" s="218" t="str">
        <f t="shared" ref="FK7:FK47" si="122">IF(AND(NOT($J7=""),NOT(F7="")),$J7,"")</f>
        <v/>
      </c>
      <c r="FL7" s="218" t="str">
        <f t="shared" ref="FL7:FL47" si="123">IF(AND(NOT(FJ7=""),NOT(FK7="")),FJ7*FK7,"")</f>
        <v/>
      </c>
      <c r="FM7" s="218" t="str">
        <f t="shared" ref="FM7:FM47" si="124">IF(AND(NOT($F7=""),NOT(K7="")),$F7,"")</f>
        <v/>
      </c>
      <c r="FN7" s="218" t="str">
        <f t="shared" ref="FN7:FN47" si="125">IF(AND(NOT($K7=""),NOT(F7="")),$K7,"")</f>
        <v/>
      </c>
      <c r="FO7" s="218" t="str">
        <f t="shared" ref="FO7:FO47" si="126">IF(AND(NOT(FM7=""),NOT(FN7="")),FM7*FN7,"")</f>
        <v/>
      </c>
      <c r="FP7" s="218" t="str">
        <f t="shared" ref="FP7:FP47" si="127">IF(AND(NOT($F7=""),NOT(M7="")),$F7,"")</f>
        <v/>
      </c>
      <c r="FQ7" s="218" t="str">
        <f t="shared" ref="FQ7:FQ47" si="128">IF(AND(NOT($M7=""),NOT(F7="")),$M7,"")</f>
        <v/>
      </c>
      <c r="FR7" s="218" t="str">
        <f t="shared" ref="FR7:FR47" si="129">IF(AND(NOT(FP7=""),NOT(FQ7="")),FP7*FQ7,"")</f>
        <v/>
      </c>
      <c r="FT7" s="218" t="str">
        <f t="shared" ref="FT7:FT47" si="130">IF(AND(NOT($G7=""),NOT(H7="")),$G7,"")</f>
        <v/>
      </c>
      <c r="FU7" s="218" t="str">
        <f t="shared" ref="FU7:FU47" si="131">IF(AND(NOT($H7=""),NOT(G7="")),$H7,"")</f>
        <v/>
      </c>
      <c r="FV7" s="218" t="str">
        <f t="shared" ref="FV7:FV47" si="132">IF(AND(NOT(FT7=""),NOT(FU7="")),FT7*FU7,"")</f>
        <v/>
      </c>
      <c r="FW7" s="218" t="str">
        <f t="shared" ref="FW7:FW47" si="133">IF(AND(NOT($G7=""),NOT(I7="")),$G7,"")</f>
        <v/>
      </c>
      <c r="FX7" s="218" t="str">
        <f t="shared" ref="FX7:FX47" si="134">IF(AND(NOT($I7=""),NOT(G7="")),$I7,"")</f>
        <v/>
      </c>
      <c r="FY7" s="218" t="str">
        <f t="shared" ref="FY7:FY47" si="135">IF(AND(NOT(FW7=""),NOT(FX7="")),FW7*FX7,"")</f>
        <v/>
      </c>
      <c r="FZ7" s="218" t="str">
        <f t="shared" ref="FZ7:FZ47" si="136">IF(AND(NOT($G7=""),NOT(J7="")),$G7,"")</f>
        <v/>
      </c>
      <c r="GA7" s="218" t="str">
        <f t="shared" ref="GA7:GA47" si="137">IF(AND(NOT($J7=""),NOT(G7="")),$J7,"")</f>
        <v/>
      </c>
      <c r="GB7" s="218" t="str">
        <f t="shared" ref="GB7:GB47" si="138">IF(AND(NOT(FZ7=""),NOT(GA7="")),FZ7*GA7,"")</f>
        <v/>
      </c>
      <c r="GC7" s="218" t="str">
        <f t="shared" ref="GC7:GC47" si="139">IF(AND(NOT($G7=""),NOT(K7="")),$G7,"")</f>
        <v/>
      </c>
      <c r="GD7" s="218" t="str">
        <f t="shared" ref="GD7:GD47" si="140">IF(AND(NOT($K7=""),NOT(G7="")),$K7,"")</f>
        <v/>
      </c>
      <c r="GE7" s="218" t="str">
        <f t="shared" ref="GE7:GE47" si="141">IF(AND(NOT(GC7=""),NOT(GD7="")),GC7*GD7,"")</f>
        <v/>
      </c>
      <c r="GF7" s="218" t="str">
        <f t="shared" ref="GF7:GF47" si="142">IF(AND(NOT($G7=""),NOT(M7="")),$G7,"")</f>
        <v/>
      </c>
      <c r="GG7" s="218" t="str">
        <f t="shared" ref="GG7:GG47" si="143">IF(AND(NOT($M7=""),NOT(G7="")),$M7,"")</f>
        <v/>
      </c>
      <c r="GH7" s="218" t="str">
        <f t="shared" ref="GH7:GH47" si="144">IF(AND(NOT(GF7=""),NOT(GG7="")),GF7*GG7,"")</f>
        <v/>
      </c>
      <c r="GJ7" s="218" t="str">
        <f t="shared" ref="GJ7:GJ47" si="145">IF(AND(NOT($H7=""),NOT(I7="")),$H7,"")</f>
        <v/>
      </c>
      <c r="GK7" s="218" t="str">
        <f t="shared" ref="GK7:GK47" si="146">IF(AND(NOT($I7=""),NOT(H7="")),$I7,"")</f>
        <v/>
      </c>
      <c r="GL7" s="218" t="str">
        <f t="shared" ref="GL7:GL47" si="147">IF(AND(NOT(GJ7=""),NOT(GK7="")),GJ7*GK7,"")</f>
        <v/>
      </c>
      <c r="GM7" s="218" t="str">
        <f t="shared" ref="GM7:GM47" si="148">IF(AND(NOT($H7=""),NOT(J7="")),$H7,"")</f>
        <v/>
      </c>
      <c r="GN7" s="218" t="str">
        <f t="shared" ref="GN7:GN47" si="149">IF(AND(NOT($J7=""),NOT(H7="")),$J7,"")</f>
        <v/>
      </c>
      <c r="GO7" s="218" t="str">
        <f t="shared" ref="GO7:GO47" si="150">IF(AND(NOT(GM7=""),NOT(GN7="")),GM7*GN7,"")</f>
        <v/>
      </c>
      <c r="GP7" s="218" t="str">
        <f t="shared" ref="GP7:GP47" si="151">IF(AND(NOT($H7=""),NOT(K7="")),$H7,"")</f>
        <v/>
      </c>
      <c r="GQ7" s="218" t="str">
        <f t="shared" ref="GQ7:GQ47" si="152">IF(AND(NOT($K7=""),NOT(H7="")),$K7,"")</f>
        <v/>
      </c>
      <c r="GR7" s="218" t="str">
        <f t="shared" ref="GR7:GR47" si="153">IF(AND(NOT(GP7=""),NOT(GQ7="")),GP7*GQ7,"")</f>
        <v/>
      </c>
      <c r="GS7" s="218" t="str">
        <f t="shared" ref="GS7:GS47" si="154">IF(AND(NOT($H7=""),NOT(M7="")),$H7,"")</f>
        <v/>
      </c>
      <c r="GT7" s="218" t="str">
        <f t="shared" ref="GT7:GT47" si="155">IF(AND(NOT($M7=""),NOT(H7="")),$M7,"")</f>
        <v/>
      </c>
      <c r="GU7" s="218" t="str">
        <f t="shared" ref="GU7:GU47" si="156">IF(AND(NOT(GS7=""),NOT(GT7="")),GS7*GT7,"")</f>
        <v/>
      </c>
      <c r="GW7" s="218" t="str">
        <f t="shared" ref="GW7:GW47" si="157">IF(AND(NOT($I7=""),NOT(J7="")),$I7,"")</f>
        <v/>
      </c>
      <c r="GX7" s="218" t="str">
        <f t="shared" ref="GX7:GX47" si="158">IF(AND(NOT($J7=""),NOT(I7="")),$J7,"")</f>
        <v/>
      </c>
      <c r="GY7" s="218" t="str">
        <f t="shared" ref="GY7:GY47" si="159">IF(AND(NOT(GW7=""),NOT(GX7="")),GW7*GX7,"")</f>
        <v/>
      </c>
      <c r="GZ7" s="218" t="str">
        <f t="shared" ref="GZ7:GZ47" si="160">IF(AND(NOT($I7=""),NOT(K7="")),$I7,"")</f>
        <v/>
      </c>
      <c r="HA7" s="218" t="str">
        <f t="shared" ref="HA7:HA47" si="161">IF(AND(NOT($K7=""),NOT(I7="")),$K7,"")</f>
        <v/>
      </c>
      <c r="HB7" s="218" t="str">
        <f t="shared" ref="HB7:HB47" si="162">IF(AND(NOT(GZ7=""),NOT(HA7="")),GZ7*HA7,"")</f>
        <v/>
      </c>
      <c r="HC7" s="218" t="str">
        <f t="shared" ref="HC7:HC47" si="163">IF(AND(NOT($I7=""),NOT(M7="")),$I7,"")</f>
        <v/>
      </c>
      <c r="HD7" s="218" t="str">
        <f t="shared" ref="HD7:HD47" si="164">IF(AND(NOT($M7=""),NOT(I7="")),$M7,"")</f>
        <v/>
      </c>
      <c r="HE7" s="218" t="str">
        <f t="shared" ref="HE7:HE47" si="165">IF(AND(NOT(HC7=""),NOT(HD7="")),HC7*HD7,"")</f>
        <v/>
      </c>
      <c r="HG7" s="218" t="str">
        <f t="shared" ref="HG7:HG47" si="166">IF(AND(NOT($J7=""),NOT(K7="")),$J7,"")</f>
        <v/>
      </c>
      <c r="HH7" s="218" t="str">
        <f t="shared" ref="HH7:HH47" si="167">IF(AND(NOT($K7=""),NOT(J7="")),$K7,"")</f>
        <v/>
      </c>
      <c r="HI7" s="218" t="str">
        <f t="shared" ref="HI7:HI47" si="168">IF(AND(NOT(HG7=""),NOT(HH7="")),HG7*HH7,"")</f>
        <v/>
      </c>
      <c r="HJ7" s="218" t="str">
        <f t="shared" ref="HJ7:HJ47" si="169">IF(AND(NOT($J7=""),NOT(M7="")),$J7,"")</f>
        <v/>
      </c>
      <c r="HK7" s="218" t="str">
        <f t="shared" ref="HK7:HK47" si="170">IF(AND(NOT($M7=""),NOT(J7="")),$M7,"")</f>
        <v/>
      </c>
      <c r="HL7" s="218" t="str">
        <f t="shared" ref="HL7:HL47" si="171">IF(AND(NOT(HJ7=""),NOT(HK7="")),HJ7*HK7,"")</f>
        <v/>
      </c>
      <c r="HN7" s="218" t="str">
        <f t="shared" ref="HN7:HN47" si="172">IF(AND(NOT($K7=""),NOT(M7="")),$K7,"")</f>
        <v/>
      </c>
      <c r="HO7" s="218" t="str">
        <f t="shared" ref="HO7:HO47" si="173">IF(AND(NOT($M7=""),NOT(K7="")),$M7,"")</f>
        <v/>
      </c>
      <c r="HP7" s="218" t="str">
        <f t="shared" ref="HP7:HP47" si="174">IF(AND(NOT(HN7=""),NOT(HO7="")),HN7*HO7,"")</f>
        <v/>
      </c>
      <c r="HR7" s="218" t="str">
        <f>IF(AND(NOT($M7=""),NOT(B7="")),$M7,"")</f>
        <v/>
      </c>
      <c r="HS7" s="218" t="str">
        <f>IF(AND(NOT($B7=""),NOT($M7="")),$B7,"")</f>
        <v/>
      </c>
      <c r="HT7" s="218" t="str">
        <f t="shared" ref="HT7:HT47" si="175">IF(AND(NOT(HR7=""),NOT(HS7="")),HR7*HS7,"")</f>
        <v/>
      </c>
      <c r="HU7" s="218" t="str">
        <f t="shared" ref="HU7:HU70" si="176">IF(AND(NOT($M7=""),NOT($C7="")),$M7,"")</f>
        <v/>
      </c>
      <c r="HV7" s="218" t="str">
        <f t="shared" ref="HV7:HV47" si="177">IF(AND(NOT($C7=""),NOT(M7="")),$C7,"")</f>
        <v/>
      </c>
      <c r="HW7" s="218" t="str">
        <f t="shared" ref="HW7:HW47" si="178">IF(AND(NOT(HU7=""),NOT(HV7="")),HU7*HV7,"")</f>
        <v/>
      </c>
      <c r="HX7" s="218" t="str">
        <f t="shared" ref="HX7:HX47" si="179">IF(AND(NOT($M7=""),NOT(D7="")),$M7,"")</f>
        <v/>
      </c>
      <c r="HY7" s="218" t="str">
        <f t="shared" ref="HY7:HY70" si="180">IF(AND(NOT($D7=""),NOT($M7="")),$D7,"")</f>
        <v/>
      </c>
      <c r="HZ7" s="218" t="str">
        <f t="shared" ref="HZ7:HZ47" si="181">IF(AND(NOT(HX7=""),NOT(HY7="")),HX7*HY7,"")</f>
        <v/>
      </c>
      <c r="IA7" s="218" t="str">
        <f t="shared" ref="IA7:IA47" si="182">IF(AND(NOT($M7=""),NOT(E7="")),$M7,"")</f>
        <v/>
      </c>
      <c r="IB7" s="218" t="str">
        <f t="shared" ref="IB7:IB70" si="183">IF(AND(NOT($E7=""),NOT($M7="")),$E7,"")</f>
        <v/>
      </c>
      <c r="IC7" s="218" t="str">
        <f t="shared" ref="IC7:IC47" si="184">IF(AND(NOT(IA7=""),NOT(IB7="")),IA7*IB7,"")</f>
        <v/>
      </c>
      <c r="ID7" s="218" t="str">
        <f t="shared" ref="ID7:ID47" si="185">IF(AND(NOT($M7=""),NOT(F7="")),$M7,"")</f>
        <v/>
      </c>
      <c r="IE7" s="218" t="str">
        <f t="shared" ref="IE7:IE70" si="186">IF(AND(NOT($F7=""),NOT($M7="")),$F7,"")</f>
        <v/>
      </c>
      <c r="IF7" s="218" t="str">
        <f t="shared" ref="IF7:IF47" si="187">IF(AND(NOT(ID7=""),NOT(IE7="")),ID7*IE7,"")</f>
        <v/>
      </c>
      <c r="IG7" s="218" t="str">
        <f t="shared" ref="IG7:IG47" si="188">IF(AND(NOT($M7=""),NOT(G7="")),$M7,"")</f>
        <v/>
      </c>
      <c r="IH7" s="218" t="str">
        <f t="shared" ref="IH7:IH70" si="189">IF(AND(NOT($G7=""),NOT($M7="")),$G7,"")</f>
        <v/>
      </c>
      <c r="II7" s="218" t="str">
        <f t="shared" ref="II7:II47" si="190">IF(AND(NOT(IG7=""),NOT(IH7="")),IG7*IH7,"")</f>
        <v/>
      </c>
      <c r="IJ7" s="218" t="str">
        <f t="shared" ref="IJ7:IJ47" si="191">IF(AND(NOT($M7=""),NOT(H7="")),$M7,"")</f>
        <v/>
      </c>
      <c r="IK7" s="218" t="str">
        <f t="shared" ref="IK7:IK70" si="192">IF(AND(NOT($H7=""),NOT($M7="")),$H7,"")</f>
        <v/>
      </c>
      <c r="IL7" s="218" t="str">
        <f t="shared" ref="IL7:IL47" si="193">IF(AND(NOT(IJ7=""),NOT(IK7="")),IJ7*IK7,"")</f>
        <v/>
      </c>
      <c r="IM7" s="218" t="str">
        <f t="shared" ref="IM7:IM47" si="194">IF(AND(NOT($M7=""),NOT(I7="")),$M7,"")</f>
        <v/>
      </c>
      <c r="IN7" s="218" t="str">
        <f t="shared" ref="IN7:IN70" si="195">IF(AND(NOT($I7=""),NOT($M7="")),$I7,"")</f>
        <v/>
      </c>
      <c r="IO7" s="218" t="str">
        <f t="shared" ref="IO7:IO47" si="196">IF(AND(NOT(IM7=""),NOT(IN7="")),IM7*IN7,"")</f>
        <v/>
      </c>
      <c r="IP7" s="218" t="str">
        <f t="shared" ref="IP7:IP47" si="197">IF(AND(NOT($M7=""),NOT(J7="")),$M7,"")</f>
        <v/>
      </c>
      <c r="IQ7" s="218" t="str">
        <f t="shared" ref="IQ7:IQ70" si="198">IF(AND(NOT($J7=""),NOT($M7="")),$J7,"")</f>
        <v/>
      </c>
      <c r="IR7" s="218" t="str">
        <f t="shared" ref="IR7:IR47" si="199">IF(AND(NOT(IP7=""),NOT(IQ7="")),IP7*IQ7,"")</f>
        <v/>
      </c>
      <c r="IS7" s="218" t="str">
        <f t="shared" ref="IS7:IS47" si="200">IF(AND(NOT($M7=""),NOT(K7="")),$M7,"")</f>
        <v/>
      </c>
      <c r="IT7" s="218" t="str">
        <f t="shared" ref="IT7:IT70" si="201">IF(AND(NOT($K7=""),NOT($M7="")),$K7,"")</f>
        <v/>
      </c>
      <c r="IU7" s="218" t="str">
        <f t="shared" ref="IU7:IU47" si="202">IF(AND(NOT(IS7=""),NOT(IT7="")),IS7*IT7,"")</f>
        <v/>
      </c>
    </row>
    <row r="8" spans="1:255" x14ac:dyDescent="0.2">
      <c r="A8" s="200" t="s">
        <v>11</v>
      </c>
      <c r="B8" s="178"/>
      <c r="C8" s="179"/>
      <c r="D8" s="181"/>
      <c r="E8" s="181"/>
      <c r="F8" s="197"/>
      <c r="G8" s="198"/>
      <c r="H8" s="197"/>
      <c r="I8" s="197"/>
      <c r="J8" s="197"/>
      <c r="K8" s="185"/>
      <c r="L8" s="217" t="str">
        <f t="shared" si="29"/>
        <v/>
      </c>
      <c r="M8" s="218">
        <f>'HKG vs. BK'!M8</f>
        <v>23.377859501551274</v>
      </c>
      <c r="N8" s="218" t="str">
        <f>'HKG vs. BK'!N8</f>
        <v>±2,3</v>
      </c>
      <c r="O8" s="218" t="str">
        <f>'HKG vs. BK'!O8</f>
        <v>±8,85</v>
      </c>
      <c r="P8" s="218" t="str">
        <f>'HKG vs. BK'!P8</f>
        <v>±37,3</v>
      </c>
      <c r="Q8" s="219" t="str">
        <f t="shared" ref="Q8:Q47" si="203">IF((L8&gt;0)*AND(B$109&gt;0),B8,"")</f>
        <v/>
      </c>
      <c r="R8" s="220" t="str">
        <f t="shared" si="0"/>
        <v/>
      </c>
      <c r="S8" s="220" t="str">
        <f t="shared" si="1"/>
        <v/>
      </c>
      <c r="T8" s="219" t="str">
        <f t="shared" si="2"/>
        <v/>
      </c>
      <c r="U8" s="220" t="str">
        <f t="shared" si="3"/>
        <v/>
      </c>
      <c r="V8" s="220" t="str">
        <f t="shared" si="4"/>
        <v/>
      </c>
      <c r="W8" s="219" t="str">
        <f t="shared" si="5"/>
        <v/>
      </c>
      <c r="X8" s="220" t="str">
        <f t="shared" si="6"/>
        <v/>
      </c>
      <c r="Y8" s="220" t="str">
        <f t="shared" si="7"/>
        <v/>
      </c>
      <c r="Z8" s="219" t="str">
        <f t="shared" si="8"/>
        <v/>
      </c>
      <c r="AA8" s="220" t="str">
        <f t="shared" si="9"/>
        <v/>
      </c>
      <c r="AB8" s="220" t="str">
        <f t="shared" si="10"/>
        <v/>
      </c>
      <c r="AC8" s="219" t="str">
        <f t="shared" si="11"/>
        <v/>
      </c>
      <c r="AD8" s="220" t="str">
        <f t="shared" si="12"/>
        <v/>
      </c>
      <c r="AE8" s="220" t="str">
        <f t="shared" si="13"/>
        <v/>
      </c>
      <c r="AF8" s="219" t="str">
        <f t="shared" si="14"/>
        <v/>
      </c>
      <c r="AG8" s="220" t="str">
        <f t="shared" si="15"/>
        <v/>
      </c>
      <c r="AH8" s="220" t="str">
        <f t="shared" si="16"/>
        <v/>
      </c>
      <c r="AI8" s="219" t="str">
        <f t="shared" si="17"/>
        <v/>
      </c>
      <c r="AJ8" s="220" t="str">
        <f t="shared" si="18"/>
        <v/>
      </c>
      <c r="AK8" s="220" t="str">
        <f t="shared" si="19"/>
        <v/>
      </c>
      <c r="AL8" s="219" t="str">
        <f t="shared" si="20"/>
        <v/>
      </c>
      <c r="AM8" s="220" t="str">
        <f t="shared" si="21"/>
        <v/>
      </c>
      <c r="AN8" s="220" t="str">
        <f t="shared" si="22"/>
        <v/>
      </c>
      <c r="AO8" s="219" t="str">
        <f t="shared" si="23"/>
        <v/>
      </c>
      <c r="AP8" s="220" t="str">
        <f t="shared" si="24"/>
        <v/>
      </c>
      <c r="AQ8" s="220" t="str">
        <f t="shared" si="25"/>
        <v/>
      </c>
      <c r="AR8" s="219" t="str">
        <f t="shared" si="26"/>
        <v/>
      </c>
      <c r="AS8" s="220" t="str">
        <f t="shared" si="27"/>
        <v/>
      </c>
      <c r="AT8" s="220" t="str">
        <f t="shared" si="28"/>
        <v/>
      </c>
      <c r="AU8" s="221"/>
      <c r="AV8" s="221"/>
      <c r="AW8" s="221"/>
      <c r="AY8" s="218" t="str">
        <f t="shared" ref="AY8:AY47" si="204">IF(AND(NOT($B8=""),NOT(C8="")),$B8,"")</f>
        <v/>
      </c>
      <c r="AZ8" s="218" t="str">
        <f t="shared" ref="AZ8:AZ47" si="205">IF(AND(NOT($C8=""),NOT(B8="")),$C8,"")</f>
        <v/>
      </c>
      <c r="BA8" s="218" t="str">
        <f t="shared" si="30"/>
        <v/>
      </c>
      <c r="BB8" s="218" t="str">
        <f t="shared" ref="BB8:BB47" si="206">IF(AND(NOT($B8=""),NOT(D8="")),$B8,"")</f>
        <v/>
      </c>
      <c r="BC8" s="218" t="str">
        <f t="shared" ref="BC8:BC47" si="207">IF(AND(NOT($D8=""),NOT(B8="")),$D8,"")</f>
        <v/>
      </c>
      <c r="BD8" s="218" t="str">
        <f t="shared" si="31"/>
        <v/>
      </c>
      <c r="BE8" s="218" t="str">
        <f t="shared" ref="BE8:BE47" si="208">IF(AND(NOT($B8=""),NOT(E8="")),$B8,"")</f>
        <v/>
      </c>
      <c r="BF8" s="218" t="str">
        <f t="shared" ref="BF8:BF47" si="209">IF(AND(NOT($E8=""),NOT(B8="")),$E8,"")</f>
        <v/>
      </c>
      <c r="BG8" s="218" t="str">
        <f t="shared" si="32"/>
        <v/>
      </c>
      <c r="BH8" s="218" t="str">
        <f t="shared" ref="BH8:BH47" si="210">IF(AND(NOT($B8=""),NOT(F8="")),$B8,"")</f>
        <v/>
      </c>
      <c r="BI8" s="218" t="str">
        <f t="shared" ref="BI8:BI47" si="211">IF(AND(NOT($F8=""),NOT(B8="")),$F8,"")</f>
        <v/>
      </c>
      <c r="BJ8" s="218" t="str">
        <f t="shared" si="33"/>
        <v/>
      </c>
      <c r="BK8" s="218" t="str">
        <f t="shared" ref="BK8:BK47" si="212">IF(AND(NOT($B8=""),NOT(G8="")),$B8,"")</f>
        <v/>
      </c>
      <c r="BL8" s="218" t="str">
        <f t="shared" ref="BL8:BL47" si="213">IF(AND(NOT($G8=""),NOT(B8="")),$G8,"")</f>
        <v/>
      </c>
      <c r="BM8" s="218" t="str">
        <f t="shared" si="34"/>
        <v/>
      </c>
      <c r="BN8" s="218" t="str">
        <f t="shared" ref="BN8:BN47" si="214">IF(AND(NOT($B8=""),NOT(H8="")),$B8,"")</f>
        <v/>
      </c>
      <c r="BO8" s="218" t="str">
        <f t="shared" ref="BO8:BO47" si="215">IF(AND(NOT($H8=""),NOT(B8="")),$H8,"")</f>
        <v/>
      </c>
      <c r="BP8" s="218" t="str">
        <f t="shared" si="35"/>
        <v/>
      </c>
      <c r="BQ8" s="218" t="str">
        <f t="shared" ref="BQ8:BQ47" si="216">IF(AND(NOT($B8=""),NOT(I8="")),$B8,"")</f>
        <v/>
      </c>
      <c r="BR8" s="218" t="str">
        <f t="shared" ref="BR8:BR47" si="217">IF(AND(NOT($I8=""),NOT(B8="")),$I8,"")</f>
        <v/>
      </c>
      <c r="BS8" s="218" t="str">
        <f t="shared" si="36"/>
        <v/>
      </c>
      <c r="BT8" s="218" t="str">
        <f t="shared" ref="BT8:BT47" si="218">IF(AND(NOT($B8=""),NOT(J8="")),$B8,"")</f>
        <v/>
      </c>
      <c r="BU8" s="218" t="str">
        <f t="shared" ref="BU8:BU47" si="219">IF(AND(NOT($J8=""),NOT(B8="")),$J8,"")</f>
        <v/>
      </c>
      <c r="BV8" s="218" t="str">
        <f t="shared" si="37"/>
        <v/>
      </c>
      <c r="BW8" s="218" t="str">
        <f t="shared" ref="BW8:BW47" si="220">IF(AND(NOT($B8=""),NOT(K8="")),$B8,"")</f>
        <v/>
      </c>
      <c r="BX8" s="218" t="str">
        <f t="shared" ref="BX8:BX47" si="221">IF(AND(NOT($K8=""),NOT(B8="")),$K8,"")</f>
        <v/>
      </c>
      <c r="BY8" s="218" t="str">
        <f t="shared" si="38"/>
        <v/>
      </c>
      <c r="BZ8" s="218" t="str">
        <f t="shared" ref="BZ8:BZ47" si="222">IF(AND(NOT($B8=""),NOT(M8="")),$B8,"")</f>
        <v/>
      </c>
      <c r="CA8" s="218" t="str">
        <f t="shared" ref="CA8:CA47" si="223">IF(AND(NOT($M8=""),NOT(B8="")),$M8,"")</f>
        <v/>
      </c>
      <c r="CB8" s="218" t="str">
        <f t="shared" si="39"/>
        <v/>
      </c>
      <c r="CD8" s="218" t="str">
        <f t="shared" si="40"/>
        <v/>
      </c>
      <c r="CE8" s="218" t="str">
        <f t="shared" si="41"/>
        <v/>
      </c>
      <c r="CF8" s="218" t="str">
        <f t="shared" si="42"/>
        <v/>
      </c>
      <c r="CG8" s="218" t="str">
        <f t="shared" si="43"/>
        <v/>
      </c>
      <c r="CH8" s="218" t="str">
        <f t="shared" si="44"/>
        <v/>
      </c>
      <c r="CI8" s="218" t="str">
        <f t="shared" si="45"/>
        <v/>
      </c>
      <c r="CJ8" s="218" t="str">
        <f t="shared" si="46"/>
        <v/>
      </c>
      <c r="CK8" s="218" t="str">
        <f t="shared" si="47"/>
        <v/>
      </c>
      <c r="CL8" s="218" t="str">
        <f t="shared" si="48"/>
        <v/>
      </c>
      <c r="CM8" s="218" t="str">
        <f t="shared" si="49"/>
        <v/>
      </c>
      <c r="CN8" s="218" t="str">
        <f t="shared" si="50"/>
        <v/>
      </c>
      <c r="CO8" s="218" t="str">
        <f t="shared" si="51"/>
        <v/>
      </c>
      <c r="CP8" s="218" t="str">
        <f t="shared" si="52"/>
        <v/>
      </c>
      <c r="CQ8" s="218" t="str">
        <f t="shared" si="53"/>
        <v/>
      </c>
      <c r="CR8" s="218" t="str">
        <f t="shared" si="54"/>
        <v/>
      </c>
      <c r="CS8" s="218" t="str">
        <f t="shared" si="55"/>
        <v/>
      </c>
      <c r="CT8" s="218" t="str">
        <f t="shared" si="56"/>
        <v/>
      </c>
      <c r="CU8" s="218" t="str">
        <f t="shared" si="57"/>
        <v/>
      </c>
      <c r="CV8" s="218" t="str">
        <f t="shared" si="58"/>
        <v/>
      </c>
      <c r="CW8" s="218" t="str">
        <f t="shared" si="59"/>
        <v/>
      </c>
      <c r="CX8" s="218" t="str">
        <f t="shared" si="60"/>
        <v/>
      </c>
      <c r="CY8" s="218" t="str">
        <f t="shared" si="61"/>
        <v/>
      </c>
      <c r="CZ8" s="218" t="str">
        <f t="shared" si="62"/>
        <v/>
      </c>
      <c r="DA8" s="218" t="str">
        <f t="shared" si="63"/>
        <v/>
      </c>
      <c r="DB8" s="218" t="str">
        <f t="shared" si="64"/>
        <v/>
      </c>
      <c r="DC8" s="218" t="str">
        <f t="shared" si="65"/>
        <v/>
      </c>
      <c r="DD8" s="218" t="str">
        <f t="shared" si="66"/>
        <v/>
      </c>
      <c r="DF8" s="218" t="str">
        <f t="shared" si="67"/>
        <v/>
      </c>
      <c r="DG8" s="218" t="str">
        <f t="shared" si="68"/>
        <v/>
      </c>
      <c r="DH8" s="218" t="str">
        <f t="shared" si="69"/>
        <v/>
      </c>
      <c r="DI8" s="218" t="str">
        <f t="shared" si="70"/>
        <v/>
      </c>
      <c r="DJ8" s="218" t="str">
        <f t="shared" si="71"/>
        <v/>
      </c>
      <c r="DK8" s="218" t="str">
        <f t="shared" si="72"/>
        <v/>
      </c>
      <c r="DL8" s="218" t="str">
        <f t="shared" si="73"/>
        <v/>
      </c>
      <c r="DM8" s="218" t="str">
        <f t="shared" si="74"/>
        <v/>
      </c>
      <c r="DN8" s="218" t="str">
        <f t="shared" si="75"/>
        <v/>
      </c>
      <c r="DO8" s="218" t="str">
        <f t="shared" si="76"/>
        <v/>
      </c>
      <c r="DP8" s="218" t="str">
        <f t="shared" si="77"/>
        <v/>
      </c>
      <c r="DQ8" s="218" t="str">
        <f t="shared" si="78"/>
        <v/>
      </c>
      <c r="DR8" s="218" t="str">
        <f t="shared" si="79"/>
        <v/>
      </c>
      <c r="DS8" s="218" t="str">
        <f t="shared" si="80"/>
        <v/>
      </c>
      <c r="DT8" s="218" t="str">
        <f t="shared" si="81"/>
        <v/>
      </c>
      <c r="DU8" s="218" t="str">
        <f t="shared" si="82"/>
        <v/>
      </c>
      <c r="DV8" s="218" t="str">
        <f t="shared" si="83"/>
        <v/>
      </c>
      <c r="DW8" s="218" t="str">
        <f t="shared" si="84"/>
        <v/>
      </c>
      <c r="DX8" s="218" t="str">
        <f t="shared" si="85"/>
        <v/>
      </c>
      <c r="DY8" s="218" t="str">
        <f t="shared" si="86"/>
        <v/>
      </c>
      <c r="DZ8" s="218" t="str">
        <f t="shared" si="87"/>
        <v/>
      </c>
      <c r="EA8" s="218" t="str">
        <f t="shared" si="88"/>
        <v/>
      </c>
      <c r="EB8" s="218" t="str">
        <f t="shared" si="89"/>
        <v/>
      </c>
      <c r="EC8" s="218" t="str">
        <f t="shared" si="90"/>
        <v/>
      </c>
      <c r="EE8" s="218" t="str">
        <f t="shared" si="91"/>
        <v/>
      </c>
      <c r="EF8" s="218" t="str">
        <f t="shared" si="92"/>
        <v/>
      </c>
      <c r="EG8" s="218" t="str">
        <f t="shared" si="93"/>
        <v/>
      </c>
      <c r="EH8" s="218" t="str">
        <f t="shared" si="94"/>
        <v/>
      </c>
      <c r="EI8" s="218" t="str">
        <f t="shared" si="95"/>
        <v/>
      </c>
      <c r="EJ8" s="218" t="str">
        <f t="shared" si="96"/>
        <v/>
      </c>
      <c r="EK8" s="218" t="str">
        <f t="shared" si="97"/>
        <v/>
      </c>
      <c r="EL8" s="218" t="str">
        <f t="shared" si="98"/>
        <v/>
      </c>
      <c r="EM8" s="218" t="str">
        <f t="shared" si="99"/>
        <v/>
      </c>
      <c r="EN8" s="218" t="str">
        <f t="shared" si="100"/>
        <v/>
      </c>
      <c r="EO8" s="218" t="str">
        <f t="shared" si="101"/>
        <v/>
      </c>
      <c r="EP8" s="218" t="str">
        <f t="shared" si="102"/>
        <v/>
      </c>
      <c r="EQ8" s="218" t="str">
        <f t="shared" si="103"/>
        <v/>
      </c>
      <c r="ER8" s="218" t="str">
        <f t="shared" si="104"/>
        <v/>
      </c>
      <c r="ES8" s="218" t="str">
        <f t="shared" si="105"/>
        <v/>
      </c>
      <c r="ET8" s="218" t="str">
        <f t="shared" si="106"/>
        <v/>
      </c>
      <c r="EU8" s="218" t="str">
        <f t="shared" si="107"/>
        <v/>
      </c>
      <c r="EV8" s="218" t="str">
        <f t="shared" si="108"/>
        <v/>
      </c>
      <c r="EW8" s="218" t="str">
        <f t="shared" si="109"/>
        <v/>
      </c>
      <c r="EX8" s="218" t="str">
        <f t="shared" si="110"/>
        <v/>
      </c>
      <c r="EY8" s="218" t="str">
        <f t="shared" si="111"/>
        <v/>
      </c>
      <c r="FA8" s="218" t="str">
        <f t="shared" si="112"/>
        <v/>
      </c>
      <c r="FB8" s="218" t="str">
        <f t="shared" si="113"/>
        <v/>
      </c>
      <c r="FC8" s="218" t="str">
        <f t="shared" si="114"/>
        <v/>
      </c>
      <c r="FD8" s="218" t="str">
        <f t="shared" si="115"/>
        <v/>
      </c>
      <c r="FE8" s="218" t="str">
        <f t="shared" si="116"/>
        <v/>
      </c>
      <c r="FF8" s="218" t="str">
        <f t="shared" si="117"/>
        <v/>
      </c>
      <c r="FG8" s="218" t="str">
        <f t="shared" si="118"/>
        <v/>
      </c>
      <c r="FH8" s="218" t="str">
        <f t="shared" si="119"/>
        <v/>
      </c>
      <c r="FI8" s="218" t="str">
        <f t="shared" si="120"/>
        <v/>
      </c>
      <c r="FJ8" s="218" t="str">
        <f t="shared" si="121"/>
        <v/>
      </c>
      <c r="FK8" s="218" t="str">
        <f t="shared" si="122"/>
        <v/>
      </c>
      <c r="FL8" s="218" t="str">
        <f t="shared" si="123"/>
        <v/>
      </c>
      <c r="FM8" s="218" t="str">
        <f t="shared" si="124"/>
        <v/>
      </c>
      <c r="FN8" s="218" t="str">
        <f t="shared" si="125"/>
        <v/>
      </c>
      <c r="FO8" s="218" t="str">
        <f t="shared" si="126"/>
        <v/>
      </c>
      <c r="FP8" s="218" t="str">
        <f t="shared" si="127"/>
        <v/>
      </c>
      <c r="FQ8" s="218" t="str">
        <f t="shared" si="128"/>
        <v/>
      </c>
      <c r="FR8" s="218" t="str">
        <f t="shared" si="129"/>
        <v/>
      </c>
      <c r="FT8" s="218" t="str">
        <f t="shared" si="130"/>
        <v/>
      </c>
      <c r="FU8" s="218" t="str">
        <f t="shared" si="131"/>
        <v/>
      </c>
      <c r="FV8" s="218" t="str">
        <f t="shared" si="132"/>
        <v/>
      </c>
      <c r="FW8" s="218" t="str">
        <f t="shared" si="133"/>
        <v/>
      </c>
      <c r="FX8" s="218" t="str">
        <f t="shared" si="134"/>
        <v/>
      </c>
      <c r="FY8" s="218" t="str">
        <f t="shared" si="135"/>
        <v/>
      </c>
      <c r="FZ8" s="218" t="str">
        <f t="shared" si="136"/>
        <v/>
      </c>
      <c r="GA8" s="218" t="str">
        <f t="shared" si="137"/>
        <v/>
      </c>
      <c r="GB8" s="218" t="str">
        <f t="shared" si="138"/>
        <v/>
      </c>
      <c r="GC8" s="218" t="str">
        <f t="shared" si="139"/>
        <v/>
      </c>
      <c r="GD8" s="218" t="str">
        <f t="shared" si="140"/>
        <v/>
      </c>
      <c r="GE8" s="218" t="str">
        <f t="shared" si="141"/>
        <v/>
      </c>
      <c r="GF8" s="218" t="str">
        <f t="shared" si="142"/>
        <v/>
      </c>
      <c r="GG8" s="218" t="str">
        <f t="shared" si="143"/>
        <v/>
      </c>
      <c r="GH8" s="218" t="str">
        <f t="shared" si="144"/>
        <v/>
      </c>
      <c r="GJ8" s="218" t="str">
        <f t="shared" si="145"/>
        <v/>
      </c>
      <c r="GK8" s="218" t="str">
        <f t="shared" si="146"/>
        <v/>
      </c>
      <c r="GL8" s="218" t="str">
        <f t="shared" si="147"/>
        <v/>
      </c>
      <c r="GM8" s="218" t="str">
        <f t="shared" si="148"/>
        <v/>
      </c>
      <c r="GN8" s="218" t="str">
        <f t="shared" si="149"/>
        <v/>
      </c>
      <c r="GO8" s="218" t="str">
        <f t="shared" si="150"/>
        <v/>
      </c>
      <c r="GP8" s="218" t="str">
        <f t="shared" si="151"/>
        <v/>
      </c>
      <c r="GQ8" s="218" t="str">
        <f t="shared" si="152"/>
        <v/>
      </c>
      <c r="GR8" s="218" t="str">
        <f t="shared" si="153"/>
        <v/>
      </c>
      <c r="GS8" s="218" t="str">
        <f t="shared" si="154"/>
        <v/>
      </c>
      <c r="GT8" s="218" t="str">
        <f t="shared" si="155"/>
        <v/>
      </c>
      <c r="GU8" s="218" t="str">
        <f t="shared" si="156"/>
        <v/>
      </c>
      <c r="GW8" s="218" t="str">
        <f t="shared" si="157"/>
        <v/>
      </c>
      <c r="GX8" s="218" t="str">
        <f t="shared" si="158"/>
        <v/>
      </c>
      <c r="GY8" s="218" t="str">
        <f t="shared" si="159"/>
        <v/>
      </c>
      <c r="GZ8" s="218" t="str">
        <f t="shared" si="160"/>
        <v/>
      </c>
      <c r="HA8" s="218" t="str">
        <f t="shared" si="161"/>
        <v/>
      </c>
      <c r="HB8" s="218" t="str">
        <f t="shared" si="162"/>
        <v/>
      </c>
      <c r="HC8" s="218" t="str">
        <f t="shared" si="163"/>
        <v/>
      </c>
      <c r="HD8" s="218" t="str">
        <f t="shared" si="164"/>
        <v/>
      </c>
      <c r="HE8" s="218" t="str">
        <f t="shared" si="165"/>
        <v/>
      </c>
      <c r="HG8" s="218" t="str">
        <f t="shared" si="166"/>
        <v/>
      </c>
      <c r="HH8" s="218" t="str">
        <f t="shared" si="167"/>
        <v/>
      </c>
      <c r="HI8" s="218" t="str">
        <f t="shared" si="168"/>
        <v/>
      </c>
      <c r="HJ8" s="218" t="str">
        <f t="shared" si="169"/>
        <v/>
      </c>
      <c r="HK8" s="218" t="str">
        <f t="shared" si="170"/>
        <v/>
      </c>
      <c r="HL8" s="218" t="str">
        <f t="shared" si="171"/>
        <v/>
      </c>
      <c r="HN8" s="218" t="str">
        <f t="shared" si="172"/>
        <v/>
      </c>
      <c r="HO8" s="218" t="str">
        <f t="shared" si="173"/>
        <v/>
      </c>
      <c r="HP8" s="218" t="str">
        <f t="shared" si="174"/>
        <v/>
      </c>
      <c r="HR8" s="218" t="str">
        <f t="shared" ref="HR8:HR47" si="224">IF(AND(NOT($M8=""),NOT(B8="")),$M8,"")</f>
        <v/>
      </c>
      <c r="HS8" s="218" t="str">
        <f t="shared" ref="HS8:HS70" si="225">IF(AND(NOT($B8=""),NOT($M8="")),$B8,"")</f>
        <v/>
      </c>
      <c r="HT8" s="218" t="str">
        <f t="shared" si="175"/>
        <v/>
      </c>
      <c r="HU8" s="218" t="str">
        <f t="shared" si="176"/>
        <v/>
      </c>
      <c r="HV8" s="218" t="str">
        <f t="shared" si="177"/>
        <v/>
      </c>
      <c r="HW8" s="218" t="str">
        <f t="shared" si="178"/>
        <v/>
      </c>
      <c r="HX8" s="218" t="str">
        <f t="shared" si="179"/>
        <v/>
      </c>
      <c r="HY8" s="218" t="str">
        <f t="shared" si="180"/>
        <v/>
      </c>
      <c r="HZ8" s="218" t="str">
        <f t="shared" si="181"/>
        <v/>
      </c>
      <c r="IA8" s="218" t="str">
        <f t="shared" si="182"/>
        <v/>
      </c>
      <c r="IB8" s="218" t="str">
        <f t="shared" si="183"/>
        <v/>
      </c>
      <c r="IC8" s="218" t="str">
        <f t="shared" si="184"/>
        <v/>
      </c>
      <c r="ID8" s="218" t="str">
        <f t="shared" si="185"/>
        <v/>
      </c>
      <c r="IE8" s="218" t="str">
        <f t="shared" si="186"/>
        <v/>
      </c>
      <c r="IF8" s="218" t="str">
        <f t="shared" si="187"/>
        <v/>
      </c>
      <c r="IG8" s="218" t="str">
        <f t="shared" si="188"/>
        <v/>
      </c>
      <c r="IH8" s="218" t="str">
        <f t="shared" si="189"/>
        <v/>
      </c>
      <c r="II8" s="218" t="str">
        <f t="shared" si="190"/>
        <v/>
      </c>
      <c r="IJ8" s="218" t="str">
        <f t="shared" si="191"/>
        <v/>
      </c>
      <c r="IK8" s="218" t="str">
        <f t="shared" si="192"/>
        <v/>
      </c>
      <c r="IL8" s="218" t="str">
        <f t="shared" si="193"/>
        <v/>
      </c>
      <c r="IM8" s="218" t="str">
        <f t="shared" si="194"/>
        <v/>
      </c>
      <c r="IN8" s="218" t="str">
        <f t="shared" si="195"/>
        <v/>
      </c>
      <c r="IO8" s="218" t="str">
        <f t="shared" si="196"/>
        <v/>
      </c>
      <c r="IP8" s="218" t="str">
        <f t="shared" si="197"/>
        <v/>
      </c>
      <c r="IQ8" s="218" t="str">
        <f t="shared" si="198"/>
        <v/>
      </c>
      <c r="IR8" s="218" t="str">
        <f t="shared" si="199"/>
        <v/>
      </c>
      <c r="IS8" s="218" t="str">
        <f t="shared" si="200"/>
        <v/>
      </c>
      <c r="IT8" s="218" t="str">
        <f t="shared" si="201"/>
        <v/>
      </c>
      <c r="IU8" s="218" t="str">
        <f t="shared" si="202"/>
        <v/>
      </c>
    </row>
    <row r="9" spans="1:255" x14ac:dyDescent="0.2">
      <c r="A9" s="200" t="s">
        <v>12</v>
      </c>
      <c r="B9" s="184"/>
      <c r="C9" s="179"/>
      <c r="D9" s="181"/>
      <c r="E9" s="181"/>
      <c r="F9" s="197"/>
      <c r="G9" s="198"/>
      <c r="H9" s="197"/>
      <c r="I9" s="197"/>
      <c r="J9" s="197"/>
      <c r="K9" s="185"/>
      <c r="L9" s="217" t="str">
        <f t="shared" si="29"/>
        <v/>
      </c>
      <c r="M9" s="218">
        <f>'HKG vs. BK'!M9</f>
        <v>22.659400189812086</v>
      </c>
      <c r="N9" s="218" t="str">
        <f>'HKG vs. BK'!N9</f>
        <v>±1,26</v>
      </c>
      <c r="O9" s="218" t="str">
        <f>'HKG vs. BK'!O9</f>
        <v>±5,7</v>
      </c>
      <c r="P9" s="218" t="str">
        <f>'HKG vs. BK'!P9</f>
        <v>±3,08</v>
      </c>
      <c r="Q9" s="219" t="str">
        <f t="shared" si="203"/>
        <v/>
      </c>
      <c r="R9" s="220" t="str">
        <f t="shared" si="0"/>
        <v/>
      </c>
      <c r="S9" s="220" t="str">
        <f t="shared" si="1"/>
        <v/>
      </c>
      <c r="T9" s="219" t="str">
        <f t="shared" si="2"/>
        <v/>
      </c>
      <c r="U9" s="220" t="str">
        <f t="shared" si="3"/>
        <v/>
      </c>
      <c r="V9" s="220" t="str">
        <f t="shared" si="4"/>
        <v/>
      </c>
      <c r="W9" s="219" t="str">
        <f t="shared" si="5"/>
        <v/>
      </c>
      <c r="X9" s="220" t="str">
        <f t="shared" si="6"/>
        <v/>
      </c>
      <c r="Y9" s="220" t="str">
        <f t="shared" si="7"/>
        <v/>
      </c>
      <c r="Z9" s="219" t="str">
        <f t="shared" si="8"/>
        <v/>
      </c>
      <c r="AA9" s="220" t="str">
        <f t="shared" si="9"/>
        <v/>
      </c>
      <c r="AB9" s="220" t="str">
        <f t="shared" si="10"/>
        <v/>
      </c>
      <c r="AC9" s="219" t="str">
        <f t="shared" si="11"/>
        <v/>
      </c>
      <c r="AD9" s="220" t="str">
        <f t="shared" si="12"/>
        <v/>
      </c>
      <c r="AE9" s="220" t="str">
        <f t="shared" si="13"/>
        <v/>
      </c>
      <c r="AF9" s="219" t="str">
        <f t="shared" si="14"/>
        <v/>
      </c>
      <c r="AG9" s="220" t="str">
        <f t="shared" si="15"/>
        <v/>
      </c>
      <c r="AH9" s="220" t="str">
        <f t="shared" si="16"/>
        <v/>
      </c>
      <c r="AI9" s="219" t="str">
        <f t="shared" si="17"/>
        <v/>
      </c>
      <c r="AJ9" s="220" t="str">
        <f t="shared" si="18"/>
        <v/>
      </c>
      <c r="AK9" s="220" t="str">
        <f t="shared" si="19"/>
        <v/>
      </c>
      <c r="AL9" s="219" t="str">
        <f t="shared" si="20"/>
        <v/>
      </c>
      <c r="AM9" s="220" t="str">
        <f t="shared" si="21"/>
        <v/>
      </c>
      <c r="AN9" s="220" t="str">
        <f t="shared" si="22"/>
        <v/>
      </c>
      <c r="AO9" s="219" t="str">
        <f t="shared" si="23"/>
        <v/>
      </c>
      <c r="AP9" s="220" t="str">
        <f t="shared" si="24"/>
        <v/>
      </c>
      <c r="AQ9" s="220" t="str">
        <f t="shared" si="25"/>
        <v/>
      </c>
      <c r="AR9" s="219" t="str">
        <f t="shared" si="26"/>
        <v/>
      </c>
      <c r="AS9" s="220" t="str">
        <f t="shared" si="27"/>
        <v/>
      </c>
      <c r="AT9" s="220" t="str">
        <f t="shared" si="28"/>
        <v/>
      </c>
      <c r="AU9" s="221"/>
      <c r="AV9" s="221"/>
      <c r="AW9" s="221"/>
      <c r="AY9" s="218" t="str">
        <f t="shared" si="204"/>
        <v/>
      </c>
      <c r="AZ9" s="218" t="str">
        <f t="shared" si="205"/>
        <v/>
      </c>
      <c r="BA9" s="218" t="str">
        <f t="shared" si="30"/>
        <v/>
      </c>
      <c r="BB9" s="218" t="str">
        <f t="shared" si="206"/>
        <v/>
      </c>
      <c r="BC9" s="218" t="str">
        <f t="shared" si="207"/>
        <v/>
      </c>
      <c r="BD9" s="218" t="str">
        <f t="shared" si="31"/>
        <v/>
      </c>
      <c r="BE9" s="218" t="str">
        <f t="shared" si="208"/>
        <v/>
      </c>
      <c r="BF9" s="218" t="str">
        <f t="shared" si="209"/>
        <v/>
      </c>
      <c r="BG9" s="218" t="str">
        <f t="shared" si="32"/>
        <v/>
      </c>
      <c r="BH9" s="218" t="str">
        <f t="shared" si="210"/>
        <v/>
      </c>
      <c r="BI9" s="218" t="str">
        <f t="shared" si="211"/>
        <v/>
      </c>
      <c r="BJ9" s="218" t="str">
        <f t="shared" si="33"/>
        <v/>
      </c>
      <c r="BK9" s="218" t="str">
        <f t="shared" si="212"/>
        <v/>
      </c>
      <c r="BL9" s="218" t="str">
        <f t="shared" si="213"/>
        <v/>
      </c>
      <c r="BM9" s="218" t="str">
        <f t="shared" si="34"/>
        <v/>
      </c>
      <c r="BN9" s="218" t="str">
        <f t="shared" si="214"/>
        <v/>
      </c>
      <c r="BO9" s="218" t="str">
        <f t="shared" si="215"/>
        <v/>
      </c>
      <c r="BP9" s="218" t="str">
        <f t="shared" si="35"/>
        <v/>
      </c>
      <c r="BQ9" s="218" t="str">
        <f t="shared" si="216"/>
        <v/>
      </c>
      <c r="BR9" s="218" t="str">
        <f t="shared" si="217"/>
        <v/>
      </c>
      <c r="BS9" s="218" t="str">
        <f t="shared" si="36"/>
        <v/>
      </c>
      <c r="BT9" s="218" t="str">
        <f t="shared" si="218"/>
        <v/>
      </c>
      <c r="BU9" s="218" t="str">
        <f t="shared" si="219"/>
        <v/>
      </c>
      <c r="BV9" s="218" t="str">
        <f t="shared" si="37"/>
        <v/>
      </c>
      <c r="BW9" s="218" t="str">
        <f t="shared" si="220"/>
        <v/>
      </c>
      <c r="BX9" s="218" t="str">
        <f t="shared" si="221"/>
        <v/>
      </c>
      <c r="BY9" s="218" t="str">
        <f t="shared" si="38"/>
        <v/>
      </c>
      <c r="BZ9" s="218" t="str">
        <f t="shared" si="222"/>
        <v/>
      </c>
      <c r="CA9" s="218" t="str">
        <f t="shared" si="223"/>
        <v/>
      </c>
      <c r="CB9" s="218" t="str">
        <f t="shared" si="39"/>
        <v/>
      </c>
      <c r="CD9" s="218" t="str">
        <f t="shared" si="40"/>
        <v/>
      </c>
      <c r="CE9" s="218" t="str">
        <f t="shared" si="41"/>
        <v/>
      </c>
      <c r="CF9" s="218" t="str">
        <f t="shared" si="42"/>
        <v/>
      </c>
      <c r="CG9" s="218" t="str">
        <f t="shared" si="43"/>
        <v/>
      </c>
      <c r="CH9" s="218" t="str">
        <f t="shared" si="44"/>
        <v/>
      </c>
      <c r="CI9" s="218" t="str">
        <f t="shared" si="45"/>
        <v/>
      </c>
      <c r="CJ9" s="218" t="str">
        <f t="shared" si="46"/>
        <v/>
      </c>
      <c r="CK9" s="218" t="str">
        <f t="shared" si="47"/>
        <v/>
      </c>
      <c r="CL9" s="218" t="str">
        <f t="shared" si="48"/>
        <v/>
      </c>
      <c r="CM9" s="218" t="str">
        <f t="shared" si="49"/>
        <v/>
      </c>
      <c r="CN9" s="218" t="str">
        <f t="shared" si="50"/>
        <v/>
      </c>
      <c r="CO9" s="218" t="str">
        <f t="shared" si="51"/>
        <v/>
      </c>
      <c r="CP9" s="218" t="str">
        <f t="shared" si="52"/>
        <v/>
      </c>
      <c r="CQ9" s="218" t="str">
        <f t="shared" si="53"/>
        <v/>
      </c>
      <c r="CR9" s="218" t="str">
        <f t="shared" si="54"/>
        <v/>
      </c>
      <c r="CS9" s="218" t="str">
        <f t="shared" si="55"/>
        <v/>
      </c>
      <c r="CT9" s="218" t="str">
        <f t="shared" si="56"/>
        <v/>
      </c>
      <c r="CU9" s="218" t="str">
        <f t="shared" si="57"/>
        <v/>
      </c>
      <c r="CV9" s="218" t="str">
        <f t="shared" si="58"/>
        <v/>
      </c>
      <c r="CW9" s="218" t="str">
        <f t="shared" si="59"/>
        <v/>
      </c>
      <c r="CX9" s="218" t="str">
        <f t="shared" si="60"/>
        <v/>
      </c>
      <c r="CY9" s="218" t="str">
        <f t="shared" si="61"/>
        <v/>
      </c>
      <c r="CZ9" s="218" t="str">
        <f t="shared" si="62"/>
        <v/>
      </c>
      <c r="DA9" s="218" t="str">
        <f t="shared" si="63"/>
        <v/>
      </c>
      <c r="DB9" s="218" t="str">
        <f t="shared" si="64"/>
        <v/>
      </c>
      <c r="DC9" s="218" t="str">
        <f t="shared" si="65"/>
        <v/>
      </c>
      <c r="DD9" s="218" t="str">
        <f t="shared" si="66"/>
        <v/>
      </c>
      <c r="DF9" s="218" t="str">
        <f t="shared" si="67"/>
        <v/>
      </c>
      <c r="DG9" s="218" t="str">
        <f t="shared" si="68"/>
        <v/>
      </c>
      <c r="DH9" s="218" t="str">
        <f t="shared" si="69"/>
        <v/>
      </c>
      <c r="DI9" s="218" t="str">
        <f t="shared" si="70"/>
        <v/>
      </c>
      <c r="DJ9" s="218" t="str">
        <f t="shared" si="71"/>
        <v/>
      </c>
      <c r="DK9" s="218" t="str">
        <f t="shared" si="72"/>
        <v/>
      </c>
      <c r="DL9" s="218" t="str">
        <f t="shared" si="73"/>
        <v/>
      </c>
      <c r="DM9" s="218" t="str">
        <f t="shared" si="74"/>
        <v/>
      </c>
      <c r="DN9" s="218" t="str">
        <f t="shared" si="75"/>
        <v/>
      </c>
      <c r="DO9" s="218" t="str">
        <f t="shared" si="76"/>
        <v/>
      </c>
      <c r="DP9" s="218" t="str">
        <f t="shared" si="77"/>
        <v/>
      </c>
      <c r="DQ9" s="218" t="str">
        <f t="shared" si="78"/>
        <v/>
      </c>
      <c r="DR9" s="218" t="str">
        <f t="shared" si="79"/>
        <v/>
      </c>
      <c r="DS9" s="218" t="str">
        <f t="shared" si="80"/>
        <v/>
      </c>
      <c r="DT9" s="218" t="str">
        <f t="shared" si="81"/>
        <v/>
      </c>
      <c r="DU9" s="218" t="str">
        <f t="shared" si="82"/>
        <v/>
      </c>
      <c r="DV9" s="218" t="str">
        <f t="shared" si="83"/>
        <v/>
      </c>
      <c r="DW9" s="218" t="str">
        <f t="shared" si="84"/>
        <v/>
      </c>
      <c r="DX9" s="218" t="str">
        <f t="shared" si="85"/>
        <v/>
      </c>
      <c r="DY9" s="218" t="str">
        <f t="shared" si="86"/>
        <v/>
      </c>
      <c r="DZ9" s="218" t="str">
        <f t="shared" si="87"/>
        <v/>
      </c>
      <c r="EA9" s="218" t="str">
        <f t="shared" si="88"/>
        <v/>
      </c>
      <c r="EB9" s="218" t="str">
        <f t="shared" si="89"/>
        <v/>
      </c>
      <c r="EC9" s="218" t="str">
        <f t="shared" si="90"/>
        <v/>
      </c>
      <c r="EE9" s="218" t="str">
        <f t="shared" si="91"/>
        <v/>
      </c>
      <c r="EF9" s="218" t="str">
        <f t="shared" si="92"/>
        <v/>
      </c>
      <c r="EG9" s="218" t="str">
        <f t="shared" si="93"/>
        <v/>
      </c>
      <c r="EH9" s="218" t="str">
        <f t="shared" si="94"/>
        <v/>
      </c>
      <c r="EI9" s="218" t="str">
        <f t="shared" si="95"/>
        <v/>
      </c>
      <c r="EJ9" s="218" t="str">
        <f t="shared" si="96"/>
        <v/>
      </c>
      <c r="EK9" s="218" t="str">
        <f t="shared" si="97"/>
        <v/>
      </c>
      <c r="EL9" s="218" t="str">
        <f t="shared" si="98"/>
        <v/>
      </c>
      <c r="EM9" s="218" t="str">
        <f t="shared" si="99"/>
        <v/>
      </c>
      <c r="EN9" s="218" t="str">
        <f t="shared" si="100"/>
        <v/>
      </c>
      <c r="EO9" s="218" t="str">
        <f t="shared" si="101"/>
        <v/>
      </c>
      <c r="EP9" s="218" t="str">
        <f t="shared" si="102"/>
        <v/>
      </c>
      <c r="EQ9" s="218" t="str">
        <f t="shared" si="103"/>
        <v/>
      </c>
      <c r="ER9" s="218" t="str">
        <f t="shared" si="104"/>
        <v/>
      </c>
      <c r="ES9" s="218" t="str">
        <f t="shared" si="105"/>
        <v/>
      </c>
      <c r="ET9" s="218" t="str">
        <f t="shared" si="106"/>
        <v/>
      </c>
      <c r="EU9" s="218" t="str">
        <f t="shared" si="107"/>
        <v/>
      </c>
      <c r="EV9" s="218" t="str">
        <f t="shared" si="108"/>
        <v/>
      </c>
      <c r="EW9" s="218" t="str">
        <f t="shared" si="109"/>
        <v/>
      </c>
      <c r="EX9" s="218" t="str">
        <f t="shared" si="110"/>
        <v/>
      </c>
      <c r="EY9" s="218" t="str">
        <f t="shared" si="111"/>
        <v/>
      </c>
      <c r="FA9" s="218" t="str">
        <f t="shared" si="112"/>
        <v/>
      </c>
      <c r="FB9" s="218" t="str">
        <f t="shared" si="113"/>
        <v/>
      </c>
      <c r="FC9" s="218" t="str">
        <f t="shared" si="114"/>
        <v/>
      </c>
      <c r="FD9" s="218" t="str">
        <f t="shared" si="115"/>
        <v/>
      </c>
      <c r="FE9" s="218" t="str">
        <f t="shared" si="116"/>
        <v/>
      </c>
      <c r="FF9" s="218" t="str">
        <f t="shared" si="117"/>
        <v/>
      </c>
      <c r="FG9" s="218" t="str">
        <f t="shared" si="118"/>
        <v/>
      </c>
      <c r="FH9" s="218" t="str">
        <f t="shared" si="119"/>
        <v/>
      </c>
      <c r="FI9" s="218" t="str">
        <f t="shared" si="120"/>
        <v/>
      </c>
      <c r="FJ9" s="218" t="str">
        <f t="shared" si="121"/>
        <v/>
      </c>
      <c r="FK9" s="218" t="str">
        <f t="shared" si="122"/>
        <v/>
      </c>
      <c r="FL9" s="218" t="str">
        <f t="shared" si="123"/>
        <v/>
      </c>
      <c r="FM9" s="218" t="str">
        <f t="shared" si="124"/>
        <v/>
      </c>
      <c r="FN9" s="218" t="str">
        <f t="shared" si="125"/>
        <v/>
      </c>
      <c r="FO9" s="218" t="str">
        <f t="shared" si="126"/>
        <v/>
      </c>
      <c r="FP9" s="218" t="str">
        <f t="shared" si="127"/>
        <v/>
      </c>
      <c r="FQ9" s="218" t="str">
        <f t="shared" si="128"/>
        <v/>
      </c>
      <c r="FR9" s="218" t="str">
        <f t="shared" si="129"/>
        <v/>
      </c>
      <c r="FT9" s="218" t="str">
        <f t="shared" si="130"/>
        <v/>
      </c>
      <c r="FU9" s="218" t="str">
        <f t="shared" si="131"/>
        <v/>
      </c>
      <c r="FV9" s="218" t="str">
        <f t="shared" si="132"/>
        <v/>
      </c>
      <c r="FW9" s="218" t="str">
        <f t="shared" si="133"/>
        <v/>
      </c>
      <c r="FX9" s="218" t="str">
        <f t="shared" si="134"/>
        <v/>
      </c>
      <c r="FY9" s="218" t="str">
        <f t="shared" si="135"/>
        <v/>
      </c>
      <c r="FZ9" s="218" t="str">
        <f t="shared" si="136"/>
        <v/>
      </c>
      <c r="GA9" s="218" t="str">
        <f t="shared" si="137"/>
        <v/>
      </c>
      <c r="GB9" s="218" t="str">
        <f t="shared" si="138"/>
        <v/>
      </c>
      <c r="GC9" s="218" t="str">
        <f t="shared" si="139"/>
        <v/>
      </c>
      <c r="GD9" s="218" t="str">
        <f t="shared" si="140"/>
        <v/>
      </c>
      <c r="GE9" s="218" t="str">
        <f t="shared" si="141"/>
        <v/>
      </c>
      <c r="GF9" s="218" t="str">
        <f t="shared" si="142"/>
        <v/>
      </c>
      <c r="GG9" s="218" t="str">
        <f t="shared" si="143"/>
        <v/>
      </c>
      <c r="GH9" s="218" t="str">
        <f t="shared" si="144"/>
        <v/>
      </c>
      <c r="GJ9" s="218" t="str">
        <f t="shared" si="145"/>
        <v/>
      </c>
      <c r="GK9" s="218" t="str">
        <f t="shared" si="146"/>
        <v/>
      </c>
      <c r="GL9" s="218" t="str">
        <f t="shared" si="147"/>
        <v/>
      </c>
      <c r="GM9" s="218" t="str">
        <f t="shared" si="148"/>
        <v/>
      </c>
      <c r="GN9" s="218" t="str">
        <f t="shared" si="149"/>
        <v/>
      </c>
      <c r="GO9" s="218" t="str">
        <f t="shared" si="150"/>
        <v/>
      </c>
      <c r="GP9" s="218" t="str">
        <f t="shared" si="151"/>
        <v/>
      </c>
      <c r="GQ9" s="218" t="str">
        <f t="shared" si="152"/>
        <v/>
      </c>
      <c r="GR9" s="218" t="str">
        <f t="shared" si="153"/>
        <v/>
      </c>
      <c r="GS9" s="218" t="str">
        <f t="shared" si="154"/>
        <v/>
      </c>
      <c r="GT9" s="218" t="str">
        <f t="shared" si="155"/>
        <v/>
      </c>
      <c r="GU9" s="218" t="str">
        <f t="shared" si="156"/>
        <v/>
      </c>
      <c r="GW9" s="218" t="str">
        <f t="shared" si="157"/>
        <v/>
      </c>
      <c r="GX9" s="218" t="str">
        <f t="shared" si="158"/>
        <v/>
      </c>
      <c r="GY9" s="218" t="str">
        <f t="shared" si="159"/>
        <v/>
      </c>
      <c r="GZ9" s="218" t="str">
        <f t="shared" si="160"/>
        <v/>
      </c>
      <c r="HA9" s="218" t="str">
        <f t="shared" si="161"/>
        <v/>
      </c>
      <c r="HB9" s="218" t="str">
        <f t="shared" si="162"/>
        <v/>
      </c>
      <c r="HC9" s="218" t="str">
        <f t="shared" si="163"/>
        <v/>
      </c>
      <c r="HD9" s="218" t="str">
        <f t="shared" si="164"/>
        <v/>
      </c>
      <c r="HE9" s="218" t="str">
        <f t="shared" si="165"/>
        <v/>
      </c>
      <c r="HG9" s="218" t="str">
        <f t="shared" si="166"/>
        <v/>
      </c>
      <c r="HH9" s="218" t="str">
        <f t="shared" si="167"/>
        <v/>
      </c>
      <c r="HI9" s="218" t="str">
        <f t="shared" si="168"/>
        <v/>
      </c>
      <c r="HJ9" s="218" t="str">
        <f t="shared" si="169"/>
        <v/>
      </c>
      <c r="HK9" s="218" t="str">
        <f t="shared" si="170"/>
        <v/>
      </c>
      <c r="HL9" s="218" t="str">
        <f t="shared" si="171"/>
        <v/>
      </c>
      <c r="HN9" s="218" t="str">
        <f t="shared" si="172"/>
        <v/>
      </c>
      <c r="HO9" s="218" t="str">
        <f t="shared" si="173"/>
        <v/>
      </c>
      <c r="HP9" s="218" t="str">
        <f t="shared" si="174"/>
        <v/>
      </c>
      <c r="HR9" s="218" t="str">
        <f t="shared" si="224"/>
        <v/>
      </c>
      <c r="HS9" s="218" t="str">
        <f t="shared" si="225"/>
        <v/>
      </c>
      <c r="HT9" s="218" t="str">
        <f t="shared" si="175"/>
        <v/>
      </c>
      <c r="HU9" s="218" t="str">
        <f t="shared" si="176"/>
        <v/>
      </c>
      <c r="HV9" s="218" t="str">
        <f t="shared" si="177"/>
        <v/>
      </c>
      <c r="HW9" s="218" t="str">
        <f t="shared" si="178"/>
        <v/>
      </c>
      <c r="HX9" s="218" t="str">
        <f t="shared" si="179"/>
        <v/>
      </c>
      <c r="HY9" s="218" t="str">
        <f t="shared" si="180"/>
        <v/>
      </c>
      <c r="HZ9" s="218" t="str">
        <f t="shared" si="181"/>
        <v/>
      </c>
      <c r="IA9" s="218" t="str">
        <f t="shared" si="182"/>
        <v/>
      </c>
      <c r="IB9" s="218" t="str">
        <f t="shared" si="183"/>
        <v/>
      </c>
      <c r="IC9" s="218" t="str">
        <f t="shared" si="184"/>
        <v/>
      </c>
      <c r="ID9" s="218" t="str">
        <f t="shared" si="185"/>
        <v/>
      </c>
      <c r="IE9" s="218" t="str">
        <f t="shared" si="186"/>
        <v/>
      </c>
      <c r="IF9" s="218" t="str">
        <f t="shared" si="187"/>
        <v/>
      </c>
      <c r="IG9" s="218" t="str">
        <f t="shared" si="188"/>
        <v/>
      </c>
      <c r="IH9" s="218" t="str">
        <f t="shared" si="189"/>
        <v/>
      </c>
      <c r="II9" s="218" t="str">
        <f t="shared" si="190"/>
        <v/>
      </c>
      <c r="IJ9" s="218" t="str">
        <f t="shared" si="191"/>
        <v/>
      </c>
      <c r="IK9" s="218" t="str">
        <f t="shared" si="192"/>
        <v/>
      </c>
      <c r="IL9" s="218" t="str">
        <f t="shared" si="193"/>
        <v/>
      </c>
      <c r="IM9" s="218" t="str">
        <f t="shared" si="194"/>
        <v/>
      </c>
      <c r="IN9" s="218" t="str">
        <f t="shared" si="195"/>
        <v/>
      </c>
      <c r="IO9" s="218" t="str">
        <f t="shared" si="196"/>
        <v/>
      </c>
      <c r="IP9" s="218" t="str">
        <f t="shared" si="197"/>
        <v/>
      </c>
      <c r="IQ9" s="218" t="str">
        <f t="shared" si="198"/>
        <v/>
      </c>
      <c r="IR9" s="218" t="str">
        <f t="shared" si="199"/>
        <v/>
      </c>
      <c r="IS9" s="218" t="str">
        <f t="shared" si="200"/>
        <v/>
      </c>
      <c r="IT9" s="218" t="str">
        <f t="shared" si="201"/>
        <v/>
      </c>
      <c r="IU9" s="218" t="str">
        <f t="shared" si="202"/>
        <v/>
      </c>
    </row>
    <row r="10" spans="1:255" x14ac:dyDescent="0.2">
      <c r="A10" s="200" t="s">
        <v>13</v>
      </c>
      <c r="B10" s="184"/>
      <c r="C10" s="179"/>
      <c r="D10" s="180"/>
      <c r="E10" s="180"/>
      <c r="F10" s="197"/>
      <c r="G10" s="198"/>
      <c r="H10" s="197"/>
      <c r="I10" s="197"/>
      <c r="J10" s="197"/>
      <c r="K10" s="185"/>
      <c r="L10" s="217" t="str">
        <f t="shared" si="29"/>
        <v/>
      </c>
      <c r="M10" s="218">
        <f>'HKG vs. BK'!M10</f>
        <v>21.151850510286614</v>
      </c>
      <c r="N10" s="218" t="str">
        <f>'HKG vs. BK'!N10</f>
        <v>±0,43</v>
      </c>
      <c r="O10" s="218" t="str">
        <f>'HKG vs. BK'!O10</f>
        <v>±1,83</v>
      </c>
      <c r="P10" s="218" t="str">
        <f>'HKG vs. BK'!P10</f>
        <v>±0,22</v>
      </c>
      <c r="Q10" s="219" t="str">
        <f t="shared" si="203"/>
        <v/>
      </c>
      <c r="R10" s="220" t="str">
        <f t="shared" si="0"/>
        <v/>
      </c>
      <c r="S10" s="220" t="str">
        <f t="shared" si="1"/>
        <v/>
      </c>
      <c r="T10" s="219" t="str">
        <f t="shared" si="2"/>
        <v/>
      </c>
      <c r="U10" s="220" t="str">
        <f t="shared" si="3"/>
        <v/>
      </c>
      <c r="V10" s="220" t="str">
        <f t="shared" si="4"/>
        <v/>
      </c>
      <c r="W10" s="219" t="str">
        <f t="shared" si="5"/>
        <v/>
      </c>
      <c r="X10" s="220" t="str">
        <f t="shared" si="6"/>
        <v/>
      </c>
      <c r="Y10" s="220" t="str">
        <f t="shared" si="7"/>
        <v/>
      </c>
      <c r="Z10" s="219" t="str">
        <f t="shared" si="8"/>
        <v/>
      </c>
      <c r="AA10" s="220" t="str">
        <f t="shared" si="9"/>
        <v/>
      </c>
      <c r="AB10" s="220" t="str">
        <f t="shared" si="10"/>
        <v/>
      </c>
      <c r="AC10" s="219" t="str">
        <f t="shared" si="11"/>
        <v/>
      </c>
      <c r="AD10" s="220" t="str">
        <f t="shared" si="12"/>
        <v/>
      </c>
      <c r="AE10" s="220" t="str">
        <f t="shared" si="13"/>
        <v/>
      </c>
      <c r="AF10" s="219" t="str">
        <f t="shared" si="14"/>
        <v/>
      </c>
      <c r="AG10" s="220" t="str">
        <f t="shared" si="15"/>
        <v/>
      </c>
      <c r="AH10" s="220" t="str">
        <f t="shared" si="16"/>
        <v/>
      </c>
      <c r="AI10" s="219" t="str">
        <f t="shared" si="17"/>
        <v/>
      </c>
      <c r="AJ10" s="220" t="str">
        <f t="shared" si="18"/>
        <v/>
      </c>
      <c r="AK10" s="220" t="str">
        <f t="shared" si="19"/>
        <v/>
      </c>
      <c r="AL10" s="219" t="str">
        <f t="shared" si="20"/>
        <v/>
      </c>
      <c r="AM10" s="220" t="str">
        <f t="shared" si="21"/>
        <v/>
      </c>
      <c r="AN10" s="220" t="str">
        <f t="shared" si="22"/>
        <v/>
      </c>
      <c r="AO10" s="219" t="str">
        <f t="shared" si="23"/>
        <v/>
      </c>
      <c r="AP10" s="220" t="str">
        <f t="shared" si="24"/>
        <v/>
      </c>
      <c r="AQ10" s="220" t="str">
        <f t="shared" si="25"/>
        <v/>
      </c>
      <c r="AR10" s="219" t="str">
        <f t="shared" si="26"/>
        <v/>
      </c>
      <c r="AS10" s="220" t="str">
        <f t="shared" si="27"/>
        <v/>
      </c>
      <c r="AT10" s="220" t="str">
        <f t="shared" si="28"/>
        <v/>
      </c>
      <c r="AU10" s="221"/>
      <c r="AV10" s="221"/>
      <c r="AW10" s="221"/>
      <c r="AY10" s="218" t="str">
        <f t="shared" si="204"/>
        <v/>
      </c>
      <c r="AZ10" s="218" t="str">
        <f t="shared" si="205"/>
        <v/>
      </c>
      <c r="BA10" s="218" t="str">
        <f t="shared" si="30"/>
        <v/>
      </c>
      <c r="BB10" s="218" t="str">
        <f t="shared" si="206"/>
        <v/>
      </c>
      <c r="BC10" s="218" t="str">
        <f t="shared" si="207"/>
        <v/>
      </c>
      <c r="BD10" s="218" t="str">
        <f t="shared" si="31"/>
        <v/>
      </c>
      <c r="BE10" s="218" t="str">
        <f t="shared" si="208"/>
        <v/>
      </c>
      <c r="BF10" s="218" t="str">
        <f t="shared" si="209"/>
        <v/>
      </c>
      <c r="BG10" s="218" t="str">
        <f t="shared" si="32"/>
        <v/>
      </c>
      <c r="BH10" s="218" t="str">
        <f t="shared" si="210"/>
        <v/>
      </c>
      <c r="BI10" s="218" t="str">
        <f t="shared" si="211"/>
        <v/>
      </c>
      <c r="BJ10" s="218" t="str">
        <f t="shared" si="33"/>
        <v/>
      </c>
      <c r="BK10" s="218" t="str">
        <f t="shared" si="212"/>
        <v/>
      </c>
      <c r="BL10" s="218" t="str">
        <f t="shared" si="213"/>
        <v/>
      </c>
      <c r="BM10" s="218" t="str">
        <f t="shared" si="34"/>
        <v/>
      </c>
      <c r="BN10" s="218" t="str">
        <f t="shared" si="214"/>
        <v/>
      </c>
      <c r="BO10" s="218" t="str">
        <f t="shared" si="215"/>
        <v/>
      </c>
      <c r="BP10" s="218" t="str">
        <f t="shared" si="35"/>
        <v/>
      </c>
      <c r="BQ10" s="218" t="str">
        <f t="shared" si="216"/>
        <v/>
      </c>
      <c r="BR10" s="218" t="str">
        <f t="shared" si="217"/>
        <v/>
      </c>
      <c r="BS10" s="218" t="str">
        <f t="shared" si="36"/>
        <v/>
      </c>
      <c r="BT10" s="218" t="str">
        <f t="shared" si="218"/>
        <v/>
      </c>
      <c r="BU10" s="218" t="str">
        <f t="shared" si="219"/>
        <v/>
      </c>
      <c r="BV10" s="218" t="str">
        <f t="shared" si="37"/>
        <v/>
      </c>
      <c r="BW10" s="218" t="str">
        <f t="shared" si="220"/>
        <v/>
      </c>
      <c r="BX10" s="218" t="str">
        <f t="shared" si="221"/>
        <v/>
      </c>
      <c r="BY10" s="218" t="str">
        <f t="shared" si="38"/>
        <v/>
      </c>
      <c r="BZ10" s="218" t="str">
        <f t="shared" si="222"/>
        <v/>
      </c>
      <c r="CA10" s="218" t="str">
        <f t="shared" si="223"/>
        <v/>
      </c>
      <c r="CB10" s="218" t="str">
        <f t="shared" si="39"/>
        <v/>
      </c>
      <c r="CD10" s="218" t="str">
        <f t="shared" si="40"/>
        <v/>
      </c>
      <c r="CE10" s="218" t="str">
        <f t="shared" si="41"/>
        <v/>
      </c>
      <c r="CF10" s="218" t="str">
        <f t="shared" si="42"/>
        <v/>
      </c>
      <c r="CG10" s="218" t="str">
        <f t="shared" si="43"/>
        <v/>
      </c>
      <c r="CH10" s="218" t="str">
        <f t="shared" si="44"/>
        <v/>
      </c>
      <c r="CI10" s="218" t="str">
        <f t="shared" si="45"/>
        <v/>
      </c>
      <c r="CJ10" s="218" t="str">
        <f t="shared" si="46"/>
        <v/>
      </c>
      <c r="CK10" s="218" t="str">
        <f t="shared" si="47"/>
        <v/>
      </c>
      <c r="CL10" s="218" t="str">
        <f t="shared" si="48"/>
        <v/>
      </c>
      <c r="CM10" s="218" t="str">
        <f t="shared" si="49"/>
        <v/>
      </c>
      <c r="CN10" s="218" t="str">
        <f t="shared" si="50"/>
        <v/>
      </c>
      <c r="CO10" s="218" t="str">
        <f t="shared" si="51"/>
        <v/>
      </c>
      <c r="CP10" s="218" t="str">
        <f t="shared" si="52"/>
        <v/>
      </c>
      <c r="CQ10" s="218" t="str">
        <f t="shared" si="53"/>
        <v/>
      </c>
      <c r="CR10" s="218" t="str">
        <f t="shared" si="54"/>
        <v/>
      </c>
      <c r="CS10" s="218" t="str">
        <f t="shared" si="55"/>
        <v/>
      </c>
      <c r="CT10" s="218" t="str">
        <f t="shared" si="56"/>
        <v/>
      </c>
      <c r="CU10" s="218" t="str">
        <f t="shared" si="57"/>
        <v/>
      </c>
      <c r="CV10" s="218" t="str">
        <f t="shared" si="58"/>
        <v/>
      </c>
      <c r="CW10" s="218" t="str">
        <f t="shared" si="59"/>
        <v/>
      </c>
      <c r="CX10" s="218" t="str">
        <f t="shared" si="60"/>
        <v/>
      </c>
      <c r="CY10" s="218" t="str">
        <f t="shared" si="61"/>
        <v/>
      </c>
      <c r="CZ10" s="218" t="str">
        <f t="shared" si="62"/>
        <v/>
      </c>
      <c r="DA10" s="218" t="str">
        <f t="shared" si="63"/>
        <v/>
      </c>
      <c r="DB10" s="218" t="str">
        <f t="shared" si="64"/>
        <v/>
      </c>
      <c r="DC10" s="218" t="str">
        <f t="shared" si="65"/>
        <v/>
      </c>
      <c r="DD10" s="218" t="str">
        <f t="shared" si="66"/>
        <v/>
      </c>
      <c r="DF10" s="218" t="str">
        <f t="shared" si="67"/>
        <v/>
      </c>
      <c r="DG10" s="218" t="str">
        <f t="shared" si="68"/>
        <v/>
      </c>
      <c r="DH10" s="218" t="str">
        <f t="shared" si="69"/>
        <v/>
      </c>
      <c r="DI10" s="218" t="str">
        <f t="shared" si="70"/>
        <v/>
      </c>
      <c r="DJ10" s="218" t="str">
        <f t="shared" si="71"/>
        <v/>
      </c>
      <c r="DK10" s="218" t="str">
        <f t="shared" si="72"/>
        <v/>
      </c>
      <c r="DL10" s="218" t="str">
        <f t="shared" si="73"/>
        <v/>
      </c>
      <c r="DM10" s="218" t="str">
        <f t="shared" si="74"/>
        <v/>
      </c>
      <c r="DN10" s="218" t="str">
        <f t="shared" si="75"/>
        <v/>
      </c>
      <c r="DO10" s="218" t="str">
        <f t="shared" si="76"/>
        <v/>
      </c>
      <c r="DP10" s="218" t="str">
        <f t="shared" si="77"/>
        <v/>
      </c>
      <c r="DQ10" s="218" t="str">
        <f t="shared" si="78"/>
        <v/>
      </c>
      <c r="DR10" s="218" t="str">
        <f t="shared" si="79"/>
        <v/>
      </c>
      <c r="DS10" s="218" t="str">
        <f t="shared" si="80"/>
        <v/>
      </c>
      <c r="DT10" s="218" t="str">
        <f t="shared" si="81"/>
        <v/>
      </c>
      <c r="DU10" s="218" t="str">
        <f t="shared" si="82"/>
        <v/>
      </c>
      <c r="DV10" s="218" t="str">
        <f t="shared" si="83"/>
        <v/>
      </c>
      <c r="DW10" s="218" t="str">
        <f t="shared" si="84"/>
        <v/>
      </c>
      <c r="DX10" s="218" t="str">
        <f t="shared" si="85"/>
        <v/>
      </c>
      <c r="DY10" s="218" t="str">
        <f t="shared" si="86"/>
        <v/>
      </c>
      <c r="DZ10" s="218" t="str">
        <f t="shared" si="87"/>
        <v/>
      </c>
      <c r="EA10" s="218" t="str">
        <f t="shared" si="88"/>
        <v/>
      </c>
      <c r="EB10" s="218" t="str">
        <f t="shared" si="89"/>
        <v/>
      </c>
      <c r="EC10" s="218" t="str">
        <f t="shared" si="90"/>
        <v/>
      </c>
      <c r="EE10" s="218" t="str">
        <f t="shared" si="91"/>
        <v/>
      </c>
      <c r="EF10" s="218" t="str">
        <f t="shared" si="92"/>
        <v/>
      </c>
      <c r="EG10" s="218" t="str">
        <f t="shared" si="93"/>
        <v/>
      </c>
      <c r="EH10" s="218" t="str">
        <f t="shared" si="94"/>
        <v/>
      </c>
      <c r="EI10" s="218" t="str">
        <f t="shared" si="95"/>
        <v/>
      </c>
      <c r="EJ10" s="218" t="str">
        <f t="shared" si="96"/>
        <v/>
      </c>
      <c r="EK10" s="218" t="str">
        <f t="shared" si="97"/>
        <v/>
      </c>
      <c r="EL10" s="218" t="str">
        <f t="shared" si="98"/>
        <v/>
      </c>
      <c r="EM10" s="218" t="str">
        <f t="shared" si="99"/>
        <v/>
      </c>
      <c r="EN10" s="218" t="str">
        <f t="shared" si="100"/>
        <v/>
      </c>
      <c r="EO10" s="218" t="str">
        <f t="shared" si="101"/>
        <v/>
      </c>
      <c r="EP10" s="218" t="str">
        <f t="shared" si="102"/>
        <v/>
      </c>
      <c r="EQ10" s="218" t="str">
        <f t="shared" si="103"/>
        <v/>
      </c>
      <c r="ER10" s="218" t="str">
        <f t="shared" si="104"/>
        <v/>
      </c>
      <c r="ES10" s="218" t="str">
        <f t="shared" si="105"/>
        <v/>
      </c>
      <c r="ET10" s="218" t="str">
        <f t="shared" si="106"/>
        <v/>
      </c>
      <c r="EU10" s="218" t="str">
        <f t="shared" si="107"/>
        <v/>
      </c>
      <c r="EV10" s="218" t="str">
        <f t="shared" si="108"/>
        <v/>
      </c>
      <c r="EW10" s="218" t="str">
        <f t="shared" si="109"/>
        <v/>
      </c>
      <c r="EX10" s="218" t="str">
        <f t="shared" si="110"/>
        <v/>
      </c>
      <c r="EY10" s="218" t="str">
        <f t="shared" si="111"/>
        <v/>
      </c>
      <c r="FA10" s="218" t="str">
        <f t="shared" si="112"/>
        <v/>
      </c>
      <c r="FB10" s="218" t="str">
        <f t="shared" si="113"/>
        <v/>
      </c>
      <c r="FC10" s="218" t="str">
        <f t="shared" si="114"/>
        <v/>
      </c>
      <c r="FD10" s="218" t="str">
        <f t="shared" si="115"/>
        <v/>
      </c>
      <c r="FE10" s="218" t="str">
        <f t="shared" si="116"/>
        <v/>
      </c>
      <c r="FF10" s="218" t="str">
        <f t="shared" si="117"/>
        <v/>
      </c>
      <c r="FG10" s="218" t="str">
        <f t="shared" si="118"/>
        <v/>
      </c>
      <c r="FH10" s="218" t="str">
        <f t="shared" si="119"/>
        <v/>
      </c>
      <c r="FI10" s="218" t="str">
        <f t="shared" si="120"/>
        <v/>
      </c>
      <c r="FJ10" s="218" t="str">
        <f t="shared" si="121"/>
        <v/>
      </c>
      <c r="FK10" s="218" t="str">
        <f t="shared" si="122"/>
        <v/>
      </c>
      <c r="FL10" s="218" t="str">
        <f t="shared" si="123"/>
        <v/>
      </c>
      <c r="FM10" s="218" t="str">
        <f t="shared" si="124"/>
        <v/>
      </c>
      <c r="FN10" s="218" t="str">
        <f t="shared" si="125"/>
        <v/>
      </c>
      <c r="FO10" s="218" t="str">
        <f t="shared" si="126"/>
        <v/>
      </c>
      <c r="FP10" s="218" t="str">
        <f t="shared" si="127"/>
        <v/>
      </c>
      <c r="FQ10" s="218" t="str">
        <f t="shared" si="128"/>
        <v/>
      </c>
      <c r="FR10" s="218" t="str">
        <f t="shared" si="129"/>
        <v/>
      </c>
      <c r="FT10" s="218" t="str">
        <f t="shared" si="130"/>
        <v/>
      </c>
      <c r="FU10" s="218" t="str">
        <f t="shared" si="131"/>
        <v/>
      </c>
      <c r="FV10" s="218" t="str">
        <f t="shared" si="132"/>
        <v/>
      </c>
      <c r="FW10" s="218" t="str">
        <f t="shared" si="133"/>
        <v/>
      </c>
      <c r="FX10" s="218" t="str">
        <f t="shared" si="134"/>
        <v/>
      </c>
      <c r="FY10" s="218" t="str">
        <f t="shared" si="135"/>
        <v/>
      </c>
      <c r="FZ10" s="218" t="str">
        <f t="shared" si="136"/>
        <v/>
      </c>
      <c r="GA10" s="218" t="str">
        <f t="shared" si="137"/>
        <v/>
      </c>
      <c r="GB10" s="218" t="str">
        <f t="shared" si="138"/>
        <v/>
      </c>
      <c r="GC10" s="218" t="str">
        <f t="shared" si="139"/>
        <v/>
      </c>
      <c r="GD10" s="218" t="str">
        <f t="shared" si="140"/>
        <v/>
      </c>
      <c r="GE10" s="218" t="str">
        <f t="shared" si="141"/>
        <v/>
      </c>
      <c r="GF10" s="218" t="str">
        <f t="shared" si="142"/>
        <v/>
      </c>
      <c r="GG10" s="218" t="str">
        <f t="shared" si="143"/>
        <v/>
      </c>
      <c r="GH10" s="218" t="str">
        <f t="shared" si="144"/>
        <v/>
      </c>
      <c r="GJ10" s="218" t="str">
        <f t="shared" si="145"/>
        <v/>
      </c>
      <c r="GK10" s="218" t="str">
        <f t="shared" si="146"/>
        <v/>
      </c>
      <c r="GL10" s="218" t="str">
        <f t="shared" si="147"/>
        <v/>
      </c>
      <c r="GM10" s="218" t="str">
        <f t="shared" si="148"/>
        <v/>
      </c>
      <c r="GN10" s="218" t="str">
        <f t="shared" si="149"/>
        <v/>
      </c>
      <c r="GO10" s="218" t="str">
        <f t="shared" si="150"/>
        <v/>
      </c>
      <c r="GP10" s="218" t="str">
        <f t="shared" si="151"/>
        <v/>
      </c>
      <c r="GQ10" s="218" t="str">
        <f t="shared" si="152"/>
        <v/>
      </c>
      <c r="GR10" s="218" t="str">
        <f t="shared" si="153"/>
        <v/>
      </c>
      <c r="GS10" s="218" t="str">
        <f t="shared" si="154"/>
        <v/>
      </c>
      <c r="GT10" s="218" t="str">
        <f t="shared" si="155"/>
        <v/>
      </c>
      <c r="GU10" s="218" t="str">
        <f t="shared" si="156"/>
        <v/>
      </c>
      <c r="GW10" s="218" t="str">
        <f t="shared" si="157"/>
        <v/>
      </c>
      <c r="GX10" s="218" t="str">
        <f t="shared" si="158"/>
        <v/>
      </c>
      <c r="GY10" s="218" t="str">
        <f t="shared" si="159"/>
        <v/>
      </c>
      <c r="GZ10" s="218" t="str">
        <f t="shared" si="160"/>
        <v/>
      </c>
      <c r="HA10" s="218" t="str">
        <f t="shared" si="161"/>
        <v/>
      </c>
      <c r="HB10" s="218" t="str">
        <f t="shared" si="162"/>
        <v/>
      </c>
      <c r="HC10" s="218" t="str">
        <f t="shared" si="163"/>
        <v/>
      </c>
      <c r="HD10" s="218" t="str">
        <f t="shared" si="164"/>
        <v/>
      </c>
      <c r="HE10" s="218" t="str">
        <f t="shared" si="165"/>
        <v/>
      </c>
      <c r="HG10" s="218" t="str">
        <f t="shared" si="166"/>
        <v/>
      </c>
      <c r="HH10" s="218" t="str">
        <f t="shared" si="167"/>
        <v/>
      </c>
      <c r="HI10" s="218" t="str">
        <f t="shared" si="168"/>
        <v/>
      </c>
      <c r="HJ10" s="218" t="str">
        <f t="shared" si="169"/>
        <v/>
      </c>
      <c r="HK10" s="218" t="str">
        <f t="shared" si="170"/>
        <v/>
      </c>
      <c r="HL10" s="218" t="str">
        <f t="shared" si="171"/>
        <v/>
      </c>
      <c r="HN10" s="218" t="str">
        <f t="shared" si="172"/>
        <v/>
      </c>
      <c r="HO10" s="218" t="str">
        <f t="shared" si="173"/>
        <v/>
      </c>
      <c r="HP10" s="218" t="str">
        <f t="shared" si="174"/>
        <v/>
      </c>
      <c r="HR10" s="218" t="str">
        <f t="shared" si="224"/>
        <v/>
      </c>
      <c r="HS10" s="218" t="str">
        <f t="shared" si="225"/>
        <v/>
      </c>
      <c r="HT10" s="218" t="str">
        <f t="shared" si="175"/>
        <v/>
      </c>
      <c r="HU10" s="218" t="str">
        <f t="shared" si="176"/>
        <v/>
      </c>
      <c r="HV10" s="218" t="str">
        <f t="shared" si="177"/>
        <v/>
      </c>
      <c r="HW10" s="218" t="str">
        <f t="shared" si="178"/>
        <v/>
      </c>
      <c r="HX10" s="218" t="str">
        <f t="shared" si="179"/>
        <v/>
      </c>
      <c r="HY10" s="218" t="str">
        <f t="shared" si="180"/>
        <v/>
      </c>
      <c r="HZ10" s="218" t="str">
        <f t="shared" si="181"/>
        <v/>
      </c>
      <c r="IA10" s="218" t="str">
        <f t="shared" si="182"/>
        <v/>
      </c>
      <c r="IB10" s="218" t="str">
        <f t="shared" si="183"/>
        <v/>
      </c>
      <c r="IC10" s="218" t="str">
        <f t="shared" si="184"/>
        <v/>
      </c>
      <c r="ID10" s="218" t="str">
        <f t="shared" si="185"/>
        <v/>
      </c>
      <c r="IE10" s="218" t="str">
        <f t="shared" si="186"/>
        <v/>
      </c>
      <c r="IF10" s="218" t="str">
        <f t="shared" si="187"/>
        <v/>
      </c>
      <c r="IG10" s="218" t="str">
        <f t="shared" si="188"/>
        <v/>
      </c>
      <c r="IH10" s="218" t="str">
        <f t="shared" si="189"/>
        <v/>
      </c>
      <c r="II10" s="218" t="str">
        <f t="shared" si="190"/>
        <v/>
      </c>
      <c r="IJ10" s="218" t="str">
        <f t="shared" si="191"/>
        <v/>
      </c>
      <c r="IK10" s="218" t="str">
        <f t="shared" si="192"/>
        <v/>
      </c>
      <c r="IL10" s="218" t="str">
        <f t="shared" si="193"/>
        <v/>
      </c>
      <c r="IM10" s="218" t="str">
        <f t="shared" si="194"/>
        <v/>
      </c>
      <c r="IN10" s="218" t="str">
        <f t="shared" si="195"/>
        <v/>
      </c>
      <c r="IO10" s="218" t="str">
        <f t="shared" si="196"/>
        <v/>
      </c>
      <c r="IP10" s="218" t="str">
        <f t="shared" si="197"/>
        <v/>
      </c>
      <c r="IQ10" s="218" t="str">
        <f t="shared" si="198"/>
        <v/>
      </c>
      <c r="IR10" s="218" t="str">
        <f t="shared" si="199"/>
        <v/>
      </c>
      <c r="IS10" s="218" t="str">
        <f t="shared" si="200"/>
        <v/>
      </c>
      <c r="IT10" s="218" t="str">
        <f t="shared" si="201"/>
        <v/>
      </c>
      <c r="IU10" s="218" t="str">
        <f t="shared" si="202"/>
        <v/>
      </c>
    </row>
    <row r="11" spans="1:255" x14ac:dyDescent="0.2">
      <c r="A11" s="200" t="s">
        <v>14</v>
      </c>
      <c r="B11" s="184"/>
      <c r="C11" s="179"/>
      <c r="D11" s="181"/>
      <c r="E11" s="181"/>
      <c r="F11" s="197"/>
      <c r="G11" s="198"/>
      <c r="H11" s="197"/>
      <c r="I11" s="197"/>
      <c r="J11" s="197"/>
      <c r="K11" s="185"/>
      <c r="L11" s="217" t="str">
        <f t="shared" si="29"/>
        <v/>
      </c>
      <c r="M11" s="218">
        <f>'HKG vs. BK'!M11</f>
        <v>20.739021215536624</v>
      </c>
      <c r="N11" s="218" t="str">
        <f>'HKG vs. BK'!N11</f>
        <v>±0,87</v>
      </c>
      <c r="O11" s="218" t="str">
        <f>'HKG vs. BK'!O11</f>
        <v>±3,66</v>
      </c>
      <c r="P11" s="218" t="str">
        <f>'HKG vs. BK'!P11</f>
        <v>±0,69</v>
      </c>
      <c r="Q11" s="219" t="str">
        <f t="shared" si="203"/>
        <v/>
      </c>
      <c r="R11" s="220" t="str">
        <f t="shared" si="0"/>
        <v/>
      </c>
      <c r="S11" s="220" t="str">
        <f t="shared" si="1"/>
        <v/>
      </c>
      <c r="T11" s="219" t="str">
        <f t="shared" si="2"/>
        <v/>
      </c>
      <c r="U11" s="220" t="str">
        <f t="shared" si="3"/>
        <v/>
      </c>
      <c r="V11" s="220" t="str">
        <f t="shared" si="4"/>
        <v/>
      </c>
      <c r="W11" s="219" t="str">
        <f t="shared" si="5"/>
        <v/>
      </c>
      <c r="X11" s="220" t="str">
        <f t="shared" si="6"/>
        <v/>
      </c>
      <c r="Y11" s="220" t="str">
        <f t="shared" si="7"/>
        <v/>
      </c>
      <c r="Z11" s="219" t="str">
        <f t="shared" si="8"/>
        <v/>
      </c>
      <c r="AA11" s="220" t="str">
        <f t="shared" si="9"/>
        <v/>
      </c>
      <c r="AB11" s="220" t="str">
        <f t="shared" si="10"/>
        <v/>
      </c>
      <c r="AC11" s="219" t="str">
        <f t="shared" si="11"/>
        <v/>
      </c>
      <c r="AD11" s="220" t="str">
        <f t="shared" si="12"/>
        <v/>
      </c>
      <c r="AE11" s="220" t="str">
        <f t="shared" si="13"/>
        <v/>
      </c>
      <c r="AF11" s="219" t="str">
        <f t="shared" si="14"/>
        <v/>
      </c>
      <c r="AG11" s="220" t="str">
        <f t="shared" si="15"/>
        <v/>
      </c>
      <c r="AH11" s="220" t="str">
        <f t="shared" si="16"/>
        <v/>
      </c>
      <c r="AI11" s="219" t="str">
        <f t="shared" si="17"/>
        <v/>
      </c>
      <c r="AJ11" s="220" t="str">
        <f t="shared" si="18"/>
        <v/>
      </c>
      <c r="AK11" s="220" t="str">
        <f t="shared" si="19"/>
        <v/>
      </c>
      <c r="AL11" s="219" t="str">
        <f t="shared" si="20"/>
        <v/>
      </c>
      <c r="AM11" s="220" t="str">
        <f t="shared" si="21"/>
        <v/>
      </c>
      <c r="AN11" s="220" t="str">
        <f t="shared" si="22"/>
        <v/>
      </c>
      <c r="AO11" s="219" t="str">
        <f t="shared" si="23"/>
        <v/>
      </c>
      <c r="AP11" s="220" t="str">
        <f t="shared" si="24"/>
        <v/>
      </c>
      <c r="AQ11" s="220" t="str">
        <f t="shared" si="25"/>
        <v/>
      </c>
      <c r="AR11" s="219" t="str">
        <f t="shared" si="26"/>
        <v/>
      </c>
      <c r="AS11" s="220" t="str">
        <f t="shared" si="27"/>
        <v/>
      </c>
      <c r="AT11" s="220" t="str">
        <f t="shared" si="28"/>
        <v/>
      </c>
      <c r="AU11" s="221"/>
      <c r="AV11" s="221"/>
      <c r="AW11" s="221"/>
      <c r="AY11" s="218" t="str">
        <f t="shared" si="204"/>
        <v/>
      </c>
      <c r="AZ11" s="218" t="str">
        <f t="shared" si="205"/>
        <v/>
      </c>
      <c r="BA11" s="218" t="str">
        <f t="shared" si="30"/>
        <v/>
      </c>
      <c r="BB11" s="218" t="str">
        <f t="shared" si="206"/>
        <v/>
      </c>
      <c r="BC11" s="218" t="str">
        <f t="shared" si="207"/>
        <v/>
      </c>
      <c r="BD11" s="218" t="str">
        <f t="shared" si="31"/>
        <v/>
      </c>
      <c r="BE11" s="218" t="str">
        <f t="shared" si="208"/>
        <v/>
      </c>
      <c r="BF11" s="218" t="str">
        <f t="shared" si="209"/>
        <v/>
      </c>
      <c r="BG11" s="218" t="str">
        <f t="shared" si="32"/>
        <v/>
      </c>
      <c r="BH11" s="218" t="str">
        <f t="shared" si="210"/>
        <v/>
      </c>
      <c r="BI11" s="218" t="str">
        <f t="shared" si="211"/>
        <v/>
      </c>
      <c r="BJ11" s="218" t="str">
        <f t="shared" si="33"/>
        <v/>
      </c>
      <c r="BK11" s="218" t="str">
        <f t="shared" si="212"/>
        <v/>
      </c>
      <c r="BL11" s="218" t="str">
        <f t="shared" si="213"/>
        <v/>
      </c>
      <c r="BM11" s="218" t="str">
        <f t="shared" si="34"/>
        <v/>
      </c>
      <c r="BN11" s="218" t="str">
        <f t="shared" si="214"/>
        <v/>
      </c>
      <c r="BO11" s="218" t="str">
        <f t="shared" si="215"/>
        <v/>
      </c>
      <c r="BP11" s="218" t="str">
        <f t="shared" si="35"/>
        <v/>
      </c>
      <c r="BQ11" s="218" t="str">
        <f t="shared" si="216"/>
        <v/>
      </c>
      <c r="BR11" s="218" t="str">
        <f t="shared" si="217"/>
        <v/>
      </c>
      <c r="BS11" s="218" t="str">
        <f t="shared" si="36"/>
        <v/>
      </c>
      <c r="BT11" s="218" t="str">
        <f t="shared" si="218"/>
        <v/>
      </c>
      <c r="BU11" s="218" t="str">
        <f t="shared" si="219"/>
        <v/>
      </c>
      <c r="BV11" s="218" t="str">
        <f t="shared" si="37"/>
        <v/>
      </c>
      <c r="BW11" s="218" t="str">
        <f t="shared" si="220"/>
        <v/>
      </c>
      <c r="BX11" s="218" t="str">
        <f t="shared" si="221"/>
        <v/>
      </c>
      <c r="BY11" s="218" t="str">
        <f t="shared" si="38"/>
        <v/>
      </c>
      <c r="BZ11" s="218" t="str">
        <f t="shared" si="222"/>
        <v/>
      </c>
      <c r="CA11" s="218" t="str">
        <f t="shared" si="223"/>
        <v/>
      </c>
      <c r="CB11" s="218" t="str">
        <f t="shared" si="39"/>
        <v/>
      </c>
      <c r="CD11" s="218" t="str">
        <f t="shared" si="40"/>
        <v/>
      </c>
      <c r="CE11" s="218" t="str">
        <f t="shared" si="41"/>
        <v/>
      </c>
      <c r="CF11" s="218" t="str">
        <f t="shared" si="42"/>
        <v/>
      </c>
      <c r="CG11" s="218" t="str">
        <f t="shared" si="43"/>
        <v/>
      </c>
      <c r="CH11" s="218" t="str">
        <f t="shared" si="44"/>
        <v/>
      </c>
      <c r="CI11" s="218" t="str">
        <f t="shared" si="45"/>
        <v/>
      </c>
      <c r="CJ11" s="218" t="str">
        <f t="shared" si="46"/>
        <v/>
      </c>
      <c r="CK11" s="218" t="str">
        <f t="shared" si="47"/>
        <v/>
      </c>
      <c r="CL11" s="218" t="str">
        <f t="shared" si="48"/>
        <v/>
      </c>
      <c r="CM11" s="218" t="str">
        <f t="shared" si="49"/>
        <v/>
      </c>
      <c r="CN11" s="218" t="str">
        <f t="shared" si="50"/>
        <v/>
      </c>
      <c r="CO11" s="218" t="str">
        <f t="shared" si="51"/>
        <v/>
      </c>
      <c r="CP11" s="218" t="str">
        <f t="shared" si="52"/>
        <v/>
      </c>
      <c r="CQ11" s="218" t="str">
        <f t="shared" si="53"/>
        <v/>
      </c>
      <c r="CR11" s="218" t="str">
        <f t="shared" si="54"/>
        <v/>
      </c>
      <c r="CS11" s="218" t="str">
        <f t="shared" si="55"/>
        <v/>
      </c>
      <c r="CT11" s="218" t="str">
        <f t="shared" si="56"/>
        <v/>
      </c>
      <c r="CU11" s="218" t="str">
        <f t="shared" si="57"/>
        <v/>
      </c>
      <c r="CV11" s="218" t="str">
        <f t="shared" si="58"/>
        <v/>
      </c>
      <c r="CW11" s="218" t="str">
        <f t="shared" si="59"/>
        <v/>
      </c>
      <c r="CX11" s="218" t="str">
        <f t="shared" si="60"/>
        <v/>
      </c>
      <c r="CY11" s="218" t="str">
        <f t="shared" si="61"/>
        <v/>
      </c>
      <c r="CZ11" s="218" t="str">
        <f t="shared" si="62"/>
        <v/>
      </c>
      <c r="DA11" s="218" t="str">
        <f t="shared" si="63"/>
        <v/>
      </c>
      <c r="DB11" s="218" t="str">
        <f t="shared" si="64"/>
        <v/>
      </c>
      <c r="DC11" s="218" t="str">
        <f t="shared" si="65"/>
        <v/>
      </c>
      <c r="DD11" s="218" t="str">
        <f t="shared" si="66"/>
        <v/>
      </c>
      <c r="DF11" s="218" t="str">
        <f t="shared" si="67"/>
        <v/>
      </c>
      <c r="DG11" s="218" t="str">
        <f t="shared" si="68"/>
        <v/>
      </c>
      <c r="DH11" s="218" t="str">
        <f t="shared" si="69"/>
        <v/>
      </c>
      <c r="DI11" s="218" t="str">
        <f t="shared" si="70"/>
        <v/>
      </c>
      <c r="DJ11" s="218" t="str">
        <f t="shared" si="71"/>
        <v/>
      </c>
      <c r="DK11" s="218" t="str">
        <f t="shared" si="72"/>
        <v/>
      </c>
      <c r="DL11" s="218" t="str">
        <f t="shared" si="73"/>
        <v/>
      </c>
      <c r="DM11" s="218" t="str">
        <f t="shared" si="74"/>
        <v/>
      </c>
      <c r="DN11" s="218" t="str">
        <f t="shared" si="75"/>
        <v/>
      </c>
      <c r="DO11" s="218" t="str">
        <f t="shared" si="76"/>
        <v/>
      </c>
      <c r="DP11" s="218" t="str">
        <f t="shared" si="77"/>
        <v/>
      </c>
      <c r="DQ11" s="218" t="str">
        <f t="shared" si="78"/>
        <v/>
      </c>
      <c r="DR11" s="218" t="str">
        <f t="shared" si="79"/>
        <v/>
      </c>
      <c r="DS11" s="218" t="str">
        <f t="shared" si="80"/>
        <v/>
      </c>
      <c r="DT11" s="218" t="str">
        <f t="shared" si="81"/>
        <v/>
      </c>
      <c r="DU11" s="218" t="str">
        <f t="shared" si="82"/>
        <v/>
      </c>
      <c r="DV11" s="218" t="str">
        <f t="shared" si="83"/>
        <v/>
      </c>
      <c r="DW11" s="218" t="str">
        <f t="shared" si="84"/>
        <v/>
      </c>
      <c r="DX11" s="218" t="str">
        <f t="shared" si="85"/>
        <v/>
      </c>
      <c r="DY11" s="218" t="str">
        <f t="shared" si="86"/>
        <v/>
      </c>
      <c r="DZ11" s="218" t="str">
        <f t="shared" si="87"/>
        <v/>
      </c>
      <c r="EA11" s="218" t="str">
        <f t="shared" si="88"/>
        <v/>
      </c>
      <c r="EB11" s="218" t="str">
        <f t="shared" si="89"/>
        <v/>
      </c>
      <c r="EC11" s="218" t="str">
        <f t="shared" si="90"/>
        <v/>
      </c>
      <c r="EE11" s="218" t="str">
        <f t="shared" si="91"/>
        <v/>
      </c>
      <c r="EF11" s="218" t="str">
        <f t="shared" si="92"/>
        <v/>
      </c>
      <c r="EG11" s="218" t="str">
        <f t="shared" si="93"/>
        <v/>
      </c>
      <c r="EH11" s="218" t="str">
        <f t="shared" si="94"/>
        <v/>
      </c>
      <c r="EI11" s="218" t="str">
        <f t="shared" si="95"/>
        <v/>
      </c>
      <c r="EJ11" s="218" t="str">
        <f t="shared" si="96"/>
        <v/>
      </c>
      <c r="EK11" s="218" t="str">
        <f t="shared" si="97"/>
        <v/>
      </c>
      <c r="EL11" s="218" t="str">
        <f t="shared" si="98"/>
        <v/>
      </c>
      <c r="EM11" s="218" t="str">
        <f t="shared" si="99"/>
        <v/>
      </c>
      <c r="EN11" s="218" t="str">
        <f t="shared" si="100"/>
        <v/>
      </c>
      <c r="EO11" s="218" t="str">
        <f t="shared" si="101"/>
        <v/>
      </c>
      <c r="EP11" s="218" t="str">
        <f t="shared" si="102"/>
        <v/>
      </c>
      <c r="EQ11" s="218" t="str">
        <f t="shared" si="103"/>
        <v/>
      </c>
      <c r="ER11" s="218" t="str">
        <f t="shared" si="104"/>
        <v/>
      </c>
      <c r="ES11" s="218" t="str">
        <f t="shared" si="105"/>
        <v/>
      </c>
      <c r="ET11" s="218" t="str">
        <f t="shared" si="106"/>
        <v/>
      </c>
      <c r="EU11" s="218" t="str">
        <f t="shared" si="107"/>
        <v/>
      </c>
      <c r="EV11" s="218" t="str">
        <f t="shared" si="108"/>
        <v/>
      </c>
      <c r="EW11" s="218" t="str">
        <f t="shared" si="109"/>
        <v/>
      </c>
      <c r="EX11" s="218" t="str">
        <f t="shared" si="110"/>
        <v/>
      </c>
      <c r="EY11" s="218" t="str">
        <f t="shared" si="111"/>
        <v/>
      </c>
      <c r="FA11" s="218" t="str">
        <f t="shared" si="112"/>
        <v/>
      </c>
      <c r="FB11" s="218" t="str">
        <f t="shared" si="113"/>
        <v/>
      </c>
      <c r="FC11" s="218" t="str">
        <f t="shared" si="114"/>
        <v/>
      </c>
      <c r="FD11" s="218" t="str">
        <f t="shared" si="115"/>
        <v/>
      </c>
      <c r="FE11" s="218" t="str">
        <f t="shared" si="116"/>
        <v/>
      </c>
      <c r="FF11" s="218" t="str">
        <f t="shared" si="117"/>
        <v/>
      </c>
      <c r="FG11" s="218" t="str">
        <f t="shared" si="118"/>
        <v/>
      </c>
      <c r="FH11" s="218" t="str">
        <f t="shared" si="119"/>
        <v/>
      </c>
      <c r="FI11" s="218" t="str">
        <f t="shared" si="120"/>
        <v/>
      </c>
      <c r="FJ11" s="218" t="str">
        <f t="shared" si="121"/>
        <v/>
      </c>
      <c r="FK11" s="218" t="str">
        <f t="shared" si="122"/>
        <v/>
      </c>
      <c r="FL11" s="218" t="str">
        <f t="shared" si="123"/>
        <v/>
      </c>
      <c r="FM11" s="218" t="str">
        <f t="shared" si="124"/>
        <v/>
      </c>
      <c r="FN11" s="218" t="str">
        <f t="shared" si="125"/>
        <v/>
      </c>
      <c r="FO11" s="218" t="str">
        <f t="shared" si="126"/>
        <v/>
      </c>
      <c r="FP11" s="218" t="str">
        <f t="shared" si="127"/>
        <v/>
      </c>
      <c r="FQ11" s="218" t="str">
        <f t="shared" si="128"/>
        <v/>
      </c>
      <c r="FR11" s="218" t="str">
        <f t="shared" si="129"/>
        <v/>
      </c>
      <c r="FT11" s="218" t="str">
        <f t="shared" si="130"/>
        <v/>
      </c>
      <c r="FU11" s="218" t="str">
        <f t="shared" si="131"/>
        <v/>
      </c>
      <c r="FV11" s="218" t="str">
        <f t="shared" si="132"/>
        <v/>
      </c>
      <c r="FW11" s="218" t="str">
        <f t="shared" si="133"/>
        <v/>
      </c>
      <c r="FX11" s="218" t="str">
        <f t="shared" si="134"/>
        <v/>
      </c>
      <c r="FY11" s="218" t="str">
        <f t="shared" si="135"/>
        <v/>
      </c>
      <c r="FZ11" s="218" t="str">
        <f t="shared" si="136"/>
        <v/>
      </c>
      <c r="GA11" s="218" t="str">
        <f t="shared" si="137"/>
        <v/>
      </c>
      <c r="GB11" s="218" t="str">
        <f t="shared" si="138"/>
        <v/>
      </c>
      <c r="GC11" s="218" t="str">
        <f t="shared" si="139"/>
        <v/>
      </c>
      <c r="GD11" s="218" t="str">
        <f t="shared" si="140"/>
        <v/>
      </c>
      <c r="GE11" s="218" t="str">
        <f t="shared" si="141"/>
        <v/>
      </c>
      <c r="GF11" s="218" t="str">
        <f t="shared" si="142"/>
        <v/>
      </c>
      <c r="GG11" s="218" t="str">
        <f t="shared" si="143"/>
        <v/>
      </c>
      <c r="GH11" s="218" t="str">
        <f t="shared" si="144"/>
        <v/>
      </c>
      <c r="GJ11" s="218" t="str">
        <f t="shared" si="145"/>
        <v/>
      </c>
      <c r="GK11" s="218" t="str">
        <f t="shared" si="146"/>
        <v/>
      </c>
      <c r="GL11" s="218" t="str">
        <f t="shared" si="147"/>
        <v/>
      </c>
      <c r="GM11" s="218" t="str">
        <f t="shared" si="148"/>
        <v/>
      </c>
      <c r="GN11" s="218" t="str">
        <f t="shared" si="149"/>
        <v/>
      </c>
      <c r="GO11" s="218" t="str">
        <f t="shared" si="150"/>
        <v/>
      </c>
      <c r="GP11" s="218" t="str">
        <f t="shared" si="151"/>
        <v/>
      </c>
      <c r="GQ11" s="218" t="str">
        <f t="shared" si="152"/>
        <v/>
      </c>
      <c r="GR11" s="218" t="str">
        <f t="shared" si="153"/>
        <v/>
      </c>
      <c r="GS11" s="218" t="str">
        <f t="shared" si="154"/>
        <v/>
      </c>
      <c r="GT11" s="218" t="str">
        <f t="shared" si="155"/>
        <v/>
      </c>
      <c r="GU11" s="218" t="str">
        <f t="shared" si="156"/>
        <v/>
      </c>
      <c r="GW11" s="218" t="str">
        <f t="shared" si="157"/>
        <v/>
      </c>
      <c r="GX11" s="218" t="str">
        <f t="shared" si="158"/>
        <v/>
      </c>
      <c r="GY11" s="218" t="str">
        <f t="shared" si="159"/>
        <v/>
      </c>
      <c r="GZ11" s="218" t="str">
        <f t="shared" si="160"/>
        <v/>
      </c>
      <c r="HA11" s="218" t="str">
        <f t="shared" si="161"/>
        <v/>
      </c>
      <c r="HB11" s="218" t="str">
        <f t="shared" si="162"/>
        <v/>
      </c>
      <c r="HC11" s="218" t="str">
        <f t="shared" si="163"/>
        <v/>
      </c>
      <c r="HD11" s="218" t="str">
        <f t="shared" si="164"/>
        <v/>
      </c>
      <c r="HE11" s="218" t="str">
        <f t="shared" si="165"/>
        <v/>
      </c>
      <c r="HG11" s="218" t="str">
        <f t="shared" si="166"/>
        <v/>
      </c>
      <c r="HH11" s="218" t="str">
        <f t="shared" si="167"/>
        <v/>
      </c>
      <c r="HI11" s="218" t="str">
        <f t="shared" si="168"/>
        <v/>
      </c>
      <c r="HJ11" s="218" t="str">
        <f t="shared" si="169"/>
        <v/>
      </c>
      <c r="HK11" s="218" t="str">
        <f t="shared" si="170"/>
        <v/>
      </c>
      <c r="HL11" s="218" t="str">
        <f t="shared" si="171"/>
        <v/>
      </c>
      <c r="HN11" s="218" t="str">
        <f t="shared" si="172"/>
        <v/>
      </c>
      <c r="HO11" s="218" t="str">
        <f t="shared" si="173"/>
        <v/>
      </c>
      <c r="HP11" s="218" t="str">
        <f t="shared" si="174"/>
        <v/>
      </c>
      <c r="HR11" s="218" t="str">
        <f t="shared" si="224"/>
        <v/>
      </c>
      <c r="HS11" s="218" t="str">
        <f t="shared" si="225"/>
        <v/>
      </c>
      <c r="HT11" s="218" t="str">
        <f t="shared" si="175"/>
        <v/>
      </c>
      <c r="HU11" s="218" t="str">
        <f t="shared" si="176"/>
        <v/>
      </c>
      <c r="HV11" s="218" t="str">
        <f t="shared" si="177"/>
        <v/>
      </c>
      <c r="HW11" s="218" t="str">
        <f t="shared" si="178"/>
        <v/>
      </c>
      <c r="HX11" s="218" t="str">
        <f t="shared" si="179"/>
        <v/>
      </c>
      <c r="HY11" s="218" t="str">
        <f t="shared" si="180"/>
        <v/>
      </c>
      <c r="HZ11" s="218" t="str">
        <f t="shared" si="181"/>
        <v/>
      </c>
      <c r="IA11" s="218" t="str">
        <f t="shared" si="182"/>
        <v/>
      </c>
      <c r="IB11" s="218" t="str">
        <f t="shared" si="183"/>
        <v/>
      </c>
      <c r="IC11" s="218" t="str">
        <f t="shared" si="184"/>
        <v/>
      </c>
      <c r="ID11" s="218" t="str">
        <f t="shared" si="185"/>
        <v/>
      </c>
      <c r="IE11" s="218" t="str">
        <f t="shared" si="186"/>
        <v/>
      </c>
      <c r="IF11" s="218" t="str">
        <f t="shared" si="187"/>
        <v/>
      </c>
      <c r="IG11" s="218" t="str">
        <f t="shared" si="188"/>
        <v/>
      </c>
      <c r="IH11" s="218" t="str">
        <f t="shared" si="189"/>
        <v/>
      </c>
      <c r="II11" s="218" t="str">
        <f t="shared" si="190"/>
        <v/>
      </c>
      <c r="IJ11" s="218" t="str">
        <f t="shared" si="191"/>
        <v/>
      </c>
      <c r="IK11" s="218" t="str">
        <f t="shared" si="192"/>
        <v/>
      </c>
      <c r="IL11" s="218" t="str">
        <f t="shared" si="193"/>
        <v/>
      </c>
      <c r="IM11" s="218" t="str">
        <f t="shared" si="194"/>
        <v/>
      </c>
      <c r="IN11" s="218" t="str">
        <f t="shared" si="195"/>
        <v/>
      </c>
      <c r="IO11" s="218" t="str">
        <f t="shared" si="196"/>
        <v/>
      </c>
      <c r="IP11" s="218" t="str">
        <f t="shared" si="197"/>
        <v/>
      </c>
      <c r="IQ11" s="218" t="str">
        <f t="shared" si="198"/>
        <v/>
      </c>
      <c r="IR11" s="218" t="str">
        <f t="shared" si="199"/>
        <v/>
      </c>
      <c r="IS11" s="218" t="str">
        <f t="shared" si="200"/>
        <v/>
      </c>
      <c r="IT11" s="218" t="str">
        <f t="shared" si="201"/>
        <v/>
      </c>
      <c r="IU11" s="218" t="str">
        <f t="shared" si="202"/>
        <v/>
      </c>
    </row>
    <row r="12" spans="1:255" x14ac:dyDescent="0.2">
      <c r="A12" s="200" t="s">
        <v>15</v>
      </c>
      <c r="B12" s="178"/>
      <c r="C12" s="180"/>
      <c r="D12" s="181"/>
      <c r="E12" s="181"/>
      <c r="F12" s="197"/>
      <c r="G12" s="198"/>
      <c r="H12" s="197"/>
      <c r="I12" s="197"/>
      <c r="J12" s="197"/>
      <c r="K12" s="185"/>
      <c r="L12" s="217" t="str">
        <f t="shared" si="29"/>
        <v/>
      </c>
      <c r="M12" s="218">
        <f>'HKG vs. BK'!M12</f>
        <v>25.947119292885088</v>
      </c>
      <c r="N12" s="218" t="str">
        <f>'HKG vs. BK'!N12</f>
        <v>±1,29</v>
      </c>
      <c r="O12" s="218" t="str">
        <f>'HKG vs. BK'!O12</f>
        <v>±5,3</v>
      </c>
      <c r="P12" s="218" t="str">
        <f>'HKG vs. BK'!P12</f>
        <v>±22,77</v>
      </c>
      <c r="Q12" s="219" t="str">
        <f t="shared" si="203"/>
        <v/>
      </c>
      <c r="R12" s="220" t="str">
        <f t="shared" si="0"/>
        <v/>
      </c>
      <c r="S12" s="220" t="str">
        <f t="shared" si="1"/>
        <v/>
      </c>
      <c r="T12" s="219" t="str">
        <f t="shared" si="2"/>
        <v/>
      </c>
      <c r="U12" s="220" t="str">
        <f t="shared" si="3"/>
        <v/>
      </c>
      <c r="V12" s="220" t="str">
        <f t="shared" si="4"/>
        <v/>
      </c>
      <c r="W12" s="219" t="str">
        <f t="shared" si="5"/>
        <v/>
      </c>
      <c r="X12" s="220" t="str">
        <f t="shared" si="6"/>
        <v/>
      </c>
      <c r="Y12" s="220" t="str">
        <f t="shared" si="7"/>
        <v/>
      </c>
      <c r="Z12" s="219" t="str">
        <f t="shared" si="8"/>
        <v/>
      </c>
      <c r="AA12" s="220" t="str">
        <f t="shared" si="9"/>
        <v/>
      </c>
      <c r="AB12" s="220" t="str">
        <f t="shared" si="10"/>
        <v/>
      </c>
      <c r="AC12" s="219" t="str">
        <f t="shared" si="11"/>
        <v/>
      </c>
      <c r="AD12" s="220" t="str">
        <f t="shared" si="12"/>
        <v/>
      </c>
      <c r="AE12" s="220" t="str">
        <f t="shared" si="13"/>
        <v/>
      </c>
      <c r="AF12" s="219" t="str">
        <f t="shared" si="14"/>
        <v/>
      </c>
      <c r="AG12" s="220" t="str">
        <f t="shared" si="15"/>
        <v/>
      </c>
      <c r="AH12" s="220" t="str">
        <f t="shared" si="16"/>
        <v/>
      </c>
      <c r="AI12" s="219" t="str">
        <f t="shared" si="17"/>
        <v/>
      </c>
      <c r="AJ12" s="220" t="str">
        <f t="shared" si="18"/>
        <v/>
      </c>
      <c r="AK12" s="220" t="str">
        <f t="shared" si="19"/>
        <v/>
      </c>
      <c r="AL12" s="219" t="str">
        <f t="shared" si="20"/>
        <v/>
      </c>
      <c r="AM12" s="220" t="str">
        <f t="shared" si="21"/>
        <v/>
      </c>
      <c r="AN12" s="220" t="str">
        <f t="shared" si="22"/>
        <v/>
      </c>
      <c r="AO12" s="219" t="str">
        <f t="shared" si="23"/>
        <v/>
      </c>
      <c r="AP12" s="220" t="str">
        <f t="shared" si="24"/>
        <v/>
      </c>
      <c r="AQ12" s="220" t="str">
        <f t="shared" si="25"/>
        <v/>
      </c>
      <c r="AR12" s="219" t="str">
        <f t="shared" si="26"/>
        <v/>
      </c>
      <c r="AS12" s="220" t="str">
        <f t="shared" si="27"/>
        <v/>
      </c>
      <c r="AT12" s="220" t="str">
        <f t="shared" si="28"/>
        <v/>
      </c>
      <c r="AU12" s="221"/>
      <c r="AV12" s="221"/>
      <c r="AW12" s="221"/>
      <c r="AY12" s="218" t="str">
        <f t="shared" si="204"/>
        <v/>
      </c>
      <c r="AZ12" s="218" t="str">
        <f t="shared" si="205"/>
        <v/>
      </c>
      <c r="BA12" s="218" t="str">
        <f t="shared" si="30"/>
        <v/>
      </c>
      <c r="BB12" s="218" t="str">
        <f t="shared" si="206"/>
        <v/>
      </c>
      <c r="BC12" s="218" t="str">
        <f t="shared" si="207"/>
        <v/>
      </c>
      <c r="BD12" s="218" t="str">
        <f t="shared" si="31"/>
        <v/>
      </c>
      <c r="BE12" s="218" t="str">
        <f t="shared" si="208"/>
        <v/>
      </c>
      <c r="BF12" s="218" t="str">
        <f t="shared" si="209"/>
        <v/>
      </c>
      <c r="BG12" s="218" t="str">
        <f t="shared" si="32"/>
        <v/>
      </c>
      <c r="BH12" s="218" t="str">
        <f t="shared" si="210"/>
        <v/>
      </c>
      <c r="BI12" s="218" t="str">
        <f t="shared" si="211"/>
        <v/>
      </c>
      <c r="BJ12" s="218" t="str">
        <f t="shared" si="33"/>
        <v/>
      </c>
      <c r="BK12" s="218" t="str">
        <f t="shared" si="212"/>
        <v/>
      </c>
      <c r="BL12" s="218" t="str">
        <f t="shared" si="213"/>
        <v/>
      </c>
      <c r="BM12" s="218" t="str">
        <f t="shared" si="34"/>
        <v/>
      </c>
      <c r="BN12" s="218" t="str">
        <f t="shared" si="214"/>
        <v/>
      </c>
      <c r="BO12" s="218" t="str">
        <f t="shared" si="215"/>
        <v/>
      </c>
      <c r="BP12" s="218" t="str">
        <f t="shared" si="35"/>
        <v/>
      </c>
      <c r="BQ12" s="218" t="str">
        <f t="shared" si="216"/>
        <v/>
      </c>
      <c r="BR12" s="218" t="str">
        <f t="shared" si="217"/>
        <v/>
      </c>
      <c r="BS12" s="218" t="str">
        <f t="shared" si="36"/>
        <v/>
      </c>
      <c r="BT12" s="218" t="str">
        <f t="shared" si="218"/>
        <v/>
      </c>
      <c r="BU12" s="218" t="str">
        <f t="shared" si="219"/>
        <v/>
      </c>
      <c r="BV12" s="218" t="str">
        <f t="shared" si="37"/>
        <v/>
      </c>
      <c r="BW12" s="218" t="str">
        <f t="shared" si="220"/>
        <v/>
      </c>
      <c r="BX12" s="218" t="str">
        <f t="shared" si="221"/>
        <v/>
      </c>
      <c r="BY12" s="218" t="str">
        <f t="shared" si="38"/>
        <v/>
      </c>
      <c r="BZ12" s="218" t="str">
        <f t="shared" si="222"/>
        <v/>
      </c>
      <c r="CA12" s="218" t="str">
        <f t="shared" si="223"/>
        <v/>
      </c>
      <c r="CB12" s="218" t="str">
        <f t="shared" si="39"/>
        <v/>
      </c>
      <c r="CD12" s="218" t="str">
        <f t="shared" si="40"/>
        <v/>
      </c>
      <c r="CE12" s="218" t="str">
        <f t="shared" si="41"/>
        <v/>
      </c>
      <c r="CF12" s="218" t="str">
        <f t="shared" si="42"/>
        <v/>
      </c>
      <c r="CG12" s="218" t="str">
        <f t="shared" si="43"/>
        <v/>
      </c>
      <c r="CH12" s="218" t="str">
        <f t="shared" si="44"/>
        <v/>
      </c>
      <c r="CI12" s="218" t="str">
        <f t="shared" si="45"/>
        <v/>
      </c>
      <c r="CJ12" s="218" t="str">
        <f t="shared" si="46"/>
        <v/>
      </c>
      <c r="CK12" s="218" t="str">
        <f t="shared" si="47"/>
        <v/>
      </c>
      <c r="CL12" s="218" t="str">
        <f t="shared" si="48"/>
        <v/>
      </c>
      <c r="CM12" s="218" t="str">
        <f t="shared" si="49"/>
        <v/>
      </c>
      <c r="CN12" s="218" t="str">
        <f t="shared" si="50"/>
        <v/>
      </c>
      <c r="CO12" s="218" t="str">
        <f t="shared" si="51"/>
        <v/>
      </c>
      <c r="CP12" s="218" t="str">
        <f t="shared" si="52"/>
        <v/>
      </c>
      <c r="CQ12" s="218" t="str">
        <f t="shared" si="53"/>
        <v/>
      </c>
      <c r="CR12" s="218" t="str">
        <f t="shared" si="54"/>
        <v/>
      </c>
      <c r="CS12" s="218" t="str">
        <f t="shared" si="55"/>
        <v/>
      </c>
      <c r="CT12" s="218" t="str">
        <f t="shared" si="56"/>
        <v/>
      </c>
      <c r="CU12" s="218" t="str">
        <f t="shared" si="57"/>
        <v/>
      </c>
      <c r="CV12" s="218" t="str">
        <f t="shared" si="58"/>
        <v/>
      </c>
      <c r="CW12" s="218" t="str">
        <f t="shared" si="59"/>
        <v/>
      </c>
      <c r="CX12" s="218" t="str">
        <f t="shared" si="60"/>
        <v/>
      </c>
      <c r="CY12" s="218" t="str">
        <f t="shared" si="61"/>
        <v/>
      </c>
      <c r="CZ12" s="218" t="str">
        <f t="shared" si="62"/>
        <v/>
      </c>
      <c r="DA12" s="218" t="str">
        <f t="shared" si="63"/>
        <v/>
      </c>
      <c r="DB12" s="218" t="str">
        <f t="shared" si="64"/>
        <v/>
      </c>
      <c r="DC12" s="218" t="str">
        <f t="shared" si="65"/>
        <v/>
      </c>
      <c r="DD12" s="218" t="str">
        <f t="shared" si="66"/>
        <v/>
      </c>
      <c r="DF12" s="218" t="str">
        <f t="shared" si="67"/>
        <v/>
      </c>
      <c r="DG12" s="218" t="str">
        <f t="shared" si="68"/>
        <v/>
      </c>
      <c r="DH12" s="218" t="str">
        <f t="shared" si="69"/>
        <v/>
      </c>
      <c r="DI12" s="218" t="str">
        <f t="shared" si="70"/>
        <v/>
      </c>
      <c r="DJ12" s="218" t="str">
        <f t="shared" si="71"/>
        <v/>
      </c>
      <c r="DK12" s="218" t="str">
        <f t="shared" si="72"/>
        <v/>
      </c>
      <c r="DL12" s="218" t="str">
        <f t="shared" si="73"/>
        <v/>
      </c>
      <c r="DM12" s="218" t="str">
        <f t="shared" si="74"/>
        <v/>
      </c>
      <c r="DN12" s="218" t="str">
        <f t="shared" si="75"/>
        <v/>
      </c>
      <c r="DO12" s="218" t="str">
        <f t="shared" si="76"/>
        <v/>
      </c>
      <c r="DP12" s="218" t="str">
        <f t="shared" si="77"/>
        <v/>
      </c>
      <c r="DQ12" s="218" t="str">
        <f t="shared" si="78"/>
        <v/>
      </c>
      <c r="DR12" s="218" t="str">
        <f t="shared" si="79"/>
        <v/>
      </c>
      <c r="DS12" s="218" t="str">
        <f t="shared" si="80"/>
        <v/>
      </c>
      <c r="DT12" s="218" t="str">
        <f t="shared" si="81"/>
        <v/>
      </c>
      <c r="DU12" s="218" t="str">
        <f t="shared" si="82"/>
        <v/>
      </c>
      <c r="DV12" s="218" t="str">
        <f t="shared" si="83"/>
        <v/>
      </c>
      <c r="DW12" s="218" t="str">
        <f t="shared" si="84"/>
        <v/>
      </c>
      <c r="DX12" s="218" t="str">
        <f t="shared" si="85"/>
        <v/>
      </c>
      <c r="DY12" s="218" t="str">
        <f t="shared" si="86"/>
        <v/>
      </c>
      <c r="DZ12" s="218" t="str">
        <f t="shared" si="87"/>
        <v/>
      </c>
      <c r="EA12" s="218" t="str">
        <f t="shared" si="88"/>
        <v/>
      </c>
      <c r="EB12" s="218" t="str">
        <f t="shared" si="89"/>
        <v/>
      </c>
      <c r="EC12" s="218" t="str">
        <f t="shared" si="90"/>
        <v/>
      </c>
      <c r="EE12" s="218" t="str">
        <f t="shared" si="91"/>
        <v/>
      </c>
      <c r="EF12" s="218" t="str">
        <f t="shared" si="92"/>
        <v/>
      </c>
      <c r="EG12" s="218" t="str">
        <f t="shared" si="93"/>
        <v/>
      </c>
      <c r="EH12" s="218" t="str">
        <f t="shared" si="94"/>
        <v/>
      </c>
      <c r="EI12" s="218" t="str">
        <f t="shared" si="95"/>
        <v/>
      </c>
      <c r="EJ12" s="218" t="str">
        <f t="shared" si="96"/>
        <v/>
      </c>
      <c r="EK12" s="218" t="str">
        <f t="shared" si="97"/>
        <v/>
      </c>
      <c r="EL12" s="218" t="str">
        <f t="shared" si="98"/>
        <v/>
      </c>
      <c r="EM12" s="218" t="str">
        <f t="shared" si="99"/>
        <v/>
      </c>
      <c r="EN12" s="218" t="str">
        <f t="shared" si="100"/>
        <v/>
      </c>
      <c r="EO12" s="218" t="str">
        <f t="shared" si="101"/>
        <v/>
      </c>
      <c r="EP12" s="218" t="str">
        <f t="shared" si="102"/>
        <v/>
      </c>
      <c r="EQ12" s="218" t="str">
        <f t="shared" si="103"/>
        <v/>
      </c>
      <c r="ER12" s="218" t="str">
        <f t="shared" si="104"/>
        <v/>
      </c>
      <c r="ES12" s="218" t="str">
        <f t="shared" si="105"/>
        <v/>
      </c>
      <c r="ET12" s="218" t="str">
        <f t="shared" si="106"/>
        <v/>
      </c>
      <c r="EU12" s="218" t="str">
        <f t="shared" si="107"/>
        <v/>
      </c>
      <c r="EV12" s="218" t="str">
        <f t="shared" si="108"/>
        <v/>
      </c>
      <c r="EW12" s="218" t="str">
        <f t="shared" si="109"/>
        <v/>
      </c>
      <c r="EX12" s="218" t="str">
        <f t="shared" si="110"/>
        <v/>
      </c>
      <c r="EY12" s="218" t="str">
        <f t="shared" si="111"/>
        <v/>
      </c>
      <c r="FA12" s="218" t="str">
        <f t="shared" si="112"/>
        <v/>
      </c>
      <c r="FB12" s="218" t="str">
        <f t="shared" si="113"/>
        <v/>
      </c>
      <c r="FC12" s="218" t="str">
        <f t="shared" si="114"/>
        <v/>
      </c>
      <c r="FD12" s="218" t="str">
        <f t="shared" si="115"/>
        <v/>
      </c>
      <c r="FE12" s="218" t="str">
        <f t="shared" si="116"/>
        <v/>
      </c>
      <c r="FF12" s="218" t="str">
        <f t="shared" si="117"/>
        <v/>
      </c>
      <c r="FG12" s="218" t="str">
        <f t="shared" si="118"/>
        <v/>
      </c>
      <c r="FH12" s="218" t="str">
        <f t="shared" si="119"/>
        <v/>
      </c>
      <c r="FI12" s="218" t="str">
        <f t="shared" si="120"/>
        <v/>
      </c>
      <c r="FJ12" s="218" t="str">
        <f t="shared" si="121"/>
        <v/>
      </c>
      <c r="FK12" s="218" t="str">
        <f t="shared" si="122"/>
        <v/>
      </c>
      <c r="FL12" s="218" t="str">
        <f t="shared" si="123"/>
        <v/>
      </c>
      <c r="FM12" s="218" t="str">
        <f t="shared" si="124"/>
        <v/>
      </c>
      <c r="FN12" s="218" t="str">
        <f t="shared" si="125"/>
        <v/>
      </c>
      <c r="FO12" s="218" t="str">
        <f t="shared" si="126"/>
        <v/>
      </c>
      <c r="FP12" s="218" t="str">
        <f t="shared" si="127"/>
        <v/>
      </c>
      <c r="FQ12" s="218" t="str">
        <f t="shared" si="128"/>
        <v/>
      </c>
      <c r="FR12" s="218" t="str">
        <f t="shared" si="129"/>
        <v/>
      </c>
      <c r="FT12" s="218" t="str">
        <f t="shared" si="130"/>
        <v/>
      </c>
      <c r="FU12" s="218" t="str">
        <f t="shared" si="131"/>
        <v/>
      </c>
      <c r="FV12" s="218" t="str">
        <f t="shared" si="132"/>
        <v/>
      </c>
      <c r="FW12" s="218" t="str">
        <f t="shared" si="133"/>
        <v/>
      </c>
      <c r="FX12" s="218" t="str">
        <f t="shared" si="134"/>
        <v/>
      </c>
      <c r="FY12" s="218" t="str">
        <f t="shared" si="135"/>
        <v/>
      </c>
      <c r="FZ12" s="218" t="str">
        <f t="shared" si="136"/>
        <v/>
      </c>
      <c r="GA12" s="218" t="str">
        <f t="shared" si="137"/>
        <v/>
      </c>
      <c r="GB12" s="218" t="str">
        <f t="shared" si="138"/>
        <v/>
      </c>
      <c r="GC12" s="218" t="str">
        <f t="shared" si="139"/>
        <v/>
      </c>
      <c r="GD12" s="218" t="str">
        <f t="shared" si="140"/>
        <v/>
      </c>
      <c r="GE12" s="218" t="str">
        <f t="shared" si="141"/>
        <v/>
      </c>
      <c r="GF12" s="218" t="str">
        <f t="shared" si="142"/>
        <v/>
      </c>
      <c r="GG12" s="218" t="str">
        <f t="shared" si="143"/>
        <v/>
      </c>
      <c r="GH12" s="218" t="str">
        <f t="shared" si="144"/>
        <v/>
      </c>
      <c r="GJ12" s="218" t="str">
        <f t="shared" si="145"/>
        <v/>
      </c>
      <c r="GK12" s="218" t="str">
        <f t="shared" si="146"/>
        <v/>
      </c>
      <c r="GL12" s="218" t="str">
        <f t="shared" si="147"/>
        <v/>
      </c>
      <c r="GM12" s="218" t="str">
        <f t="shared" si="148"/>
        <v/>
      </c>
      <c r="GN12" s="218" t="str">
        <f t="shared" si="149"/>
        <v/>
      </c>
      <c r="GO12" s="218" t="str">
        <f t="shared" si="150"/>
        <v/>
      </c>
      <c r="GP12" s="218" t="str">
        <f t="shared" si="151"/>
        <v/>
      </c>
      <c r="GQ12" s="218" t="str">
        <f t="shared" si="152"/>
        <v/>
      </c>
      <c r="GR12" s="218" t="str">
        <f t="shared" si="153"/>
        <v/>
      </c>
      <c r="GS12" s="218" t="str">
        <f t="shared" si="154"/>
        <v/>
      </c>
      <c r="GT12" s="218" t="str">
        <f t="shared" si="155"/>
        <v/>
      </c>
      <c r="GU12" s="218" t="str">
        <f t="shared" si="156"/>
        <v/>
      </c>
      <c r="GW12" s="218" t="str">
        <f t="shared" si="157"/>
        <v/>
      </c>
      <c r="GX12" s="218" t="str">
        <f t="shared" si="158"/>
        <v/>
      </c>
      <c r="GY12" s="218" t="str">
        <f t="shared" si="159"/>
        <v/>
      </c>
      <c r="GZ12" s="218" t="str">
        <f t="shared" si="160"/>
        <v/>
      </c>
      <c r="HA12" s="218" t="str">
        <f t="shared" si="161"/>
        <v/>
      </c>
      <c r="HB12" s="218" t="str">
        <f t="shared" si="162"/>
        <v/>
      </c>
      <c r="HC12" s="218" t="str">
        <f t="shared" si="163"/>
        <v/>
      </c>
      <c r="HD12" s="218" t="str">
        <f t="shared" si="164"/>
        <v/>
      </c>
      <c r="HE12" s="218" t="str">
        <f t="shared" si="165"/>
        <v/>
      </c>
      <c r="HG12" s="218" t="str">
        <f t="shared" si="166"/>
        <v/>
      </c>
      <c r="HH12" s="218" t="str">
        <f t="shared" si="167"/>
        <v/>
      </c>
      <c r="HI12" s="218" t="str">
        <f t="shared" si="168"/>
        <v/>
      </c>
      <c r="HJ12" s="218" t="str">
        <f t="shared" si="169"/>
        <v/>
      </c>
      <c r="HK12" s="218" t="str">
        <f t="shared" si="170"/>
        <v/>
      </c>
      <c r="HL12" s="218" t="str">
        <f t="shared" si="171"/>
        <v/>
      </c>
      <c r="HN12" s="218" t="str">
        <f t="shared" si="172"/>
        <v/>
      </c>
      <c r="HO12" s="218" t="str">
        <f t="shared" si="173"/>
        <v/>
      </c>
      <c r="HP12" s="218" t="str">
        <f t="shared" si="174"/>
        <v/>
      </c>
      <c r="HR12" s="218" t="str">
        <f t="shared" si="224"/>
        <v/>
      </c>
      <c r="HS12" s="218" t="str">
        <f t="shared" si="225"/>
        <v/>
      </c>
      <c r="HT12" s="218" t="str">
        <f t="shared" si="175"/>
        <v/>
      </c>
      <c r="HU12" s="218" t="str">
        <f t="shared" si="176"/>
        <v/>
      </c>
      <c r="HV12" s="218" t="str">
        <f t="shared" si="177"/>
        <v/>
      </c>
      <c r="HW12" s="218" t="str">
        <f t="shared" si="178"/>
        <v/>
      </c>
      <c r="HX12" s="218" t="str">
        <f t="shared" si="179"/>
        <v/>
      </c>
      <c r="HY12" s="218" t="str">
        <f t="shared" si="180"/>
        <v/>
      </c>
      <c r="HZ12" s="218" t="str">
        <f t="shared" si="181"/>
        <v/>
      </c>
      <c r="IA12" s="218" t="str">
        <f t="shared" si="182"/>
        <v/>
      </c>
      <c r="IB12" s="218" t="str">
        <f t="shared" si="183"/>
        <v/>
      </c>
      <c r="IC12" s="218" t="str">
        <f t="shared" si="184"/>
        <v/>
      </c>
      <c r="ID12" s="218" t="str">
        <f t="shared" si="185"/>
        <v/>
      </c>
      <c r="IE12" s="218" t="str">
        <f t="shared" si="186"/>
        <v/>
      </c>
      <c r="IF12" s="218" t="str">
        <f t="shared" si="187"/>
        <v/>
      </c>
      <c r="IG12" s="218" t="str">
        <f t="shared" si="188"/>
        <v/>
      </c>
      <c r="IH12" s="218" t="str">
        <f t="shared" si="189"/>
        <v/>
      </c>
      <c r="II12" s="218" t="str">
        <f t="shared" si="190"/>
        <v/>
      </c>
      <c r="IJ12" s="218" t="str">
        <f t="shared" si="191"/>
        <v/>
      </c>
      <c r="IK12" s="218" t="str">
        <f t="shared" si="192"/>
        <v/>
      </c>
      <c r="IL12" s="218" t="str">
        <f t="shared" si="193"/>
        <v/>
      </c>
      <c r="IM12" s="218" t="str">
        <f t="shared" si="194"/>
        <v/>
      </c>
      <c r="IN12" s="218" t="str">
        <f t="shared" si="195"/>
        <v/>
      </c>
      <c r="IO12" s="218" t="str">
        <f t="shared" si="196"/>
        <v/>
      </c>
      <c r="IP12" s="218" t="str">
        <f t="shared" si="197"/>
        <v/>
      </c>
      <c r="IQ12" s="218" t="str">
        <f t="shared" si="198"/>
        <v/>
      </c>
      <c r="IR12" s="218" t="str">
        <f t="shared" si="199"/>
        <v/>
      </c>
      <c r="IS12" s="218" t="str">
        <f t="shared" si="200"/>
        <v/>
      </c>
      <c r="IT12" s="218" t="str">
        <f t="shared" si="201"/>
        <v/>
      </c>
      <c r="IU12" s="218" t="str">
        <f t="shared" si="202"/>
        <v/>
      </c>
    </row>
    <row r="13" spans="1:255" x14ac:dyDescent="0.2">
      <c r="A13" s="200" t="s">
        <v>16</v>
      </c>
      <c r="B13" s="178"/>
      <c r="C13" s="180"/>
      <c r="D13" s="181"/>
      <c r="E13" s="181"/>
      <c r="F13" s="197"/>
      <c r="G13" s="198"/>
      <c r="H13" s="197"/>
      <c r="I13" s="197"/>
      <c r="J13" s="197"/>
      <c r="K13" s="185"/>
      <c r="L13" s="217" t="str">
        <f t="shared" si="29"/>
        <v/>
      </c>
      <c r="M13" s="218">
        <f>'HKG vs. BK'!M13</f>
        <v>21.289852159115156</v>
      </c>
      <c r="N13" s="218" t="str">
        <f>'HKG vs. BK'!N13</f>
        <v>±0,86</v>
      </c>
      <c r="O13" s="218" t="str">
        <f>'HKG vs. BK'!O13</f>
        <v>±4,16</v>
      </c>
      <c r="P13" s="218" t="str">
        <f>'HKG vs. BK'!P13</f>
        <v>±0,57</v>
      </c>
      <c r="Q13" s="219" t="str">
        <f t="shared" si="203"/>
        <v/>
      </c>
      <c r="R13" s="220" t="str">
        <f t="shared" si="0"/>
        <v/>
      </c>
      <c r="S13" s="220" t="str">
        <f t="shared" si="1"/>
        <v/>
      </c>
      <c r="T13" s="219" t="str">
        <f t="shared" si="2"/>
        <v/>
      </c>
      <c r="U13" s="220" t="str">
        <f t="shared" si="3"/>
        <v/>
      </c>
      <c r="V13" s="220" t="str">
        <f t="shared" si="4"/>
        <v/>
      </c>
      <c r="W13" s="219" t="str">
        <f t="shared" si="5"/>
        <v/>
      </c>
      <c r="X13" s="220" t="str">
        <f t="shared" si="6"/>
        <v/>
      </c>
      <c r="Y13" s="220" t="str">
        <f t="shared" si="7"/>
        <v/>
      </c>
      <c r="Z13" s="219" t="str">
        <f t="shared" si="8"/>
        <v/>
      </c>
      <c r="AA13" s="220" t="str">
        <f t="shared" si="9"/>
        <v/>
      </c>
      <c r="AB13" s="220" t="str">
        <f t="shared" si="10"/>
        <v/>
      </c>
      <c r="AC13" s="219" t="str">
        <f t="shared" si="11"/>
        <v/>
      </c>
      <c r="AD13" s="220" t="str">
        <f t="shared" si="12"/>
        <v/>
      </c>
      <c r="AE13" s="220" t="str">
        <f t="shared" si="13"/>
        <v/>
      </c>
      <c r="AF13" s="219" t="str">
        <f t="shared" si="14"/>
        <v/>
      </c>
      <c r="AG13" s="220" t="str">
        <f t="shared" si="15"/>
        <v/>
      </c>
      <c r="AH13" s="220" t="str">
        <f t="shared" si="16"/>
        <v/>
      </c>
      <c r="AI13" s="219" t="str">
        <f t="shared" si="17"/>
        <v/>
      </c>
      <c r="AJ13" s="220" t="str">
        <f t="shared" si="18"/>
        <v/>
      </c>
      <c r="AK13" s="220" t="str">
        <f t="shared" si="19"/>
        <v/>
      </c>
      <c r="AL13" s="219" t="str">
        <f t="shared" si="20"/>
        <v/>
      </c>
      <c r="AM13" s="220" t="str">
        <f t="shared" si="21"/>
        <v/>
      </c>
      <c r="AN13" s="220" t="str">
        <f t="shared" si="22"/>
        <v/>
      </c>
      <c r="AO13" s="219" t="str">
        <f t="shared" si="23"/>
        <v/>
      </c>
      <c r="AP13" s="220" t="str">
        <f t="shared" si="24"/>
        <v/>
      </c>
      <c r="AQ13" s="220" t="str">
        <f t="shared" si="25"/>
        <v/>
      </c>
      <c r="AR13" s="219" t="str">
        <f t="shared" si="26"/>
        <v/>
      </c>
      <c r="AS13" s="220" t="str">
        <f t="shared" si="27"/>
        <v/>
      </c>
      <c r="AT13" s="220" t="str">
        <f t="shared" si="28"/>
        <v/>
      </c>
      <c r="AU13" s="221"/>
      <c r="AV13" s="221"/>
      <c r="AW13" s="221"/>
      <c r="AY13" s="218" t="str">
        <f t="shared" si="204"/>
        <v/>
      </c>
      <c r="AZ13" s="218" t="str">
        <f t="shared" si="205"/>
        <v/>
      </c>
      <c r="BA13" s="218" t="str">
        <f t="shared" si="30"/>
        <v/>
      </c>
      <c r="BB13" s="218" t="str">
        <f t="shared" si="206"/>
        <v/>
      </c>
      <c r="BC13" s="218" t="str">
        <f t="shared" si="207"/>
        <v/>
      </c>
      <c r="BD13" s="218" t="str">
        <f t="shared" si="31"/>
        <v/>
      </c>
      <c r="BE13" s="218" t="str">
        <f t="shared" si="208"/>
        <v/>
      </c>
      <c r="BF13" s="218" t="str">
        <f t="shared" si="209"/>
        <v/>
      </c>
      <c r="BG13" s="218" t="str">
        <f t="shared" si="32"/>
        <v/>
      </c>
      <c r="BH13" s="218" t="str">
        <f t="shared" si="210"/>
        <v/>
      </c>
      <c r="BI13" s="218" t="str">
        <f t="shared" si="211"/>
        <v/>
      </c>
      <c r="BJ13" s="218" t="str">
        <f t="shared" si="33"/>
        <v/>
      </c>
      <c r="BK13" s="218" t="str">
        <f t="shared" si="212"/>
        <v/>
      </c>
      <c r="BL13" s="218" t="str">
        <f t="shared" si="213"/>
        <v/>
      </c>
      <c r="BM13" s="218" t="str">
        <f t="shared" si="34"/>
        <v/>
      </c>
      <c r="BN13" s="218" t="str">
        <f t="shared" si="214"/>
        <v/>
      </c>
      <c r="BO13" s="218" t="str">
        <f t="shared" si="215"/>
        <v/>
      </c>
      <c r="BP13" s="218" t="str">
        <f t="shared" si="35"/>
        <v/>
      </c>
      <c r="BQ13" s="218" t="str">
        <f t="shared" si="216"/>
        <v/>
      </c>
      <c r="BR13" s="218" t="str">
        <f t="shared" si="217"/>
        <v/>
      </c>
      <c r="BS13" s="218" t="str">
        <f t="shared" si="36"/>
        <v/>
      </c>
      <c r="BT13" s="218" t="str">
        <f t="shared" si="218"/>
        <v/>
      </c>
      <c r="BU13" s="218" t="str">
        <f t="shared" si="219"/>
        <v/>
      </c>
      <c r="BV13" s="218" t="str">
        <f t="shared" si="37"/>
        <v/>
      </c>
      <c r="BW13" s="218" t="str">
        <f t="shared" si="220"/>
        <v/>
      </c>
      <c r="BX13" s="218" t="str">
        <f t="shared" si="221"/>
        <v/>
      </c>
      <c r="BY13" s="218" t="str">
        <f t="shared" si="38"/>
        <v/>
      </c>
      <c r="BZ13" s="218" t="str">
        <f t="shared" si="222"/>
        <v/>
      </c>
      <c r="CA13" s="218" t="str">
        <f t="shared" si="223"/>
        <v/>
      </c>
      <c r="CB13" s="218" t="str">
        <f t="shared" si="39"/>
        <v/>
      </c>
      <c r="CD13" s="218" t="str">
        <f t="shared" si="40"/>
        <v/>
      </c>
      <c r="CE13" s="218" t="str">
        <f t="shared" si="41"/>
        <v/>
      </c>
      <c r="CF13" s="218" t="str">
        <f t="shared" si="42"/>
        <v/>
      </c>
      <c r="CG13" s="218" t="str">
        <f t="shared" si="43"/>
        <v/>
      </c>
      <c r="CH13" s="218" t="str">
        <f t="shared" si="44"/>
        <v/>
      </c>
      <c r="CI13" s="218" t="str">
        <f t="shared" si="45"/>
        <v/>
      </c>
      <c r="CJ13" s="218" t="str">
        <f t="shared" si="46"/>
        <v/>
      </c>
      <c r="CK13" s="218" t="str">
        <f t="shared" si="47"/>
        <v/>
      </c>
      <c r="CL13" s="218" t="str">
        <f t="shared" si="48"/>
        <v/>
      </c>
      <c r="CM13" s="218" t="str">
        <f t="shared" si="49"/>
        <v/>
      </c>
      <c r="CN13" s="218" t="str">
        <f t="shared" si="50"/>
        <v/>
      </c>
      <c r="CO13" s="218" t="str">
        <f t="shared" si="51"/>
        <v/>
      </c>
      <c r="CP13" s="218" t="str">
        <f t="shared" si="52"/>
        <v/>
      </c>
      <c r="CQ13" s="218" t="str">
        <f t="shared" si="53"/>
        <v/>
      </c>
      <c r="CR13" s="218" t="str">
        <f t="shared" si="54"/>
        <v/>
      </c>
      <c r="CS13" s="218" t="str">
        <f t="shared" si="55"/>
        <v/>
      </c>
      <c r="CT13" s="218" t="str">
        <f t="shared" si="56"/>
        <v/>
      </c>
      <c r="CU13" s="218" t="str">
        <f t="shared" si="57"/>
        <v/>
      </c>
      <c r="CV13" s="218" t="str">
        <f t="shared" si="58"/>
        <v/>
      </c>
      <c r="CW13" s="218" t="str">
        <f t="shared" si="59"/>
        <v/>
      </c>
      <c r="CX13" s="218" t="str">
        <f t="shared" si="60"/>
        <v/>
      </c>
      <c r="CY13" s="218" t="str">
        <f t="shared" si="61"/>
        <v/>
      </c>
      <c r="CZ13" s="218" t="str">
        <f t="shared" si="62"/>
        <v/>
      </c>
      <c r="DA13" s="218" t="str">
        <f t="shared" si="63"/>
        <v/>
      </c>
      <c r="DB13" s="218" t="str">
        <f t="shared" si="64"/>
        <v/>
      </c>
      <c r="DC13" s="218" t="str">
        <f t="shared" si="65"/>
        <v/>
      </c>
      <c r="DD13" s="218" t="str">
        <f t="shared" si="66"/>
        <v/>
      </c>
      <c r="DF13" s="218" t="str">
        <f t="shared" si="67"/>
        <v/>
      </c>
      <c r="DG13" s="218" t="str">
        <f t="shared" si="68"/>
        <v/>
      </c>
      <c r="DH13" s="218" t="str">
        <f t="shared" si="69"/>
        <v/>
      </c>
      <c r="DI13" s="218" t="str">
        <f t="shared" si="70"/>
        <v/>
      </c>
      <c r="DJ13" s="218" t="str">
        <f t="shared" si="71"/>
        <v/>
      </c>
      <c r="DK13" s="218" t="str">
        <f t="shared" si="72"/>
        <v/>
      </c>
      <c r="DL13" s="218" t="str">
        <f t="shared" si="73"/>
        <v/>
      </c>
      <c r="DM13" s="218" t="str">
        <f t="shared" si="74"/>
        <v/>
      </c>
      <c r="DN13" s="218" t="str">
        <f t="shared" si="75"/>
        <v/>
      </c>
      <c r="DO13" s="218" t="str">
        <f t="shared" si="76"/>
        <v/>
      </c>
      <c r="DP13" s="218" t="str">
        <f t="shared" si="77"/>
        <v/>
      </c>
      <c r="DQ13" s="218" t="str">
        <f t="shared" si="78"/>
        <v/>
      </c>
      <c r="DR13" s="218" t="str">
        <f t="shared" si="79"/>
        <v/>
      </c>
      <c r="DS13" s="218" t="str">
        <f t="shared" si="80"/>
        <v/>
      </c>
      <c r="DT13" s="218" t="str">
        <f t="shared" si="81"/>
        <v/>
      </c>
      <c r="DU13" s="218" t="str">
        <f t="shared" si="82"/>
        <v/>
      </c>
      <c r="DV13" s="218" t="str">
        <f t="shared" si="83"/>
        <v/>
      </c>
      <c r="DW13" s="218" t="str">
        <f t="shared" si="84"/>
        <v/>
      </c>
      <c r="DX13" s="218" t="str">
        <f t="shared" si="85"/>
        <v/>
      </c>
      <c r="DY13" s="218" t="str">
        <f t="shared" si="86"/>
        <v/>
      </c>
      <c r="DZ13" s="218" t="str">
        <f t="shared" si="87"/>
        <v/>
      </c>
      <c r="EA13" s="218" t="str">
        <f t="shared" si="88"/>
        <v/>
      </c>
      <c r="EB13" s="218" t="str">
        <f t="shared" si="89"/>
        <v/>
      </c>
      <c r="EC13" s="218" t="str">
        <f t="shared" si="90"/>
        <v/>
      </c>
      <c r="EE13" s="218" t="str">
        <f t="shared" si="91"/>
        <v/>
      </c>
      <c r="EF13" s="218" t="str">
        <f t="shared" si="92"/>
        <v/>
      </c>
      <c r="EG13" s="218" t="str">
        <f t="shared" si="93"/>
        <v/>
      </c>
      <c r="EH13" s="218" t="str">
        <f t="shared" si="94"/>
        <v/>
      </c>
      <c r="EI13" s="218" t="str">
        <f t="shared" si="95"/>
        <v/>
      </c>
      <c r="EJ13" s="218" t="str">
        <f t="shared" si="96"/>
        <v/>
      </c>
      <c r="EK13" s="218" t="str">
        <f t="shared" si="97"/>
        <v/>
      </c>
      <c r="EL13" s="218" t="str">
        <f t="shared" si="98"/>
        <v/>
      </c>
      <c r="EM13" s="218" t="str">
        <f t="shared" si="99"/>
        <v/>
      </c>
      <c r="EN13" s="218" t="str">
        <f t="shared" si="100"/>
        <v/>
      </c>
      <c r="EO13" s="218" t="str">
        <f t="shared" si="101"/>
        <v/>
      </c>
      <c r="EP13" s="218" t="str">
        <f t="shared" si="102"/>
        <v/>
      </c>
      <c r="EQ13" s="218" t="str">
        <f t="shared" si="103"/>
        <v/>
      </c>
      <c r="ER13" s="218" t="str">
        <f t="shared" si="104"/>
        <v/>
      </c>
      <c r="ES13" s="218" t="str">
        <f t="shared" si="105"/>
        <v/>
      </c>
      <c r="ET13" s="218" t="str">
        <f t="shared" si="106"/>
        <v/>
      </c>
      <c r="EU13" s="218" t="str">
        <f t="shared" si="107"/>
        <v/>
      </c>
      <c r="EV13" s="218" t="str">
        <f t="shared" si="108"/>
        <v/>
      </c>
      <c r="EW13" s="218" t="str">
        <f t="shared" si="109"/>
        <v/>
      </c>
      <c r="EX13" s="218" t="str">
        <f t="shared" si="110"/>
        <v/>
      </c>
      <c r="EY13" s="218" t="str">
        <f t="shared" si="111"/>
        <v/>
      </c>
      <c r="FA13" s="218" t="str">
        <f t="shared" si="112"/>
        <v/>
      </c>
      <c r="FB13" s="218" t="str">
        <f t="shared" si="113"/>
        <v/>
      </c>
      <c r="FC13" s="218" t="str">
        <f t="shared" si="114"/>
        <v/>
      </c>
      <c r="FD13" s="218" t="str">
        <f t="shared" si="115"/>
        <v/>
      </c>
      <c r="FE13" s="218" t="str">
        <f t="shared" si="116"/>
        <v/>
      </c>
      <c r="FF13" s="218" t="str">
        <f t="shared" si="117"/>
        <v/>
      </c>
      <c r="FG13" s="218" t="str">
        <f t="shared" si="118"/>
        <v/>
      </c>
      <c r="FH13" s="218" t="str">
        <f t="shared" si="119"/>
        <v/>
      </c>
      <c r="FI13" s="218" t="str">
        <f t="shared" si="120"/>
        <v/>
      </c>
      <c r="FJ13" s="218" t="str">
        <f t="shared" si="121"/>
        <v/>
      </c>
      <c r="FK13" s="218" t="str">
        <f t="shared" si="122"/>
        <v/>
      </c>
      <c r="FL13" s="218" t="str">
        <f t="shared" si="123"/>
        <v/>
      </c>
      <c r="FM13" s="218" t="str">
        <f t="shared" si="124"/>
        <v/>
      </c>
      <c r="FN13" s="218" t="str">
        <f t="shared" si="125"/>
        <v/>
      </c>
      <c r="FO13" s="218" t="str">
        <f t="shared" si="126"/>
        <v/>
      </c>
      <c r="FP13" s="218" t="str">
        <f t="shared" si="127"/>
        <v/>
      </c>
      <c r="FQ13" s="218" t="str">
        <f t="shared" si="128"/>
        <v/>
      </c>
      <c r="FR13" s="218" t="str">
        <f t="shared" si="129"/>
        <v/>
      </c>
      <c r="FT13" s="218" t="str">
        <f t="shared" si="130"/>
        <v/>
      </c>
      <c r="FU13" s="218" t="str">
        <f t="shared" si="131"/>
        <v/>
      </c>
      <c r="FV13" s="218" t="str">
        <f t="shared" si="132"/>
        <v/>
      </c>
      <c r="FW13" s="218" t="str">
        <f t="shared" si="133"/>
        <v/>
      </c>
      <c r="FX13" s="218" t="str">
        <f t="shared" si="134"/>
        <v/>
      </c>
      <c r="FY13" s="218" t="str">
        <f t="shared" si="135"/>
        <v/>
      </c>
      <c r="FZ13" s="218" t="str">
        <f t="shared" si="136"/>
        <v/>
      </c>
      <c r="GA13" s="218" t="str">
        <f t="shared" si="137"/>
        <v/>
      </c>
      <c r="GB13" s="218" t="str">
        <f t="shared" si="138"/>
        <v/>
      </c>
      <c r="GC13" s="218" t="str">
        <f t="shared" si="139"/>
        <v/>
      </c>
      <c r="GD13" s="218" t="str">
        <f t="shared" si="140"/>
        <v/>
      </c>
      <c r="GE13" s="218" t="str">
        <f t="shared" si="141"/>
        <v/>
      </c>
      <c r="GF13" s="218" t="str">
        <f t="shared" si="142"/>
        <v/>
      </c>
      <c r="GG13" s="218" t="str">
        <f t="shared" si="143"/>
        <v/>
      </c>
      <c r="GH13" s="218" t="str">
        <f t="shared" si="144"/>
        <v/>
      </c>
      <c r="GJ13" s="218" t="str">
        <f t="shared" si="145"/>
        <v/>
      </c>
      <c r="GK13" s="218" t="str">
        <f t="shared" si="146"/>
        <v/>
      </c>
      <c r="GL13" s="218" t="str">
        <f t="shared" si="147"/>
        <v/>
      </c>
      <c r="GM13" s="218" t="str">
        <f t="shared" si="148"/>
        <v/>
      </c>
      <c r="GN13" s="218" t="str">
        <f t="shared" si="149"/>
        <v/>
      </c>
      <c r="GO13" s="218" t="str">
        <f t="shared" si="150"/>
        <v/>
      </c>
      <c r="GP13" s="218" t="str">
        <f t="shared" si="151"/>
        <v/>
      </c>
      <c r="GQ13" s="218" t="str">
        <f t="shared" si="152"/>
        <v/>
      </c>
      <c r="GR13" s="218" t="str">
        <f t="shared" si="153"/>
        <v/>
      </c>
      <c r="GS13" s="218" t="str">
        <f t="shared" si="154"/>
        <v/>
      </c>
      <c r="GT13" s="218" t="str">
        <f t="shared" si="155"/>
        <v/>
      </c>
      <c r="GU13" s="218" t="str">
        <f t="shared" si="156"/>
        <v/>
      </c>
      <c r="GW13" s="218" t="str">
        <f t="shared" si="157"/>
        <v/>
      </c>
      <c r="GX13" s="218" t="str">
        <f t="shared" si="158"/>
        <v/>
      </c>
      <c r="GY13" s="218" t="str">
        <f t="shared" si="159"/>
        <v/>
      </c>
      <c r="GZ13" s="218" t="str">
        <f t="shared" si="160"/>
        <v/>
      </c>
      <c r="HA13" s="218" t="str">
        <f t="shared" si="161"/>
        <v/>
      </c>
      <c r="HB13" s="218" t="str">
        <f t="shared" si="162"/>
        <v/>
      </c>
      <c r="HC13" s="218" t="str">
        <f t="shared" si="163"/>
        <v/>
      </c>
      <c r="HD13" s="218" t="str">
        <f t="shared" si="164"/>
        <v/>
      </c>
      <c r="HE13" s="218" t="str">
        <f t="shared" si="165"/>
        <v/>
      </c>
      <c r="HG13" s="218" t="str">
        <f t="shared" si="166"/>
        <v/>
      </c>
      <c r="HH13" s="218" t="str">
        <f t="shared" si="167"/>
        <v/>
      </c>
      <c r="HI13" s="218" t="str">
        <f t="shared" si="168"/>
        <v/>
      </c>
      <c r="HJ13" s="218" t="str">
        <f t="shared" si="169"/>
        <v/>
      </c>
      <c r="HK13" s="218" t="str">
        <f t="shared" si="170"/>
        <v/>
      </c>
      <c r="HL13" s="218" t="str">
        <f t="shared" si="171"/>
        <v/>
      </c>
      <c r="HN13" s="218" t="str">
        <f t="shared" si="172"/>
        <v/>
      </c>
      <c r="HO13" s="218" t="str">
        <f t="shared" si="173"/>
        <v/>
      </c>
      <c r="HP13" s="218" t="str">
        <f t="shared" si="174"/>
        <v/>
      </c>
      <c r="HR13" s="218" t="str">
        <f t="shared" si="224"/>
        <v/>
      </c>
      <c r="HS13" s="218" t="str">
        <f t="shared" si="225"/>
        <v/>
      </c>
      <c r="HT13" s="218" t="str">
        <f t="shared" si="175"/>
        <v/>
      </c>
      <c r="HU13" s="218" t="str">
        <f t="shared" si="176"/>
        <v/>
      </c>
      <c r="HV13" s="218" t="str">
        <f t="shared" si="177"/>
        <v/>
      </c>
      <c r="HW13" s="218" t="str">
        <f t="shared" si="178"/>
        <v/>
      </c>
      <c r="HX13" s="218" t="str">
        <f t="shared" si="179"/>
        <v/>
      </c>
      <c r="HY13" s="218" t="str">
        <f t="shared" si="180"/>
        <v/>
      </c>
      <c r="HZ13" s="218" t="str">
        <f t="shared" si="181"/>
        <v/>
      </c>
      <c r="IA13" s="218" t="str">
        <f t="shared" si="182"/>
        <v/>
      </c>
      <c r="IB13" s="218" t="str">
        <f t="shared" si="183"/>
        <v/>
      </c>
      <c r="IC13" s="218" t="str">
        <f t="shared" si="184"/>
        <v/>
      </c>
      <c r="ID13" s="218" t="str">
        <f t="shared" si="185"/>
        <v/>
      </c>
      <c r="IE13" s="218" t="str">
        <f t="shared" si="186"/>
        <v/>
      </c>
      <c r="IF13" s="218" t="str">
        <f t="shared" si="187"/>
        <v/>
      </c>
      <c r="IG13" s="218" t="str">
        <f t="shared" si="188"/>
        <v/>
      </c>
      <c r="IH13" s="218" t="str">
        <f t="shared" si="189"/>
        <v/>
      </c>
      <c r="II13" s="218" t="str">
        <f t="shared" si="190"/>
        <v/>
      </c>
      <c r="IJ13" s="218" t="str">
        <f t="shared" si="191"/>
        <v/>
      </c>
      <c r="IK13" s="218" t="str">
        <f t="shared" si="192"/>
        <v/>
      </c>
      <c r="IL13" s="218" t="str">
        <f t="shared" si="193"/>
        <v/>
      </c>
      <c r="IM13" s="218" t="str">
        <f t="shared" si="194"/>
        <v/>
      </c>
      <c r="IN13" s="218" t="str">
        <f t="shared" si="195"/>
        <v/>
      </c>
      <c r="IO13" s="218" t="str">
        <f t="shared" si="196"/>
        <v/>
      </c>
      <c r="IP13" s="218" t="str">
        <f t="shared" si="197"/>
        <v/>
      </c>
      <c r="IQ13" s="218" t="str">
        <f t="shared" si="198"/>
        <v/>
      </c>
      <c r="IR13" s="218" t="str">
        <f t="shared" si="199"/>
        <v/>
      </c>
      <c r="IS13" s="218" t="str">
        <f t="shared" si="200"/>
        <v/>
      </c>
      <c r="IT13" s="218" t="str">
        <f t="shared" si="201"/>
        <v/>
      </c>
      <c r="IU13" s="218" t="str">
        <f t="shared" si="202"/>
        <v/>
      </c>
    </row>
    <row r="14" spans="1:255" x14ac:dyDescent="0.2">
      <c r="A14" s="200" t="s">
        <v>17</v>
      </c>
      <c r="B14" s="178"/>
      <c r="C14" s="180"/>
      <c r="D14" s="181"/>
      <c r="E14" s="181"/>
      <c r="F14" s="197"/>
      <c r="G14" s="198"/>
      <c r="H14" s="197"/>
      <c r="I14" s="197"/>
      <c r="J14" s="197"/>
      <c r="K14" s="185"/>
      <c r="L14" s="217" t="str">
        <f t="shared" si="29"/>
        <v/>
      </c>
      <c r="M14" s="218">
        <f>'HKG vs. BK'!M14</f>
        <v>23.635283440586562</v>
      </c>
      <c r="N14" s="218" t="str">
        <f>'HKG vs. BK'!N14</f>
        <v>±0,74</v>
      </c>
      <c r="O14" s="218" t="str">
        <f>'HKG vs. BK'!O14</f>
        <v>±3,54</v>
      </c>
      <c r="P14" s="218" t="str">
        <f>'HKG vs. BK'!P14</f>
        <v>±2,4</v>
      </c>
      <c r="Q14" s="219" t="str">
        <f t="shared" si="203"/>
        <v/>
      </c>
      <c r="R14" s="220" t="str">
        <f t="shared" si="0"/>
        <v/>
      </c>
      <c r="S14" s="220" t="str">
        <f t="shared" si="1"/>
        <v/>
      </c>
      <c r="T14" s="219" t="str">
        <f t="shared" si="2"/>
        <v/>
      </c>
      <c r="U14" s="220" t="str">
        <f t="shared" si="3"/>
        <v/>
      </c>
      <c r="V14" s="220" t="str">
        <f t="shared" si="4"/>
        <v/>
      </c>
      <c r="W14" s="219" t="str">
        <f t="shared" si="5"/>
        <v/>
      </c>
      <c r="X14" s="220" t="str">
        <f t="shared" si="6"/>
        <v/>
      </c>
      <c r="Y14" s="220" t="str">
        <f t="shared" si="7"/>
        <v/>
      </c>
      <c r="Z14" s="219" t="str">
        <f t="shared" si="8"/>
        <v/>
      </c>
      <c r="AA14" s="220" t="str">
        <f t="shared" si="9"/>
        <v/>
      </c>
      <c r="AB14" s="220" t="str">
        <f t="shared" si="10"/>
        <v/>
      </c>
      <c r="AC14" s="219" t="str">
        <f t="shared" si="11"/>
        <v/>
      </c>
      <c r="AD14" s="220" t="str">
        <f t="shared" si="12"/>
        <v/>
      </c>
      <c r="AE14" s="220" t="str">
        <f t="shared" si="13"/>
        <v/>
      </c>
      <c r="AF14" s="219" t="str">
        <f t="shared" si="14"/>
        <v/>
      </c>
      <c r="AG14" s="220" t="str">
        <f t="shared" si="15"/>
        <v/>
      </c>
      <c r="AH14" s="220" t="str">
        <f t="shared" si="16"/>
        <v/>
      </c>
      <c r="AI14" s="219" t="str">
        <f t="shared" si="17"/>
        <v/>
      </c>
      <c r="AJ14" s="220" t="str">
        <f t="shared" si="18"/>
        <v/>
      </c>
      <c r="AK14" s="220" t="str">
        <f t="shared" si="19"/>
        <v/>
      </c>
      <c r="AL14" s="219" t="str">
        <f t="shared" si="20"/>
        <v/>
      </c>
      <c r="AM14" s="220" t="str">
        <f t="shared" si="21"/>
        <v/>
      </c>
      <c r="AN14" s="220" t="str">
        <f t="shared" si="22"/>
        <v/>
      </c>
      <c r="AO14" s="219" t="str">
        <f t="shared" si="23"/>
        <v/>
      </c>
      <c r="AP14" s="220" t="str">
        <f t="shared" si="24"/>
        <v/>
      </c>
      <c r="AQ14" s="220" t="str">
        <f t="shared" si="25"/>
        <v/>
      </c>
      <c r="AR14" s="219" t="str">
        <f t="shared" si="26"/>
        <v/>
      </c>
      <c r="AS14" s="220" t="str">
        <f t="shared" si="27"/>
        <v/>
      </c>
      <c r="AT14" s="220" t="str">
        <f t="shared" si="28"/>
        <v/>
      </c>
      <c r="AU14" s="221"/>
      <c r="AV14" s="221"/>
      <c r="AW14" s="221"/>
      <c r="AY14" s="218" t="str">
        <f t="shared" si="204"/>
        <v/>
      </c>
      <c r="AZ14" s="218" t="str">
        <f t="shared" si="205"/>
        <v/>
      </c>
      <c r="BA14" s="218" t="str">
        <f t="shared" si="30"/>
        <v/>
      </c>
      <c r="BB14" s="218" t="str">
        <f t="shared" si="206"/>
        <v/>
      </c>
      <c r="BC14" s="218" t="str">
        <f t="shared" si="207"/>
        <v/>
      </c>
      <c r="BD14" s="218" t="str">
        <f t="shared" si="31"/>
        <v/>
      </c>
      <c r="BE14" s="218" t="str">
        <f t="shared" si="208"/>
        <v/>
      </c>
      <c r="BF14" s="218" t="str">
        <f t="shared" si="209"/>
        <v/>
      </c>
      <c r="BG14" s="218" t="str">
        <f t="shared" si="32"/>
        <v/>
      </c>
      <c r="BH14" s="218" t="str">
        <f t="shared" si="210"/>
        <v/>
      </c>
      <c r="BI14" s="218" t="str">
        <f t="shared" si="211"/>
        <v/>
      </c>
      <c r="BJ14" s="218" t="str">
        <f t="shared" si="33"/>
        <v/>
      </c>
      <c r="BK14" s="218" t="str">
        <f t="shared" si="212"/>
        <v/>
      </c>
      <c r="BL14" s="218" t="str">
        <f t="shared" si="213"/>
        <v/>
      </c>
      <c r="BM14" s="218" t="str">
        <f t="shared" si="34"/>
        <v/>
      </c>
      <c r="BN14" s="218" t="str">
        <f t="shared" si="214"/>
        <v/>
      </c>
      <c r="BO14" s="218" t="str">
        <f t="shared" si="215"/>
        <v/>
      </c>
      <c r="BP14" s="218" t="str">
        <f t="shared" si="35"/>
        <v/>
      </c>
      <c r="BQ14" s="218" t="str">
        <f t="shared" si="216"/>
        <v/>
      </c>
      <c r="BR14" s="218" t="str">
        <f t="shared" si="217"/>
        <v/>
      </c>
      <c r="BS14" s="218" t="str">
        <f t="shared" si="36"/>
        <v/>
      </c>
      <c r="BT14" s="218" t="str">
        <f t="shared" si="218"/>
        <v/>
      </c>
      <c r="BU14" s="218" t="str">
        <f t="shared" si="219"/>
        <v/>
      </c>
      <c r="BV14" s="218" t="str">
        <f t="shared" si="37"/>
        <v/>
      </c>
      <c r="BW14" s="218" t="str">
        <f t="shared" si="220"/>
        <v/>
      </c>
      <c r="BX14" s="218" t="str">
        <f t="shared" si="221"/>
        <v/>
      </c>
      <c r="BY14" s="218" t="str">
        <f t="shared" si="38"/>
        <v/>
      </c>
      <c r="BZ14" s="218" t="str">
        <f t="shared" si="222"/>
        <v/>
      </c>
      <c r="CA14" s="218" t="str">
        <f t="shared" si="223"/>
        <v/>
      </c>
      <c r="CB14" s="218" t="str">
        <f t="shared" si="39"/>
        <v/>
      </c>
      <c r="CD14" s="218" t="str">
        <f t="shared" si="40"/>
        <v/>
      </c>
      <c r="CE14" s="218" t="str">
        <f t="shared" si="41"/>
        <v/>
      </c>
      <c r="CF14" s="218" t="str">
        <f t="shared" si="42"/>
        <v/>
      </c>
      <c r="CG14" s="218" t="str">
        <f t="shared" si="43"/>
        <v/>
      </c>
      <c r="CH14" s="218" t="str">
        <f t="shared" si="44"/>
        <v/>
      </c>
      <c r="CI14" s="218" t="str">
        <f t="shared" si="45"/>
        <v/>
      </c>
      <c r="CJ14" s="218" t="str">
        <f t="shared" si="46"/>
        <v/>
      </c>
      <c r="CK14" s="218" t="str">
        <f t="shared" si="47"/>
        <v/>
      </c>
      <c r="CL14" s="218" t="str">
        <f t="shared" si="48"/>
        <v/>
      </c>
      <c r="CM14" s="218" t="str">
        <f t="shared" si="49"/>
        <v/>
      </c>
      <c r="CN14" s="218" t="str">
        <f t="shared" si="50"/>
        <v/>
      </c>
      <c r="CO14" s="218" t="str">
        <f t="shared" si="51"/>
        <v/>
      </c>
      <c r="CP14" s="218" t="str">
        <f t="shared" si="52"/>
        <v/>
      </c>
      <c r="CQ14" s="218" t="str">
        <f t="shared" si="53"/>
        <v/>
      </c>
      <c r="CR14" s="218" t="str">
        <f t="shared" si="54"/>
        <v/>
      </c>
      <c r="CS14" s="218" t="str">
        <f t="shared" si="55"/>
        <v/>
      </c>
      <c r="CT14" s="218" t="str">
        <f t="shared" si="56"/>
        <v/>
      </c>
      <c r="CU14" s="218" t="str">
        <f t="shared" si="57"/>
        <v/>
      </c>
      <c r="CV14" s="218" t="str">
        <f t="shared" si="58"/>
        <v/>
      </c>
      <c r="CW14" s="218" t="str">
        <f t="shared" si="59"/>
        <v/>
      </c>
      <c r="CX14" s="218" t="str">
        <f t="shared" si="60"/>
        <v/>
      </c>
      <c r="CY14" s="218" t="str">
        <f t="shared" si="61"/>
        <v/>
      </c>
      <c r="CZ14" s="218" t="str">
        <f t="shared" si="62"/>
        <v/>
      </c>
      <c r="DA14" s="218" t="str">
        <f t="shared" si="63"/>
        <v/>
      </c>
      <c r="DB14" s="218" t="str">
        <f t="shared" si="64"/>
        <v/>
      </c>
      <c r="DC14" s="218" t="str">
        <f t="shared" si="65"/>
        <v/>
      </c>
      <c r="DD14" s="218" t="str">
        <f t="shared" si="66"/>
        <v/>
      </c>
      <c r="DF14" s="218" t="str">
        <f t="shared" si="67"/>
        <v/>
      </c>
      <c r="DG14" s="218" t="str">
        <f t="shared" si="68"/>
        <v/>
      </c>
      <c r="DH14" s="218" t="str">
        <f t="shared" si="69"/>
        <v/>
      </c>
      <c r="DI14" s="218" t="str">
        <f t="shared" si="70"/>
        <v/>
      </c>
      <c r="DJ14" s="218" t="str">
        <f t="shared" si="71"/>
        <v/>
      </c>
      <c r="DK14" s="218" t="str">
        <f t="shared" si="72"/>
        <v/>
      </c>
      <c r="DL14" s="218" t="str">
        <f t="shared" si="73"/>
        <v/>
      </c>
      <c r="DM14" s="218" t="str">
        <f t="shared" si="74"/>
        <v/>
      </c>
      <c r="DN14" s="218" t="str">
        <f t="shared" si="75"/>
        <v/>
      </c>
      <c r="DO14" s="218" t="str">
        <f t="shared" si="76"/>
        <v/>
      </c>
      <c r="DP14" s="218" t="str">
        <f t="shared" si="77"/>
        <v/>
      </c>
      <c r="DQ14" s="218" t="str">
        <f t="shared" si="78"/>
        <v/>
      </c>
      <c r="DR14" s="218" t="str">
        <f t="shared" si="79"/>
        <v/>
      </c>
      <c r="DS14" s="218" t="str">
        <f t="shared" si="80"/>
        <v/>
      </c>
      <c r="DT14" s="218" t="str">
        <f t="shared" si="81"/>
        <v/>
      </c>
      <c r="DU14" s="218" t="str">
        <f t="shared" si="82"/>
        <v/>
      </c>
      <c r="DV14" s="218" t="str">
        <f t="shared" si="83"/>
        <v/>
      </c>
      <c r="DW14" s="218" t="str">
        <f t="shared" si="84"/>
        <v/>
      </c>
      <c r="DX14" s="218" t="str">
        <f t="shared" si="85"/>
        <v/>
      </c>
      <c r="DY14" s="218" t="str">
        <f t="shared" si="86"/>
        <v/>
      </c>
      <c r="DZ14" s="218" t="str">
        <f t="shared" si="87"/>
        <v/>
      </c>
      <c r="EA14" s="218" t="str">
        <f t="shared" si="88"/>
        <v/>
      </c>
      <c r="EB14" s="218" t="str">
        <f t="shared" si="89"/>
        <v/>
      </c>
      <c r="EC14" s="218" t="str">
        <f t="shared" si="90"/>
        <v/>
      </c>
      <c r="EE14" s="218" t="str">
        <f t="shared" si="91"/>
        <v/>
      </c>
      <c r="EF14" s="218" t="str">
        <f t="shared" si="92"/>
        <v/>
      </c>
      <c r="EG14" s="218" t="str">
        <f t="shared" si="93"/>
        <v/>
      </c>
      <c r="EH14" s="218" t="str">
        <f t="shared" si="94"/>
        <v/>
      </c>
      <c r="EI14" s="218" t="str">
        <f t="shared" si="95"/>
        <v/>
      </c>
      <c r="EJ14" s="218" t="str">
        <f t="shared" si="96"/>
        <v/>
      </c>
      <c r="EK14" s="218" t="str">
        <f t="shared" si="97"/>
        <v/>
      </c>
      <c r="EL14" s="218" t="str">
        <f t="shared" si="98"/>
        <v/>
      </c>
      <c r="EM14" s="218" t="str">
        <f t="shared" si="99"/>
        <v/>
      </c>
      <c r="EN14" s="218" t="str">
        <f t="shared" si="100"/>
        <v/>
      </c>
      <c r="EO14" s="218" t="str">
        <f t="shared" si="101"/>
        <v/>
      </c>
      <c r="EP14" s="218" t="str">
        <f t="shared" si="102"/>
        <v/>
      </c>
      <c r="EQ14" s="218" t="str">
        <f t="shared" si="103"/>
        <v/>
      </c>
      <c r="ER14" s="218" t="str">
        <f t="shared" si="104"/>
        <v/>
      </c>
      <c r="ES14" s="218" t="str">
        <f t="shared" si="105"/>
        <v/>
      </c>
      <c r="ET14" s="218" t="str">
        <f t="shared" si="106"/>
        <v/>
      </c>
      <c r="EU14" s="218" t="str">
        <f t="shared" si="107"/>
        <v/>
      </c>
      <c r="EV14" s="218" t="str">
        <f t="shared" si="108"/>
        <v/>
      </c>
      <c r="EW14" s="218" t="str">
        <f t="shared" si="109"/>
        <v/>
      </c>
      <c r="EX14" s="218" t="str">
        <f t="shared" si="110"/>
        <v/>
      </c>
      <c r="EY14" s="218" t="str">
        <f t="shared" si="111"/>
        <v/>
      </c>
      <c r="FA14" s="218" t="str">
        <f t="shared" si="112"/>
        <v/>
      </c>
      <c r="FB14" s="218" t="str">
        <f t="shared" si="113"/>
        <v/>
      </c>
      <c r="FC14" s="218" t="str">
        <f t="shared" si="114"/>
        <v/>
      </c>
      <c r="FD14" s="218" t="str">
        <f t="shared" si="115"/>
        <v/>
      </c>
      <c r="FE14" s="218" t="str">
        <f t="shared" si="116"/>
        <v/>
      </c>
      <c r="FF14" s="218" t="str">
        <f t="shared" si="117"/>
        <v/>
      </c>
      <c r="FG14" s="218" t="str">
        <f t="shared" si="118"/>
        <v/>
      </c>
      <c r="FH14" s="218" t="str">
        <f t="shared" si="119"/>
        <v/>
      </c>
      <c r="FI14" s="218" t="str">
        <f t="shared" si="120"/>
        <v/>
      </c>
      <c r="FJ14" s="218" t="str">
        <f t="shared" si="121"/>
        <v/>
      </c>
      <c r="FK14" s="218" t="str">
        <f t="shared" si="122"/>
        <v/>
      </c>
      <c r="FL14" s="218" t="str">
        <f t="shared" si="123"/>
        <v/>
      </c>
      <c r="FM14" s="218" t="str">
        <f t="shared" si="124"/>
        <v/>
      </c>
      <c r="FN14" s="218" t="str">
        <f t="shared" si="125"/>
        <v/>
      </c>
      <c r="FO14" s="218" t="str">
        <f t="shared" si="126"/>
        <v/>
      </c>
      <c r="FP14" s="218" t="str">
        <f t="shared" si="127"/>
        <v/>
      </c>
      <c r="FQ14" s="218" t="str">
        <f t="shared" si="128"/>
        <v/>
      </c>
      <c r="FR14" s="218" t="str">
        <f t="shared" si="129"/>
        <v/>
      </c>
      <c r="FT14" s="218" t="str">
        <f t="shared" si="130"/>
        <v/>
      </c>
      <c r="FU14" s="218" t="str">
        <f t="shared" si="131"/>
        <v/>
      </c>
      <c r="FV14" s="218" t="str">
        <f t="shared" si="132"/>
        <v/>
      </c>
      <c r="FW14" s="218" t="str">
        <f t="shared" si="133"/>
        <v/>
      </c>
      <c r="FX14" s="218" t="str">
        <f t="shared" si="134"/>
        <v/>
      </c>
      <c r="FY14" s="218" t="str">
        <f t="shared" si="135"/>
        <v/>
      </c>
      <c r="FZ14" s="218" t="str">
        <f t="shared" si="136"/>
        <v/>
      </c>
      <c r="GA14" s="218" t="str">
        <f t="shared" si="137"/>
        <v/>
      </c>
      <c r="GB14" s="218" t="str">
        <f t="shared" si="138"/>
        <v/>
      </c>
      <c r="GC14" s="218" t="str">
        <f t="shared" si="139"/>
        <v/>
      </c>
      <c r="GD14" s="218" t="str">
        <f t="shared" si="140"/>
        <v/>
      </c>
      <c r="GE14" s="218" t="str">
        <f t="shared" si="141"/>
        <v/>
      </c>
      <c r="GF14" s="218" t="str">
        <f t="shared" si="142"/>
        <v/>
      </c>
      <c r="GG14" s="218" t="str">
        <f t="shared" si="143"/>
        <v/>
      </c>
      <c r="GH14" s="218" t="str">
        <f t="shared" si="144"/>
        <v/>
      </c>
      <c r="GJ14" s="218" t="str">
        <f t="shared" si="145"/>
        <v/>
      </c>
      <c r="GK14" s="218" t="str">
        <f t="shared" si="146"/>
        <v/>
      </c>
      <c r="GL14" s="218" t="str">
        <f t="shared" si="147"/>
        <v/>
      </c>
      <c r="GM14" s="218" t="str">
        <f t="shared" si="148"/>
        <v/>
      </c>
      <c r="GN14" s="218" t="str">
        <f t="shared" si="149"/>
        <v/>
      </c>
      <c r="GO14" s="218" t="str">
        <f t="shared" si="150"/>
        <v/>
      </c>
      <c r="GP14" s="218" t="str">
        <f t="shared" si="151"/>
        <v/>
      </c>
      <c r="GQ14" s="218" t="str">
        <f t="shared" si="152"/>
        <v/>
      </c>
      <c r="GR14" s="218" t="str">
        <f t="shared" si="153"/>
        <v/>
      </c>
      <c r="GS14" s="218" t="str">
        <f t="shared" si="154"/>
        <v/>
      </c>
      <c r="GT14" s="218" t="str">
        <f t="shared" si="155"/>
        <v/>
      </c>
      <c r="GU14" s="218" t="str">
        <f t="shared" si="156"/>
        <v/>
      </c>
      <c r="GW14" s="218" t="str">
        <f t="shared" si="157"/>
        <v/>
      </c>
      <c r="GX14" s="218" t="str">
        <f t="shared" si="158"/>
        <v/>
      </c>
      <c r="GY14" s="218" t="str">
        <f t="shared" si="159"/>
        <v/>
      </c>
      <c r="GZ14" s="218" t="str">
        <f t="shared" si="160"/>
        <v/>
      </c>
      <c r="HA14" s="218" t="str">
        <f t="shared" si="161"/>
        <v/>
      </c>
      <c r="HB14" s="218" t="str">
        <f t="shared" si="162"/>
        <v/>
      </c>
      <c r="HC14" s="218" t="str">
        <f t="shared" si="163"/>
        <v/>
      </c>
      <c r="HD14" s="218" t="str">
        <f t="shared" si="164"/>
        <v/>
      </c>
      <c r="HE14" s="218" t="str">
        <f t="shared" si="165"/>
        <v/>
      </c>
      <c r="HG14" s="218" t="str">
        <f t="shared" si="166"/>
        <v/>
      </c>
      <c r="HH14" s="218" t="str">
        <f t="shared" si="167"/>
        <v/>
      </c>
      <c r="HI14" s="218" t="str">
        <f t="shared" si="168"/>
        <v/>
      </c>
      <c r="HJ14" s="218" t="str">
        <f t="shared" si="169"/>
        <v/>
      </c>
      <c r="HK14" s="218" t="str">
        <f t="shared" si="170"/>
        <v/>
      </c>
      <c r="HL14" s="218" t="str">
        <f t="shared" si="171"/>
        <v/>
      </c>
      <c r="HN14" s="218" t="str">
        <f t="shared" si="172"/>
        <v/>
      </c>
      <c r="HO14" s="218" t="str">
        <f t="shared" si="173"/>
        <v/>
      </c>
      <c r="HP14" s="218" t="str">
        <f t="shared" si="174"/>
        <v/>
      </c>
      <c r="HR14" s="218" t="str">
        <f t="shared" si="224"/>
        <v/>
      </c>
      <c r="HS14" s="218" t="str">
        <f t="shared" si="225"/>
        <v/>
      </c>
      <c r="HT14" s="218" t="str">
        <f t="shared" si="175"/>
        <v/>
      </c>
      <c r="HU14" s="218" t="str">
        <f t="shared" si="176"/>
        <v/>
      </c>
      <c r="HV14" s="218" t="str">
        <f t="shared" si="177"/>
        <v/>
      </c>
      <c r="HW14" s="218" t="str">
        <f t="shared" si="178"/>
        <v/>
      </c>
      <c r="HX14" s="218" t="str">
        <f t="shared" si="179"/>
        <v/>
      </c>
      <c r="HY14" s="218" t="str">
        <f t="shared" si="180"/>
        <v/>
      </c>
      <c r="HZ14" s="218" t="str">
        <f t="shared" si="181"/>
        <v/>
      </c>
      <c r="IA14" s="218" t="str">
        <f t="shared" si="182"/>
        <v/>
      </c>
      <c r="IB14" s="218" t="str">
        <f t="shared" si="183"/>
        <v/>
      </c>
      <c r="IC14" s="218" t="str">
        <f t="shared" si="184"/>
        <v/>
      </c>
      <c r="ID14" s="218" t="str">
        <f t="shared" si="185"/>
        <v/>
      </c>
      <c r="IE14" s="218" t="str">
        <f t="shared" si="186"/>
        <v/>
      </c>
      <c r="IF14" s="218" t="str">
        <f t="shared" si="187"/>
        <v/>
      </c>
      <c r="IG14" s="218" t="str">
        <f t="shared" si="188"/>
        <v/>
      </c>
      <c r="IH14" s="218" t="str">
        <f t="shared" si="189"/>
        <v/>
      </c>
      <c r="II14" s="218" t="str">
        <f t="shared" si="190"/>
        <v/>
      </c>
      <c r="IJ14" s="218" t="str">
        <f t="shared" si="191"/>
        <v/>
      </c>
      <c r="IK14" s="218" t="str">
        <f t="shared" si="192"/>
        <v/>
      </c>
      <c r="IL14" s="218" t="str">
        <f t="shared" si="193"/>
        <v/>
      </c>
      <c r="IM14" s="218" t="str">
        <f t="shared" si="194"/>
        <v/>
      </c>
      <c r="IN14" s="218" t="str">
        <f t="shared" si="195"/>
        <v/>
      </c>
      <c r="IO14" s="218" t="str">
        <f t="shared" si="196"/>
        <v/>
      </c>
      <c r="IP14" s="218" t="str">
        <f t="shared" si="197"/>
        <v/>
      </c>
      <c r="IQ14" s="218" t="str">
        <f t="shared" si="198"/>
        <v/>
      </c>
      <c r="IR14" s="218" t="str">
        <f t="shared" si="199"/>
        <v/>
      </c>
      <c r="IS14" s="218" t="str">
        <f t="shared" si="200"/>
        <v/>
      </c>
      <c r="IT14" s="218" t="str">
        <f t="shared" si="201"/>
        <v/>
      </c>
      <c r="IU14" s="218" t="str">
        <f t="shared" si="202"/>
        <v/>
      </c>
    </row>
    <row r="15" spans="1:255" x14ac:dyDescent="0.2">
      <c r="A15" s="200" t="s">
        <v>18</v>
      </c>
      <c r="B15" s="178"/>
      <c r="C15" s="179"/>
      <c r="D15" s="181"/>
      <c r="E15" s="181"/>
      <c r="F15" s="197"/>
      <c r="G15" s="198"/>
      <c r="H15" s="197"/>
      <c r="I15" s="197"/>
      <c r="J15" s="197"/>
      <c r="K15" s="185"/>
      <c r="L15" s="217" t="str">
        <f t="shared" si="29"/>
        <v/>
      </c>
      <c r="M15" s="218">
        <f>'HKG vs. BK'!M15</f>
        <v>22.67075982869493</v>
      </c>
      <c r="N15" s="218" t="str">
        <f>'HKG vs. BK'!N15</f>
        <v>±1,26</v>
      </c>
      <c r="O15" s="218" t="str">
        <f>'HKG vs. BK'!O15</f>
        <v>±5,59</v>
      </c>
      <c r="P15" s="218" t="str">
        <f>'HKG vs. BK'!P15</f>
        <v>±3,79</v>
      </c>
      <c r="Q15" s="219" t="str">
        <f t="shared" si="203"/>
        <v/>
      </c>
      <c r="R15" s="220" t="str">
        <f t="shared" si="0"/>
        <v/>
      </c>
      <c r="S15" s="220" t="str">
        <f t="shared" si="1"/>
        <v/>
      </c>
      <c r="T15" s="219" t="str">
        <f t="shared" si="2"/>
        <v/>
      </c>
      <c r="U15" s="220" t="str">
        <f t="shared" si="3"/>
        <v/>
      </c>
      <c r="V15" s="220" t="str">
        <f t="shared" si="4"/>
        <v/>
      </c>
      <c r="W15" s="219" t="str">
        <f t="shared" si="5"/>
        <v/>
      </c>
      <c r="X15" s="220" t="str">
        <f t="shared" si="6"/>
        <v/>
      </c>
      <c r="Y15" s="220" t="str">
        <f t="shared" si="7"/>
        <v/>
      </c>
      <c r="Z15" s="219" t="str">
        <f t="shared" si="8"/>
        <v/>
      </c>
      <c r="AA15" s="220" t="str">
        <f t="shared" si="9"/>
        <v/>
      </c>
      <c r="AB15" s="220" t="str">
        <f t="shared" si="10"/>
        <v/>
      </c>
      <c r="AC15" s="219" t="str">
        <f t="shared" si="11"/>
        <v/>
      </c>
      <c r="AD15" s="220" t="str">
        <f t="shared" si="12"/>
        <v/>
      </c>
      <c r="AE15" s="220" t="str">
        <f t="shared" si="13"/>
        <v/>
      </c>
      <c r="AF15" s="219" t="str">
        <f t="shared" si="14"/>
        <v/>
      </c>
      <c r="AG15" s="220" t="str">
        <f t="shared" si="15"/>
        <v/>
      </c>
      <c r="AH15" s="220" t="str">
        <f t="shared" si="16"/>
        <v/>
      </c>
      <c r="AI15" s="219" t="str">
        <f t="shared" si="17"/>
        <v/>
      </c>
      <c r="AJ15" s="220" t="str">
        <f t="shared" si="18"/>
        <v/>
      </c>
      <c r="AK15" s="220" t="str">
        <f t="shared" si="19"/>
        <v/>
      </c>
      <c r="AL15" s="219" t="str">
        <f t="shared" si="20"/>
        <v/>
      </c>
      <c r="AM15" s="220" t="str">
        <f t="shared" si="21"/>
        <v/>
      </c>
      <c r="AN15" s="220" t="str">
        <f t="shared" si="22"/>
        <v/>
      </c>
      <c r="AO15" s="219" t="str">
        <f t="shared" si="23"/>
        <v/>
      </c>
      <c r="AP15" s="220" t="str">
        <f t="shared" si="24"/>
        <v/>
      </c>
      <c r="AQ15" s="220" t="str">
        <f t="shared" si="25"/>
        <v/>
      </c>
      <c r="AR15" s="219" t="str">
        <f t="shared" si="26"/>
        <v/>
      </c>
      <c r="AS15" s="220" t="str">
        <f t="shared" si="27"/>
        <v/>
      </c>
      <c r="AT15" s="220" t="str">
        <f t="shared" si="28"/>
        <v/>
      </c>
      <c r="AU15" s="221"/>
      <c r="AV15" s="221"/>
      <c r="AW15" s="221"/>
      <c r="AY15" s="218" t="str">
        <f t="shared" si="204"/>
        <v/>
      </c>
      <c r="AZ15" s="218" t="str">
        <f t="shared" si="205"/>
        <v/>
      </c>
      <c r="BA15" s="218" t="str">
        <f t="shared" si="30"/>
        <v/>
      </c>
      <c r="BB15" s="218" t="str">
        <f t="shared" si="206"/>
        <v/>
      </c>
      <c r="BC15" s="218" t="str">
        <f t="shared" si="207"/>
        <v/>
      </c>
      <c r="BD15" s="218" t="str">
        <f t="shared" si="31"/>
        <v/>
      </c>
      <c r="BE15" s="218" t="str">
        <f t="shared" si="208"/>
        <v/>
      </c>
      <c r="BF15" s="218" t="str">
        <f t="shared" si="209"/>
        <v/>
      </c>
      <c r="BG15" s="218" t="str">
        <f t="shared" si="32"/>
        <v/>
      </c>
      <c r="BH15" s="218" t="str">
        <f t="shared" si="210"/>
        <v/>
      </c>
      <c r="BI15" s="218" t="str">
        <f t="shared" si="211"/>
        <v/>
      </c>
      <c r="BJ15" s="218" t="str">
        <f t="shared" si="33"/>
        <v/>
      </c>
      <c r="BK15" s="218" t="str">
        <f t="shared" si="212"/>
        <v/>
      </c>
      <c r="BL15" s="218" t="str">
        <f t="shared" si="213"/>
        <v/>
      </c>
      <c r="BM15" s="218" t="str">
        <f t="shared" si="34"/>
        <v/>
      </c>
      <c r="BN15" s="218" t="str">
        <f t="shared" si="214"/>
        <v/>
      </c>
      <c r="BO15" s="218" t="str">
        <f t="shared" si="215"/>
        <v/>
      </c>
      <c r="BP15" s="218" t="str">
        <f t="shared" si="35"/>
        <v/>
      </c>
      <c r="BQ15" s="218" t="str">
        <f t="shared" si="216"/>
        <v/>
      </c>
      <c r="BR15" s="218" t="str">
        <f t="shared" si="217"/>
        <v/>
      </c>
      <c r="BS15" s="218" t="str">
        <f t="shared" si="36"/>
        <v/>
      </c>
      <c r="BT15" s="218" t="str">
        <f t="shared" si="218"/>
        <v/>
      </c>
      <c r="BU15" s="218" t="str">
        <f t="shared" si="219"/>
        <v/>
      </c>
      <c r="BV15" s="218" t="str">
        <f t="shared" si="37"/>
        <v/>
      </c>
      <c r="BW15" s="218" t="str">
        <f t="shared" si="220"/>
        <v/>
      </c>
      <c r="BX15" s="218" t="str">
        <f t="shared" si="221"/>
        <v/>
      </c>
      <c r="BY15" s="218" t="str">
        <f t="shared" si="38"/>
        <v/>
      </c>
      <c r="BZ15" s="218" t="str">
        <f t="shared" si="222"/>
        <v/>
      </c>
      <c r="CA15" s="218" t="str">
        <f t="shared" si="223"/>
        <v/>
      </c>
      <c r="CB15" s="218" t="str">
        <f t="shared" si="39"/>
        <v/>
      </c>
      <c r="CD15" s="218" t="str">
        <f t="shared" si="40"/>
        <v/>
      </c>
      <c r="CE15" s="218" t="str">
        <f t="shared" si="41"/>
        <v/>
      </c>
      <c r="CF15" s="218" t="str">
        <f t="shared" si="42"/>
        <v/>
      </c>
      <c r="CG15" s="218" t="str">
        <f t="shared" si="43"/>
        <v/>
      </c>
      <c r="CH15" s="218" t="str">
        <f t="shared" si="44"/>
        <v/>
      </c>
      <c r="CI15" s="218" t="str">
        <f t="shared" si="45"/>
        <v/>
      </c>
      <c r="CJ15" s="218" t="str">
        <f t="shared" si="46"/>
        <v/>
      </c>
      <c r="CK15" s="218" t="str">
        <f t="shared" si="47"/>
        <v/>
      </c>
      <c r="CL15" s="218" t="str">
        <f t="shared" si="48"/>
        <v/>
      </c>
      <c r="CM15" s="218" t="str">
        <f t="shared" si="49"/>
        <v/>
      </c>
      <c r="CN15" s="218" t="str">
        <f t="shared" si="50"/>
        <v/>
      </c>
      <c r="CO15" s="218" t="str">
        <f t="shared" si="51"/>
        <v/>
      </c>
      <c r="CP15" s="218" t="str">
        <f t="shared" si="52"/>
        <v/>
      </c>
      <c r="CQ15" s="218" t="str">
        <f t="shared" si="53"/>
        <v/>
      </c>
      <c r="CR15" s="218" t="str">
        <f t="shared" si="54"/>
        <v/>
      </c>
      <c r="CS15" s="218" t="str">
        <f t="shared" si="55"/>
        <v/>
      </c>
      <c r="CT15" s="218" t="str">
        <f t="shared" si="56"/>
        <v/>
      </c>
      <c r="CU15" s="218" t="str">
        <f t="shared" si="57"/>
        <v/>
      </c>
      <c r="CV15" s="218" t="str">
        <f t="shared" si="58"/>
        <v/>
      </c>
      <c r="CW15" s="218" t="str">
        <f t="shared" si="59"/>
        <v/>
      </c>
      <c r="CX15" s="218" t="str">
        <f t="shared" si="60"/>
        <v/>
      </c>
      <c r="CY15" s="218" t="str">
        <f t="shared" si="61"/>
        <v/>
      </c>
      <c r="CZ15" s="218" t="str">
        <f t="shared" si="62"/>
        <v/>
      </c>
      <c r="DA15" s="218" t="str">
        <f t="shared" si="63"/>
        <v/>
      </c>
      <c r="DB15" s="218" t="str">
        <f t="shared" si="64"/>
        <v/>
      </c>
      <c r="DC15" s="218" t="str">
        <f t="shared" si="65"/>
        <v/>
      </c>
      <c r="DD15" s="218" t="str">
        <f t="shared" si="66"/>
        <v/>
      </c>
      <c r="DF15" s="218" t="str">
        <f t="shared" si="67"/>
        <v/>
      </c>
      <c r="DG15" s="218" t="str">
        <f t="shared" si="68"/>
        <v/>
      </c>
      <c r="DH15" s="218" t="str">
        <f t="shared" si="69"/>
        <v/>
      </c>
      <c r="DI15" s="218" t="str">
        <f t="shared" si="70"/>
        <v/>
      </c>
      <c r="DJ15" s="218" t="str">
        <f t="shared" si="71"/>
        <v/>
      </c>
      <c r="DK15" s="218" t="str">
        <f t="shared" si="72"/>
        <v/>
      </c>
      <c r="DL15" s="218" t="str">
        <f t="shared" si="73"/>
        <v/>
      </c>
      <c r="DM15" s="218" t="str">
        <f t="shared" si="74"/>
        <v/>
      </c>
      <c r="DN15" s="218" t="str">
        <f t="shared" si="75"/>
        <v/>
      </c>
      <c r="DO15" s="218" t="str">
        <f t="shared" si="76"/>
        <v/>
      </c>
      <c r="DP15" s="218" t="str">
        <f t="shared" si="77"/>
        <v/>
      </c>
      <c r="DQ15" s="218" t="str">
        <f t="shared" si="78"/>
        <v/>
      </c>
      <c r="DR15" s="218" t="str">
        <f t="shared" si="79"/>
        <v/>
      </c>
      <c r="DS15" s="218" t="str">
        <f t="shared" si="80"/>
        <v/>
      </c>
      <c r="DT15" s="218" t="str">
        <f t="shared" si="81"/>
        <v/>
      </c>
      <c r="DU15" s="218" t="str">
        <f t="shared" si="82"/>
        <v/>
      </c>
      <c r="DV15" s="218" t="str">
        <f t="shared" si="83"/>
        <v/>
      </c>
      <c r="DW15" s="218" t="str">
        <f t="shared" si="84"/>
        <v/>
      </c>
      <c r="DX15" s="218" t="str">
        <f t="shared" si="85"/>
        <v/>
      </c>
      <c r="DY15" s="218" t="str">
        <f t="shared" si="86"/>
        <v/>
      </c>
      <c r="DZ15" s="218" t="str">
        <f t="shared" si="87"/>
        <v/>
      </c>
      <c r="EA15" s="218" t="str">
        <f t="shared" si="88"/>
        <v/>
      </c>
      <c r="EB15" s="218" t="str">
        <f t="shared" si="89"/>
        <v/>
      </c>
      <c r="EC15" s="218" t="str">
        <f t="shared" si="90"/>
        <v/>
      </c>
      <c r="EE15" s="218" t="str">
        <f t="shared" si="91"/>
        <v/>
      </c>
      <c r="EF15" s="218" t="str">
        <f t="shared" si="92"/>
        <v/>
      </c>
      <c r="EG15" s="218" t="str">
        <f t="shared" si="93"/>
        <v/>
      </c>
      <c r="EH15" s="218" t="str">
        <f t="shared" si="94"/>
        <v/>
      </c>
      <c r="EI15" s="218" t="str">
        <f t="shared" si="95"/>
        <v/>
      </c>
      <c r="EJ15" s="218" t="str">
        <f t="shared" si="96"/>
        <v/>
      </c>
      <c r="EK15" s="218" t="str">
        <f t="shared" si="97"/>
        <v/>
      </c>
      <c r="EL15" s="218" t="str">
        <f t="shared" si="98"/>
        <v/>
      </c>
      <c r="EM15" s="218" t="str">
        <f t="shared" si="99"/>
        <v/>
      </c>
      <c r="EN15" s="218" t="str">
        <f t="shared" si="100"/>
        <v/>
      </c>
      <c r="EO15" s="218" t="str">
        <f t="shared" si="101"/>
        <v/>
      </c>
      <c r="EP15" s="218" t="str">
        <f t="shared" si="102"/>
        <v/>
      </c>
      <c r="EQ15" s="218" t="str">
        <f t="shared" si="103"/>
        <v/>
      </c>
      <c r="ER15" s="218" t="str">
        <f t="shared" si="104"/>
        <v/>
      </c>
      <c r="ES15" s="218" t="str">
        <f t="shared" si="105"/>
        <v/>
      </c>
      <c r="ET15" s="218" t="str">
        <f t="shared" si="106"/>
        <v/>
      </c>
      <c r="EU15" s="218" t="str">
        <f t="shared" si="107"/>
        <v/>
      </c>
      <c r="EV15" s="218" t="str">
        <f t="shared" si="108"/>
        <v/>
      </c>
      <c r="EW15" s="218" t="str">
        <f t="shared" si="109"/>
        <v/>
      </c>
      <c r="EX15" s="218" t="str">
        <f t="shared" si="110"/>
        <v/>
      </c>
      <c r="EY15" s="218" t="str">
        <f t="shared" si="111"/>
        <v/>
      </c>
      <c r="FA15" s="218" t="str">
        <f t="shared" si="112"/>
        <v/>
      </c>
      <c r="FB15" s="218" t="str">
        <f t="shared" si="113"/>
        <v/>
      </c>
      <c r="FC15" s="218" t="str">
        <f t="shared" si="114"/>
        <v/>
      </c>
      <c r="FD15" s="218" t="str">
        <f t="shared" si="115"/>
        <v/>
      </c>
      <c r="FE15" s="218" t="str">
        <f t="shared" si="116"/>
        <v/>
      </c>
      <c r="FF15" s="218" t="str">
        <f t="shared" si="117"/>
        <v/>
      </c>
      <c r="FG15" s="218" t="str">
        <f t="shared" si="118"/>
        <v/>
      </c>
      <c r="FH15" s="218" t="str">
        <f t="shared" si="119"/>
        <v/>
      </c>
      <c r="FI15" s="218" t="str">
        <f t="shared" si="120"/>
        <v/>
      </c>
      <c r="FJ15" s="218" t="str">
        <f t="shared" si="121"/>
        <v/>
      </c>
      <c r="FK15" s="218" t="str">
        <f t="shared" si="122"/>
        <v/>
      </c>
      <c r="FL15" s="218" t="str">
        <f t="shared" si="123"/>
        <v/>
      </c>
      <c r="FM15" s="218" t="str">
        <f t="shared" si="124"/>
        <v/>
      </c>
      <c r="FN15" s="218" t="str">
        <f t="shared" si="125"/>
        <v/>
      </c>
      <c r="FO15" s="218" t="str">
        <f t="shared" si="126"/>
        <v/>
      </c>
      <c r="FP15" s="218" t="str">
        <f t="shared" si="127"/>
        <v/>
      </c>
      <c r="FQ15" s="218" t="str">
        <f t="shared" si="128"/>
        <v/>
      </c>
      <c r="FR15" s="218" t="str">
        <f t="shared" si="129"/>
        <v/>
      </c>
      <c r="FT15" s="218" t="str">
        <f t="shared" si="130"/>
        <v/>
      </c>
      <c r="FU15" s="218" t="str">
        <f t="shared" si="131"/>
        <v/>
      </c>
      <c r="FV15" s="218" t="str">
        <f t="shared" si="132"/>
        <v/>
      </c>
      <c r="FW15" s="218" t="str">
        <f t="shared" si="133"/>
        <v/>
      </c>
      <c r="FX15" s="218" t="str">
        <f t="shared" si="134"/>
        <v/>
      </c>
      <c r="FY15" s="218" t="str">
        <f t="shared" si="135"/>
        <v/>
      </c>
      <c r="FZ15" s="218" t="str">
        <f t="shared" si="136"/>
        <v/>
      </c>
      <c r="GA15" s="218" t="str">
        <f t="shared" si="137"/>
        <v/>
      </c>
      <c r="GB15" s="218" t="str">
        <f t="shared" si="138"/>
        <v/>
      </c>
      <c r="GC15" s="218" t="str">
        <f t="shared" si="139"/>
        <v/>
      </c>
      <c r="GD15" s="218" t="str">
        <f t="shared" si="140"/>
        <v/>
      </c>
      <c r="GE15" s="218" t="str">
        <f t="shared" si="141"/>
        <v/>
      </c>
      <c r="GF15" s="218" t="str">
        <f t="shared" si="142"/>
        <v/>
      </c>
      <c r="GG15" s="218" t="str">
        <f t="shared" si="143"/>
        <v/>
      </c>
      <c r="GH15" s="218" t="str">
        <f t="shared" si="144"/>
        <v/>
      </c>
      <c r="GJ15" s="218" t="str">
        <f t="shared" si="145"/>
        <v/>
      </c>
      <c r="GK15" s="218" t="str">
        <f t="shared" si="146"/>
        <v/>
      </c>
      <c r="GL15" s="218" t="str">
        <f t="shared" si="147"/>
        <v/>
      </c>
      <c r="GM15" s="218" t="str">
        <f t="shared" si="148"/>
        <v/>
      </c>
      <c r="GN15" s="218" t="str">
        <f t="shared" si="149"/>
        <v/>
      </c>
      <c r="GO15" s="218" t="str">
        <f t="shared" si="150"/>
        <v/>
      </c>
      <c r="GP15" s="218" t="str">
        <f t="shared" si="151"/>
        <v/>
      </c>
      <c r="GQ15" s="218" t="str">
        <f t="shared" si="152"/>
        <v/>
      </c>
      <c r="GR15" s="218" t="str">
        <f t="shared" si="153"/>
        <v/>
      </c>
      <c r="GS15" s="218" t="str">
        <f t="shared" si="154"/>
        <v/>
      </c>
      <c r="GT15" s="218" t="str">
        <f t="shared" si="155"/>
        <v/>
      </c>
      <c r="GU15" s="218" t="str">
        <f t="shared" si="156"/>
        <v/>
      </c>
      <c r="GW15" s="218" t="str">
        <f t="shared" si="157"/>
        <v/>
      </c>
      <c r="GX15" s="218" t="str">
        <f t="shared" si="158"/>
        <v/>
      </c>
      <c r="GY15" s="218" t="str">
        <f t="shared" si="159"/>
        <v/>
      </c>
      <c r="GZ15" s="218" t="str">
        <f t="shared" si="160"/>
        <v/>
      </c>
      <c r="HA15" s="218" t="str">
        <f t="shared" si="161"/>
        <v/>
      </c>
      <c r="HB15" s="218" t="str">
        <f t="shared" si="162"/>
        <v/>
      </c>
      <c r="HC15" s="218" t="str">
        <f t="shared" si="163"/>
        <v/>
      </c>
      <c r="HD15" s="218" t="str">
        <f t="shared" si="164"/>
        <v/>
      </c>
      <c r="HE15" s="218" t="str">
        <f t="shared" si="165"/>
        <v/>
      </c>
      <c r="HG15" s="218" t="str">
        <f t="shared" si="166"/>
        <v/>
      </c>
      <c r="HH15" s="218" t="str">
        <f t="shared" si="167"/>
        <v/>
      </c>
      <c r="HI15" s="218" t="str">
        <f t="shared" si="168"/>
        <v/>
      </c>
      <c r="HJ15" s="218" t="str">
        <f t="shared" si="169"/>
        <v/>
      </c>
      <c r="HK15" s="218" t="str">
        <f t="shared" si="170"/>
        <v/>
      </c>
      <c r="HL15" s="218" t="str">
        <f t="shared" si="171"/>
        <v/>
      </c>
      <c r="HN15" s="218" t="str">
        <f t="shared" si="172"/>
        <v/>
      </c>
      <c r="HO15" s="218" t="str">
        <f t="shared" si="173"/>
        <v/>
      </c>
      <c r="HP15" s="218" t="str">
        <f t="shared" si="174"/>
        <v/>
      </c>
      <c r="HR15" s="218" t="str">
        <f t="shared" si="224"/>
        <v/>
      </c>
      <c r="HS15" s="218" t="str">
        <f t="shared" si="225"/>
        <v/>
      </c>
      <c r="HT15" s="218" t="str">
        <f t="shared" si="175"/>
        <v/>
      </c>
      <c r="HU15" s="218" t="str">
        <f t="shared" si="176"/>
        <v/>
      </c>
      <c r="HV15" s="218" t="str">
        <f t="shared" si="177"/>
        <v/>
      </c>
      <c r="HW15" s="218" t="str">
        <f t="shared" si="178"/>
        <v/>
      </c>
      <c r="HX15" s="218" t="str">
        <f t="shared" si="179"/>
        <v/>
      </c>
      <c r="HY15" s="218" t="str">
        <f t="shared" si="180"/>
        <v/>
      </c>
      <c r="HZ15" s="218" t="str">
        <f t="shared" si="181"/>
        <v/>
      </c>
      <c r="IA15" s="218" t="str">
        <f t="shared" si="182"/>
        <v/>
      </c>
      <c r="IB15" s="218" t="str">
        <f t="shared" si="183"/>
        <v/>
      </c>
      <c r="IC15" s="218" t="str">
        <f t="shared" si="184"/>
        <v/>
      </c>
      <c r="ID15" s="218" t="str">
        <f t="shared" si="185"/>
        <v/>
      </c>
      <c r="IE15" s="218" t="str">
        <f t="shared" si="186"/>
        <v/>
      </c>
      <c r="IF15" s="218" t="str">
        <f t="shared" si="187"/>
        <v/>
      </c>
      <c r="IG15" s="218" t="str">
        <f t="shared" si="188"/>
        <v/>
      </c>
      <c r="IH15" s="218" t="str">
        <f t="shared" si="189"/>
        <v/>
      </c>
      <c r="II15" s="218" t="str">
        <f t="shared" si="190"/>
        <v/>
      </c>
      <c r="IJ15" s="218" t="str">
        <f t="shared" si="191"/>
        <v/>
      </c>
      <c r="IK15" s="218" t="str">
        <f t="shared" si="192"/>
        <v/>
      </c>
      <c r="IL15" s="218" t="str">
        <f t="shared" si="193"/>
        <v/>
      </c>
      <c r="IM15" s="218" t="str">
        <f t="shared" si="194"/>
        <v/>
      </c>
      <c r="IN15" s="218" t="str">
        <f t="shared" si="195"/>
        <v/>
      </c>
      <c r="IO15" s="218" t="str">
        <f t="shared" si="196"/>
        <v/>
      </c>
      <c r="IP15" s="218" t="str">
        <f t="shared" si="197"/>
        <v/>
      </c>
      <c r="IQ15" s="218" t="str">
        <f t="shared" si="198"/>
        <v/>
      </c>
      <c r="IR15" s="218" t="str">
        <f t="shared" si="199"/>
        <v/>
      </c>
      <c r="IS15" s="218" t="str">
        <f t="shared" si="200"/>
        <v/>
      </c>
      <c r="IT15" s="218" t="str">
        <f t="shared" si="201"/>
        <v/>
      </c>
      <c r="IU15" s="218" t="str">
        <f t="shared" si="202"/>
        <v/>
      </c>
    </row>
    <row r="16" spans="1:255" x14ac:dyDescent="0.2">
      <c r="A16" s="200" t="s">
        <v>19</v>
      </c>
      <c r="B16" s="178"/>
      <c r="C16" s="179"/>
      <c r="D16" s="181"/>
      <c r="E16" s="181"/>
      <c r="F16" s="197"/>
      <c r="G16" s="198"/>
      <c r="H16" s="197"/>
      <c r="I16" s="197"/>
      <c r="J16" s="197"/>
      <c r="K16" s="185"/>
      <c r="L16" s="217" t="str">
        <f t="shared" si="29"/>
        <v/>
      </c>
      <c r="M16" s="218">
        <f>'HKG vs. BK'!M16</f>
        <v>20.179355674112671</v>
      </c>
      <c r="N16" s="218" t="str">
        <f>'HKG vs. BK'!N16</f>
        <v>±0,48</v>
      </c>
      <c r="O16" s="218" t="str">
        <f>'HKG vs. BK'!O16</f>
        <v>±2,1</v>
      </c>
      <c r="P16" s="218" t="str">
        <f>'HKG vs. BK'!P16</f>
        <v>±0,14</v>
      </c>
      <c r="Q16" s="219" t="str">
        <f t="shared" si="203"/>
        <v/>
      </c>
      <c r="R16" s="220" t="str">
        <f t="shared" si="0"/>
        <v/>
      </c>
      <c r="S16" s="220" t="str">
        <f t="shared" si="1"/>
        <v/>
      </c>
      <c r="T16" s="219" t="str">
        <f t="shared" si="2"/>
        <v/>
      </c>
      <c r="U16" s="220" t="str">
        <f t="shared" si="3"/>
        <v/>
      </c>
      <c r="V16" s="220" t="str">
        <f t="shared" si="4"/>
        <v/>
      </c>
      <c r="W16" s="219" t="str">
        <f t="shared" si="5"/>
        <v/>
      </c>
      <c r="X16" s="220" t="str">
        <f t="shared" si="6"/>
        <v/>
      </c>
      <c r="Y16" s="220" t="str">
        <f t="shared" si="7"/>
        <v/>
      </c>
      <c r="Z16" s="219" t="str">
        <f t="shared" si="8"/>
        <v/>
      </c>
      <c r="AA16" s="220" t="str">
        <f t="shared" si="9"/>
        <v/>
      </c>
      <c r="AB16" s="220" t="str">
        <f t="shared" si="10"/>
        <v/>
      </c>
      <c r="AC16" s="219" t="str">
        <f t="shared" si="11"/>
        <v/>
      </c>
      <c r="AD16" s="220" t="str">
        <f t="shared" si="12"/>
        <v/>
      </c>
      <c r="AE16" s="220" t="str">
        <f t="shared" si="13"/>
        <v/>
      </c>
      <c r="AF16" s="219" t="str">
        <f t="shared" si="14"/>
        <v/>
      </c>
      <c r="AG16" s="220" t="str">
        <f t="shared" si="15"/>
        <v/>
      </c>
      <c r="AH16" s="220" t="str">
        <f t="shared" si="16"/>
        <v/>
      </c>
      <c r="AI16" s="219" t="str">
        <f t="shared" si="17"/>
        <v/>
      </c>
      <c r="AJ16" s="220" t="str">
        <f t="shared" si="18"/>
        <v/>
      </c>
      <c r="AK16" s="220" t="str">
        <f t="shared" si="19"/>
        <v/>
      </c>
      <c r="AL16" s="219" t="str">
        <f t="shared" si="20"/>
        <v/>
      </c>
      <c r="AM16" s="220" t="str">
        <f t="shared" si="21"/>
        <v/>
      </c>
      <c r="AN16" s="220" t="str">
        <f t="shared" si="22"/>
        <v/>
      </c>
      <c r="AO16" s="219" t="str">
        <f t="shared" si="23"/>
        <v/>
      </c>
      <c r="AP16" s="220" t="str">
        <f t="shared" si="24"/>
        <v/>
      </c>
      <c r="AQ16" s="220" t="str">
        <f t="shared" si="25"/>
        <v/>
      </c>
      <c r="AR16" s="219" t="str">
        <f t="shared" si="26"/>
        <v/>
      </c>
      <c r="AS16" s="220" t="str">
        <f t="shared" si="27"/>
        <v/>
      </c>
      <c r="AT16" s="220" t="str">
        <f t="shared" si="28"/>
        <v/>
      </c>
      <c r="AU16" s="221"/>
      <c r="AV16" s="221"/>
      <c r="AW16" s="221"/>
      <c r="AY16" s="218" t="str">
        <f t="shared" si="204"/>
        <v/>
      </c>
      <c r="AZ16" s="218" t="str">
        <f t="shared" si="205"/>
        <v/>
      </c>
      <c r="BA16" s="218" t="str">
        <f t="shared" si="30"/>
        <v/>
      </c>
      <c r="BB16" s="218" t="str">
        <f t="shared" si="206"/>
        <v/>
      </c>
      <c r="BC16" s="218" t="str">
        <f t="shared" si="207"/>
        <v/>
      </c>
      <c r="BD16" s="218" t="str">
        <f t="shared" si="31"/>
        <v/>
      </c>
      <c r="BE16" s="218" t="str">
        <f t="shared" si="208"/>
        <v/>
      </c>
      <c r="BF16" s="218" t="str">
        <f t="shared" si="209"/>
        <v/>
      </c>
      <c r="BG16" s="218" t="str">
        <f t="shared" si="32"/>
        <v/>
      </c>
      <c r="BH16" s="218" t="str">
        <f t="shared" si="210"/>
        <v/>
      </c>
      <c r="BI16" s="218" t="str">
        <f t="shared" si="211"/>
        <v/>
      </c>
      <c r="BJ16" s="218" t="str">
        <f t="shared" si="33"/>
        <v/>
      </c>
      <c r="BK16" s="218" t="str">
        <f t="shared" si="212"/>
        <v/>
      </c>
      <c r="BL16" s="218" t="str">
        <f t="shared" si="213"/>
        <v/>
      </c>
      <c r="BM16" s="218" t="str">
        <f t="shared" si="34"/>
        <v/>
      </c>
      <c r="BN16" s="218" t="str">
        <f t="shared" si="214"/>
        <v/>
      </c>
      <c r="BO16" s="218" t="str">
        <f t="shared" si="215"/>
        <v/>
      </c>
      <c r="BP16" s="218" t="str">
        <f t="shared" si="35"/>
        <v/>
      </c>
      <c r="BQ16" s="218" t="str">
        <f t="shared" si="216"/>
        <v/>
      </c>
      <c r="BR16" s="218" t="str">
        <f t="shared" si="217"/>
        <v/>
      </c>
      <c r="BS16" s="218" t="str">
        <f t="shared" si="36"/>
        <v/>
      </c>
      <c r="BT16" s="218" t="str">
        <f t="shared" si="218"/>
        <v/>
      </c>
      <c r="BU16" s="218" t="str">
        <f t="shared" si="219"/>
        <v/>
      </c>
      <c r="BV16" s="218" t="str">
        <f t="shared" si="37"/>
        <v/>
      </c>
      <c r="BW16" s="218" t="str">
        <f t="shared" si="220"/>
        <v/>
      </c>
      <c r="BX16" s="218" t="str">
        <f t="shared" si="221"/>
        <v/>
      </c>
      <c r="BY16" s="218" t="str">
        <f t="shared" si="38"/>
        <v/>
      </c>
      <c r="BZ16" s="218" t="str">
        <f t="shared" si="222"/>
        <v/>
      </c>
      <c r="CA16" s="218" t="str">
        <f t="shared" si="223"/>
        <v/>
      </c>
      <c r="CB16" s="218" t="str">
        <f t="shared" si="39"/>
        <v/>
      </c>
      <c r="CD16" s="218" t="str">
        <f t="shared" si="40"/>
        <v/>
      </c>
      <c r="CE16" s="218" t="str">
        <f t="shared" si="41"/>
        <v/>
      </c>
      <c r="CF16" s="218" t="str">
        <f t="shared" si="42"/>
        <v/>
      </c>
      <c r="CG16" s="218" t="str">
        <f t="shared" si="43"/>
        <v/>
      </c>
      <c r="CH16" s="218" t="str">
        <f t="shared" si="44"/>
        <v/>
      </c>
      <c r="CI16" s="218" t="str">
        <f t="shared" si="45"/>
        <v/>
      </c>
      <c r="CJ16" s="218" t="str">
        <f t="shared" si="46"/>
        <v/>
      </c>
      <c r="CK16" s="218" t="str">
        <f t="shared" si="47"/>
        <v/>
      </c>
      <c r="CL16" s="218" t="str">
        <f t="shared" si="48"/>
        <v/>
      </c>
      <c r="CM16" s="218" t="str">
        <f t="shared" si="49"/>
        <v/>
      </c>
      <c r="CN16" s="218" t="str">
        <f t="shared" si="50"/>
        <v/>
      </c>
      <c r="CO16" s="218" t="str">
        <f t="shared" si="51"/>
        <v/>
      </c>
      <c r="CP16" s="218" t="str">
        <f t="shared" si="52"/>
        <v/>
      </c>
      <c r="CQ16" s="218" t="str">
        <f t="shared" si="53"/>
        <v/>
      </c>
      <c r="CR16" s="218" t="str">
        <f t="shared" si="54"/>
        <v/>
      </c>
      <c r="CS16" s="218" t="str">
        <f t="shared" si="55"/>
        <v/>
      </c>
      <c r="CT16" s="218" t="str">
        <f t="shared" si="56"/>
        <v/>
      </c>
      <c r="CU16" s="218" t="str">
        <f t="shared" si="57"/>
        <v/>
      </c>
      <c r="CV16" s="218" t="str">
        <f t="shared" si="58"/>
        <v/>
      </c>
      <c r="CW16" s="218" t="str">
        <f t="shared" si="59"/>
        <v/>
      </c>
      <c r="CX16" s="218" t="str">
        <f t="shared" si="60"/>
        <v/>
      </c>
      <c r="CY16" s="218" t="str">
        <f t="shared" si="61"/>
        <v/>
      </c>
      <c r="CZ16" s="218" t="str">
        <f t="shared" si="62"/>
        <v/>
      </c>
      <c r="DA16" s="218" t="str">
        <f t="shared" si="63"/>
        <v/>
      </c>
      <c r="DB16" s="218" t="str">
        <f t="shared" si="64"/>
        <v/>
      </c>
      <c r="DC16" s="218" t="str">
        <f t="shared" si="65"/>
        <v/>
      </c>
      <c r="DD16" s="218" t="str">
        <f t="shared" si="66"/>
        <v/>
      </c>
      <c r="DF16" s="218" t="str">
        <f t="shared" si="67"/>
        <v/>
      </c>
      <c r="DG16" s="218" t="str">
        <f t="shared" si="68"/>
        <v/>
      </c>
      <c r="DH16" s="218" t="str">
        <f t="shared" si="69"/>
        <v/>
      </c>
      <c r="DI16" s="218" t="str">
        <f t="shared" si="70"/>
        <v/>
      </c>
      <c r="DJ16" s="218" t="str">
        <f t="shared" si="71"/>
        <v/>
      </c>
      <c r="DK16" s="218" t="str">
        <f t="shared" si="72"/>
        <v/>
      </c>
      <c r="DL16" s="218" t="str">
        <f t="shared" si="73"/>
        <v/>
      </c>
      <c r="DM16" s="218" t="str">
        <f t="shared" si="74"/>
        <v/>
      </c>
      <c r="DN16" s="218" t="str">
        <f t="shared" si="75"/>
        <v/>
      </c>
      <c r="DO16" s="218" t="str">
        <f t="shared" si="76"/>
        <v/>
      </c>
      <c r="DP16" s="218" t="str">
        <f t="shared" si="77"/>
        <v/>
      </c>
      <c r="DQ16" s="218" t="str">
        <f t="shared" si="78"/>
        <v/>
      </c>
      <c r="DR16" s="218" t="str">
        <f t="shared" si="79"/>
        <v/>
      </c>
      <c r="DS16" s="218" t="str">
        <f t="shared" si="80"/>
        <v/>
      </c>
      <c r="DT16" s="218" t="str">
        <f t="shared" si="81"/>
        <v/>
      </c>
      <c r="DU16" s="218" t="str">
        <f t="shared" si="82"/>
        <v/>
      </c>
      <c r="DV16" s="218" t="str">
        <f t="shared" si="83"/>
        <v/>
      </c>
      <c r="DW16" s="218" t="str">
        <f t="shared" si="84"/>
        <v/>
      </c>
      <c r="DX16" s="218" t="str">
        <f t="shared" si="85"/>
        <v/>
      </c>
      <c r="DY16" s="218" t="str">
        <f t="shared" si="86"/>
        <v/>
      </c>
      <c r="DZ16" s="218" t="str">
        <f t="shared" si="87"/>
        <v/>
      </c>
      <c r="EA16" s="218" t="str">
        <f t="shared" si="88"/>
        <v/>
      </c>
      <c r="EB16" s="218" t="str">
        <f t="shared" si="89"/>
        <v/>
      </c>
      <c r="EC16" s="218" t="str">
        <f t="shared" si="90"/>
        <v/>
      </c>
      <c r="EE16" s="218" t="str">
        <f t="shared" si="91"/>
        <v/>
      </c>
      <c r="EF16" s="218" t="str">
        <f t="shared" si="92"/>
        <v/>
      </c>
      <c r="EG16" s="218" t="str">
        <f t="shared" si="93"/>
        <v/>
      </c>
      <c r="EH16" s="218" t="str">
        <f t="shared" si="94"/>
        <v/>
      </c>
      <c r="EI16" s="218" t="str">
        <f t="shared" si="95"/>
        <v/>
      </c>
      <c r="EJ16" s="218" t="str">
        <f t="shared" si="96"/>
        <v/>
      </c>
      <c r="EK16" s="218" t="str">
        <f t="shared" si="97"/>
        <v/>
      </c>
      <c r="EL16" s="218" t="str">
        <f t="shared" si="98"/>
        <v/>
      </c>
      <c r="EM16" s="218" t="str">
        <f t="shared" si="99"/>
        <v/>
      </c>
      <c r="EN16" s="218" t="str">
        <f t="shared" si="100"/>
        <v/>
      </c>
      <c r="EO16" s="218" t="str">
        <f t="shared" si="101"/>
        <v/>
      </c>
      <c r="EP16" s="218" t="str">
        <f t="shared" si="102"/>
        <v/>
      </c>
      <c r="EQ16" s="218" t="str">
        <f t="shared" si="103"/>
        <v/>
      </c>
      <c r="ER16" s="218" t="str">
        <f t="shared" si="104"/>
        <v/>
      </c>
      <c r="ES16" s="218" t="str">
        <f t="shared" si="105"/>
        <v/>
      </c>
      <c r="ET16" s="218" t="str">
        <f t="shared" si="106"/>
        <v/>
      </c>
      <c r="EU16" s="218" t="str">
        <f t="shared" si="107"/>
        <v/>
      </c>
      <c r="EV16" s="218" t="str">
        <f t="shared" si="108"/>
        <v/>
      </c>
      <c r="EW16" s="218" t="str">
        <f t="shared" si="109"/>
        <v/>
      </c>
      <c r="EX16" s="218" t="str">
        <f t="shared" si="110"/>
        <v/>
      </c>
      <c r="EY16" s="218" t="str">
        <f t="shared" si="111"/>
        <v/>
      </c>
      <c r="FA16" s="218" t="str">
        <f t="shared" si="112"/>
        <v/>
      </c>
      <c r="FB16" s="218" t="str">
        <f t="shared" si="113"/>
        <v/>
      </c>
      <c r="FC16" s="218" t="str">
        <f t="shared" si="114"/>
        <v/>
      </c>
      <c r="FD16" s="218" t="str">
        <f t="shared" si="115"/>
        <v/>
      </c>
      <c r="FE16" s="218" t="str">
        <f t="shared" si="116"/>
        <v/>
      </c>
      <c r="FF16" s="218" t="str">
        <f t="shared" si="117"/>
        <v/>
      </c>
      <c r="FG16" s="218" t="str">
        <f t="shared" si="118"/>
        <v/>
      </c>
      <c r="FH16" s="218" t="str">
        <f t="shared" si="119"/>
        <v/>
      </c>
      <c r="FI16" s="218" t="str">
        <f t="shared" si="120"/>
        <v/>
      </c>
      <c r="FJ16" s="218" t="str">
        <f t="shared" si="121"/>
        <v/>
      </c>
      <c r="FK16" s="218" t="str">
        <f t="shared" si="122"/>
        <v/>
      </c>
      <c r="FL16" s="218" t="str">
        <f t="shared" si="123"/>
        <v/>
      </c>
      <c r="FM16" s="218" t="str">
        <f t="shared" si="124"/>
        <v/>
      </c>
      <c r="FN16" s="218" t="str">
        <f t="shared" si="125"/>
        <v/>
      </c>
      <c r="FO16" s="218" t="str">
        <f t="shared" si="126"/>
        <v/>
      </c>
      <c r="FP16" s="218" t="str">
        <f t="shared" si="127"/>
        <v/>
      </c>
      <c r="FQ16" s="218" t="str">
        <f t="shared" si="128"/>
        <v/>
      </c>
      <c r="FR16" s="218" t="str">
        <f t="shared" si="129"/>
        <v/>
      </c>
      <c r="FT16" s="218" t="str">
        <f t="shared" si="130"/>
        <v/>
      </c>
      <c r="FU16" s="218" t="str">
        <f t="shared" si="131"/>
        <v/>
      </c>
      <c r="FV16" s="218" t="str">
        <f t="shared" si="132"/>
        <v/>
      </c>
      <c r="FW16" s="218" t="str">
        <f t="shared" si="133"/>
        <v/>
      </c>
      <c r="FX16" s="218" t="str">
        <f t="shared" si="134"/>
        <v/>
      </c>
      <c r="FY16" s="218" t="str">
        <f t="shared" si="135"/>
        <v/>
      </c>
      <c r="FZ16" s="218" t="str">
        <f t="shared" si="136"/>
        <v/>
      </c>
      <c r="GA16" s="218" t="str">
        <f t="shared" si="137"/>
        <v/>
      </c>
      <c r="GB16" s="218" t="str">
        <f t="shared" si="138"/>
        <v/>
      </c>
      <c r="GC16" s="218" t="str">
        <f t="shared" si="139"/>
        <v/>
      </c>
      <c r="GD16" s="218" t="str">
        <f t="shared" si="140"/>
        <v/>
      </c>
      <c r="GE16" s="218" t="str">
        <f t="shared" si="141"/>
        <v/>
      </c>
      <c r="GF16" s="218" t="str">
        <f t="shared" si="142"/>
        <v/>
      </c>
      <c r="GG16" s="218" t="str">
        <f t="shared" si="143"/>
        <v/>
      </c>
      <c r="GH16" s="218" t="str">
        <f t="shared" si="144"/>
        <v/>
      </c>
      <c r="GJ16" s="218" t="str">
        <f t="shared" si="145"/>
        <v/>
      </c>
      <c r="GK16" s="218" t="str">
        <f t="shared" si="146"/>
        <v/>
      </c>
      <c r="GL16" s="218" t="str">
        <f t="shared" si="147"/>
        <v/>
      </c>
      <c r="GM16" s="218" t="str">
        <f t="shared" si="148"/>
        <v/>
      </c>
      <c r="GN16" s="218" t="str">
        <f t="shared" si="149"/>
        <v/>
      </c>
      <c r="GO16" s="218" t="str">
        <f t="shared" si="150"/>
        <v/>
      </c>
      <c r="GP16" s="218" t="str">
        <f t="shared" si="151"/>
        <v/>
      </c>
      <c r="GQ16" s="218" t="str">
        <f t="shared" si="152"/>
        <v/>
      </c>
      <c r="GR16" s="218" t="str">
        <f t="shared" si="153"/>
        <v/>
      </c>
      <c r="GS16" s="218" t="str">
        <f t="shared" si="154"/>
        <v/>
      </c>
      <c r="GT16" s="218" t="str">
        <f t="shared" si="155"/>
        <v/>
      </c>
      <c r="GU16" s="218" t="str">
        <f t="shared" si="156"/>
        <v/>
      </c>
      <c r="GW16" s="218" t="str">
        <f t="shared" si="157"/>
        <v/>
      </c>
      <c r="GX16" s="218" t="str">
        <f t="shared" si="158"/>
        <v/>
      </c>
      <c r="GY16" s="218" t="str">
        <f t="shared" si="159"/>
        <v/>
      </c>
      <c r="GZ16" s="218" t="str">
        <f t="shared" si="160"/>
        <v/>
      </c>
      <c r="HA16" s="218" t="str">
        <f t="shared" si="161"/>
        <v/>
      </c>
      <c r="HB16" s="218" t="str">
        <f t="shared" si="162"/>
        <v/>
      </c>
      <c r="HC16" s="218" t="str">
        <f t="shared" si="163"/>
        <v/>
      </c>
      <c r="HD16" s="218" t="str">
        <f t="shared" si="164"/>
        <v/>
      </c>
      <c r="HE16" s="218" t="str">
        <f t="shared" si="165"/>
        <v/>
      </c>
      <c r="HG16" s="218" t="str">
        <f t="shared" si="166"/>
        <v/>
      </c>
      <c r="HH16" s="218" t="str">
        <f t="shared" si="167"/>
        <v/>
      </c>
      <c r="HI16" s="218" t="str">
        <f t="shared" si="168"/>
        <v/>
      </c>
      <c r="HJ16" s="218" t="str">
        <f t="shared" si="169"/>
        <v/>
      </c>
      <c r="HK16" s="218" t="str">
        <f t="shared" si="170"/>
        <v/>
      </c>
      <c r="HL16" s="218" t="str">
        <f t="shared" si="171"/>
        <v/>
      </c>
      <c r="HN16" s="218" t="str">
        <f t="shared" si="172"/>
        <v/>
      </c>
      <c r="HO16" s="218" t="str">
        <f t="shared" si="173"/>
        <v/>
      </c>
      <c r="HP16" s="218" t="str">
        <f t="shared" si="174"/>
        <v/>
      </c>
      <c r="HR16" s="218" t="str">
        <f t="shared" si="224"/>
        <v/>
      </c>
      <c r="HS16" s="218" t="str">
        <f t="shared" si="225"/>
        <v/>
      </c>
      <c r="HT16" s="218" t="str">
        <f t="shared" si="175"/>
        <v/>
      </c>
      <c r="HU16" s="218" t="str">
        <f t="shared" si="176"/>
        <v/>
      </c>
      <c r="HV16" s="218" t="str">
        <f t="shared" si="177"/>
        <v/>
      </c>
      <c r="HW16" s="218" t="str">
        <f t="shared" si="178"/>
        <v/>
      </c>
      <c r="HX16" s="218" t="str">
        <f t="shared" si="179"/>
        <v/>
      </c>
      <c r="HY16" s="218" t="str">
        <f t="shared" si="180"/>
        <v/>
      </c>
      <c r="HZ16" s="218" t="str">
        <f t="shared" si="181"/>
        <v/>
      </c>
      <c r="IA16" s="218" t="str">
        <f t="shared" si="182"/>
        <v/>
      </c>
      <c r="IB16" s="218" t="str">
        <f t="shared" si="183"/>
        <v/>
      </c>
      <c r="IC16" s="218" t="str">
        <f t="shared" si="184"/>
        <v/>
      </c>
      <c r="ID16" s="218" t="str">
        <f t="shared" si="185"/>
        <v/>
      </c>
      <c r="IE16" s="218" t="str">
        <f t="shared" si="186"/>
        <v/>
      </c>
      <c r="IF16" s="218" t="str">
        <f t="shared" si="187"/>
        <v/>
      </c>
      <c r="IG16" s="218" t="str">
        <f t="shared" si="188"/>
        <v/>
      </c>
      <c r="IH16" s="218" t="str">
        <f t="shared" si="189"/>
        <v/>
      </c>
      <c r="II16" s="218" t="str">
        <f t="shared" si="190"/>
        <v/>
      </c>
      <c r="IJ16" s="218" t="str">
        <f t="shared" si="191"/>
        <v/>
      </c>
      <c r="IK16" s="218" t="str">
        <f t="shared" si="192"/>
        <v/>
      </c>
      <c r="IL16" s="218" t="str">
        <f t="shared" si="193"/>
        <v/>
      </c>
      <c r="IM16" s="218" t="str">
        <f t="shared" si="194"/>
        <v/>
      </c>
      <c r="IN16" s="218" t="str">
        <f t="shared" si="195"/>
        <v/>
      </c>
      <c r="IO16" s="218" t="str">
        <f t="shared" si="196"/>
        <v/>
      </c>
      <c r="IP16" s="218" t="str">
        <f t="shared" si="197"/>
        <v/>
      </c>
      <c r="IQ16" s="218" t="str">
        <f t="shared" si="198"/>
        <v/>
      </c>
      <c r="IR16" s="218" t="str">
        <f t="shared" si="199"/>
        <v/>
      </c>
      <c r="IS16" s="218" t="str">
        <f t="shared" si="200"/>
        <v/>
      </c>
      <c r="IT16" s="218" t="str">
        <f t="shared" si="201"/>
        <v/>
      </c>
      <c r="IU16" s="218" t="str">
        <f t="shared" si="202"/>
        <v/>
      </c>
    </row>
    <row r="17" spans="1:255" x14ac:dyDescent="0.2">
      <c r="A17" s="200" t="s">
        <v>20</v>
      </c>
      <c r="B17" s="178"/>
      <c r="C17" s="179"/>
      <c r="D17" s="181"/>
      <c r="E17" s="181"/>
      <c r="F17" s="197"/>
      <c r="G17" s="198"/>
      <c r="H17" s="197"/>
      <c r="I17" s="197"/>
      <c r="J17" s="197"/>
      <c r="K17" s="185"/>
      <c r="L17" s="217" t="str">
        <f t="shared" si="29"/>
        <v/>
      </c>
      <c r="M17" s="218">
        <f>'HKG vs. BK'!M17</f>
        <v>21.980246995494621</v>
      </c>
      <c r="N17" s="218" t="str">
        <f>'HKG vs. BK'!N17</f>
        <v>±0,51</v>
      </c>
      <c r="O17" s="218" t="str">
        <f>'HKG vs. BK'!O17</f>
        <v>±2,25</v>
      </c>
      <c r="P17" s="218" t="str">
        <f>'HKG vs. BK'!P17</f>
        <v>±0,45</v>
      </c>
      <c r="Q17" s="219" t="str">
        <f t="shared" si="203"/>
        <v/>
      </c>
      <c r="R17" s="220" t="str">
        <f t="shared" si="0"/>
        <v/>
      </c>
      <c r="S17" s="220" t="str">
        <f t="shared" si="1"/>
        <v/>
      </c>
      <c r="T17" s="219" t="str">
        <f t="shared" si="2"/>
        <v/>
      </c>
      <c r="U17" s="220" t="str">
        <f t="shared" si="3"/>
        <v/>
      </c>
      <c r="V17" s="220" t="str">
        <f t="shared" si="4"/>
        <v/>
      </c>
      <c r="W17" s="219" t="str">
        <f t="shared" si="5"/>
        <v/>
      </c>
      <c r="X17" s="220" t="str">
        <f t="shared" si="6"/>
        <v/>
      </c>
      <c r="Y17" s="220" t="str">
        <f t="shared" si="7"/>
        <v/>
      </c>
      <c r="Z17" s="219" t="str">
        <f t="shared" si="8"/>
        <v/>
      </c>
      <c r="AA17" s="220" t="str">
        <f t="shared" si="9"/>
        <v/>
      </c>
      <c r="AB17" s="220" t="str">
        <f t="shared" si="10"/>
        <v/>
      </c>
      <c r="AC17" s="219" t="str">
        <f t="shared" si="11"/>
        <v/>
      </c>
      <c r="AD17" s="220" t="str">
        <f t="shared" si="12"/>
        <v/>
      </c>
      <c r="AE17" s="220" t="str">
        <f t="shared" si="13"/>
        <v/>
      </c>
      <c r="AF17" s="219" t="str">
        <f t="shared" si="14"/>
        <v/>
      </c>
      <c r="AG17" s="220" t="str">
        <f t="shared" si="15"/>
        <v/>
      </c>
      <c r="AH17" s="220" t="str">
        <f t="shared" si="16"/>
        <v/>
      </c>
      <c r="AI17" s="219" t="str">
        <f t="shared" si="17"/>
        <v/>
      </c>
      <c r="AJ17" s="220" t="str">
        <f t="shared" si="18"/>
        <v/>
      </c>
      <c r="AK17" s="220" t="str">
        <f t="shared" si="19"/>
        <v/>
      </c>
      <c r="AL17" s="219" t="str">
        <f t="shared" si="20"/>
        <v/>
      </c>
      <c r="AM17" s="220" t="str">
        <f t="shared" si="21"/>
        <v/>
      </c>
      <c r="AN17" s="220" t="str">
        <f t="shared" si="22"/>
        <v/>
      </c>
      <c r="AO17" s="219" t="str">
        <f t="shared" si="23"/>
        <v/>
      </c>
      <c r="AP17" s="220" t="str">
        <f t="shared" si="24"/>
        <v/>
      </c>
      <c r="AQ17" s="220" t="str">
        <f t="shared" si="25"/>
        <v/>
      </c>
      <c r="AR17" s="219" t="str">
        <f t="shared" si="26"/>
        <v/>
      </c>
      <c r="AS17" s="220" t="str">
        <f t="shared" si="27"/>
        <v/>
      </c>
      <c r="AT17" s="220" t="str">
        <f t="shared" si="28"/>
        <v/>
      </c>
      <c r="AU17" s="221"/>
      <c r="AV17" s="221"/>
      <c r="AW17" s="221"/>
      <c r="AY17" s="218" t="str">
        <f t="shared" si="204"/>
        <v/>
      </c>
      <c r="AZ17" s="218" t="str">
        <f t="shared" si="205"/>
        <v/>
      </c>
      <c r="BA17" s="218" t="str">
        <f t="shared" si="30"/>
        <v/>
      </c>
      <c r="BB17" s="218" t="str">
        <f t="shared" si="206"/>
        <v/>
      </c>
      <c r="BC17" s="218" t="str">
        <f t="shared" si="207"/>
        <v/>
      </c>
      <c r="BD17" s="218" t="str">
        <f t="shared" si="31"/>
        <v/>
      </c>
      <c r="BE17" s="218" t="str">
        <f t="shared" si="208"/>
        <v/>
      </c>
      <c r="BF17" s="218" t="str">
        <f t="shared" si="209"/>
        <v/>
      </c>
      <c r="BG17" s="218" t="str">
        <f t="shared" si="32"/>
        <v/>
      </c>
      <c r="BH17" s="218" t="str">
        <f t="shared" si="210"/>
        <v/>
      </c>
      <c r="BI17" s="218" t="str">
        <f t="shared" si="211"/>
        <v/>
      </c>
      <c r="BJ17" s="218" t="str">
        <f t="shared" si="33"/>
        <v/>
      </c>
      <c r="BK17" s="218" t="str">
        <f t="shared" si="212"/>
        <v/>
      </c>
      <c r="BL17" s="218" t="str">
        <f t="shared" si="213"/>
        <v/>
      </c>
      <c r="BM17" s="218" t="str">
        <f t="shared" si="34"/>
        <v/>
      </c>
      <c r="BN17" s="218" t="str">
        <f t="shared" si="214"/>
        <v/>
      </c>
      <c r="BO17" s="218" t="str">
        <f t="shared" si="215"/>
        <v/>
      </c>
      <c r="BP17" s="218" t="str">
        <f t="shared" si="35"/>
        <v/>
      </c>
      <c r="BQ17" s="218" t="str">
        <f t="shared" si="216"/>
        <v/>
      </c>
      <c r="BR17" s="218" t="str">
        <f t="shared" si="217"/>
        <v/>
      </c>
      <c r="BS17" s="218" t="str">
        <f t="shared" si="36"/>
        <v/>
      </c>
      <c r="BT17" s="218" t="str">
        <f t="shared" si="218"/>
        <v/>
      </c>
      <c r="BU17" s="218" t="str">
        <f t="shared" si="219"/>
        <v/>
      </c>
      <c r="BV17" s="218" t="str">
        <f t="shared" si="37"/>
        <v/>
      </c>
      <c r="BW17" s="218" t="str">
        <f t="shared" si="220"/>
        <v/>
      </c>
      <c r="BX17" s="218" t="str">
        <f t="shared" si="221"/>
        <v/>
      </c>
      <c r="BY17" s="218" t="str">
        <f t="shared" si="38"/>
        <v/>
      </c>
      <c r="BZ17" s="218" t="str">
        <f t="shared" si="222"/>
        <v/>
      </c>
      <c r="CA17" s="218" t="str">
        <f t="shared" si="223"/>
        <v/>
      </c>
      <c r="CB17" s="218" t="str">
        <f t="shared" si="39"/>
        <v/>
      </c>
      <c r="CD17" s="218" t="str">
        <f t="shared" si="40"/>
        <v/>
      </c>
      <c r="CE17" s="218" t="str">
        <f t="shared" si="41"/>
        <v/>
      </c>
      <c r="CF17" s="218" t="str">
        <f t="shared" si="42"/>
        <v/>
      </c>
      <c r="CG17" s="218" t="str">
        <f t="shared" si="43"/>
        <v/>
      </c>
      <c r="CH17" s="218" t="str">
        <f t="shared" si="44"/>
        <v/>
      </c>
      <c r="CI17" s="218" t="str">
        <f t="shared" si="45"/>
        <v/>
      </c>
      <c r="CJ17" s="218" t="str">
        <f t="shared" si="46"/>
        <v/>
      </c>
      <c r="CK17" s="218" t="str">
        <f t="shared" si="47"/>
        <v/>
      </c>
      <c r="CL17" s="218" t="str">
        <f t="shared" si="48"/>
        <v/>
      </c>
      <c r="CM17" s="218" t="str">
        <f t="shared" si="49"/>
        <v/>
      </c>
      <c r="CN17" s="218" t="str">
        <f t="shared" si="50"/>
        <v/>
      </c>
      <c r="CO17" s="218" t="str">
        <f t="shared" si="51"/>
        <v/>
      </c>
      <c r="CP17" s="218" t="str">
        <f t="shared" si="52"/>
        <v/>
      </c>
      <c r="CQ17" s="218" t="str">
        <f t="shared" si="53"/>
        <v/>
      </c>
      <c r="CR17" s="218" t="str">
        <f t="shared" si="54"/>
        <v/>
      </c>
      <c r="CS17" s="218" t="str">
        <f t="shared" si="55"/>
        <v/>
      </c>
      <c r="CT17" s="218" t="str">
        <f t="shared" si="56"/>
        <v/>
      </c>
      <c r="CU17" s="218" t="str">
        <f t="shared" si="57"/>
        <v/>
      </c>
      <c r="CV17" s="218" t="str">
        <f t="shared" si="58"/>
        <v/>
      </c>
      <c r="CW17" s="218" t="str">
        <f t="shared" si="59"/>
        <v/>
      </c>
      <c r="CX17" s="218" t="str">
        <f t="shared" si="60"/>
        <v/>
      </c>
      <c r="CY17" s="218" t="str">
        <f t="shared" si="61"/>
        <v/>
      </c>
      <c r="CZ17" s="218" t="str">
        <f t="shared" si="62"/>
        <v/>
      </c>
      <c r="DA17" s="218" t="str">
        <f t="shared" si="63"/>
        <v/>
      </c>
      <c r="DB17" s="218" t="str">
        <f t="shared" si="64"/>
        <v/>
      </c>
      <c r="DC17" s="218" t="str">
        <f t="shared" si="65"/>
        <v/>
      </c>
      <c r="DD17" s="218" t="str">
        <f t="shared" si="66"/>
        <v/>
      </c>
      <c r="DF17" s="218" t="str">
        <f t="shared" si="67"/>
        <v/>
      </c>
      <c r="DG17" s="218" t="str">
        <f t="shared" si="68"/>
        <v/>
      </c>
      <c r="DH17" s="218" t="str">
        <f t="shared" si="69"/>
        <v/>
      </c>
      <c r="DI17" s="218" t="str">
        <f t="shared" si="70"/>
        <v/>
      </c>
      <c r="DJ17" s="218" t="str">
        <f t="shared" si="71"/>
        <v/>
      </c>
      <c r="DK17" s="218" t="str">
        <f t="shared" si="72"/>
        <v/>
      </c>
      <c r="DL17" s="218" t="str">
        <f t="shared" si="73"/>
        <v/>
      </c>
      <c r="DM17" s="218" t="str">
        <f t="shared" si="74"/>
        <v/>
      </c>
      <c r="DN17" s="218" t="str">
        <f t="shared" si="75"/>
        <v/>
      </c>
      <c r="DO17" s="218" t="str">
        <f t="shared" si="76"/>
        <v/>
      </c>
      <c r="DP17" s="218" t="str">
        <f t="shared" si="77"/>
        <v/>
      </c>
      <c r="DQ17" s="218" t="str">
        <f t="shared" si="78"/>
        <v/>
      </c>
      <c r="DR17" s="218" t="str">
        <f t="shared" si="79"/>
        <v/>
      </c>
      <c r="DS17" s="218" t="str">
        <f t="shared" si="80"/>
        <v/>
      </c>
      <c r="DT17" s="218" t="str">
        <f t="shared" si="81"/>
        <v/>
      </c>
      <c r="DU17" s="218" t="str">
        <f t="shared" si="82"/>
        <v/>
      </c>
      <c r="DV17" s="218" t="str">
        <f t="shared" si="83"/>
        <v/>
      </c>
      <c r="DW17" s="218" t="str">
        <f t="shared" si="84"/>
        <v/>
      </c>
      <c r="DX17" s="218" t="str">
        <f t="shared" si="85"/>
        <v/>
      </c>
      <c r="DY17" s="218" t="str">
        <f t="shared" si="86"/>
        <v/>
      </c>
      <c r="DZ17" s="218" t="str">
        <f t="shared" si="87"/>
        <v/>
      </c>
      <c r="EA17" s="218" t="str">
        <f t="shared" si="88"/>
        <v/>
      </c>
      <c r="EB17" s="218" t="str">
        <f t="shared" si="89"/>
        <v/>
      </c>
      <c r="EC17" s="218" t="str">
        <f t="shared" si="90"/>
        <v/>
      </c>
      <c r="EE17" s="218" t="str">
        <f t="shared" si="91"/>
        <v/>
      </c>
      <c r="EF17" s="218" t="str">
        <f t="shared" si="92"/>
        <v/>
      </c>
      <c r="EG17" s="218" t="str">
        <f t="shared" si="93"/>
        <v/>
      </c>
      <c r="EH17" s="218" t="str">
        <f t="shared" si="94"/>
        <v/>
      </c>
      <c r="EI17" s="218" t="str">
        <f t="shared" si="95"/>
        <v/>
      </c>
      <c r="EJ17" s="218" t="str">
        <f t="shared" si="96"/>
        <v/>
      </c>
      <c r="EK17" s="218" t="str">
        <f t="shared" si="97"/>
        <v/>
      </c>
      <c r="EL17" s="218" t="str">
        <f t="shared" si="98"/>
        <v/>
      </c>
      <c r="EM17" s="218" t="str">
        <f t="shared" si="99"/>
        <v/>
      </c>
      <c r="EN17" s="218" t="str">
        <f t="shared" si="100"/>
        <v/>
      </c>
      <c r="EO17" s="218" t="str">
        <f t="shared" si="101"/>
        <v/>
      </c>
      <c r="EP17" s="218" t="str">
        <f t="shared" si="102"/>
        <v/>
      </c>
      <c r="EQ17" s="218" t="str">
        <f t="shared" si="103"/>
        <v/>
      </c>
      <c r="ER17" s="218" t="str">
        <f t="shared" si="104"/>
        <v/>
      </c>
      <c r="ES17" s="218" t="str">
        <f t="shared" si="105"/>
        <v/>
      </c>
      <c r="ET17" s="218" t="str">
        <f t="shared" si="106"/>
        <v/>
      </c>
      <c r="EU17" s="218" t="str">
        <f t="shared" si="107"/>
        <v/>
      </c>
      <c r="EV17" s="218" t="str">
        <f t="shared" si="108"/>
        <v/>
      </c>
      <c r="EW17" s="218" t="str">
        <f t="shared" si="109"/>
        <v/>
      </c>
      <c r="EX17" s="218" t="str">
        <f t="shared" si="110"/>
        <v/>
      </c>
      <c r="EY17" s="218" t="str">
        <f t="shared" si="111"/>
        <v/>
      </c>
      <c r="FA17" s="218" t="str">
        <f t="shared" si="112"/>
        <v/>
      </c>
      <c r="FB17" s="218" t="str">
        <f t="shared" si="113"/>
        <v/>
      </c>
      <c r="FC17" s="218" t="str">
        <f t="shared" si="114"/>
        <v/>
      </c>
      <c r="FD17" s="218" t="str">
        <f t="shared" si="115"/>
        <v/>
      </c>
      <c r="FE17" s="218" t="str">
        <f t="shared" si="116"/>
        <v/>
      </c>
      <c r="FF17" s="218" t="str">
        <f t="shared" si="117"/>
        <v/>
      </c>
      <c r="FG17" s="218" t="str">
        <f t="shared" si="118"/>
        <v/>
      </c>
      <c r="FH17" s="218" t="str">
        <f t="shared" si="119"/>
        <v/>
      </c>
      <c r="FI17" s="218" t="str">
        <f t="shared" si="120"/>
        <v/>
      </c>
      <c r="FJ17" s="218" t="str">
        <f t="shared" si="121"/>
        <v/>
      </c>
      <c r="FK17" s="218" t="str">
        <f t="shared" si="122"/>
        <v/>
      </c>
      <c r="FL17" s="218" t="str">
        <f t="shared" si="123"/>
        <v/>
      </c>
      <c r="FM17" s="218" t="str">
        <f t="shared" si="124"/>
        <v/>
      </c>
      <c r="FN17" s="218" t="str">
        <f t="shared" si="125"/>
        <v/>
      </c>
      <c r="FO17" s="218" t="str">
        <f t="shared" si="126"/>
        <v/>
      </c>
      <c r="FP17" s="218" t="str">
        <f t="shared" si="127"/>
        <v/>
      </c>
      <c r="FQ17" s="218" t="str">
        <f t="shared" si="128"/>
        <v/>
      </c>
      <c r="FR17" s="218" t="str">
        <f t="shared" si="129"/>
        <v/>
      </c>
      <c r="FT17" s="218" t="str">
        <f t="shared" si="130"/>
        <v/>
      </c>
      <c r="FU17" s="218" t="str">
        <f t="shared" si="131"/>
        <v/>
      </c>
      <c r="FV17" s="218" t="str">
        <f t="shared" si="132"/>
        <v/>
      </c>
      <c r="FW17" s="218" t="str">
        <f t="shared" si="133"/>
        <v/>
      </c>
      <c r="FX17" s="218" t="str">
        <f t="shared" si="134"/>
        <v/>
      </c>
      <c r="FY17" s="218" t="str">
        <f t="shared" si="135"/>
        <v/>
      </c>
      <c r="FZ17" s="218" t="str">
        <f t="shared" si="136"/>
        <v/>
      </c>
      <c r="GA17" s="218" t="str">
        <f t="shared" si="137"/>
        <v/>
      </c>
      <c r="GB17" s="218" t="str">
        <f t="shared" si="138"/>
        <v/>
      </c>
      <c r="GC17" s="218" t="str">
        <f t="shared" si="139"/>
        <v/>
      </c>
      <c r="GD17" s="218" t="str">
        <f t="shared" si="140"/>
        <v/>
      </c>
      <c r="GE17" s="218" t="str">
        <f t="shared" si="141"/>
        <v/>
      </c>
      <c r="GF17" s="218" t="str">
        <f t="shared" si="142"/>
        <v/>
      </c>
      <c r="GG17" s="218" t="str">
        <f t="shared" si="143"/>
        <v/>
      </c>
      <c r="GH17" s="218" t="str">
        <f t="shared" si="144"/>
        <v/>
      </c>
      <c r="GJ17" s="218" t="str">
        <f t="shared" si="145"/>
        <v/>
      </c>
      <c r="GK17" s="218" t="str">
        <f t="shared" si="146"/>
        <v/>
      </c>
      <c r="GL17" s="218" t="str">
        <f t="shared" si="147"/>
        <v/>
      </c>
      <c r="GM17" s="218" t="str">
        <f t="shared" si="148"/>
        <v/>
      </c>
      <c r="GN17" s="218" t="str">
        <f t="shared" si="149"/>
        <v/>
      </c>
      <c r="GO17" s="218" t="str">
        <f t="shared" si="150"/>
        <v/>
      </c>
      <c r="GP17" s="218" t="str">
        <f t="shared" si="151"/>
        <v/>
      </c>
      <c r="GQ17" s="218" t="str">
        <f t="shared" si="152"/>
        <v/>
      </c>
      <c r="GR17" s="218" t="str">
        <f t="shared" si="153"/>
        <v/>
      </c>
      <c r="GS17" s="218" t="str">
        <f t="shared" si="154"/>
        <v/>
      </c>
      <c r="GT17" s="218" t="str">
        <f t="shared" si="155"/>
        <v/>
      </c>
      <c r="GU17" s="218" t="str">
        <f t="shared" si="156"/>
        <v/>
      </c>
      <c r="GW17" s="218" t="str">
        <f t="shared" si="157"/>
        <v/>
      </c>
      <c r="GX17" s="218" t="str">
        <f t="shared" si="158"/>
        <v/>
      </c>
      <c r="GY17" s="218" t="str">
        <f t="shared" si="159"/>
        <v/>
      </c>
      <c r="GZ17" s="218" t="str">
        <f t="shared" si="160"/>
        <v/>
      </c>
      <c r="HA17" s="218" t="str">
        <f t="shared" si="161"/>
        <v/>
      </c>
      <c r="HB17" s="218" t="str">
        <f t="shared" si="162"/>
        <v/>
      </c>
      <c r="HC17" s="218" t="str">
        <f t="shared" si="163"/>
        <v/>
      </c>
      <c r="HD17" s="218" t="str">
        <f t="shared" si="164"/>
        <v/>
      </c>
      <c r="HE17" s="218" t="str">
        <f t="shared" si="165"/>
        <v/>
      </c>
      <c r="HG17" s="218" t="str">
        <f t="shared" si="166"/>
        <v/>
      </c>
      <c r="HH17" s="218" t="str">
        <f t="shared" si="167"/>
        <v/>
      </c>
      <c r="HI17" s="218" t="str">
        <f t="shared" si="168"/>
        <v/>
      </c>
      <c r="HJ17" s="218" t="str">
        <f t="shared" si="169"/>
        <v/>
      </c>
      <c r="HK17" s="218" t="str">
        <f t="shared" si="170"/>
        <v/>
      </c>
      <c r="HL17" s="218" t="str">
        <f t="shared" si="171"/>
        <v/>
      </c>
      <c r="HN17" s="218" t="str">
        <f t="shared" si="172"/>
        <v/>
      </c>
      <c r="HO17" s="218" t="str">
        <f t="shared" si="173"/>
        <v/>
      </c>
      <c r="HP17" s="218" t="str">
        <f t="shared" si="174"/>
        <v/>
      </c>
      <c r="HR17" s="218" t="str">
        <f t="shared" si="224"/>
        <v/>
      </c>
      <c r="HS17" s="218" t="str">
        <f t="shared" si="225"/>
        <v/>
      </c>
      <c r="HT17" s="218" t="str">
        <f t="shared" si="175"/>
        <v/>
      </c>
      <c r="HU17" s="218" t="str">
        <f t="shared" si="176"/>
        <v/>
      </c>
      <c r="HV17" s="218" t="str">
        <f t="shared" si="177"/>
        <v/>
      </c>
      <c r="HW17" s="218" t="str">
        <f t="shared" si="178"/>
        <v/>
      </c>
      <c r="HX17" s="218" t="str">
        <f t="shared" si="179"/>
        <v/>
      </c>
      <c r="HY17" s="218" t="str">
        <f t="shared" si="180"/>
        <v/>
      </c>
      <c r="HZ17" s="218" t="str">
        <f t="shared" si="181"/>
        <v/>
      </c>
      <c r="IA17" s="218" t="str">
        <f t="shared" si="182"/>
        <v/>
      </c>
      <c r="IB17" s="218" t="str">
        <f t="shared" si="183"/>
        <v/>
      </c>
      <c r="IC17" s="218" t="str">
        <f t="shared" si="184"/>
        <v/>
      </c>
      <c r="ID17" s="218" t="str">
        <f t="shared" si="185"/>
        <v/>
      </c>
      <c r="IE17" s="218" t="str">
        <f t="shared" si="186"/>
        <v/>
      </c>
      <c r="IF17" s="218" t="str">
        <f t="shared" si="187"/>
        <v/>
      </c>
      <c r="IG17" s="218" t="str">
        <f t="shared" si="188"/>
        <v/>
      </c>
      <c r="IH17" s="218" t="str">
        <f t="shared" si="189"/>
        <v/>
      </c>
      <c r="II17" s="218" t="str">
        <f t="shared" si="190"/>
        <v/>
      </c>
      <c r="IJ17" s="218" t="str">
        <f t="shared" si="191"/>
        <v/>
      </c>
      <c r="IK17" s="218" t="str">
        <f t="shared" si="192"/>
        <v/>
      </c>
      <c r="IL17" s="218" t="str">
        <f t="shared" si="193"/>
        <v/>
      </c>
      <c r="IM17" s="218" t="str">
        <f t="shared" si="194"/>
        <v/>
      </c>
      <c r="IN17" s="218" t="str">
        <f t="shared" si="195"/>
        <v/>
      </c>
      <c r="IO17" s="218" t="str">
        <f t="shared" si="196"/>
        <v/>
      </c>
      <c r="IP17" s="218" t="str">
        <f t="shared" si="197"/>
        <v/>
      </c>
      <c r="IQ17" s="218" t="str">
        <f t="shared" si="198"/>
        <v/>
      </c>
      <c r="IR17" s="218" t="str">
        <f t="shared" si="199"/>
        <v/>
      </c>
      <c r="IS17" s="218" t="str">
        <f t="shared" si="200"/>
        <v/>
      </c>
      <c r="IT17" s="218" t="str">
        <f t="shared" si="201"/>
        <v/>
      </c>
      <c r="IU17" s="218" t="str">
        <f t="shared" si="202"/>
        <v/>
      </c>
    </row>
    <row r="18" spans="1:255" x14ac:dyDescent="0.2">
      <c r="A18" s="200" t="s">
        <v>21</v>
      </c>
      <c r="B18" s="178"/>
      <c r="C18" s="179"/>
      <c r="D18" s="181"/>
      <c r="E18" s="181"/>
      <c r="F18" s="197"/>
      <c r="G18" s="198"/>
      <c r="H18" s="197"/>
      <c r="I18" s="197"/>
      <c r="J18" s="197"/>
      <c r="K18" s="185"/>
      <c r="L18" s="217" t="str">
        <f t="shared" si="29"/>
        <v/>
      </c>
      <c r="M18" s="218">
        <f>'HKG vs. BK'!M18</f>
        <v>21.498845767361992</v>
      </c>
      <c r="N18" s="218" t="str">
        <f>'HKG vs. BK'!N18</f>
        <v>±0,41</v>
      </c>
      <c r="O18" s="218" t="str">
        <f>'HKG vs. BK'!O18</f>
        <v>±1,95</v>
      </c>
      <c r="P18" s="218" t="str">
        <f>'HKG vs. BK'!P18</f>
        <v>±0,27</v>
      </c>
      <c r="Q18" s="219" t="str">
        <f t="shared" si="203"/>
        <v/>
      </c>
      <c r="R18" s="220" t="str">
        <f t="shared" si="0"/>
        <v/>
      </c>
      <c r="S18" s="220" t="str">
        <f t="shared" si="1"/>
        <v/>
      </c>
      <c r="T18" s="219" t="str">
        <f t="shared" si="2"/>
        <v/>
      </c>
      <c r="U18" s="220" t="str">
        <f t="shared" si="3"/>
        <v/>
      </c>
      <c r="V18" s="220" t="str">
        <f t="shared" si="4"/>
        <v/>
      </c>
      <c r="W18" s="219" t="str">
        <f t="shared" si="5"/>
        <v/>
      </c>
      <c r="X18" s="220" t="str">
        <f t="shared" si="6"/>
        <v/>
      </c>
      <c r="Y18" s="220" t="str">
        <f t="shared" si="7"/>
        <v/>
      </c>
      <c r="Z18" s="219" t="str">
        <f t="shared" si="8"/>
        <v/>
      </c>
      <c r="AA18" s="220" t="str">
        <f t="shared" si="9"/>
        <v/>
      </c>
      <c r="AB18" s="220" t="str">
        <f t="shared" si="10"/>
        <v/>
      </c>
      <c r="AC18" s="219" t="str">
        <f t="shared" si="11"/>
        <v/>
      </c>
      <c r="AD18" s="220" t="str">
        <f t="shared" si="12"/>
        <v/>
      </c>
      <c r="AE18" s="220" t="str">
        <f t="shared" si="13"/>
        <v/>
      </c>
      <c r="AF18" s="219" t="str">
        <f t="shared" si="14"/>
        <v/>
      </c>
      <c r="AG18" s="220" t="str">
        <f t="shared" si="15"/>
        <v/>
      </c>
      <c r="AH18" s="220" t="str">
        <f t="shared" si="16"/>
        <v/>
      </c>
      <c r="AI18" s="219" t="str">
        <f t="shared" si="17"/>
        <v/>
      </c>
      <c r="AJ18" s="220" t="str">
        <f t="shared" si="18"/>
        <v/>
      </c>
      <c r="AK18" s="220" t="str">
        <f t="shared" si="19"/>
        <v/>
      </c>
      <c r="AL18" s="219" t="str">
        <f t="shared" si="20"/>
        <v/>
      </c>
      <c r="AM18" s="220" t="str">
        <f t="shared" si="21"/>
        <v/>
      </c>
      <c r="AN18" s="220" t="str">
        <f t="shared" si="22"/>
        <v/>
      </c>
      <c r="AO18" s="219" t="str">
        <f t="shared" si="23"/>
        <v/>
      </c>
      <c r="AP18" s="220" t="str">
        <f t="shared" si="24"/>
        <v/>
      </c>
      <c r="AQ18" s="220" t="str">
        <f t="shared" si="25"/>
        <v/>
      </c>
      <c r="AR18" s="219" t="str">
        <f t="shared" si="26"/>
        <v/>
      </c>
      <c r="AS18" s="220" t="str">
        <f t="shared" si="27"/>
        <v/>
      </c>
      <c r="AT18" s="220" t="str">
        <f t="shared" si="28"/>
        <v/>
      </c>
      <c r="AU18" s="221"/>
      <c r="AV18" s="221"/>
      <c r="AW18" s="221"/>
      <c r="AY18" s="218" t="str">
        <f t="shared" si="204"/>
        <v/>
      </c>
      <c r="AZ18" s="218" t="str">
        <f t="shared" si="205"/>
        <v/>
      </c>
      <c r="BA18" s="218" t="str">
        <f t="shared" si="30"/>
        <v/>
      </c>
      <c r="BB18" s="218" t="str">
        <f t="shared" si="206"/>
        <v/>
      </c>
      <c r="BC18" s="218" t="str">
        <f t="shared" si="207"/>
        <v/>
      </c>
      <c r="BD18" s="218" t="str">
        <f t="shared" si="31"/>
        <v/>
      </c>
      <c r="BE18" s="218" t="str">
        <f t="shared" si="208"/>
        <v/>
      </c>
      <c r="BF18" s="218" t="str">
        <f t="shared" si="209"/>
        <v/>
      </c>
      <c r="BG18" s="218" t="str">
        <f t="shared" si="32"/>
        <v/>
      </c>
      <c r="BH18" s="218" t="str">
        <f t="shared" si="210"/>
        <v/>
      </c>
      <c r="BI18" s="218" t="str">
        <f t="shared" si="211"/>
        <v/>
      </c>
      <c r="BJ18" s="218" t="str">
        <f t="shared" si="33"/>
        <v/>
      </c>
      <c r="BK18" s="218" t="str">
        <f t="shared" si="212"/>
        <v/>
      </c>
      <c r="BL18" s="218" t="str">
        <f t="shared" si="213"/>
        <v/>
      </c>
      <c r="BM18" s="218" t="str">
        <f t="shared" si="34"/>
        <v/>
      </c>
      <c r="BN18" s="218" t="str">
        <f t="shared" si="214"/>
        <v/>
      </c>
      <c r="BO18" s="218" t="str">
        <f t="shared" si="215"/>
        <v/>
      </c>
      <c r="BP18" s="218" t="str">
        <f t="shared" si="35"/>
        <v/>
      </c>
      <c r="BQ18" s="218" t="str">
        <f t="shared" si="216"/>
        <v/>
      </c>
      <c r="BR18" s="218" t="str">
        <f t="shared" si="217"/>
        <v/>
      </c>
      <c r="BS18" s="218" t="str">
        <f t="shared" si="36"/>
        <v/>
      </c>
      <c r="BT18" s="218" t="str">
        <f t="shared" si="218"/>
        <v/>
      </c>
      <c r="BU18" s="218" t="str">
        <f t="shared" si="219"/>
        <v/>
      </c>
      <c r="BV18" s="218" t="str">
        <f t="shared" si="37"/>
        <v/>
      </c>
      <c r="BW18" s="218" t="str">
        <f t="shared" si="220"/>
        <v/>
      </c>
      <c r="BX18" s="218" t="str">
        <f t="shared" si="221"/>
        <v/>
      </c>
      <c r="BY18" s="218" t="str">
        <f t="shared" si="38"/>
        <v/>
      </c>
      <c r="BZ18" s="218" t="str">
        <f t="shared" si="222"/>
        <v/>
      </c>
      <c r="CA18" s="218" t="str">
        <f t="shared" si="223"/>
        <v/>
      </c>
      <c r="CB18" s="218" t="str">
        <f t="shared" si="39"/>
        <v/>
      </c>
      <c r="CD18" s="218" t="str">
        <f t="shared" si="40"/>
        <v/>
      </c>
      <c r="CE18" s="218" t="str">
        <f t="shared" si="41"/>
        <v/>
      </c>
      <c r="CF18" s="218" t="str">
        <f t="shared" si="42"/>
        <v/>
      </c>
      <c r="CG18" s="218" t="str">
        <f t="shared" si="43"/>
        <v/>
      </c>
      <c r="CH18" s="218" t="str">
        <f t="shared" si="44"/>
        <v/>
      </c>
      <c r="CI18" s="218" t="str">
        <f t="shared" si="45"/>
        <v/>
      </c>
      <c r="CJ18" s="218" t="str">
        <f t="shared" si="46"/>
        <v/>
      </c>
      <c r="CK18" s="218" t="str">
        <f t="shared" si="47"/>
        <v/>
      </c>
      <c r="CL18" s="218" t="str">
        <f t="shared" si="48"/>
        <v/>
      </c>
      <c r="CM18" s="218" t="str">
        <f t="shared" si="49"/>
        <v/>
      </c>
      <c r="CN18" s="218" t="str">
        <f t="shared" si="50"/>
        <v/>
      </c>
      <c r="CO18" s="218" t="str">
        <f t="shared" si="51"/>
        <v/>
      </c>
      <c r="CP18" s="218" t="str">
        <f t="shared" si="52"/>
        <v/>
      </c>
      <c r="CQ18" s="218" t="str">
        <f t="shared" si="53"/>
        <v/>
      </c>
      <c r="CR18" s="218" t="str">
        <f t="shared" si="54"/>
        <v/>
      </c>
      <c r="CS18" s="218" t="str">
        <f t="shared" si="55"/>
        <v/>
      </c>
      <c r="CT18" s="218" t="str">
        <f t="shared" si="56"/>
        <v/>
      </c>
      <c r="CU18" s="218" t="str">
        <f t="shared" si="57"/>
        <v/>
      </c>
      <c r="CV18" s="218" t="str">
        <f t="shared" si="58"/>
        <v/>
      </c>
      <c r="CW18" s="218" t="str">
        <f t="shared" si="59"/>
        <v/>
      </c>
      <c r="CX18" s="218" t="str">
        <f t="shared" si="60"/>
        <v/>
      </c>
      <c r="CY18" s="218" t="str">
        <f t="shared" si="61"/>
        <v/>
      </c>
      <c r="CZ18" s="218" t="str">
        <f t="shared" si="62"/>
        <v/>
      </c>
      <c r="DA18" s="218" t="str">
        <f t="shared" si="63"/>
        <v/>
      </c>
      <c r="DB18" s="218" t="str">
        <f t="shared" si="64"/>
        <v/>
      </c>
      <c r="DC18" s="218" t="str">
        <f t="shared" si="65"/>
        <v/>
      </c>
      <c r="DD18" s="218" t="str">
        <f t="shared" si="66"/>
        <v/>
      </c>
      <c r="DF18" s="218" t="str">
        <f t="shared" si="67"/>
        <v/>
      </c>
      <c r="DG18" s="218" t="str">
        <f t="shared" si="68"/>
        <v/>
      </c>
      <c r="DH18" s="218" t="str">
        <f t="shared" si="69"/>
        <v/>
      </c>
      <c r="DI18" s="218" t="str">
        <f t="shared" si="70"/>
        <v/>
      </c>
      <c r="DJ18" s="218" t="str">
        <f t="shared" si="71"/>
        <v/>
      </c>
      <c r="DK18" s="218" t="str">
        <f t="shared" si="72"/>
        <v/>
      </c>
      <c r="DL18" s="218" t="str">
        <f t="shared" si="73"/>
        <v/>
      </c>
      <c r="DM18" s="218" t="str">
        <f t="shared" si="74"/>
        <v/>
      </c>
      <c r="DN18" s="218" t="str">
        <f t="shared" si="75"/>
        <v/>
      </c>
      <c r="DO18" s="218" t="str">
        <f t="shared" si="76"/>
        <v/>
      </c>
      <c r="DP18" s="218" t="str">
        <f t="shared" si="77"/>
        <v/>
      </c>
      <c r="DQ18" s="218" t="str">
        <f t="shared" si="78"/>
        <v/>
      </c>
      <c r="DR18" s="218" t="str">
        <f t="shared" si="79"/>
        <v/>
      </c>
      <c r="DS18" s="218" t="str">
        <f t="shared" si="80"/>
        <v/>
      </c>
      <c r="DT18" s="218" t="str">
        <f t="shared" si="81"/>
        <v/>
      </c>
      <c r="DU18" s="218" t="str">
        <f t="shared" si="82"/>
        <v/>
      </c>
      <c r="DV18" s="218" t="str">
        <f t="shared" si="83"/>
        <v/>
      </c>
      <c r="DW18" s="218" t="str">
        <f t="shared" si="84"/>
        <v/>
      </c>
      <c r="DX18" s="218" t="str">
        <f t="shared" si="85"/>
        <v/>
      </c>
      <c r="DY18" s="218" t="str">
        <f t="shared" si="86"/>
        <v/>
      </c>
      <c r="DZ18" s="218" t="str">
        <f t="shared" si="87"/>
        <v/>
      </c>
      <c r="EA18" s="218" t="str">
        <f t="shared" si="88"/>
        <v/>
      </c>
      <c r="EB18" s="218" t="str">
        <f t="shared" si="89"/>
        <v/>
      </c>
      <c r="EC18" s="218" t="str">
        <f t="shared" si="90"/>
        <v/>
      </c>
      <c r="EE18" s="218" t="str">
        <f t="shared" si="91"/>
        <v/>
      </c>
      <c r="EF18" s="218" t="str">
        <f t="shared" si="92"/>
        <v/>
      </c>
      <c r="EG18" s="218" t="str">
        <f t="shared" si="93"/>
        <v/>
      </c>
      <c r="EH18" s="218" t="str">
        <f t="shared" si="94"/>
        <v/>
      </c>
      <c r="EI18" s="218" t="str">
        <f t="shared" si="95"/>
        <v/>
      </c>
      <c r="EJ18" s="218" t="str">
        <f t="shared" si="96"/>
        <v/>
      </c>
      <c r="EK18" s="218" t="str">
        <f t="shared" si="97"/>
        <v/>
      </c>
      <c r="EL18" s="218" t="str">
        <f t="shared" si="98"/>
        <v/>
      </c>
      <c r="EM18" s="218" t="str">
        <f t="shared" si="99"/>
        <v/>
      </c>
      <c r="EN18" s="218" t="str">
        <f t="shared" si="100"/>
        <v/>
      </c>
      <c r="EO18" s="218" t="str">
        <f t="shared" si="101"/>
        <v/>
      </c>
      <c r="EP18" s="218" t="str">
        <f t="shared" si="102"/>
        <v/>
      </c>
      <c r="EQ18" s="218" t="str">
        <f t="shared" si="103"/>
        <v/>
      </c>
      <c r="ER18" s="218" t="str">
        <f t="shared" si="104"/>
        <v/>
      </c>
      <c r="ES18" s="218" t="str">
        <f t="shared" si="105"/>
        <v/>
      </c>
      <c r="ET18" s="218" t="str">
        <f t="shared" si="106"/>
        <v/>
      </c>
      <c r="EU18" s="218" t="str">
        <f t="shared" si="107"/>
        <v/>
      </c>
      <c r="EV18" s="218" t="str">
        <f t="shared" si="108"/>
        <v/>
      </c>
      <c r="EW18" s="218" t="str">
        <f t="shared" si="109"/>
        <v/>
      </c>
      <c r="EX18" s="218" t="str">
        <f t="shared" si="110"/>
        <v/>
      </c>
      <c r="EY18" s="218" t="str">
        <f t="shared" si="111"/>
        <v/>
      </c>
      <c r="FA18" s="218" t="str">
        <f t="shared" si="112"/>
        <v/>
      </c>
      <c r="FB18" s="218" t="str">
        <f t="shared" si="113"/>
        <v/>
      </c>
      <c r="FC18" s="218" t="str">
        <f t="shared" si="114"/>
        <v/>
      </c>
      <c r="FD18" s="218" t="str">
        <f t="shared" si="115"/>
        <v/>
      </c>
      <c r="FE18" s="218" t="str">
        <f t="shared" si="116"/>
        <v/>
      </c>
      <c r="FF18" s="218" t="str">
        <f t="shared" si="117"/>
        <v/>
      </c>
      <c r="FG18" s="218" t="str">
        <f t="shared" si="118"/>
        <v/>
      </c>
      <c r="FH18" s="218" t="str">
        <f t="shared" si="119"/>
        <v/>
      </c>
      <c r="FI18" s="218" t="str">
        <f t="shared" si="120"/>
        <v/>
      </c>
      <c r="FJ18" s="218" t="str">
        <f t="shared" si="121"/>
        <v/>
      </c>
      <c r="FK18" s="218" t="str">
        <f t="shared" si="122"/>
        <v/>
      </c>
      <c r="FL18" s="218" t="str">
        <f t="shared" si="123"/>
        <v/>
      </c>
      <c r="FM18" s="218" t="str">
        <f t="shared" si="124"/>
        <v/>
      </c>
      <c r="FN18" s="218" t="str">
        <f t="shared" si="125"/>
        <v/>
      </c>
      <c r="FO18" s="218" t="str">
        <f t="shared" si="126"/>
        <v/>
      </c>
      <c r="FP18" s="218" t="str">
        <f t="shared" si="127"/>
        <v/>
      </c>
      <c r="FQ18" s="218" t="str">
        <f t="shared" si="128"/>
        <v/>
      </c>
      <c r="FR18" s="218" t="str">
        <f t="shared" si="129"/>
        <v/>
      </c>
      <c r="FT18" s="218" t="str">
        <f t="shared" si="130"/>
        <v/>
      </c>
      <c r="FU18" s="218" t="str">
        <f t="shared" si="131"/>
        <v/>
      </c>
      <c r="FV18" s="218" t="str">
        <f t="shared" si="132"/>
        <v/>
      </c>
      <c r="FW18" s="218" t="str">
        <f t="shared" si="133"/>
        <v/>
      </c>
      <c r="FX18" s="218" t="str">
        <f t="shared" si="134"/>
        <v/>
      </c>
      <c r="FY18" s="218" t="str">
        <f t="shared" si="135"/>
        <v/>
      </c>
      <c r="FZ18" s="218" t="str">
        <f t="shared" si="136"/>
        <v/>
      </c>
      <c r="GA18" s="218" t="str">
        <f t="shared" si="137"/>
        <v/>
      </c>
      <c r="GB18" s="218" t="str">
        <f t="shared" si="138"/>
        <v/>
      </c>
      <c r="GC18" s="218" t="str">
        <f t="shared" si="139"/>
        <v/>
      </c>
      <c r="GD18" s="218" t="str">
        <f t="shared" si="140"/>
        <v/>
      </c>
      <c r="GE18" s="218" t="str">
        <f t="shared" si="141"/>
        <v/>
      </c>
      <c r="GF18" s="218" t="str">
        <f t="shared" si="142"/>
        <v/>
      </c>
      <c r="GG18" s="218" t="str">
        <f t="shared" si="143"/>
        <v/>
      </c>
      <c r="GH18" s="218" t="str">
        <f t="shared" si="144"/>
        <v/>
      </c>
      <c r="GJ18" s="218" t="str">
        <f t="shared" si="145"/>
        <v/>
      </c>
      <c r="GK18" s="218" t="str">
        <f t="shared" si="146"/>
        <v/>
      </c>
      <c r="GL18" s="218" t="str">
        <f t="shared" si="147"/>
        <v/>
      </c>
      <c r="GM18" s="218" t="str">
        <f t="shared" si="148"/>
        <v/>
      </c>
      <c r="GN18" s="218" t="str">
        <f t="shared" si="149"/>
        <v/>
      </c>
      <c r="GO18" s="218" t="str">
        <f t="shared" si="150"/>
        <v/>
      </c>
      <c r="GP18" s="218" t="str">
        <f t="shared" si="151"/>
        <v/>
      </c>
      <c r="GQ18" s="218" t="str">
        <f t="shared" si="152"/>
        <v/>
      </c>
      <c r="GR18" s="218" t="str">
        <f t="shared" si="153"/>
        <v/>
      </c>
      <c r="GS18" s="218" t="str">
        <f t="shared" si="154"/>
        <v/>
      </c>
      <c r="GT18" s="218" t="str">
        <f t="shared" si="155"/>
        <v/>
      </c>
      <c r="GU18" s="218" t="str">
        <f t="shared" si="156"/>
        <v/>
      </c>
      <c r="GW18" s="218" t="str">
        <f t="shared" si="157"/>
        <v/>
      </c>
      <c r="GX18" s="218" t="str">
        <f t="shared" si="158"/>
        <v/>
      </c>
      <c r="GY18" s="218" t="str">
        <f t="shared" si="159"/>
        <v/>
      </c>
      <c r="GZ18" s="218" t="str">
        <f t="shared" si="160"/>
        <v/>
      </c>
      <c r="HA18" s="218" t="str">
        <f t="shared" si="161"/>
        <v/>
      </c>
      <c r="HB18" s="218" t="str">
        <f t="shared" si="162"/>
        <v/>
      </c>
      <c r="HC18" s="218" t="str">
        <f t="shared" si="163"/>
        <v/>
      </c>
      <c r="HD18" s="218" t="str">
        <f t="shared" si="164"/>
        <v/>
      </c>
      <c r="HE18" s="218" t="str">
        <f t="shared" si="165"/>
        <v/>
      </c>
      <c r="HG18" s="218" t="str">
        <f t="shared" si="166"/>
        <v/>
      </c>
      <c r="HH18" s="218" t="str">
        <f t="shared" si="167"/>
        <v/>
      </c>
      <c r="HI18" s="218" t="str">
        <f t="shared" si="168"/>
        <v/>
      </c>
      <c r="HJ18" s="218" t="str">
        <f t="shared" si="169"/>
        <v/>
      </c>
      <c r="HK18" s="218" t="str">
        <f t="shared" si="170"/>
        <v/>
      </c>
      <c r="HL18" s="218" t="str">
        <f t="shared" si="171"/>
        <v/>
      </c>
      <c r="HN18" s="218" t="str">
        <f t="shared" si="172"/>
        <v/>
      </c>
      <c r="HO18" s="218" t="str">
        <f t="shared" si="173"/>
        <v/>
      </c>
      <c r="HP18" s="218" t="str">
        <f t="shared" si="174"/>
        <v/>
      </c>
      <c r="HR18" s="218" t="str">
        <f t="shared" si="224"/>
        <v/>
      </c>
      <c r="HS18" s="218" t="str">
        <f t="shared" si="225"/>
        <v/>
      </c>
      <c r="HT18" s="218" t="str">
        <f t="shared" si="175"/>
        <v/>
      </c>
      <c r="HU18" s="218" t="str">
        <f t="shared" si="176"/>
        <v/>
      </c>
      <c r="HV18" s="218" t="str">
        <f t="shared" si="177"/>
        <v/>
      </c>
      <c r="HW18" s="218" t="str">
        <f t="shared" si="178"/>
        <v/>
      </c>
      <c r="HX18" s="218" t="str">
        <f t="shared" si="179"/>
        <v/>
      </c>
      <c r="HY18" s="218" t="str">
        <f t="shared" si="180"/>
        <v/>
      </c>
      <c r="HZ18" s="218" t="str">
        <f t="shared" si="181"/>
        <v/>
      </c>
      <c r="IA18" s="218" t="str">
        <f t="shared" si="182"/>
        <v/>
      </c>
      <c r="IB18" s="218" t="str">
        <f t="shared" si="183"/>
        <v/>
      </c>
      <c r="IC18" s="218" t="str">
        <f t="shared" si="184"/>
        <v/>
      </c>
      <c r="ID18" s="218" t="str">
        <f t="shared" si="185"/>
        <v/>
      </c>
      <c r="IE18" s="218" t="str">
        <f t="shared" si="186"/>
        <v/>
      </c>
      <c r="IF18" s="218" t="str">
        <f t="shared" si="187"/>
        <v/>
      </c>
      <c r="IG18" s="218" t="str">
        <f t="shared" si="188"/>
        <v/>
      </c>
      <c r="IH18" s="218" t="str">
        <f t="shared" si="189"/>
        <v/>
      </c>
      <c r="II18" s="218" t="str">
        <f t="shared" si="190"/>
        <v/>
      </c>
      <c r="IJ18" s="218" t="str">
        <f t="shared" si="191"/>
        <v/>
      </c>
      <c r="IK18" s="218" t="str">
        <f t="shared" si="192"/>
        <v/>
      </c>
      <c r="IL18" s="218" t="str">
        <f t="shared" si="193"/>
        <v/>
      </c>
      <c r="IM18" s="218" t="str">
        <f t="shared" si="194"/>
        <v/>
      </c>
      <c r="IN18" s="218" t="str">
        <f t="shared" si="195"/>
        <v/>
      </c>
      <c r="IO18" s="218" t="str">
        <f t="shared" si="196"/>
        <v/>
      </c>
      <c r="IP18" s="218" t="str">
        <f t="shared" si="197"/>
        <v/>
      </c>
      <c r="IQ18" s="218" t="str">
        <f t="shared" si="198"/>
        <v/>
      </c>
      <c r="IR18" s="218" t="str">
        <f t="shared" si="199"/>
        <v/>
      </c>
      <c r="IS18" s="218" t="str">
        <f t="shared" si="200"/>
        <v/>
      </c>
      <c r="IT18" s="218" t="str">
        <f t="shared" si="201"/>
        <v/>
      </c>
      <c r="IU18" s="218" t="str">
        <f t="shared" si="202"/>
        <v/>
      </c>
    </row>
    <row r="19" spans="1:255" x14ac:dyDescent="0.2">
      <c r="A19" s="200" t="s">
        <v>22</v>
      </c>
      <c r="B19" s="178"/>
      <c r="C19" s="179"/>
      <c r="D19" s="181"/>
      <c r="E19" s="181"/>
      <c r="F19" s="197"/>
      <c r="G19" s="198"/>
      <c r="H19" s="197"/>
      <c r="I19" s="197"/>
      <c r="J19" s="197"/>
      <c r="K19" s="185"/>
      <c r="L19" s="217" t="str">
        <f t="shared" si="29"/>
        <v/>
      </c>
      <c r="M19" s="218">
        <f>'HKG vs. BK'!M19</f>
        <v>23.517416852369028</v>
      </c>
      <c r="N19" s="218" t="str">
        <f>'HKG vs. BK'!N19</f>
        <v>±1,25</v>
      </c>
      <c r="O19" s="218" t="str">
        <f>'HKG vs. BK'!O19</f>
        <v>±5,56</v>
      </c>
      <c r="P19" s="218" t="str">
        <f>'HKG vs. BK'!P19</f>
        <v>±2,29</v>
      </c>
      <c r="Q19" s="219" t="str">
        <f t="shared" si="203"/>
        <v/>
      </c>
      <c r="R19" s="220" t="str">
        <f t="shared" si="0"/>
        <v/>
      </c>
      <c r="S19" s="220" t="str">
        <f t="shared" si="1"/>
        <v/>
      </c>
      <c r="T19" s="219" t="str">
        <f t="shared" si="2"/>
        <v/>
      </c>
      <c r="U19" s="220" t="str">
        <f t="shared" si="3"/>
        <v/>
      </c>
      <c r="V19" s="220" t="str">
        <f t="shared" si="4"/>
        <v/>
      </c>
      <c r="W19" s="219" t="str">
        <f t="shared" si="5"/>
        <v/>
      </c>
      <c r="X19" s="220" t="str">
        <f t="shared" si="6"/>
        <v/>
      </c>
      <c r="Y19" s="220" t="str">
        <f t="shared" si="7"/>
        <v/>
      </c>
      <c r="Z19" s="219" t="str">
        <f t="shared" si="8"/>
        <v/>
      </c>
      <c r="AA19" s="220" t="str">
        <f t="shared" si="9"/>
        <v/>
      </c>
      <c r="AB19" s="220" t="str">
        <f t="shared" si="10"/>
        <v/>
      </c>
      <c r="AC19" s="219" t="str">
        <f t="shared" si="11"/>
        <v/>
      </c>
      <c r="AD19" s="220" t="str">
        <f t="shared" si="12"/>
        <v/>
      </c>
      <c r="AE19" s="220" t="str">
        <f t="shared" si="13"/>
        <v/>
      </c>
      <c r="AF19" s="219" t="str">
        <f t="shared" si="14"/>
        <v/>
      </c>
      <c r="AG19" s="220" t="str">
        <f t="shared" si="15"/>
        <v/>
      </c>
      <c r="AH19" s="220" t="str">
        <f t="shared" si="16"/>
        <v/>
      </c>
      <c r="AI19" s="219" t="str">
        <f t="shared" si="17"/>
        <v/>
      </c>
      <c r="AJ19" s="220" t="str">
        <f t="shared" si="18"/>
        <v/>
      </c>
      <c r="AK19" s="220" t="str">
        <f t="shared" si="19"/>
        <v/>
      </c>
      <c r="AL19" s="219" t="str">
        <f t="shared" si="20"/>
        <v/>
      </c>
      <c r="AM19" s="220" t="str">
        <f t="shared" si="21"/>
        <v/>
      </c>
      <c r="AN19" s="220" t="str">
        <f t="shared" si="22"/>
        <v/>
      </c>
      <c r="AO19" s="219" t="str">
        <f t="shared" si="23"/>
        <v/>
      </c>
      <c r="AP19" s="220" t="str">
        <f t="shared" si="24"/>
        <v/>
      </c>
      <c r="AQ19" s="220" t="str">
        <f t="shared" si="25"/>
        <v/>
      </c>
      <c r="AR19" s="219" t="str">
        <f t="shared" si="26"/>
        <v/>
      </c>
      <c r="AS19" s="220" t="str">
        <f t="shared" si="27"/>
        <v/>
      </c>
      <c r="AT19" s="220" t="str">
        <f t="shared" si="28"/>
        <v/>
      </c>
      <c r="AU19" s="221"/>
      <c r="AV19" s="221"/>
      <c r="AW19" s="221"/>
      <c r="AY19" s="218" t="str">
        <f t="shared" si="204"/>
        <v/>
      </c>
      <c r="AZ19" s="218" t="str">
        <f t="shared" si="205"/>
        <v/>
      </c>
      <c r="BA19" s="218" t="str">
        <f t="shared" si="30"/>
        <v/>
      </c>
      <c r="BB19" s="218" t="str">
        <f t="shared" si="206"/>
        <v/>
      </c>
      <c r="BC19" s="218" t="str">
        <f t="shared" si="207"/>
        <v/>
      </c>
      <c r="BD19" s="218" t="str">
        <f t="shared" si="31"/>
        <v/>
      </c>
      <c r="BE19" s="218" t="str">
        <f t="shared" si="208"/>
        <v/>
      </c>
      <c r="BF19" s="218" t="str">
        <f t="shared" si="209"/>
        <v/>
      </c>
      <c r="BG19" s="218" t="str">
        <f t="shared" si="32"/>
        <v/>
      </c>
      <c r="BH19" s="218" t="str">
        <f t="shared" si="210"/>
        <v/>
      </c>
      <c r="BI19" s="218" t="str">
        <f t="shared" si="211"/>
        <v/>
      </c>
      <c r="BJ19" s="218" t="str">
        <f t="shared" si="33"/>
        <v/>
      </c>
      <c r="BK19" s="218" t="str">
        <f t="shared" si="212"/>
        <v/>
      </c>
      <c r="BL19" s="218" t="str">
        <f t="shared" si="213"/>
        <v/>
      </c>
      <c r="BM19" s="218" t="str">
        <f t="shared" si="34"/>
        <v/>
      </c>
      <c r="BN19" s="218" t="str">
        <f t="shared" si="214"/>
        <v/>
      </c>
      <c r="BO19" s="218" t="str">
        <f t="shared" si="215"/>
        <v/>
      </c>
      <c r="BP19" s="218" t="str">
        <f t="shared" si="35"/>
        <v/>
      </c>
      <c r="BQ19" s="218" t="str">
        <f t="shared" si="216"/>
        <v/>
      </c>
      <c r="BR19" s="218" t="str">
        <f t="shared" si="217"/>
        <v/>
      </c>
      <c r="BS19" s="218" t="str">
        <f t="shared" si="36"/>
        <v/>
      </c>
      <c r="BT19" s="218" t="str">
        <f t="shared" si="218"/>
        <v/>
      </c>
      <c r="BU19" s="218" t="str">
        <f t="shared" si="219"/>
        <v/>
      </c>
      <c r="BV19" s="218" t="str">
        <f t="shared" si="37"/>
        <v/>
      </c>
      <c r="BW19" s="218" t="str">
        <f t="shared" si="220"/>
        <v/>
      </c>
      <c r="BX19" s="218" t="str">
        <f t="shared" si="221"/>
        <v/>
      </c>
      <c r="BY19" s="218" t="str">
        <f t="shared" si="38"/>
        <v/>
      </c>
      <c r="BZ19" s="218" t="str">
        <f t="shared" si="222"/>
        <v/>
      </c>
      <c r="CA19" s="218" t="str">
        <f t="shared" si="223"/>
        <v/>
      </c>
      <c r="CB19" s="218" t="str">
        <f t="shared" si="39"/>
        <v/>
      </c>
      <c r="CD19" s="218" t="str">
        <f t="shared" si="40"/>
        <v/>
      </c>
      <c r="CE19" s="218" t="str">
        <f t="shared" si="41"/>
        <v/>
      </c>
      <c r="CF19" s="218" t="str">
        <f t="shared" si="42"/>
        <v/>
      </c>
      <c r="CG19" s="218" t="str">
        <f t="shared" si="43"/>
        <v/>
      </c>
      <c r="CH19" s="218" t="str">
        <f t="shared" si="44"/>
        <v/>
      </c>
      <c r="CI19" s="218" t="str">
        <f t="shared" si="45"/>
        <v/>
      </c>
      <c r="CJ19" s="218" t="str">
        <f t="shared" si="46"/>
        <v/>
      </c>
      <c r="CK19" s="218" t="str">
        <f t="shared" si="47"/>
        <v/>
      </c>
      <c r="CL19" s="218" t="str">
        <f t="shared" si="48"/>
        <v/>
      </c>
      <c r="CM19" s="218" t="str">
        <f t="shared" si="49"/>
        <v/>
      </c>
      <c r="CN19" s="218" t="str">
        <f t="shared" si="50"/>
        <v/>
      </c>
      <c r="CO19" s="218" t="str">
        <f t="shared" si="51"/>
        <v/>
      </c>
      <c r="CP19" s="218" t="str">
        <f t="shared" si="52"/>
        <v/>
      </c>
      <c r="CQ19" s="218" t="str">
        <f t="shared" si="53"/>
        <v/>
      </c>
      <c r="CR19" s="218" t="str">
        <f t="shared" si="54"/>
        <v/>
      </c>
      <c r="CS19" s="218" t="str">
        <f t="shared" si="55"/>
        <v/>
      </c>
      <c r="CT19" s="218" t="str">
        <f t="shared" si="56"/>
        <v/>
      </c>
      <c r="CU19" s="218" t="str">
        <f t="shared" si="57"/>
        <v/>
      </c>
      <c r="CV19" s="218" t="str">
        <f t="shared" si="58"/>
        <v/>
      </c>
      <c r="CW19" s="218" t="str">
        <f t="shared" si="59"/>
        <v/>
      </c>
      <c r="CX19" s="218" t="str">
        <f t="shared" si="60"/>
        <v/>
      </c>
      <c r="CY19" s="218" t="str">
        <f t="shared" si="61"/>
        <v/>
      </c>
      <c r="CZ19" s="218" t="str">
        <f t="shared" si="62"/>
        <v/>
      </c>
      <c r="DA19" s="218" t="str">
        <f t="shared" si="63"/>
        <v/>
      </c>
      <c r="DB19" s="218" t="str">
        <f t="shared" si="64"/>
        <v/>
      </c>
      <c r="DC19" s="218" t="str">
        <f t="shared" si="65"/>
        <v/>
      </c>
      <c r="DD19" s="218" t="str">
        <f t="shared" si="66"/>
        <v/>
      </c>
      <c r="DF19" s="218" t="str">
        <f t="shared" si="67"/>
        <v/>
      </c>
      <c r="DG19" s="218" t="str">
        <f t="shared" si="68"/>
        <v/>
      </c>
      <c r="DH19" s="218" t="str">
        <f t="shared" si="69"/>
        <v/>
      </c>
      <c r="DI19" s="218" t="str">
        <f t="shared" si="70"/>
        <v/>
      </c>
      <c r="DJ19" s="218" t="str">
        <f t="shared" si="71"/>
        <v/>
      </c>
      <c r="DK19" s="218" t="str">
        <f t="shared" si="72"/>
        <v/>
      </c>
      <c r="DL19" s="218" t="str">
        <f t="shared" si="73"/>
        <v/>
      </c>
      <c r="DM19" s="218" t="str">
        <f t="shared" si="74"/>
        <v/>
      </c>
      <c r="DN19" s="218" t="str">
        <f t="shared" si="75"/>
        <v/>
      </c>
      <c r="DO19" s="218" t="str">
        <f t="shared" si="76"/>
        <v/>
      </c>
      <c r="DP19" s="218" t="str">
        <f t="shared" si="77"/>
        <v/>
      </c>
      <c r="DQ19" s="218" t="str">
        <f t="shared" si="78"/>
        <v/>
      </c>
      <c r="DR19" s="218" t="str">
        <f t="shared" si="79"/>
        <v/>
      </c>
      <c r="DS19" s="218" t="str">
        <f t="shared" si="80"/>
        <v/>
      </c>
      <c r="DT19" s="218" t="str">
        <f t="shared" si="81"/>
        <v/>
      </c>
      <c r="DU19" s="218" t="str">
        <f t="shared" si="82"/>
        <v/>
      </c>
      <c r="DV19" s="218" t="str">
        <f t="shared" si="83"/>
        <v/>
      </c>
      <c r="DW19" s="218" t="str">
        <f t="shared" si="84"/>
        <v/>
      </c>
      <c r="DX19" s="218" t="str">
        <f t="shared" si="85"/>
        <v/>
      </c>
      <c r="DY19" s="218" t="str">
        <f t="shared" si="86"/>
        <v/>
      </c>
      <c r="DZ19" s="218" t="str">
        <f t="shared" si="87"/>
        <v/>
      </c>
      <c r="EA19" s="218" t="str">
        <f t="shared" si="88"/>
        <v/>
      </c>
      <c r="EB19" s="218" t="str">
        <f t="shared" si="89"/>
        <v/>
      </c>
      <c r="EC19" s="218" t="str">
        <f t="shared" si="90"/>
        <v/>
      </c>
      <c r="EE19" s="218" t="str">
        <f t="shared" si="91"/>
        <v/>
      </c>
      <c r="EF19" s="218" t="str">
        <f t="shared" si="92"/>
        <v/>
      </c>
      <c r="EG19" s="218" t="str">
        <f t="shared" si="93"/>
        <v/>
      </c>
      <c r="EH19" s="218" t="str">
        <f t="shared" si="94"/>
        <v/>
      </c>
      <c r="EI19" s="218" t="str">
        <f t="shared" si="95"/>
        <v/>
      </c>
      <c r="EJ19" s="218" t="str">
        <f t="shared" si="96"/>
        <v/>
      </c>
      <c r="EK19" s="218" t="str">
        <f t="shared" si="97"/>
        <v/>
      </c>
      <c r="EL19" s="218" t="str">
        <f t="shared" si="98"/>
        <v/>
      </c>
      <c r="EM19" s="218" t="str">
        <f t="shared" si="99"/>
        <v/>
      </c>
      <c r="EN19" s="218" t="str">
        <f t="shared" si="100"/>
        <v/>
      </c>
      <c r="EO19" s="218" t="str">
        <f t="shared" si="101"/>
        <v/>
      </c>
      <c r="EP19" s="218" t="str">
        <f t="shared" si="102"/>
        <v/>
      </c>
      <c r="EQ19" s="218" t="str">
        <f t="shared" si="103"/>
        <v/>
      </c>
      <c r="ER19" s="218" t="str">
        <f t="shared" si="104"/>
        <v/>
      </c>
      <c r="ES19" s="218" t="str">
        <f t="shared" si="105"/>
        <v/>
      </c>
      <c r="ET19" s="218" t="str">
        <f t="shared" si="106"/>
        <v/>
      </c>
      <c r="EU19" s="218" t="str">
        <f t="shared" si="107"/>
        <v/>
      </c>
      <c r="EV19" s="218" t="str">
        <f t="shared" si="108"/>
        <v/>
      </c>
      <c r="EW19" s="218" t="str">
        <f t="shared" si="109"/>
        <v/>
      </c>
      <c r="EX19" s="218" t="str">
        <f t="shared" si="110"/>
        <v/>
      </c>
      <c r="EY19" s="218" t="str">
        <f t="shared" si="111"/>
        <v/>
      </c>
      <c r="FA19" s="218" t="str">
        <f t="shared" si="112"/>
        <v/>
      </c>
      <c r="FB19" s="218" t="str">
        <f t="shared" si="113"/>
        <v/>
      </c>
      <c r="FC19" s="218" t="str">
        <f t="shared" si="114"/>
        <v/>
      </c>
      <c r="FD19" s="218" t="str">
        <f t="shared" si="115"/>
        <v/>
      </c>
      <c r="FE19" s="218" t="str">
        <f t="shared" si="116"/>
        <v/>
      </c>
      <c r="FF19" s="218" t="str">
        <f t="shared" si="117"/>
        <v/>
      </c>
      <c r="FG19" s="218" t="str">
        <f t="shared" si="118"/>
        <v/>
      </c>
      <c r="FH19" s="218" t="str">
        <f t="shared" si="119"/>
        <v/>
      </c>
      <c r="FI19" s="218" t="str">
        <f t="shared" si="120"/>
        <v/>
      </c>
      <c r="FJ19" s="218" t="str">
        <f t="shared" si="121"/>
        <v/>
      </c>
      <c r="FK19" s="218" t="str">
        <f t="shared" si="122"/>
        <v/>
      </c>
      <c r="FL19" s="218" t="str">
        <f t="shared" si="123"/>
        <v/>
      </c>
      <c r="FM19" s="218" t="str">
        <f t="shared" si="124"/>
        <v/>
      </c>
      <c r="FN19" s="218" t="str">
        <f t="shared" si="125"/>
        <v/>
      </c>
      <c r="FO19" s="218" t="str">
        <f t="shared" si="126"/>
        <v/>
      </c>
      <c r="FP19" s="218" t="str">
        <f t="shared" si="127"/>
        <v/>
      </c>
      <c r="FQ19" s="218" t="str">
        <f t="shared" si="128"/>
        <v/>
      </c>
      <c r="FR19" s="218" t="str">
        <f t="shared" si="129"/>
        <v/>
      </c>
      <c r="FT19" s="218" t="str">
        <f t="shared" si="130"/>
        <v/>
      </c>
      <c r="FU19" s="218" t="str">
        <f t="shared" si="131"/>
        <v/>
      </c>
      <c r="FV19" s="218" t="str">
        <f t="shared" si="132"/>
        <v/>
      </c>
      <c r="FW19" s="218" t="str">
        <f t="shared" si="133"/>
        <v/>
      </c>
      <c r="FX19" s="218" t="str">
        <f t="shared" si="134"/>
        <v/>
      </c>
      <c r="FY19" s="218" t="str">
        <f t="shared" si="135"/>
        <v/>
      </c>
      <c r="FZ19" s="218" t="str">
        <f t="shared" si="136"/>
        <v/>
      </c>
      <c r="GA19" s="218" t="str">
        <f t="shared" si="137"/>
        <v/>
      </c>
      <c r="GB19" s="218" t="str">
        <f t="shared" si="138"/>
        <v/>
      </c>
      <c r="GC19" s="218" t="str">
        <f t="shared" si="139"/>
        <v/>
      </c>
      <c r="GD19" s="218" t="str">
        <f t="shared" si="140"/>
        <v/>
      </c>
      <c r="GE19" s="218" t="str">
        <f t="shared" si="141"/>
        <v/>
      </c>
      <c r="GF19" s="218" t="str">
        <f t="shared" si="142"/>
        <v/>
      </c>
      <c r="GG19" s="218" t="str">
        <f t="shared" si="143"/>
        <v/>
      </c>
      <c r="GH19" s="218" t="str">
        <f t="shared" si="144"/>
        <v/>
      </c>
      <c r="GJ19" s="218" t="str">
        <f t="shared" si="145"/>
        <v/>
      </c>
      <c r="GK19" s="218" t="str">
        <f t="shared" si="146"/>
        <v/>
      </c>
      <c r="GL19" s="218" t="str">
        <f t="shared" si="147"/>
        <v/>
      </c>
      <c r="GM19" s="218" t="str">
        <f t="shared" si="148"/>
        <v/>
      </c>
      <c r="GN19" s="218" t="str">
        <f t="shared" si="149"/>
        <v/>
      </c>
      <c r="GO19" s="218" t="str">
        <f t="shared" si="150"/>
        <v/>
      </c>
      <c r="GP19" s="218" t="str">
        <f t="shared" si="151"/>
        <v/>
      </c>
      <c r="GQ19" s="218" t="str">
        <f t="shared" si="152"/>
        <v/>
      </c>
      <c r="GR19" s="218" t="str">
        <f t="shared" si="153"/>
        <v/>
      </c>
      <c r="GS19" s="218" t="str">
        <f t="shared" si="154"/>
        <v/>
      </c>
      <c r="GT19" s="218" t="str">
        <f t="shared" si="155"/>
        <v/>
      </c>
      <c r="GU19" s="218" t="str">
        <f t="shared" si="156"/>
        <v/>
      </c>
      <c r="GW19" s="218" t="str">
        <f t="shared" si="157"/>
        <v/>
      </c>
      <c r="GX19" s="218" t="str">
        <f t="shared" si="158"/>
        <v/>
      </c>
      <c r="GY19" s="218" t="str">
        <f t="shared" si="159"/>
        <v/>
      </c>
      <c r="GZ19" s="218" t="str">
        <f t="shared" si="160"/>
        <v/>
      </c>
      <c r="HA19" s="218" t="str">
        <f t="shared" si="161"/>
        <v/>
      </c>
      <c r="HB19" s="218" t="str">
        <f t="shared" si="162"/>
        <v/>
      </c>
      <c r="HC19" s="218" t="str">
        <f t="shared" si="163"/>
        <v/>
      </c>
      <c r="HD19" s="218" t="str">
        <f t="shared" si="164"/>
        <v/>
      </c>
      <c r="HE19" s="218" t="str">
        <f t="shared" si="165"/>
        <v/>
      </c>
      <c r="HG19" s="218" t="str">
        <f t="shared" si="166"/>
        <v/>
      </c>
      <c r="HH19" s="218" t="str">
        <f t="shared" si="167"/>
        <v/>
      </c>
      <c r="HI19" s="218" t="str">
        <f t="shared" si="168"/>
        <v/>
      </c>
      <c r="HJ19" s="218" t="str">
        <f t="shared" si="169"/>
        <v/>
      </c>
      <c r="HK19" s="218" t="str">
        <f t="shared" si="170"/>
        <v/>
      </c>
      <c r="HL19" s="218" t="str">
        <f t="shared" si="171"/>
        <v/>
      </c>
      <c r="HN19" s="218" t="str">
        <f t="shared" si="172"/>
        <v/>
      </c>
      <c r="HO19" s="218" t="str">
        <f t="shared" si="173"/>
        <v/>
      </c>
      <c r="HP19" s="218" t="str">
        <f t="shared" si="174"/>
        <v/>
      </c>
      <c r="HR19" s="218" t="str">
        <f t="shared" si="224"/>
        <v/>
      </c>
      <c r="HS19" s="218" t="str">
        <f t="shared" si="225"/>
        <v/>
      </c>
      <c r="HT19" s="218" t="str">
        <f t="shared" si="175"/>
        <v/>
      </c>
      <c r="HU19" s="218" t="str">
        <f t="shared" si="176"/>
        <v/>
      </c>
      <c r="HV19" s="218" t="str">
        <f t="shared" si="177"/>
        <v/>
      </c>
      <c r="HW19" s="218" t="str">
        <f t="shared" si="178"/>
        <v/>
      </c>
      <c r="HX19" s="218" t="str">
        <f t="shared" si="179"/>
        <v/>
      </c>
      <c r="HY19" s="218" t="str">
        <f t="shared" si="180"/>
        <v/>
      </c>
      <c r="HZ19" s="218" t="str">
        <f t="shared" si="181"/>
        <v/>
      </c>
      <c r="IA19" s="218" t="str">
        <f t="shared" si="182"/>
        <v/>
      </c>
      <c r="IB19" s="218" t="str">
        <f t="shared" si="183"/>
        <v/>
      </c>
      <c r="IC19" s="218" t="str">
        <f t="shared" si="184"/>
        <v/>
      </c>
      <c r="ID19" s="218" t="str">
        <f t="shared" si="185"/>
        <v/>
      </c>
      <c r="IE19" s="218" t="str">
        <f t="shared" si="186"/>
        <v/>
      </c>
      <c r="IF19" s="218" t="str">
        <f t="shared" si="187"/>
        <v/>
      </c>
      <c r="IG19" s="218" t="str">
        <f t="shared" si="188"/>
        <v/>
      </c>
      <c r="IH19" s="218" t="str">
        <f t="shared" si="189"/>
        <v/>
      </c>
      <c r="II19" s="218" t="str">
        <f t="shared" si="190"/>
        <v/>
      </c>
      <c r="IJ19" s="218" t="str">
        <f t="shared" si="191"/>
        <v/>
      </c>
      <c r="IK19" s="218" t="str">
        <f t="shared" si="192"/>
        <v/>
      </c>
      <c r="IL19" s="218" t="str">
        <f t="shared" si="193"/>
        <v/>
      </c>
      <c r="IM19" s="218" t="str">
        <f t="shared" si="194"/>
        <v/>
      </c>
      <c r="IN19" s="218" t="str">
        <f t="shared" si="195"/>
        <v/>
      </c>
      <c r="IO19" s="218" t="str">
        <f t="shared" si="196"/>
        <v/>
      </c>
      <c r="IP19" s="218" t="str">
        <f t="shared" si="197"/>
        <v/>
      </c>
      <c r="IQ19" s="218" t="str">
        <f t="shared" si="198"/>
        <v/>
      </c>
      <c r="IR19" s="218" t="str">
        <f t="shared" si="199"/>
        <v/>
      </c>
      <c r="IS19" s="218" t="str">
        <f t="shared" si="200"/>
        <v/>
      </c>
      <c r="IT19" s="218" t="str">
        <f t="shared" si="201"/>
        <v/>
      </c>
      <c r="IU19" s="218" t="str">
        <f t="shared" si="202"/>
        <v/>
      </c>
    </row>
    <row r="20" spans="1:255" x14ac:dyDescent="0.2">
      <c r="A20" s="200" t="s">
        <v>23</v>
      </c>
      <c r="B20" s="178"/>
      <c r="C20" s="179"/>
      <c r="D20" s="181"/>
      <c r="E20" s="181"/>
      <c r="F20" s="197"/>
      <c r="G20" s="198"/>
      <c r="H20" s="197"/>
      <c r="I20" s="197"/>
      <c r="J20" s="197"/>
      <c r="K20" s="185"/>
      <c r="L20" s="217" t="str">
        <f t="shared" si="29"/>
        <v/>
      </c>
      <c r="M20" s="218">
        <f>'HKG vs. BK'!M20</f>
        <v>19.924131660822795</v>
      </c>
      <c r="N20" s="218" t="str">
        <f>'HKG vs. BK'!N20</f>
        <v>±0,64</v>
      </c>
      <c r="O20" s="218" t="str">
        <f>'HKG vs. BK'!O20</f>
        <v>±2,89</v>
      </c>
      <c r="P20" s="218" t="str">
        <f>'HKG vs. BK'!P20</f>
        <v>±0,16</v>
      </c>
      <c r="Q20" s="219" t="str">
        <f t="shared" si="203"/>
        <v/>
      </c>
      <c r="R20" s="220" t="str">
        <f t="shared" si="0"/>
        <v/>
      </c>
      <c r="S20" s="220" t="str">
        <f t="shared" si="1"/>
        <v/>
      </c>
      <c r="T20" s="219" t="str">
        <f t="shared" si="2"/>
        <v/>
      </c>
      <c r="U20" s="220" t="str">
        <f t="shared" si="3"/>
        <v/>
      </c>
      <c r="V20" s="220" t="str">
        <f t="shared" si="4"/>
        <v/>
      </c>
      <c r="W20" s="219" t="str">
        <f t="shared" si="5"/>
        <v/>
      </c>
      <c r="X20" s="220" t="str">
        <f t="shared" si="6"/>
        <v/>
      </c>
      <c r="Y20" s="220" t="str">
        <f t="shared" si="7"/>
        <v/>
      </c>
      <c r="Z20" s="219" t="str">
        <f t="shared" si="8"/>
        <v/>
      </c>
      <c r="AA20" s="220" t="str">
        <f t="shared" si="9"/>
        <v/>
      </c>
      <c r="AB20" s="220" t="str">
        <f t="shared" si="10"/>
        <v/>
      </c>
      <c r="AC20" s="219" t="str">
        <f t="shared" si="11"/>
        <v/>
      </c>
      <c r="AD20" s="220" t="str">
        <f t="shared" si="12"/>
        <v/>
      </c>
      <c r="AE20" s="220" t="str">
        <f t="shared" si="13"/>
        <v/>
      </c>
      <c r="AF20" s="219" t="str">
        <f t="shared" si="14"/>
        <v/>
      </c>
      <c r="AG20" s="220" t="str">
        <f t="shared" si="15"/>
        <v/>
      </c>
      <c r="AH20" s="220" t="str">
        <f t="shared" si="16"/>
        <v/>
      </c>
      <c r="AI20" s="219" t="str">
        <f t="shared" si="17"/>
        <v/>
      </c>
      <c r="AJ20" s="220" t="str">
        <f t="shared" si="18"/>
        <v/>
      </c>
      <c r="AK20" s="220" t="str">
        <f t="shared" si="19"/>
        <v/>
      </c>
      <c r="AL20" s="219" t="str">
        <f t="shared" si="20"/>
        <v/>
      </c>
      <c r="AM20" s="220" t="str">
        <f t="shared" si="21"/>
        <v/>
      </c>
      <c r="AN20" s="220" t="str">
        <f t="shared" si="22"/>
        <v/>
      </c>
      <c r="AO20" s="219" t="str">
        <f t="shared" si="23"/>
        <v/>
      </c>
      <c r="AP20" s="220" t="str">
        <f t="shared" si="24"/>
        <v/>
      </c>
      <c r="AQ20" s="220" t="str">
        <f t="shared" si="25"/>
        <v/>
      </c>
      <c r="AR20" s="219" t="str">
        <f t="shared" si="26"/>
        <v/>
      </c>
      <c r="AS20" s="220" t="str">
        <f t="shared" si="27"/>
        <v/>
      </c>
      <c r="AT20" s="220" t="str">
        <f t="shared" si="28"/>
        <v/>
      </c>
      <c r="AU20" s="221"/>
      <c r="AV20" s="221"/>
      <c r="AW20" s="221"/>
      <c r="AY20" s="218" t="str">
        <f t="shared" si="204"/>
        <v/>
      </c>
      <c r="AZ20" s="218" t="str">
        <f t="shared" si="205"/>
        <v/>
      </c>
      <c r="BA20" s="218" t="str">
        <f t="shared" si="30"/>
        <v/>
      </c>
      <c r="BB20" s="218" t="str">
        <f t="shared" si="206"/>
        <v/>
      </c>
      <c r="BC20" s="218" t="str">
        <f t="shared" si="207"/>
        <v/>
      </c>
      <c r="BD20" s="218" t="str">
        <f t="shared" si="31"/>
        <v/>
      </c>
      <c r="BE20" s="218" t="str">
        <f t="shared" si="208"/>
        <v/>
      </c>
      <c r="BF20" s="218" t="str">
        <f t="shared" si="209"/>
        <v/>
      </c>
      <c r="BG20" s="218" t="str">
        <f t="shared" si="32"/>
        <v/>
      </c>
      <c r="BH20" s="218" t="str">
        <f t="shared" si="210"/>
        <v/>
      </c>
      <c r="BI20" s="218" t="str">
        <f t="shared" si="211"/>
        <v/>
      </c>
      <c r="BJ20" s="218" t="str">
        <f t="shared" si="33"/>
        <v/>
      </c>
      <c r="BK20" s="218" t="str">
        <f t="shared" si="212"/>
        <v/>
      </c>
      <c r="BL20" s="218" t="str">
        <f t="shared" si="213"/>
        <v/>
      </c>
      <c r="BM20" s="218" t="str">
        <f t="shared" si="34"/>
        <v/>
      </c>
      <c r="BN20" s="218" t="str">
        <f t="shared" si="214"/>
        <v/>
      </c>
      <c r="BO20" s="218" t="str">
        <f t="shared" si="215"/>
        <v/>
      </c>
      <c r="BP20" s="218" t="str">
        <f t="shared" si="35"/>
        <v/>
      </c>
      <c r="BQ20" s="218" t="str">
        <f t="shared" si="216"/>
        <v/>
      </c>
      <c r="BR20" s="218" t="str">
        <f t="shared" si="217"/>
        <v/>
      </c>
      <c r="BS20" s="218" t="str">
        <f t="shared" si="36"/>
        <v/>
      </c>
      <c r="BT20" s="218" t="str">
        <f t="shared" si="218"/>
        <v/>
      </c>
      <c r="BU20" s="218" t="str">
        <f t="shared" si="219"/>
        <v/>
      </c>
      <c r="BV20" s="218" t="str">
        <f t="shared" si="37"/>
        <v/>
      </c>
      <c r="BW20" s="218" t="str">
        <f t="shared" si="220"/>
        <v/>
      </c>
      <c r="BX20" s="218" t="str">
        <f t="shared" si="221"/>
        <v/>
      </c>
      <c r="BY20" s="218" t="str">
        <f t="shared" si="38"/>
        <v/>
      </c>
      <c r="BZ20" s="218" t="str">
        <f t="shared" si="222"/>
        <v/>
      </c>
      <c r="CA20" s="218" t="str">
        <f t="shared" si="223"/>
        <v/>
      </c>
      <c r="CB20" s="218" t="str">
        <f t="shared" si="39"/>
        <v/>
      </c>
      <c r="CD20" s="218" t="str">
        <f t="shared" si="40"/>
        <v/>
      </c>
      <c r="CE20" s="218" t="str">
        <f t="shared" si="41"/>
        <v/>
      </c>
      <c r="CF20" s="218" t="str">
        <f t="shared" si="42"/>
        <v/>
      </c>
      <c r="CG20" s="218" t="str">
        <f t="shared" si="43"/>
        <v/>
      </c>
      <c r="CH20" s="218" t="str">
        <f t="shared" si="44"/>
        <v/>
      </c>
      <c r="CI20" s="218" t="str">
        <f t="shared" si="45"/>
        <v/>
      </c>
      <c r="CJ20" s="218" t="str">
        <f t="shared" si="46"/>
        <v/>
      </c>
      <c r="CK20" s="218" t="str">
        <f t="shared" si="47"/>
        <v/>
      </c>
      <c r="CL20" s="218" t="str">
        <f t="shared" si="48"/>
        <v/>
      </c>
      <c r="CM20" s="218" t="str">
        <f t="shared" si="49"/>
        <v/>
      </c>
      <c r="CN20" s="218" t="str">
        <f t="shared" si="50"/>
        <v/>
      </c>
      <c r="CO20" s="218" t="str">
        <f t="shared" si="51"/>
        <v/>
      </c>
      <c r="CP20" s="218" t="str">
        <f t="shared" si="52"/>
        <v/>
      </c>
      <c r="CQ20" s="218" t="str">
        <f t="shared" si="53"/>
        <v/>
      </c>
      <c r="CR20" s="218" t="str">
        <f t="shared" si="54"/>
        <v/>
      </c>
      <c r="CS20" s="218" t="str">
        <f t="shared" si="55"/>
        <v/>
      </c>
      <c r="CT20" s="218" t="str">
        <f t="shared" si="56"/>
        <v/>
      </c>
      <c r="CU20" s="218" t="str">
        <f t="shared" si="57"/>
        <v/>
      </c>
      <c r="CV20" s="218" t="str">
        <f t="shared" si="58"/>
        <v/>
      </c>
      <c r="CW20" s="218" t="str">
        <f t="shared" si="59"/>
        <v/>
      </c>
      <c r="CX20" s="218" t="str">
        <f t="shared" si="60"/>
        <v/>
      </c>
      <c r="CY20" s="218" t="str">
        <f t="shared" si="61"/>
        <v/>
      </c>
      <c r="CZ20" s="218" t="str">
        <f t="shared" si="62"/>
        <v/>
      </c>
      <c r="DA20" s="218" t="str">
        <f t="shared" si="63"/>
        <v/>
      </c>
      <c r="DB20" s="218" t="str">
        <f t="shared" si="64"/>
        <v/>
      </c>
      <c r="DC20" s="218" t="str">
        <f t="shared" si="65"/>
        <v/>
      </c>
      <c r="DD20" s="218" t="str">
        <f t="shared" si="66"/>
        <v/>
      </c>
      <c r="DF20" s="218" t="str">
        <f t="shared" si="67"/>
        <v/>
      </c>
      <c r="DG20" s="218" t="str">
        <f t="shared" si="68"/>
        <v/>
      </c>
      <c r="DH20" s="218" t="str">
        <f t="shared" si="69"/>
        <v/>
      </c>
      <c r="DI20" s="218" t="str">
        <f t="shared" si="70"/>
        <v/>
      </c>
      <c r="DJ20" s="218" t="str">
        <f t="shared" si="71"/>
        <v/>
      </c>
      <c r="DK20" s="218" t="str">
        <f t="shared" si="72"/>
        <v/>
      </c>
      <c r="DL20" s="218" t="str">
        <f t="shared" si="73"/>
        <v/>
      </c>
      <c r="DM20" s="218" t="str">
        <f t="shared" si="74"/>
        <v/>
      </c>
      <c r="DN20" s="218" t="str">
        <f t="shared" si="75"/>
        <v/>
      </c>
      <c r="DO20" s="218" t="str">
        <f t="shared" si="76"/>
        <v/>
      </c>
      <c r="DP20" s="218" t="str">
        <f t="shared" si="77"/>
        <v/>
      </c>
      <c r="DQ20" s="218" t="str">
        <f t="shared" si="78"/>
        <v/>
      </c>
      <c r="DR20" s="218" t="str">
        <f t="shared" si="79"/>
        <v/>
      </c>
      <c r="DS20" s="218" t="str">
        <f t="shared" si="80"/>
        <v/>
      </c>
      <c r="DT20" s="218" t="str">
        <f t="shared" si="81"/>
        <v/>
      </c>
      <c r="DU20" s="218" t="str">
        <f t="shared" si="82"/>
        <v/>
      </c>
      <c r="DV20" s="218" t="str">
        <f t="shared" si="83"/>
        <v/>
      </c>
      <c r="DW20" s="218" t="str">
        <f t="shared" si="84"/>
        <v/>
      </c>
      <c r="DX20" s="218" t="str">
        <f t="shared" si="85"/>
        <v/>
      </c>
      <c r="DY20" s="218" t="str">
        <f t="shared" si="86"/>
        <v/>
      </c>
      <c r="DZ20" s="218" t="str">
        <f t="shared" si="87"/>
        <v/>
      </c>
      <c r="EA20" s="218" t="str">
        <f t="shared" si="88"/>
        <v/>
      </c>
      <c r="EB20" s="218" t="str">
        <f t="shared" si="89"/>
        <v/>
      </c>
      <c r="EC20" s="218" t="str">
        <f t="shared" si="90"/>
        <v/>
      </c>
      <c r="EE20" s="218" t="str">
        <f t="shared" si="91"/>
        <v/>
      </c>
      <c r="EF20" s="218" t="str">
        <f t="shared" si="92"/>
        <v/>
      </c>
      <c r="EG20" s="218" t="str">
        <f t="shared" si="93"/>
        <v/>
      </c>
      <c r="EH20" s="218" t="str">
        <f t="shared" si="94"/>
        <v/>
      </c>
      <c r="EI20" s="218" t="str">
        <f t="shared" si="95"/>
        <v/>
      </c>
      <c r="EJ20" s="218" t="str">
        <f t="shared" si="96"/>
        <v/>
      </c>
      <c r="EK20" s="218" t="str">
        <f t="shared" si="97"/>
        <v/>
      </c>
      <c r="EL20" s="218" t="str">
        <f t="shared" si="98"/>
        <v/>
      </c>
      <c r="EM20" s="218" t="str">
        <f t="shared" si="99"/>
        <v/>
      </c>
      <c r="EN20" s="218" t="str">
        <f t="shared" si="100"/>
        <v/>
      </c>
      <c r="EO20" s="218" t="str">
        <f t="shared" si="101"/>
        <v/>
      </c>
      <c r="EP20" s="218" t="str">
        <f t="shared" si="102"/>
        <v/>
      </c>
      <c r="EQ20" s="218" t="str">
        <f t="shared" si="103"/>
        <v/>
      </c>
      <c r="ER20" s="218" t="str">
        <f t="shared" si="104"/>
        <v/>
      </c>
      <c r="ES20" s="218" t="str">
        <f t="shared" si="105"/>
        <v/>
      </c>
      <c r="ET20" s="218" t="str">
        <f t="shared" si="106"/>
        <v/>
      </c>
      <c r="EU20" s="218" t="str">
        <f t="shared" si="107"/>
        <v/>
      </c>
      <c r="EV20" s="218" t="str">
        <f t="shared" si="108"/>
        <v/>
      </c>
      <c r="EW20" s="218" t="str">
        <f t="shared" si="109"/>
        <v/>
      </c>
      <c r="EX20" s="218" t="str">
        <f t="shared" si="110"/>
        <v/>
      </c>
      <c r="EY20" s="218" t="str">
        <f t="shared" si="111"/>
        <v/>
      </c>
      <c r="FA20" s="218" t="str">
        <f t="shared" si="112"/>
        <v/>
      </c>
      <c r="FB20" s="218" t="str">
        <f t="shared" si="113"/>
        <v/>
      </c>
      <c r="FC20" s="218" t="str">
        <f t="shared" si="114"/>
        <v/>
      </c>
      <c r="FD20" s="218" t="str">
        <f t="shared" si="115"/>
        <v/>
      </c>
      <c r="FE20" s="218" t="str">
        <f t="shared" si="116"/>
        <v/>
      </c>
      <c r="FF20" s="218" t="str">
        <f t="shared" si="117"/>
        <v/>
      </c>
      <c r="FG20" s="218" t="str">
        <f t="shared" si="118"/>
        <v/>
      </c>
      <c r="FH20" s="218" t="str">
        <f t="shared" si="119"/>
        <v/>
      </c>
      <c r="FI20" s="218" t="str">
        <f t="shared" si="120"/>
        <v/>
      </c>
      <c r="FJ20" s="218" t="str">
        <f t="shared" si="121"/>
        <v/>
      </c>
      <c r="FK20" s="218" t="str">
        <f t="shared" si="122"/>
        <v/>
      </c>
      <c r="FL20" s="218" t="str">
        <f t="shared" si="123"/>
        <v/>
      </c>
      <c r="FM20" s="218" t="str">
        <f t="shared" si="124"/>
        <v/>
      </c>
      <c r="FN20" s="218" t="str">
        <f t="shared" si="125"/>
        <v/>
      </c>
      <c r="FO20" s="218" t="str">
        <f t="shared" si="126"/>
        <v/>
      </c>
      <c r="FP20" s="218" t="str">
        <f t="shared" si="127"/>
        <v/>
      </c>
      <c r="FQ20" s="218" t="str">
        <f t="shared" si="128"/>
        <v/>
      </c>
      <c r="FR20" s="218" t="str">
        <f t="shared" si="129"/>
        <v/>
      </c>
      <c r="FT20" s="218" t="str">
        <f t="shared" si="130"/>
        <v/>
      </c>
      <c r="FU20" s="218" t="str">
        <f t="shared" si="131"/>
        <v/>
      </c>
      <c r="FV20" s="218" t="str">
        <f t="shared" si="132"/>
        <v/>
      </c>
      <c r="FW20" s="218" t="str">
        <f t="shared" si="133"/>
        <v/>
      </c>
      <c r="FX20" s="218" t="str">
        <f t="shared" si="134"/>
        <v/>
      </c>
      <c r="FY20" s="218" t="str">
        <f t="shared" si="135"/>
        <v/>
      </c>
      <c r="FZ20" s="218" t="str">
        <f t="shared" si="136"/>
        <v/>
      </c>
      <c r="GA20" s="218" t="str">
        <f t="shared" si="137"/>
        <v/>
      </c>
      <c r="GB20" s="218" t="str">
        <f t="shared" si="138"/>
        <v/>
      </c>
      <c r="GC20" s="218" t="str">
        <f t="shared" si="139"/>
        <v/>
      </c>
      <c r="GD20" s="218" t="str">
        <f t="shared" si="140"/>
        <v/>
      </c>
      <c r="GE20" s="218" t="str">
        <f t="shared" si="141"/>
        <v/>
      </c>
      <c r="GF20" s="218" t="str">
        <f t="shared" si="142"/>
        <v/>
      </c>
      <c r="GG20" s="218" t="str">
        <f t="shared" si="143"/>
        <v/>
      </c>
      <c r="GH20" s="218" t="str">
        <f t="shared" si="144"/>
        <v/>
      </c>
      <c r="GJ20" s="218" t="str">
        <f t="shared" si="145"/>
        <v/>
      </c>
      <c r="GK20" s="218" t="str">
        <f t="shared" si="146"/>
        <v/>
      </c>
      <c r="GL20" s="218" t="str">
        <f t="shared" si="147"/>
        <v/>
      </c>
      <c r="GM20" s="218" t="str">
        <f t="shared" si="148"/>
        <v/>
      </c>
      <c r="GN20" s="218" t="str">
        <f t="shared" si="149"/>
        <v/>
      </c>
      <c r="GO20" s="218" t="str">
        <f t="shared" si="150"/>
        <v/>
      </c>
      <c r="GP20" s="218" t="str">
        <f t="shared" si="151"/>
        <v/>
      </c>
      <c r="GQ20" s="218" t="str">
        <f t="shared" si="152"/>
        <v/>
      </c>
      <c r="GR20" s="218" t="str">
        <f t="shared" si="153"/>
        <v/>
      </c>
      <c r="GS20" s="218" t="str">
        <f t="shared" si="154"/>
        <v/>
      </c>
      <c r="GT20" s="218" t="str">
        <f t="shared" si="155"/>
        <v/>
      </c>
      <c r="GU20" s="218" t="str">
        <f t="shared" si="156"/>
        <v/>
      </c>
      <c r="GW20" s="218" t="str">
        <f t="shared" si="157"/>
        <v/>
      </c>
      <c r="GX20" s="218" t="str">
        <f t="shared" si="158"/>
        <v/>
      </c>
      <c r="GY20" s="218" t="str">
        <f t="shared" si="159"/>
        <v/>
      </c>
      <c r="GZ20" s="218" t="str">
        <f t="shared" si="160"/>
        <v/>
      </c>
      <c r="HA20" s="218" t="str">
        <f t="shared" si="161"/>
        <v/>
      </c>
      <c r="HB20" s="218" t="str">
        <f t="shared" si="162"/>
        <v/>
      </c>
      <c r="HC20" s="218" t="str">
        <f t="shared" si="163"/>
        <v/>
      </c>
      <c r="HD20" s="218" t="str">
        <f t="shared" si="164"/>
        <v/>
      </c>
      <c r="HE20" s="218" t="str">
        <f t="shared" si="165"/>
        <v/>
      </c>
      <c r="HG20" s="218" t="str">
        <f t="shared" si="166"/>
        <v/>
      </c>
      <c r="HH20" s="218" t="str">
        <f t="shared" si="167"/>
        <v/>
      </c>
      <c r="HI20" s="218" t="str">
        <f t="shared" si="168"/>
        <v/>
      </c>
      <c r="HJ20" s="218" t="str">
        <f t="shared" si="169"/>
        <v/>
      </c>
      <c r="HK20" s="218" t="str">
        <f t="shared" si="170"/>
        <v/>
      </c>
      <c r="HL20" s="218" t="str">
        <f t="shared" si="171"/>
        <v/>
      </c>
      <c r="HN20" s="218" t="str">
        <f t="shared" si="172"/>
        <v/>
      </c>
      <c r="HO20" s="218" t="str">
        <f t="shared" si="173"/>
        <v/>
      </c>
      <c r="HP20" s="218" t="str">
        <f t="shared" si="174"/>
        <v/>
      </c>
      <c r="HR20" s="218" t="str">
        <f t="shared" si="224"/>
        <v/>
      </c>
      <c r="HS20" s="218" t="str">
        <f t="shared" si="225"/>
        <v/>
      </c>
      <c r="HT20" s="218" t="str">
        <f t="shared" si="175"/>
        <v/>
      </c>
      <c r="HU20" s="218" t="str">
        <f t="shared" si="176"/>
        <v/>
      </c>
      <c r="HV20" s="218" t="str">
        <f t="shared" si="177"/>
        <v/>
      </c>
      <c r="HW20" s="218" t="str">
        <f t="shared" si="178"/>
        <v/>
      </c>
      <c r="HX20" s="218" t="str">
        <f t="shared" si="179"/>
        <v/>
      </c>
      <c r="HY20" s="218" t="str">
        <f t="shared" si="180"/>
        <v/>
      </c>
      <c r="HZ20" s="218" t="str">
        <f t="shared" si="181"/>
        <v/>
      </c>
      <c r="IA20" s="218" t="str">
        <f t="shared" si="182"/>
        <v/>
      </c>
      <c r="IB20" s="218" t="str">
        <f t="shared" si="183"/>
        <v/>
      </c>
      <c r="IC20" s="218" t="str">
        <f t="shared" si="184"/>
        <v/>
      </c>
      <c r="ID20" s="218" t="str">
        <f t="shared" si="185"/>
        <v/>
      </c>
      <c r="IE20" s="218" t="str">
        <f t="shared" si="186"/>
        <v/>
      </c>
      <c r="IF20" s="218" t="str">
        <f t="shared" si="187"/>
        <v/>
      </c>
      <c r="IG20" s="218" t="str">
        <f t="shared" si="188"/>
        <v/>
      </c>
      <c r="IH20" s="218" t="str">
        <f t="shared" si="189"/>
        <v/>
      </c>
      <c r="II20" s="218" t="str">
        <f t="shared" si="190"/>
        <v/>
      </c>
      <c r="IJ20" s="218" t="str">
        <f t="shared" si="191"/>
        <v/>
      </c>
      <c r="IK20" s="218" t="str">
        <f t="shared" si="192"/>
        <v/>
      </c>
      <c r="IL20" s="218" t="str">
        <f t="shared" si="193"/>
        <v/>
      </c>
      <c r="IM20" s="218" t="str">
        <f t="shared" si="194"/>
        <v/>
      </c>
      <c r="IN20" s="218" t="str">
        <f t="shared" si="195"/>
        <v/>
      </c>
      <c r="IO20" s="218" t="str">
        <f t="shared" si="196"/>
        <v/>
      </c>
      <c r="IP20" s="218" t="str">
        <f t="shared" si="197"/>
        <v/>
      </c>
      <c r="IQ20" s="218" t="str">
        <f t="shared" si="198"/>
        <v/>
      </c>
      <c r="IR20" s="218" t="str">
        <f t="shared" si="199"/>
        <v/>
      </c>
      <c r="IS20" s="218" t="str">
        <f t="shared" si="200"/>
        <v/>
      </c>
      <c r="IT20" s="218" t="str">
        <f t="shared" si="201"/>
        <v/>
      </c>
      <c r="IU20" s="218" t="str">
        <f t="shared" si="202"/>
        <v/>
      </c>
    </row>
    <row r="21" spans="1:255" x14ac:dyDescent="0.2">
      <c r="A21" s="200" t="s">
        <v>24</v>
      </c>
      <c r="B21" s="184"/>
      <c r="C21" s="179"/>
      <c r="D21" s="181"/>
      <c r="E21" s="181"/>
      <c r="F21" s="197"/>
      <c r="G21" s="198"/>
      <c r="H21" s="197"/>
      <c r="I21" s="197"/>
      <c r="J21" s="197"/>
      <c r="K21" s="185"/>
      <c r="L21" s="217" t="str">
        <f t="shared" si="29"/>
        <v/>
      </c>
      <c r="M21" s="218">
        <f>'HKG vs. BK'!M21</f>
        <v>21.737170376056429</v>
      </c>
      <c r="N21" s="218" t="str">
        <f>'HKG vs. BK'!N21</f>
        <v>±0,85</v>
      </c>
      <c r="O21" s="218" t="str">
        <f>'HKG vs. BK'!O21</f>
        <v>±3,73</v>
      </c>
      <c r="P21" s="218" t="str">
        <f>'HKG vs. BK'!P21</f>
        <v>±0,66</v>
      </c>
      <c r="Q21" s="219" t="str">
        <f t="shared" si="203"/>
        <v/>
      </c>
      <c r="R21" s="220" t="str">
        <f t="shared" si="0"/>
        <v/>
      </c>
      <c r="S21" s="220" t="str">
        <f t="shared" si="1"/>
        <v/>
      </c>
      <c r="T21" s="219" t="str">
        <f t="shared" si="2"/>
        <v/>
      </c>
      <c r="U21" s="220" t="str">
        <f t="shared" si="3"/>
        <v/>
      </c>
      <c r="V21" s="220" t="str">
        <f t="shared" si="4"/>
        <v/>
      </c>
      <c r="W21" s="219" t="str">
        <f t="shared" si="5"/>
        <v/>
      </c>
      <c r="X21" s="220" t="str">
        <f t="shared" si="6"/>
        <v/>
      </c>
      <c r="Y21" s="220" t="str">
        <f t="shared" si="7"/>
        <v/>
      </c>
      <c r="Z21" s="219" t="str">
        <f t="shared" si="8"/>
        <v/>
      </c>
      <c r="AA21" s="220" t="str">
        <f t="shared" si="9"/>
        <v/>
      </c>
      <c r="AB21" s="220" t="str">
        <f t="shared" si="10"/>
        <v/>
      </c>
      <c r="AC21" s="219" t="str">
        <f t="shared" si="11"/>
        <v/>
      </c>
      <c r="AD21" s="220" t="str">
        <f t="shared" si="12"/>
        <v/>
      </c>
      <c r="AE21" s="220" t="str">
        <f t="shared" si="13"/>
        <v/>
      </c>
      <c r="AF21" s="219" t="str">
        <f t="shared" si="14"/>
        <v/>
      </c>
      <c r="AG21" s="220" t="str">
        <f t="shared" si="15"/>
        <v/>
      </c>
      <c r="AH21" s="220" t="str">
        <f t="shared" si="16"/>
        <v/>
      </c>
      <c r="AI21" s="219" t="str">
        <f t="shared" si="17"/>
        <v/>
      </c>
      <c r="AJ21" s="220" t="str">
        <f t="shared" si="18"/>
        <v/>
      </c>
      <c r="AK21" s="220" t="str">
        <f t="shared" si="19"/>
        <v/>
      </c>
      <c r="AL21" s="219" t="str">
        <f t="shared" si="20"/>
        <v/>
      </c>
      <c r="AM21" s="220" t="str">
        <f t="shared" si="21"/>
        <v/>
      </c>
      <c r="AN21" s="220" t="str">
        <f t="shared" si="22"/>
        <v/>
      </c>
      <c r="AO21" s="219" t="str">
        <f t="shared" si="23"/>
        <v/>
      </c>
      <c r="AP21" s="220" t="str">
        <f t="shared" si="24"/>
        <v/>
      </c>
      <c r="AQ21" s="220" t="str">
        <f t="shared" si="25"/>
        <v/>
      </c>
      <c r="AR21" s="219" t="str">
        <f t="shared" si="26"/>
        <v/>
      </c>
      <c r="AS21" s="220" t="str">
        <f t="shared" si="27"/>
        <v/>
      </c>
      <c r="AT21" s="220" t="str">
        <f t="shared" si="28"/>
        <v/>
      </c>
      <c r="AU21" s="221"/>
      <c r="AV21" s="221"/>
      <c r="AW21" s="221"/>
      <c r="AY21" s="218" t="str">
        <f t="shared" si="204"/>
        <v/>
      </c>
      <c r="AZ21" s="218" t="str">
        <f t="shared" si="205"/>
        <v/>
      </c>
      <c r="BA21" s="218" t="str">
        <f t="shared" si="30"/>
        <v/>
      </c>
      <c r="BB21" s="218" t="str">
        <f t="shared" si="206"/>
        <v/>
      </c>
      <c r="BC21" s="218" t="str">
        <f t="shared" si="207"/>
        <v/>
      </c>
      <c r="BD21" s="218" t="str">
        <f t="shared" si="31"/>
        <v/>
      </c>
      <c r="BE21" s="218" t="str">
        <f t="shared" si="208"/>
        <v/>
      </c>
      <c r="BF21" s="218" t="str">
        <f t="shared" si="209"/>
        <v/>
      </c>
      <c r="BG21" s="218" t="str">
        <f t="shared" si="32"/>
        <v/>
      </c>
      <c r="BH21" s="218" t="str">
        <f t="shared" si="210"/>
        <v/>
      </c>
      <c r="BI21" s="218" t="str">
        <f t="shared" si="211"/>
        <v/>
      </c>
      <c r="BJ21" s="218" t="str">
        <f t="shared" si="33"/>
        <v/>
      </c>
      <c r="BK21" s="218" t="str">
        <f t="shared" si="212"/>
        <v/>
      </c>
      <c r="BL21" s="218" t="str">
        <f t="shared" si="213"/>
        <v/>
      </c>
      <c r="BM21" s="218" t="str">
        <f t="shared" si="34"/>
        <v/>
      </c>
      <c r="BN21" s="218" t="str">
        <f t="shared" si="214"/>
        <v/>
      </c>
      <c r="BO21" s="218" t="str">
        <f t="shared" si="215"/>
        <v/>
      </c>
      <c r="BP21" s="218" t="str">
        <f t="shared" si="35"/>
        <v/>
      </c>
      <c r="BQ21" s="218" t="str">
        <f t="shared" si="216"/>
        <v/>
      </c>
      <c r="BR21" s="218" t="str">
        <f t="shared" si="217"/>
        <v/>
      </c>
      <c r="BS21" s="218" t="str">
        <f t="shared" si="36"/>
        <v/>
      </c>
      <c r="BT21" s="218" t="str">
        <f t="shared" si="218"/>
        <v/>
      </c>
      <c r="BU21" s="218" t="str">
        <f t="shared" si="219"/>
        <v/>
      </c>
      <c r="BV21" s="218" t="str">
        <f t="shared" si="37"/>
        <v/>
      </c>
      <c r="BW21" s="218" t="str">
        <f t="shared" si="220"/>
        <v/>
      </c>
      <c r="BX21" s="218" t="str">
        <f t="shared" si="221"/>
        <v/>
      </c>
      <c r="BY21" s="218" t="str">
        <f t="shared" si="38"/>
        <v/>
      </c>
      <c r="BZ21" s="218" t="str">
        <f t="shared" si="222"/>
        <v/>
      </c>
      <c r="CA21" s="218" t="str">
        <f t="shared" si="223"/>
        <v/>
      </c>
      <c r="CB21" s="218" t="str">
        <f t="shared" si="39"/>
        <v/>
      </c>
      <c r="CD21" s="218" t="str">
        <f t="shared" si="40"/>
        <v/>
      </c>
      <c r="CE21" s="218" t="str">
        <f t="shared" si="41"/>
        <v/>
      </c>
      <c r="CF21" s="218" t="str">
        <f t="shared" si="42"/>
        <v/>
      </c>
      <c r="CG21" s="218" t="str">
        <f t="shared" si="43"/>
        <v/>
      </c>
      <c r="CH21" s="218" t="str">
        <f t="shared" si="44"/>
        <v/>
      </c>
      <c r="CI21" s="218" t="str">
        <f t="shared" si="45"/>
        <v/>
      </c>
      <c r="CJ21" s="218" t="str">
        <f t="shared" si="46"/>
        <v/>
      </c>
      <c r="CK21" s="218" t="str">
        <f t="shared" si="47"/>
        <v/>
      </c>
      <c r="CL21" s="218" t="str">
        <f t="shared" si="48"/>
        <v/>
      </c>
      <c r="CM21" s="218" t="str">
        <f t="shared" si="49"/>
        <v/>
      </c>
      <c r="CN21" s="218" t="str">
        <f t="shared" si="50"/>
        <v/>
      </c>
      <c r="CO21" s="218" t="str">
        <f t="shared" si="51"/>
        <v/>
      </c>
      <c r="CP21" s="218" t="str">
        <f t="shared" si="52"/>
        <v/>
      </c>
      <c r="CQ21" s="218" t="str">
        <f t="shared" si="53"/>
        <v/>
      </c>
      <c r="CR21" s="218" t="str">
        <f t="shared" si="54"/>
        <v/>
      </c>
      <c r="CS21" s="218" t="str">
        <f t="shared" si="55"/>
        <v/>
      </c>
      <c r="CT21" s="218" t="str">
        <f t="shared" si="56"/>
        <v/>
      </c>
      <c r="CU21" s="218" t="str">
        <f t="shared" si="57"/>
        <v/>
      </c>
      <c r="CV21" s="218" t="str">
        <f t="shared" si="58"/>
        <v/>
      </c>
      <c r="CW21" s="218" t="str">
        <f t="shared" si="59"/>
        <v/>
      </c>
      <c r="CX21" s="218" t="str">
        <f t="shared" si="60"/>
        <v/>
      </c>
      <c r="CY21" s="218" t="str">
        <f t="shared" si="61"/>
        <v/>
      </c>
      <c r="CZ21" s="218" t="str">
        <f t="shared" si="62"/>
        <v/>
      </c>
      <c r="DA21" s="218" t="str">
        <f t="shared" si="63"/>
        <v/>
      </c>
      <c r="DB21" s="218" t="str">
        <f t="shared" si="64"/>
        <v/>
      </c>
      <c r="DC21" s="218" t="str">
        <f t="shared" si="65"/>
        <v/>
      </c>
      <c r="DD21" s="218" t="str">
        <f t="shared" si="66"/>
        <v/>
      </c>
      <c r="DF21" s="218" t="str">
        <f t="shared" si="67"/>
        <v/>
      </c>
      <c r="DG21" s="218" t="str">
        <f t="shared" si="68"/>
        <v/>
      </c>
      <c r="DH21" s="218" t="str">
        <f t="shared" si="69"/>
        <v/>
      </c>
      <c r="DI21" s="218" t="str">
        <f t="shared" si="70"/>
        <v/>
      </c>
      <c r="DJ21" s="218" t="str">
        <f t="shared" si="71"/>
        <v/>
      </c>
      <c r="DK21" s="218" t="str">
        <f t="shared" si="72"/>
        <v/>
      </c>
      <c r="DL21" s="218" t="str">
        <f t="shared" si="73"/>
        <v/>
      </c>
      <c r="DM21" s="218" t="str">
        <f t="shared" si="74"/>
        <v/>
      </c>
      <c r="DN21" s="218" t="str">
        <f t="shared" si="75"/>
        <v/>
      </c>
      <c r="DO21" s="218" t="str">
        <f t="shared" si="76"/>
        <v/>
      </c>
      <c r="DP21" s="218" t="str">
        <f t="shared" si="77"/>
        <v/>
      </c>
      <c r="DQ21" s="218" t="str">
        <f t="shared" si="78"/>
        <v/>
      </c>
      <c r="DR21" s="218" t="str">
        <f t="shared" si="79"/>
        <v/>
      </c>
      <c r="DS21" s="218" t="str">
        <f t="shared" si="80"/>
        <v/>
      </c>
      <c r="DT21" s="218" t="str">
        <f t="shared" si="81"/>
        <v/>
      </c>
      <c r="DU21" s="218" t="str">
        <f t="shared" si="82"/>
        <v/>
      </c>
      <c r="DV21" s="218" t="str">
        <f t="shared" si="83"/>
        <v/>
      </c>
      <c r="DW21" s="218" t="str">
        <f t="shared" si="84"/>
        <v/>
      </c>
      <c r="DX21" s="218" t="str">
        <f t="shared" si="85"/>
        <v/>
      </c>
      <c r="DY21" s="218" t="str">
        <f t="shared" si="86"/>
        <v/>
      </c>
      <c r="DZ21" s="218" t="str">
        <f t="shared" si="87"/>
        <v/>
      </c>
      <c r="EA21" s="218" t="str">
        <f t="shared" si="88"/>
        <v/>
      </c>
      <c r="EB21" s="218" t="str">
        <f t="shared" si="89"/>
        <v/>
      </c>
      <c r="EC21" s="218" t="str">
        <f t="shared" si="90"/>
        <v/>
      </c>
      <c r="EE21" s="218" t="str">
        <f t="shared" si="91"/>
        <v/>
      </c>
      <c r="EF21" s="218" t="str">
        <f t="shared" si="92"/>
        <v/>
      </c>
      <c r="EG21" s="218" t="str">
        <f t="shared" si="93"/>
        <v/>
      </c>
      <c r="EH21" s="218" t="str">
        <f t="shared" si="94"/>
        <v/>
      </c>
      <c r="EI21" s="218" t="str">
        <f t="shared" si="95"/>
        <v/>
      </c>
      <c r="EJ21" s="218" t="str">
        <f t="shared" si="96"/>
        <v/>
      </c>
      <c r="EK21" s="218" t="str">
        <f t="shared" si="97"/>
        <v/>
      </c>
      <c r="EL21" s="218" t="str">
        <f t="shared" si="98"/>
        <v/>
      </c>
      <c r="EM21" s="218" t="str">
        <f t="shared" si="99"/>
        <v/>
      </c>
      <c r="EN21" s="218" t="str">
        <f t="shared" si="100"/>
        <v/>
      </c>
      <c r="EO21" s="218" t="str">
        <f t="shared" si="101"/>
        <v/>
      </c>
      <c r="EP21" s="218" t="str">
        <f t="shared" si="102"/>
        <v/>
      </c>
      <c r="EQ21" s="218" t="str">
        <f t="shared" si="103"/>
        <v/>
      </c>
      <c r="ER21" s="218" t="str">
        <f t="shared" si="104"/>
        <v/>
      </c>
      <c r="ES21" s="218" t="str">
        <f t="shared" si="105"/>
        <v/>
      </c>
      <c r="ET21" s="218" t="str">
        <f t="shared" si="106"/>
        <v/>
      </c>
      <c r="EU21" s="218" t="str">
        <f t="shared" si="107"/>
        <v/>
      </c>
      <c r="EV21" s="218" t="str">
        <f t="shared" si="108"/>
        <v/>
      </c>
      <c r="EW21" s="218" t="str">
        <f t="shared" si="109"/>
        <v/>
      </c>
      <c r="EX21" s="218" t="str">
        <f t="shared" si="110"/>
        <v/>
      </c>
      <c r="EY21" s="218" t="str">
        <f t="shared" si="111"/>
        <v/>
      </c>
      <c r="FA21" s="218" t="str">
        <f t="shared" si="112"/>
        <v/>
      </c>
      <c r="FB21" s="218" t="str">
        <f t="shared" si="113"/>
        <v/>
      </c>
      <c r="FC21" s="218" t="str">
        <f t="shared" si="114"/>
        <v/>
      </c>
      <c r="FD21" s="218" t="str">
        <f t="shared" si="115"/>
        <v/>
      </c>
      <c r="FE21" s="218" t="str">
        <f t="shared" si="116"/>
        <v/>
      </c>
      <c r="FF21" s="218" t="str">
        <f t="shared" si="117"/>
        <v/>
      </c>
      <c r="FG21" s="218" t="str">
        <f t="shared" si="118"/>
        <v/>
      </c>
      <c r="FH21" s="218" t="str">
        <f t="shared" si="119"/>
        <v/>
      </c>
      <c r="FI21" s="218" t="str">
        <f t="shared" si="120"/>
        <v/>
      </c>
      <c r="FJ21" s="218" t="str">
        <f t="shared" si="121"/>
        <v/>
      </c>
      <c r="FK21" s="218" t="str">
        <f t="shared" si="122"/>
        <v/>
      </c>
      <c r="FL21" s="218" t="str">
        <f t="shared" si="123"/>
        <v/>
      </c>
      <c r="FM21" s="218" t="str">
        <f t="shared" si="124"/>
        <v/>
      </c>
      <c r="FN21" s="218" t="str">
        <f t="shared" si="125"/>
        <v/>
      </c>
      <c r="FO21" s="218" t="str">
        <f t="shared" si="126"/>
        <v/>
      </c>
      <c r="FP21" s="218" t="str">
        <f t="shared" si="127"/>
        <v/>
      </c>
      <c r="FQ21" s="218" t="str">
        <f t="shared" si="128"/>
        <v/>
      </c>
      <c r="FR21" s="218" t="str">
        <f t="shared" si="129"/>
        <v/>
      </c>
      <c r="FT21" s="218" t="str">
        <f t="shared" si="130"/>
        <v/>
      </c>
      <c r="FU21" s="218" t="str">
        <f t="shared" si="131"/>
        <v/>
      </c>
      <c r="FV21" s="218" t="str">
        <f t="shared" si="132"/>
        <v/>
      </c>
      <c r="FW21" s="218" t="str">
        <f t="shared" si="133"/>
        <v/>
      </c>
      <c r="FX21" s="218" t="str">
        <f t="shared" si="134"/>
        <v/>
      </c>
      <c r="FY21" s="218" t="str">
        <f t="shared" si="135"/>
        <v/>
      </c>
      <c r="FZ21" s="218" t="str">
        <f t="shared" si="136"/>
        <v/>
      </c>
      <c r="GA21" s="218" t="str">
        <f t="shared" si="137"/>
        <v/>
      </c>
      <c r="GB21" s="218" t="str">
        <f t="shared" si="138"/>
        <v/>
      </c>
      <c r="GC21" s="218" t="str">
        <f t="shared" si="139"/>
        <v/>
      </c>
      <c r="GD21" s="218" t="str">
        <f t="shared" si="140"/>
        <v/>
      </c>
      <c r="GE21" s="218" t="str">
        <f t="shared" si="141"/>
        <v/>
      </c>
      <c r="GF21" s="218" t="str">
        <f t="shared" si="142"/>
        <v/>
      </c>
      <c r="GG21" s="218" t="str">
        <f t="shared" si="143"/>
        <v/>
      </c>
      <c r="GH21" s="218" t="str">
        <f t="shared" si="144"/>
        <v/>
      </c>
      <c r="GJ21" s="218" t="str">
        <f t="shared" si="145"/>
        <v/>
      </c>
      <c r="GK21" s="218" t="str">
        <f t="shared" si="146"/>
        <v/>
      </c>
      <c r="GL21" s="218" t="str">
        <f t="shared" si="147"/>
        <v/>
      </c>
      <c r="GM21" s="218" t="str">
        <f t="shared" si="148"/>
        <v/>
      </c>
      <c r="GN21" s="218" t="str">
        <f t="shared" si="149"/>
        <v/>
      </c>
      <c r="GO21" s="218" t="str">
        <f t="shared" si="150"/>
        <v/>
      </c>
      <c r="GP21" s="218" t="str">
        <f t="shared" si="151"/>
        <v/>
      </c>
      <c r="GQ21" s="218" t="str">
        <f t="shared" si="152"/>
        <v/>
      </c>
      <c r="GR21" s="218" t="str">
        <f t="shared" si="153"/>
        <v/>
      </c>
      <c r="GS21" s="218" t="str">
        <f t="shared" si="154"/>
        <v/>
      </c>
      <c r="GT21" s="218" t="str">
        <f t="shared" si="155"/>
        <v/>
      </c>
      <c r="GU21" s="218" t="str">
        <f t="shared" si="156"/>
        <v/>
      </c>
      <c r="GW21" s="218" t="str">
        <f t="shared" si="157"/>
        <v/>
      </c>
      <c r="GX21" s="218" t="str">
        <f t="shared" si="158"/>
        <v/>
      </c>
      <c r="GY21" s="218" t="str">
        <f t="shared" si="159"/>
        <v/>
      </c>
      <c r="GZ21" s="218" t="str">
        <f t="shared" si="160"/>
        <v/>
      </c>
      <c r="HA21" s="218" t="str">
        <f t="shared" si="161"/>
        <v/>
      </c>
      <c r="HB21" s="218" t="str">
        <f t="shared" si="162"/>
        <v/>
      </c>
      <c r="HC21" s="218" t="str">
        <f t="shared" si="163"/>
        <v/>
      </c>
      <c r="HD21" s="218" t="str">
        <f t="shared" si="164"/>
        <v/>
      </c>
      <c r="HE21" s="218" t="str">
        <f t="shared" si="165"/>
        <v/>
      </c>
      <c r="HG21" s="218" t="str">
        <f t="shared" si="166"/>
        <v/>
      </c>
      <c r="HH21" s="218" t="str">
        <f t="shared" si="167"/>
        <v/>
      </c>
      <c r="HI21" s="218" t="str">
        <f t="shared" si="168"/>
        <v/>
      </c>
      <c r="HJ21" s="218" t="str">
        <f t="shared" si="169"/>
        <v/>
      </c>
      <c r="HK21" s="218" t="str">
        <f t="shared" si="170"/>
        <v/>
      </c>
      <c r="HL21" s="218" t="str">
        <f t="shared" si="171"/>
        <v/>
      </c>
      <c r="HN21" s="218" t="str">
        <f t="shared" si="172"/>
        <v/>
      </c>
      <c r="HO21" s="218" t="str">
        <f t="shared" si="173"/>
        <v/>
      </c>
      <c r="HP21" s="218" t="str">
        <f t="shared" si="174"/>
        <v/>
      </c>
      <c r="HR21" s="218" t="str">
        <f t="shared" si="224"/>
        <v/>
      </c>
      <c r="HS21" s="218" t="str">
        <f t="shared" si="225"/>
        <v/>
      </c>
      <c r="HT21" s="218" t="str">
        <f t="shared" si="175"/>
        <v/>
      </c>
      <c r="HU21" s="218" t="str">
        <f t="shared" si="176"/>
        <v/>
      </c>
      <c r="HV21" s="218" t="str">
        <f t="shared" si="177"/>
        <v/>
      </c>
      <c r="HW21" s="218" t="str">
        <f t="shared" si="178"/>
        <v/>
      </c>
      <c r="HX21" s="218" t="str">
        <f t="shared" si="179"/>
        <v/>
      </c>
      <c r="HY21" s="218" t="str">
        <f t="shared" si="180"/>
        <v/>
      </c>
      <c r="HZ21" s="218" t="str">
        <f t="shared" si="181"/>
        <v/>
      </c>
      <c r="IA21" s="218" t="str">
        <f t="shared" si="182"/>
        <v/>
      </c>
      <c r="IB21" s="218" t="str">
        <f t="shared" si="183"/>
        <v/>
      </c>
      <c r="IC21" s="218" t="str">
        <f t="shared" si="184"/>
        <v/>
      </c>
      <c r="ID21" s="218" t="str">
        <f t="shared" si="185"/>
        <v/>
      </c>
      <c r="IE21" s="218" t="str">
        <f t="shared" si="186"/>
        <v/>
      </c>
      <c r="IF21" s="218" t="str">
        <f t="shared" si="187"/>
        <v/>
      </c>
      <c r="IG21" s="218" t="str">
        <f t="shared" si="188"/>
        <v/>
      </c>
      <c r="IH21" s="218" t="str">
        <f t="shared" si="189"/>
        <v/>
      </c>
      <c r="II21" s="218" t="str">
        <f t="shared" si="190"/>
        <v/>
      </c>
      <c r="IJ21" s="218" t="str">
        <f t="shared" si="191"/>
        <v/>
      </c>
      <c r="IK21" s="218" t="str">
        <f t="shared" si="192"/>
        <v/>
      </c>
      <c r="IL21" s="218" t="str">
        <f t="shared" si="193"/>
        <v/>
      </c>
      <c r="IM21" s="218" t="str">
        <f t="shared" si="194"/>
        <v/>
      </c>
      <c r="IN21" s="218" t="str">
        <f t="shared" si="195"/>
        <v/>
      </c>
      <c r="IO21" s="218" t="str">
        <f t="shared" si="196"/>
        <v/>
      </c>
      <c r="IP21" s="218" t="str">
        <f t="shared" si="197"/>
        <v/>
      </c>
      <c r="IQ21" s="218" t="str">
        <f t="shared" si="198"/>
        <v/>
      </c>
      <c r="IR21" s="218" t="str">
        <f t="shared" si="199"/>
        <v/>
      </c>
      <c r="IS21" s="218" t="str">
        <f t="shared" si="200"/>
        <v/>
      </c>
      <c r="IT21" s="218" t="str">
        <f t="shared" si="201"/>
        <v/>
      </c>
      <c r="IU21" s="218" t="str">
        <f t="shared" si="202"/>
        <v/>
      </c>
    </row>
    <row r="22" spans="1:255" x14ac:dyDescent="0.2">
      <c r="A22" s="200" t="s">
        <v>25</v>
      </c>
      <c r="B22" s="184"/>
      <c r="C22" s="179"/>
      <c r="D22" s="181"/>
      <c r="E22" s="181"/>
      <c r="F22" s="197"/>
      <c r="G22" s="198"/>
      <c r="H22" s="197"/>
      <c r="I22" s="197"/>
      <c r="J22" s="197"/>
      <c r="K22" s="185"/>
      <c r="L22" s="217" t="str">
        <f t="shared" si="29"/>
        <v/>
      </c>
      <c r="M22" s="218">
        <f>'HKG vs. BK'!M22</f>
        <v>19.954333864373606</v>
      </c>
      <c r="N22" s="218" t="str">
        <f>'HKG vs. BK'!N22</f>
        <v>±0,88</v>
      </c>
      <c r="O22" s="218" t="str">
        <f>'HKG vs. BK'!O22</f>
        <v>±3,67</v>
      </c>
      <c r="P22" s="218" t="str">
        <f>'HKG vs. BK'!P22</f>
        <v>±0,22</v>
      </c>
      <c r="Q22" s="219" t="str">
        <f t="shared" si="203"/>
        <v/>
      </c>
      <c r="R22" s="220" t="str">
        <f t="shared" si="0"/>
        <v/>
      </c>
      <c r="S22" s="220" t="str">
        <f t="shared" si="1"/>
        <v/>
      </c>
      <c r="T22" s="219" t="str">
        <f t="shared" si="2"/>
        <v/>
      </c>
      <c r="U22" s="220" t="str">
        <f t="shared" si="3"/>
        <v/>
      </c>
      <c r="V22" s="220" t="str">
        <f t="shared" si="4"/>
        <v/>
      </c>
      <c r="W22" s="219" t="str">
        <f t="shared" si="5"/>
        <v/>
      </c>
      <c r="X22" s="220" t="str">
        <f t="shared" si="6"/>
        <v/>
      </c>
      <c r="Y22" s="220" t="str">
        <f t="shared" si="7"/>
        <v/>
      </c>
      <c r="Z22" s="219" t="str">
        <f t="shared" si="8"/>
        <v/>
      </c>
      <c r="AA22" s="220" t="str">
        <f t="shared" si="9"/>
        <v/>
      </c>
      <c r="AB22" s="220" t="str">
        <f t="shared" si="10"/>
        <v/>
      </c>
      <c r="AC22" s="219" t="str">
        <f t="shared" si="11"/>
        <v/>
      </c>
      <c r="AD22" s="220" t="str">
        <f t="shared" si="12"/>
        <v/>
      </c>
      <c r="AE22" s="220" t="str">
        <f t="shared" si="13"/>
        <v/>
      </c>
      <c r="AF22" s="219" t="str">
        <f t="shared" si="14"/>
        <v/>
      </c>
      <c r="AG22" s="220" t="str">
        <f t="shared" si="15"/>
        <v/>
      </c>
      <c r="AH22" s="220" t="str">
        <f t="shared" si="16"/>
        <v/>
      </c>
      <c r="AI22" s="219" t="str">
        <f t="shared" si="17"/>
        <v/>
      </c>
      <c r="AJ22" s="220" t="str">
        <f t="shared" si="18"/>
        <v/>
      </c>
      <c r="AK22" s="220" t="str">
        <f t="shared" si="19"/>
        <v/>
      </c>
      <c r="AL22" s="219" t="str">
        <f t="shared" si="20"/>
        <v/>
      </c>
      <c r="AM22" s="220" t="str">
        <f t="shared" si="21"/>
        <v/>
      </c>
      <c r="AN22" s="220" t="str">
        <f t="shared" si="22"/>
        <v/>
      </c>
      <c r="AO22" s="219" t="str">
        <f t="shared" si="23"/>
        <v/>
      </c>
      <c r="AP22" s="220" t="str">
        <f t="shared" si="24"/>
        <v/>
      </c>
      <c r="AQ22" s="220" t="str">
        <f t="shared" si="25"/>
        <v/>
      </c>
      <c r="AR22" s="219" t="str">
        <f t="shared" si="26"/>
        <v/>
      </c>
      <c r="AS22" s="220" t="str">
        <f t="shared" si="27"/>
        <v/>
      </c>
      <c r="AT22" s="220" t="str">
        <f t="shared" si="28"/>
        <v/>
      </c>
      <c r="AU22" s="221"/>
      <c r="AV22" s="221"/>
      <c r="AW22" s="221"/>
      <c r="AY22" s="218" t="str">
        <f t="shared" si="204"/>
        <v/>
      </c>
      <c r="AZ22" s="218" t="str">
        <f t="shared" si="205"/>
        <v/>
      </c>
      <c r="BA22" s="218" t="str">
        <f t="shared" si="30"/>
        <v/>
      </c>
      <c r="BB22" s="218" t="str">
        <f t="shared" si="206"/>
        <v/>
      </c>
      <c r="BC22" s="218" t="str">
        <f t="shared" si="207"/>
        <v/>
      </c>
      <c r="BD22" s="218" t="str">
        <f t="shared" si="31"/>
        <v/>
      </c>
      <c r="BE22" s="218" t="str">
        <f t="shared" si="208"/>
        <v/>
      </c>
      <c r="BF22" s="218" t="str">
        <f t="shared" si="209"/>
        <v/>
      </c>
      <c r="BG22" s="218" t="str">
        <f t="shared" si="32"/>
        <v/>
      </c>
      <c r="BH22" s="218" t="str">
        <f t="shared" si="210"/>
        <v/>
      </c>
      <c r="BI22" s="218" t="str">
        <f t="shared" si="211"/>
        <v/>
      </c>
      <c r="BJ22" s="218" t="str">
        <f t="shared" si="33"/>
        <v/>
      </c>
      <c r="BK22" s="218" t="str">
        <f t="shared" si="212"/>
        <v/>
      </c>
      <c r="BL22" s="218" t="str">
        <f t="shared" si="213"/>
        <v/>
      </c>
      <c r="BM22" s="218" t="str">
        <f t="shared" si="34"/>
        <v/>
      </c>
      <c r="BN22" s="218" t="str">
        <f t="shared" si="214"/>
        <v/>
      </c>
      <c r="BO22" s="218" t="str">
        <f t="shared" si="215"/>
        <v/>
      </c>
      <c r="BP22" s="218" t="str">
        <f t="shared" si="35"/>
        <v/>
      </c>
      <c r="BQ22" s="218" t="str">
        <f t="shared" si="216"/>
        <v/>
      </c>
      <c r="BR22" s="218" t="str">
        <f t="shared" si="217"/>
        <v/>
      </c>
      <c r="BS22" s="218" t="str">
        <f t="shared" si="36"/>
        <v/>
      </c>
      <c r="BT22" s="218" t="str">
        <f t="shared" si="218"/>
        <v/>
      </c>
      <c r="BU22" s="218" t="str">
        <f t="shared" si="219"/>
        <v/>
      </c>
      <c r="BV22" s="218" t="str">
        <f t="shared" si="37"/>
        <v/>
      </c>
      <c r="BW22" s="218" t="str">
        <f t="shared" si="220"/>
        <v/>
      </c>
      <c r="BX22" s="218" t="str">
        <f t="shared" si="221"/>
        <v/>
      </c>
      <c r="BY22" s="218" t="str">
        <f t="shared" si="38"/>
        <v/>
      </c>
      <c r="BZ22" s="218" t="str">
        <f t="shared" si="222"/>
        <v/>
      </c>
      <c r="CA22" s="218" t="str">
        <f t="shared" si="223"/>
        <v/>
      </c>
      <c r="CB22" s="218" t="str">
        <f t="shared" si="39"/>
        <v/>
      </c>
      <c r="CD22" s="218" t="str">
        <f t="shared" si="40"/>
        <v/>
      </c>
      <c r="CE22" s="218" t="str">
        <f t="shared" si="41"/>
        <v/>
      </c>
      <c r="CF22" s="218" t="str">
        <f t="shared" si="42"/>
        <v/>
      </c>
      <c r="CG22" s="218" t="str">
        <f t="shared" si="43"/>
        <v/>
      </c>
      <c r="CH22" s="218" t="str">
        <f t="shared" si="44"/>
        <v/>
      </c>
      <c r="CI22" s="218" t="str">
        <f t="shared" si="45"/>
        <v/>
      </c>
      <c r="CJ22" s="218" t="str">
        <f t="shared" si="46"/>
        <v/>
      </c>
      <c r="CK22" s="218" t="str">
        <f t="shared" si="47"/>
        <v/>
      </c>
      <c r="CL22" s="218" t="str">
        <f t="shared" si="48"/>
        <v/>
      </c>
      <c r="CM22" s="218" t="str">
        <f t="shared" si="49"/>
        <v/>
      </c>
      <c r="CN22" s="218" t="str">
        <f t="shared" si="50"/>
        <v/>
      </c>
      <c r="CO22" s="218" t="str">
        <f t="shared" si="51"/>
        <v/>
      </c>
      <c r="CP22" s="218" t="str">
        <f t="shared" si="52"/>
        <v/>
      </c>
      <c r="CQ22" s="218" t="str">
        <f t="shared" si="53"/>
        <v/>
      </c>
      <c r="CR22" s="218" t="str">
        <f t="shared" si="54"/>
        <v/>
      </c>
      <c r="CS22" s="218" t="str">
        <f t="shared" si="55"/>
        <v/>
      </c>
      <c r="CT22" s="218" t="str">
        <f t="shared" si="56"/>
        <v/>
      </c>
      <c r="CU22" s="218" t="str">
        <f t="shared" si="57"/>
        <v/>
      </c>
      <c r="CV22" s="218" t="str">
        <f t="shared" si="58"/>
        <v/>
      </c>
      <c r="CW22" s="218" t="str">
        <f t="shared" si="59"/>
        <v/>
      </c>
      <c r="CX22" s="218" t="str">
        <f t="shared" si="60"/>
        <v/>
      </c>
      <c r="CY22" s="218" t="str">
        <f t="shared" si="61"/>
        <v/>
      </c>
      <c r="CZ22" s="218" t="str">
        <f t="shared" si="62"/>
        <v/>
      </c>
      <c r="DA22" s="218" t="str">
        <f t="shared" si="63"/>
        <v/>
      </c>
      <c r="DB22" s="218" t="str">
        <f t="shared" si="64"/>
        <v/>
      </c>
      <c r="DC22" s="218" t="str">
        <f t="shared" si="65"/>
        <v/>
      </c>
      <c r="DD22" s="218" t="str">
        <f t="shared" si="66"/>
        <v/>
      </c>
      <c r="DF22" s="218" t="str">
        <f t="shared" si="67"/>
        <v/>
      </c>
      <c r="DG22" s="218" t="str">
        <f t="shared" si="68"/>
        <v/>
      </c>
      <c r="DH22" s="218" t="str">
        <f t="shared" si="69"/>
        <v/>
      </c>
      <c r="DI22" s="218" t="str">
        <f t="shared" si="70"/>
        <v/>
      </c>
      <c r="DJ22" s="218" t="str">
        <f t="shared" si="71"/>
        <v/>
      </c>
      <c r="DK22" s="218" t="str">
        <f t="shared" si="72"/>
        <v/>
      </c>
      <c r="DL22" s="218" t="str">
        <f t="shared" si="73"/>
        <v/>
      </c>
      <c r="DM22" s="218" t="str">
        <f t="shared" si="74"/>
        <v/>
      </c>
      <c r="DN22" s="218" t="str">
        <f t="shared" si="75"/>
        <v/>
      </c>
      <c r="DO22" s="218" t="str">
        <f t="shared" si="76"/>
        <v/>
      </c>
      <c r="DP22" s="218" t="str">
        <f t="shared" si="77"/>
        <v/>
      </c>
      <c r="DQ22" s="218" t="str">
        <f t="shared" si="78"/>
        <v/>
      </c>
      <c r="DR22" s="218" t="str">
        <f t="shared" si="79"/>
        <v/>
      </c>
      <c r="DS22" s="218" t="str">
        <f t="shared" si="80"/>
        <v/>
      </c>
      <c r="DT22" s="218" t="str">
        <f t="shared" si="81"/>
        <v/>
      </c>
      <c r="DU22" s="218" t="str">
        <f t="shared" si="82"/>
        <v/>
      </c>
      <c r="DV22" s="218" t="str">
        <f t="shared" si="83"/>
        <v/>
      </c>
      <c r="DW22" s="218" t="str">
        <f t="shared" si="84"/>
        <v/>
      </c>
      <c r="DX22" s="218" t="str">
        <f t="shared" si="85"/>
        <v/>
      </c>
      <c r="DY22" s="218" t="str">
        <f t="shared" si="86"/>
        <v/>
      </c>
      <c r="DZ22" s="218" t="str">
        <f t="shared" si="87"/>
        <v/>
      </c>
      <c r="EA22" s="218" t="str">
        <f t="shared" si="88"/>
        <v/>
      </c>
      <c r="EB22" s="218" t="str">
        <f t="shared" si="89"/>
        <v/>
      </c>
      <c r="EC22" s="218" t="str">
        <f t="shared" si="90"/>
        <v/>
      </c>
      <c r="EE22" s="218" t="str">
        <f t="shared" si="91"/>
        <v/>
      </c>
      <c r="EF22" s="218" t="str">
        <f t="shared" si="92"/>
        <v/>
      </c>
      <c r="EG22" s="218" t="str">
        <f t="shared" si="93"/>
        <v/>
      </c>
      <c r="EH22" s="218" t="str">
        <f t="shared" si="94"/>
        <v/>
      </c>
      <c r="EI22" s="218" t="str">
        <f t="shared" si="95"/>
        <v/>
      </c>
      <c r="EJ22" s="218" t="str">
        <f t="shared" si="96"/>
        <v/>
      </c>
      <c r="EK22" s="218" t="str">
        <f t="shared" si="97"/>
        <v/>
      </c>
      <c r="EL22" s="218" t="str">
        <f t="shared" si="98"/>
        <v/>
      </c>
      <c r="EM22" s="218" t="str">
        <f t="shared" si="99"/>
        <v/>
      </c>
      <c r="EN22" s="218" t="str">
        <f t="shared" si="100"/>
        <v/>
      </c>
      <c r="EO22" s="218" t="str">
        <f t="shared" si="101"/>
        <v/>
      </c>
      <c r="EP22" s="218" t="str">
        <f t="shared" si="102"/>
        <v/>
      </c>
      <c r="EQ22" s="218" t="str">
        <f t="shared" si="103"/>
        <v/>
      </c>
      <c r="ER22" s="218" t="str">
        <f t="shared" si="104"/>
        <v/>
      </c>
      <c r="ES22" s="218" t="str">
        <f t="shared" si="105"/>
        <v/>
      </c>
      <c r="ET22" s="218" t="str">
        <f t="shared" si="106"/>
        <v/>
      </c>
      <c r="EU22" s="218" t="str">
        <f t="shared" si="107"/>
        <v/>
      </c>
      <c r="EV22" s="218" t="str">
        <f t="shared" si="108"/>
        <v/>
      </c>
      <c r="EW22" s="218" t="str">
        <f t="shared" si="109"/>
        <v/>
      </c>
      <c r="EX22" s="218" t="str">
        <f t="shared" si="110"/>
        <v/>
      </c>
      <c r="EY22" s="218" t="str">
        <f t="shared" si="111"/>
        <v/>
      </c>
      <c r="FA22" s="218" t="str">
        <f t="shared" si="112"/>
        <v/>
      </c>
      <c r="FB22" s="218" t="str">
        <f t="shared" si="113"/>
        <v/>
      </c>
      <c r="FC22" s="218" t="str">
        <f t="shared" si="114"/>
        <v/>
      </c>
      <c r="FD22" s="218" t="str">
        <f t="shared" si="115"/>
        <v/>
      </c>
      <c r="FE22" s="218" t="str">
        <f t="shared" si="116"/>
        <v/>
      </c>
      <c r="FF22" s="218" t="str">
        <f t="shared" si="117"/>
        <v/>
      </c>
      <c r="FG22" s="218" t="str">
        <f t="shared" si="118"/>
        <v/>
      </c>
      <c r="FH22" s="218" t="str">
        <f t="shared" si="119"/>
        <v/>
      </c>
      <c r="FI22" s="218" t="str">
        <f t="shared" si="120"/>
        <v/>
      </c>
      <c r="FJ22" s="218" t="str">
        <f t="shared" si="121"/>
        <v/>
      </c>
      <c r="FK22" s="218" t="str">
        <f t="shared" si="122"/>
        <v/>
      </c>
      <c r="FL22" s="218" t="str">
        <f t="shared" si="123"/>
        <v/>
      </c>
      <c r="FM22" s="218" t="str">
        <f t="shared" si="124"/>
        <v/>
      </c>
      <c r="FN22" s="218" t="str">
        <f t="shared" si="125"/>
        <v/>
      </c>
      <c r="FO22" s="218" t="str">
        <f t="shared" si="126"/>
        <v/>
      </c>
      <c r="FP22" s="218" t="str">
        <f t="shared" si="127"/>
        <v/>
      </c>
      <c r="FQ22" s="218" t="str">
        <f t="shared" si="128"/>
        <v/>
      </c>
      <c r="FR22" s="218" t="str">
        <f t="shared" si="129"/>
        <v/>
      </c>
      <c r="FT22" s="218" t="str">
        <f t="shared" si="130"/>
        <v/>
      </c>
      <c r="FU22" s="218" t="str">
        <f t="shared" si="131"/>
        <v/>
      </c>
      <c r="FV22" s="218" t="str">
        <f t="shared" si="132"/>
        <v/>
      </c>
      <c r="FW22" s="218" t="str">
        <f t="shared" si="133"/>
        <v/>
      </c>
      <c r="FX22" s="218" t="str">
        <f t="shared" si="134"/>
        <v/>
      </c>
      <c r="FY22" s="218" t="str">
        <f t="shared" si="135"/>
        <v/>
      </c>
      <c r="FZ22" s="218" t="str">
        <f t="shared" si="136"/>
        <v/>
      </c>
      <c r="GA22" s="218" t="str">
        <f t="shared" si="137"/>
        <v/>
      </c>
      <c r="GB22" s="218" t="str">
        <f t="shared" si="138"/>
        <v/>
      </c>
      <c r="GC22" s="218" t="str">
        <f t="shared" si="139"/>
        <v/>
      </c>
      <c r="GD22" s="218" t="str">
        <f t="shared" si="140"/>
        <v/>
      </c>
      <c r="GE22" s="218" t="str">
        <f t="shared" si="141"/>
        <v/>
      </c>
      <c r="GF22" s="218" t="str">
        <f t="shared" si="142"/>
        <v/>
      </c>
      <c r="GG22" s="218" t="str">
        <f t="shared" si="143"/>
        <v/>
      </c>
      <c r="GH22" s="218" t="str">
        <f t="shared" si="144"/>
        <v/>
      </c>
      <c r="GJ22" s="218" t="str">
        <f t="shared" si="145"/>
        <v/>
      </c>
      <c r="GK22" s="218" t="str">
        <f t="shared" si="146"/>
        <v/>
      </c>
      <c r="GL22" s="218" t="str">
        <f t="shared" si="147"/>
        <v/>
      </c>
      <c r="GM22" s="218" t="str">
        <f t="shared" si="148"/>
        <v/>
      </c>
      <c r="GN22" s="218" t="str">
        <f t="shared" si="149"/>
        <v/>
      </c>
      <c r="GO22" s="218" t="str">
        <f t="shared" si="150"/>
        <v/>
      </c>
      <c r="GP22" s="218" t="str">
        <f t="shared" si="151"/>
        <v/>
      </c>
      <c r="GQ22" s="218" t="str">
        <f t="shared" si="152"/>
        <v/>
      </c>
      <c r="GR22" s="218" t="str">
        <f t="shared" si="153"/>
        <v/>
      </c>
      <c r="GS22" s="218" t="str">
        <f t="shared" si="154"/>
        <v/>
      </c>
      <c r="GT22" s="218" t="str">
        <f t="shared" si="155"/>
        <v/>
      </c>
      <c r="GU22" s="218" t="str">
        <f t="shared" si="156"/>
        <v/>
      </c>
      <c r="GW22" s="218" t="str">
        <f t="shared" si="157"/>
        <v/>
      </c>
      <c r="GX22" s="218" t="str">
        <f t="shared" si="158"/>
        <v/>
      </c>
      <c r="GY22" s="218" t="str">
        <f t="shared" si="159"/>
        <v/>
      </c>
      <c r="GZ22" s="218" t="str">
        <f t="shared" si="160"/>
        <v/>
      </c>
      <c r="HA22" s="218" t="str">
        <f t="shared" si="161"/>
        <v/>
      </c>
      <c r="HB22" s="218" t="str">
        <f t="shared" si="162"/>
        <v/>
      </c>
      <c r="HC22" s="218" t="str">
        <f t="shared" si="163"/>
        <v/>
      </c>
      <c r="HD22" s="218" t="str">
        <f t="shared" si="164"/>
        <v/>
      </c>
      <c r="HE22" s="218" t="str">
        <f t="shared" si="165"/>
        <v/>
      </c>
      <c r="HG22" s="218" t="str">
        <f t="shared" si="166"/>
        <v/>
      </c>
      <c r="HH22" s="218" t="str">
        <f t="shared" si="167"/>
        <v/>
      </c>
      <c r="HI22" s="218" t="str">
        <f t="shared" si="168"/>
        <v/>
      </c>
      <c r="HJ22" s="218" t="str">
        <f t="shared" si="169"/>
        <v/>
      </c>
      <c r="HK22" s="218" t="str">
        <f t="shared" si="170"/>
        <v/>
      </c>
      <c r="HL22" s="218" t="str">
        <f t="shared" si="171"/>
        <v/>
      </c>
      <c r="HN22" s="218" t="str">
        <f t="shared" si="172"/>
        <v/>
      </c>
      <c r="HO22" s="218" t="str">
        <f t="shared" si="173"/>
        <v/>
      </c>
      <c r="HP22" s="218" t="str">
        <f t="shared" si="174"/>
        <v/>
      </c>
      <c r="HR22" s="218" t="str">
        <f t="shared" si="224"/>
        <v/>
      </c>
      <c r="HS22" s="218" t="str">
        <f t="shared" si="225"/>
        <v/>
      </c>
      <c r="HT22" s="218" t="str">
        <f t="shared" si="175"/>
        <v/>
      </c>
      <c r="HU22" s="218" t="str">
        <f t="shared" si="176"/>
        <v/>
      </c>
      <c r="HV22" s="218" t="str">
        <f t="shared" si="177"/>
        <v/>
      </c>
      <c r="HW22" s="218" t="str">
        <f t="shared" si="178"/>
        <v/>
      </c>
      <c r="HX22" s="218" t="str">
        <f t="shared" si="179"/>
        <v/>
      </c>
      <c r="HY22" s="218" t="str">
        <f t="shared" si="180"/>
        <v/>
      </c>
      <c r="HZ22" s="218" t="str">
        <f t="shared" si="181"/>
        <v/>
      </c>
      <c r="IA22" s="218" t="str">
        <f t="shared" si="182"/>
        <v/>
      </c>
      <c r="IB22" s="218" t="str">
        <f t="shared" si="183"/>
        <v/>
      </c>
      <c r="IC22" s="218" t="str">
        <f t="shared" si="184"/>
        <v/>
      </c>
      <c r="ID22" s="218" t="str">
        <f t="shared" si="185"/>
        <v/>
      </c>
      <c r="IE22" s="218" t="str">
        <f t="shared" si="186"/>
        <v/>
      </c>
      <c r="IF22" s="218" t="str">
        <f t="shared" si="187"/>
        <v/>
      </c>
      <c r="IG22" s="218" t="str">
        <f t="shared" si="188"/>
        <v/>
      </c>
      <c r="IH22" s="218" t="str">
        <f t="shared" si="189"/>
        <v/>
      </c>
      <c r="II22" s="218" t="str">
        <f t="shared" si="190"/>
        <v/>
      </c>
      <c r="IJ22" s="218" t="str">
        <f t="shared" si="191"/>
        <v/>
      </c>
      <c r="IK22" s="218" t="str">
        <f t="shared" si="192"/>
        <v/>
      </c>
      <c r="IL22" s="218" t="str">
        <f t="shared" si="193"/>
        <v/>
      </c>
      <c r="IM22" s="218" t="str">
        <f t="shared" si="194"/>
        <v/>
      </c>
      <c r="IN22" s="218" t="str">
        <f t="shared" si="195"/>
        <v/>
      </c>
      <c r="IO22" s="218" t="str">
        <f t="shared" si="196"/>
        <v/>
      </c>
      <c r="IP22" s="218" t="str">
        <f t="shared" si="197"/>
        <v/>
      </c>
      <c r="IQ22" s="218" t="str">
        <f t="shared" si="198"/>
        <v/>
      </c>
      <c r="IR22" s="218" t="str">
        <f t="shared" si="199"/>
        <v/>
      </c>
      <c r="IS22" s="218" t="str">
        <f t="shared" si="200"/>
        <v/>
      </c>
      <c r="IT22" s="218" t="str">
        <f t="shared" si="201"/>
        <v/>
      </c>
      <c r="IU22" s="218" t="str">
        <f t="shared" si="202"/>
        <v/>
      </c>
    </row>
    <row r="23" spans="1:255" x14ac:dyDescent="0.2">
      <c r="A23" s="200" t="s">
        <v>26</v>
      </c>
      <c r="B23" s="184"/>
      <c r="C23" s="179"/>
      <c r="D23" s="181"/>
      <c r="E23" s="181"/>
      <c r="F23" s="197"/>
      <c r="G23" s="198"/>
      <c r="H23" s="197"/>
      <c r="I23" s="197"/>
      <c r="J23" s="197"/>
      <c r="K23" s="185"/>
      <c r="L23" s="217" t="str">
        <f t="shared" si="29"/>
        <v/>
      </c>
      <c r="M23" s="218">
        <f>'HKG vs. BK'!M23</f>
        <v>21.288810255385243</v>
      </c>
      <c r="N23" s="218" t="str">
        <f>'HKG vs. BK'!N23</f>
        <v>±0,7</v>
      </c>
      <c r="O23" s="218" t="str">
        <f>'HKG vs. BK'!O23</f>
        <v>±2,98</v>
      </c>
      <c r="P23" s="218" t="str">
        <f>'HKG vs. BK'!P23</f>
        <v>±0,43</v>
      </c>
      <c r="Q23" s="219" t="str">
        <f t="shared" si="203"/>
        <v/>
      </c>
      <c r="R23" s="220" t="str">
        <f t="shared" si="0"/>
        <v/>
      </c>
      <c r="S23" s="220" t="str">
        <f t="shared" si="1"/>
        <v/>
      </c>
      <c r="T23" s="219" t="str">
        <f t="shared" si="2"/>
        <v/>
      </c>
      <c r="U23" s="220" t="str">
        <f t="shared" si="3"/>
        <v/>
      </c>
      <c r="V23" s="220" t="str">
        <f t="shared" si="4"/>
        <v/>
      </c>
      <c r="W23" s="219" t="str">
        <f t="shared" si="5"/>
        <v/>
      </c>
      <c r="X23" s="220" t="str">
        <f t="shared" si="6"/>
        <v/>
      </c>
      <c r="Y23" s="220" t="str">
        <f t="shared" si="7"/>
        <v/>
      </c>
      <c r="Z23" s="219" t="str">
        <f t="shared" si="8"/>
        <v/>
      </c>
      <c r="AA23" s="220" t="str">
        <f t="shared" si="9"/>
        <v/>
      </c>
      <c r="AB23" s="220" t="str">
        <f t="shared" si="10"/>
        <v/>
      </c>
      <c r="AC23" s="219" t="str">
        <f t="shared" si="11"/>
        <v/>
      </c>
      <c r="AD23" s="220" t="str">
        <f t="shared" si="12"/>
        <v/>
      </c>
      <c r="AE23" s="220" t="str">
        <f t="shared" si="13"/>
        <v/>
      </c>
      <c r="AF23" s="219" t="str">
        <f t="shared" si="14"/>
        <v/>
      </c>
      <c r="AG23" s="220" t="str">
        <f t="shared" si="15"/>
        <v/>
      </c>
      <c r="AH23" s="220" t="str">
        <f t="shared" si="16"/>
        <v/>
      </c>
      <c r="AI23" s="219" t="str">
        <f t="shared" si="17"/>
        <v/>
      </c>
      <c r="AJ23" s="220" t="str">
        <f t="shared" si="18"/>
        <v/>
      </c>
      <c r="AK23" s="220" t="str">
        <f t="shared" si="19"/>
        <v/>
      </c>
      <c r="AL23" s="219" t="str">
        <f t="shared" si="20"/>
        <v/>
      </c>
      <c r="AM23" s="220" t="str">
        <f t="shared" si="21"/>
        <v/>
      </c>
      <c r="AN23" s="220" t="str">
        <f t="shared" si="22"/>
        <v/>
      </c>
      <c r="AO23" s="219" t="str">
        <f t="shared" si="23"/>
        <v/>
      </c>
      <c r="AP23" s="220" t="str">
        <f t="shared" si="24"/>
        <v/>
      </c>
      <c r="AQ23" s="220" t="str">
        <f t="shared" si="25"/>
        <v/>
      </c>
      <c r="AR23" s="219" t="str">
        <f t="shared" si="26"/>
        <v/>
      </c>
      <c r="AS23" s="220" t="str">
        <f t="shared" si="27"/>
        <v/>
      </c>
      <c r="AT23" s="220" t="str">
        <f t="shared" si="28"/>
        <v/>
      </c>
      <c r="AU23" s="221"/>
      <c r="AV23" s="221"/>
      <c r="AW23" s="221"/>
      <c r="AY23" s="218" t="str">
        <f t="shared" si="204"/>
        <v/>
      </c>
      <c r="AZ23" s="218" t="str">
        <f t="shared" si="205"/>
        <v/>
      </c>
      <c r="BA23" s="218" t="str">
        <f t="shared" si="30"/>
        <v/>
      </c>
      <c r="BB23" s="218" t="str">
        <f t="shared" si="206"/>
        <v/>
      </c>
      <c r="BC23" s="218" t="str">
        <f t="shared" si="207"/>
        <v/>
      </c>
      <c r="BD23" s="218" t="str">
        <f t="shared" si="31"/>
        <v/>
      </c>
      <c r="BE23" s="218" t="str">
        <f t="shared" si="208"/>
        <v/>
      </c>
      <c r="BF23" s="218" t="str">
        <f t="shared" si="209"/>
        <v/>
      </c>
      <c r="BG23" s="218" t="str">
        <f t="shared" si="32"/>
        <v/>
      </c>
      <c r="BH23" s="218" t="str">
        <f t="shared" si="210"/>
        <v/>
      </c>
      <c r="BI23" s="218" t="str">
        <f t="shared" si="211"/>
        <v/>
      </c>
      <c r="BJ23" s="218" t="str">
        <f t="shared" si="33"/>
        <v/>
      </c>
      <c r="BK23" s="218" t="str">
        <f t="shared" si="212"/>
        <v/>
      </c>
      <c r="BL23" s="218" t="str">
        <f t="shared" si="213"/>
        <v/>
      </c>
      <c r="BM23" s="218" t="str">
        <f t="shared" si="34"/>
        <v/>
      </c>
      <c r="BN23" s="218" t="str">
        <f t="shared" si="214"/>
        <v/>
      </c>
      <c r="BO23" s="218" t="str">
        <f t="shared" si="215"/>
        <v/>
      </c>
      <c r="BP23" s="218" t="str">
        <f t="shared" si="35"/>
        <v/>
      </c>
      <c r="BQ23" s="218" t="str">
        <f t="shared" si="216"/>
        <v/>
      </c>
      <c r="BR23" s="218" t="str">
        <f t="shared" si="217"/>
        <v/>
      </c>
      <c r="BS23" s="218" t="str">
        <f t="shared" si="36"/>
        <v/>
      </c>
      <c r="BT23" s="218" t="str">
        <f t="shared" si="218"/>
        <v/>
      </c>
      <c r="BU23" s="218" t="str">
        <f t="shared" si="219"/>
        <v/>
      </c>
      <c r="BV23" s="218" t="str">
        <f t="shared" si="37"/>
        <v/>
      </c>
      <c r="BW23" s="218" t="str">
        <f t="shared" si="220"/>
        <v/>
      </c>
      <c r="BX23" s="218" t="str">
        <f t="shared" si="221"/>
        <v/>
      </c>
      <c r="BY23" s="218" t="str">
        <f t="shared" si="38"/>
        <v/>
      </c>
      <c r="BZ23" s="218" t="str">
        <f t="shared" si="222"/>
        <v/>
      </c>
      <c r="CA23" s="218" t="str">
        <f t="shared" si="223"/>
        <v/>
      </c>
      <c r="CB23" s="218" t="str">
        <f t="shared" si="39"/>
        <v/>
      </c>
      <c r="CD23" s="218" t="str">
        <f t="shared" si="40"/>
        <v/>
      </c>
      <c r="CE23" s="218" t="str">
        <f t="shared" si="41"/>
        <v/>
      </c>
      <c r="CF23" s="218" t="str">
        <f t="shared" si="42"/>
        <v/>
      </c>
      <c r="CG23" s="218" t="str">
        <f t="shared" si="43"/>
        <v/>
      </c>
      <c r="CH23" s="218" t="str">
        <f t="shared" si="44"/>
        <v/>
      </c>
      <c r="CI23" s="218" t="str">
        <f t="shared" si="45"/>
        <v/>
      </c>
      <c r="CJ23" s="218" t="str">
        <f t="shared" si="46"/>
        <v/>
      </c>
      <c r="CK23" s="218" t="str">
        <f t="shared" si="47"/>
        <v/>
      </c>
      <c r="CL23" s="218" t="str">
        <f t="shared" si="48"/>
        <v/>
      </c>
      <c r="CM23" s="218" t="str">
        <f t="shared" si="49"/>
        <v/>
      </c>
      <c r="CN23" s="218" t="str">
        <f t="shared" si="50"/>
        <v/>
      </c>
      <c r="CO23" s="218" t="str">
        <f t="shared" si="51"/>
        <v/>
      </c>
      <c r="CP23" s="218" t="str">
        <f t="shared" si="52"/>
        <v/>
      </c>
      <c r="CQ23" s="218" t="str">
        <f t="shared" si="53"/>
        <v/>
      </c>
      <c r="CR23" s="218" t="str">
        <f t="shared" si="54"/>
        <v/>
      </c>
      <c r="CS23" s="218" t="str">
        <f t="shared" si="55"/>
        <v/>
      </c>
      <c r="CT23" s="218" t="str">
        <f t="shared" si="56"/>
        <v/>
      </c>
      <c r="CU23" s="218" t="str">
        <f t="shared" si="57"/>
        <v/>
      </c>
      <c r="CV23" s="218" t="str">
        <f t="shared" si="58"/>
        <v/>
      </c>
      <c r="CW23" s="218" t="str">
        <f t="shared" si="59"/>
        <v/>
      </c>
      <c r="CX23" s="218" t="str">
        <f t="shared" si="60"/>
        <v/>
      </c>
      <c r="CY23" s="218" t="str">
        <f t="shared" si="61"/>
        <v/>
      </c>
      <c r="CZ23" s="218" t="str">
        <f t="shared" si="62"/>
        <v/>
      </c>
      <c r="DA23" s="218" t="str">
        <f t="shared" si="63"/>
        <v/>
      </c>
      <c r="DB23" s="218" t="str">
        <f t="shared" si="64"/>
        <v/>
      </c>
      <c r="DC23" s="218" t="str">
        <f t="shared" si="65"/>
        <v/>
      </c>
      <c r="DD23" s="218" t="str">
        <f t="shared" si="66"/>
        <v/>
      </c>
      <c r="DF23" s="218" t="str">
        <f t="shared" si="67"/>
        <v/>
      </c>
      <c r="DG23" s="218" t="str">
        <f t="shared" si="68"/>
        <v/>
      </c>
      <c r="DH23" s="218" t="str">
        <f t="shared" si="69"/>
        <v/>
      </c>
      <c r="DI23" s="218" t="str">
        <f t="shared" si="70"/>
        <v/>
      </c>
      <c r="DJ23" s="218" t="str">
        <f t="shared" si="71"/>
        <v/>
      </c>
      <c r="DK23" s="218" t="str">
        <f t="shared" si="72"/>
        <v/>
      </c>
      <c r="DL23" s="218" t="str">
        <f t="shared" si="73"/>
        <v/>
      </c>
      <c r="DM23" s="218" t="str">
        <f t="shared" si="74"/>
        <v/>
      </c>
      <c r="DN23" s="218" t="str">
        <f t="shared" si="75"/>
        <v/>
      </c>
      <c r="DO23" s="218" t="str">
        <f t="shared" si="76"/>
        <v/>
      </c>
      <c r="DP23" s="218" t="str">
        <f t="shared" si="77"/>
        <v/>
      </c>
      <c r="DQ23" s="218" t="str">
        <f t="shared" si="78"/>
        <v/>
      </c>
      <c r="DR23" s="218" t="str">
        <f t="shared" si="79"/>
        <v/>
      </c>
      <c r="DS23" s="218" t="str">
        <f t="shared" si="80"/>
        <v/>
      </c>
      <c r="DT23" s="218" t="str">
        <f t="shared" si="81"/>
        <v/>
      </c>
      <c r="DU23" s="218" t="str">
        <f t="shared" si="82"/>
        <v/>
      </c>
      <c r="DV23" s="218" t="str">
        <f t="shared" si="83"/>
        <v/>
      </c>
      <c r="DW23" s="218" t="str">
        <f t="shared" si="84"/>
        <v/>
      </c>
      <c r="DX23" s="218" t="str">
        <f t="shared" si="85"/>
        <v/>
      </c>
      <c r="DY23" s="218" t="str">
        <f t="shared" si="86"/>
        <v/>
      </c>
      <c r="DZ23" s="218" t="str">
        <f t="shared" si="87"/>
        <v/>
      </c>
      <c r="EA23" s="218" t="str">
        <f t="shared" si="88"/>
        <v/>
      </c>
      <c r="EB23" s="218" t="str">
        <f t="shared" si="89"/>
        <v/>
      </c>
      <c r="EC23" s="218" t="str">
        <f t="shared" si="90"/>
        <v/>
      </c>
      <c r="EE23" s="218" t="str">
        <f t="shared" si="91"/>
        <v/>
      </c>
      <c r="EF23" s="218" t="str">
        <f t="shared" si="92"/>
        <v/>
      </c>
      <c r="EG23" s="218" t="str">
        <f t="shared" si="93"/>
        <v/>
      </c>
      <c r="EH23" s="218" t="str">
        <f t="shared" si="94"/>
        <v/>
      </c>
      <c r="EI23" s="218" t="str">
        <f t="shared" si="95"/>
        <v/>
      </c>
      <c r="EJ23" s="218" t="str">
        <f t="shared" si="96"/>
        <v/>
      </c>
      <c r="EK23" s="218" t="str">
        <f t="shared" si="97"/>
        <v/>
      </c>
      <c r="EL23" s="218" t="str">
        <f t="shared" si="98"/>
        <v/>
      </c>
      <c r="EM23" s="218" t="str">
        <f t="shared" si="99"/>
        <v/>
      </c>
      <c r="EN23" s="218" t="str">
        <f t="shared" si="100"/>
        <v/>
      </c>
      <c r="EO23" s="218" t="str">
        <f t="shared" si="101"/>
        <v/>
      </c>
      <c r="EP23" s="218" t="str">
        <f t="shared" si="102"/>
        <v/>
      </c>
      <c r="EQ23" s="218" t="str">
        <f t="shared" si="103"/>
        <v/>
      </c>
      <c r="ER23" s="218" t="str">
        <f t="shared" si="104"/>
        <v/>
      </c>
      <c r="ES23" s="218" t="str">
        <f t="shared" si="105"/>
        <v/>
      </c>
      <c r="ET23" s="218" t="str">
        <f t="shared" si="106"/>
        <v/>
      </c>
      <c r="EU23" s="218" t="str">
        <f t="shared" si="107"/>
        <v/>
      </c>
      <c r="EV23" s="218" t="str">
        <f t="shared" si="108"/>
        <v/>
      </c>
      <c r="EW23" s="218" t="str">
        <f t="shared" si="109"/>
        <v/>
      </c>
      <c r="EX23" s="218" t="str">
        <f t="shared" si="110"/>
        <v/>
      </c>
      <c r="EY23" s="218" t="str">
        <f t="shared" si="111"/>
        <v/>
      </c>
      <c r="FA23" s="218" t="str">
        <f t="shared" si="112"/>
        <v/>
      </c>
      <c r="FB23" s="218" t="str">
        <f t="shared" si="113"/>
        <v/>
      </c>
      <c r="FC23" s="218" t="str">
        <f t="shared" si="114"/>
        <v/>
      </c>
      <c r="FD23" s="218" t="str">
        <f t="shared" si="115"/>
        <v/>
      </c>
      <c r="FE23" s="218" t="str">
        <f t="shared" si="116"/>
        <v/>
      </c>
      <c r="FF23" s="218" t="str">
        <f t="shared" si="117"/>
        <v/>
      </c>
      <c r="FG23" s="218" t="str">
        <f t="shared" si="118"/>
        <v/>
      </c>
      <c r="FH23" s="218" t="str">
        <f t="shared" si="119"/>
        <v/>
      </c>
      <c r="FI23" s="218" t="str">
        <f t="shared" si="120"/>
        <v/>
      </c>
      <c r="FJ23" s="218" t="str">
        <f t="shared" si="121"/>
        <v/>
      </c>
      <c r="FK23" s="218" t="str">
        <f t="shared" si="122"/>
        <v/>
      </c>
      <c r="FL23" s="218" t="str">
        <f t="shared" si="123"/>
        <v/>
      </c>
      <c r="FM23" s="218" t="str">
        <f t="shared" si="124"/>
        <v/>
      </c>
      <c r="FN23" s="218" t="str">
        <f t="shared" si="125"/>
        <v/>
      </c>
      <c r="FO23" s="218" t="str">
        <f t="shared" si="126"/>
        <v/>
      </c>
      <c r="FP23" s="218" t="str">
        <f t="shared" si="127"/>
        <v/>
      </c>
      <c r="FQ23" s="218" t="str">
        <f t="shared" si="128"/>
        <v/>
      </c>
      <c r="FR23" s="218" t="str">
        <f t="shared" si="129"/>
        <v/>
      </c>
      <c r="FT23" s="218" t="str">
        <f t="shared" si="130"/>
        <v/>
      </c>
      <c r="FU23" s="218" t="str">
        <f t="shared" si="131"/>
        <v/>
      </c>
      <c r="FV23" s="218" t="str">
        <f t="shared" si="132"/>
        <v/>
      </c>
      <c r="FW23" s="218" t="str">
        <f t="shared" si="133"/>
        <v/>
      </c>
      <c r="FX23" s="218" t="str">
        <f t="shared" si="134"/>
        <v/>
      </c>
      <c r="FY23" s="218" t="str">
        <f t="shared" si="135"/>
        <v/>
      </c>
      <c r="FZ23" s="218" t="str">
        <f t="shared" si="136"/>
        <v/>
      </c>
      <c r="GA23" s="218" t="str">
        <f t="shared" si="137"/>
        <v/>
      </c>
      <c r="GB23" s="218" t="str">
        <f t="shared" si="138"/>
        <v/>
      </c>
      <c r="GC23" s="218" t="str">
        <f t="shared" si="139"/>
        <v/>
      </c>
      <c r="GD23" s="218" t="str">
        <f t="shared" si="140"/>
        <v/>
      </c>
      <c r="GE23" s="218" t="str">
        <f t="shared" si="141"/>
        <v/>
      </c>
      <c r="GF23" s="218" t="str">
        <f t="shared" si="142"/>
        <v/>
      </c>
      <c r="GG23" s="218" t="str">
        <f t="shared" si="143"/>
        <v/>
      </c>
      <c r="GH23" s="218" t="str">
        <f t="shared" si="144"/>
        <v/>
      </c>
      <c r="GJ23" s="218" t="str">
        <f t="shared" si="145"/>
        <v/>
      </c>
      <c r="GK23" s="218" t="str">
        <f t="shared" si="146"/>
        <v/>
      </c>
      <c r="GL23" s="218" t="str">
        <f t="shared" si="147"/>
        <v/>
      </c>
      <c r="GM23" s="218" t="str">
        <f t="shared" si="148"/>
        <v/>
      </c>
      <c r="GN23" s="218" t="str">
        <f t="shared" si="149"/>
        <v/>
      </c>
      <c r="GO23" s="218" t="str">
        <f t="shared" si="150"/>
        <v/>
      </c>
      <c r="GP23" s="218" t="str">
        <f t="shared" si="151"/>
        <v/>
      </c>
      <c r="GQ23" s="218" t="str">
        <f t="shared" si="152"/>
        <v/>
      </c>
      <c r="GR23" s="218" t="str">
        <f t="shared" si="153"/>
        <v/>
      </c>
      <c r="GS23" s="218" t="str">
        <f t="shared" si="154"/>
        <v/>
      </c>
      <c r="GT23" s="218" t="str">
        <f t="shared" si="155"/>
        <v/>
      </c>
      <c r="GU23" s="218" t="str">
        <f t="shared" si="156"/>
        <v/>
      </c>
      <c r="GW23" s="218" t="str">
        <f t="shared" si="157"/>
        <v/>
      </c>
      <c r="GX23" s="218" t="str">
        <f t="shared" si="158"/>
        <v/>
      </c>
      <c r="GY23" s="218" t="str">
        <f t="shared" si="159"/>
        <v/>
      </c>
      <c r="GZ23" s="218" t="str">
        <f t="shared" si="160"/>
        <v/>
      </c>
      <c r="HA23" s="218" t="str">
        <f t="shared" si="161"/>
        <v/>
      </c>
      <c r="HB23" s="218" t="str">
        <f t="shared" si="162"/>
        <v/>
      </c>
      <c r="HC23" s="218" t="str">
        <f t="shared" si="163"/>
        <v/>
      </c>
      <c r="HD23" s="218" t="str">
        <f t="shared" si="164"/>
        <v/>
      </c>
      <c r="HE23" s="218" t="str">
        <f t="shared" si="165"/>
        <v/>
      </c>
      <c r="HG23" s="218" t="str">
        <f t="shared" si="166"/>
        <v/>
      </c>
      <c r="HH23" s="218" t="str">
        <f t="shared" si="167"/>
        <v/>
      </c>
      <c r="HI23" s="218" t="str">
        <f t="shared" si="168"/>
        <v/>
      </c>
      <c r="HJ23" s="218" t="str">
        <f t="shared" si="169"/>
        <v/>
      </c>
      <c r="HK23" s="218" t="str">
        <f t="shared" si="170"/>
        <v/>
      </c>
      <c r="HL23" s="218" t="str">
        <f t="shared" si="171"/>
        <v/>
      </c>
      <c r="HN23" s="218" t="str">
        <f t="shared" si="172"/>
        <v/>
      </c>
      <c r="HO23" s="218" t="str">
        <f t="shared" si="173"/>
        <v/>
      </c>
      <c r="HP23" s="218" t="str">
        <f t="shared" si="174"/>
        <v/>
      </c>
      <c r="HR23" s="218" t="str">
        <f t="shared" si="224"/>
        <v/>
      </c>
      <c r="HS23" s="218" t="str">
        <f t="shared" si="225"/>
        <v/>
      </c>
      <c r="HT23" s="218" t="str">
        <f t="shared" si="175"/>
        <v/>
      </c>
      <c r="HU23" s="218" t="str">
        <f t="shared" si="176"/>
        <v/>
      </c>
      <c r="HV23" s="218" t="str">
        <f t="shared" si="177"/>
        <v/>
      </c>
      <c r="HW23" s="218" t="str">
        <f t="shared" si="178"/>
        <v/>
      </c>
      <c r="HX23" s="218" t="str">
        <f t="shared" si="179"/>
        <v/>
      </c>
      <c r="HY23" s="218" t="str">
        <f t="shared" si="180"/>
        <v/>
      </c>
      <c r="HZ23" s="218" t="str">
        <f t="shared" si="181"/>
        <v/>
      </c>
      <c r="IA23" s="218" t="str">
        <f t="shared" si="182"/>
        <v/>
      </c>
      <c r="IB23" s="218" t="str">
        <f t="shared" si="183"/>
        <v/>
      </c>
      <c r="IC23" s="218" t="str">
        <f t="shared" si="184"/>
        <v/>
      </c>
      <c r="ID23" s="218" t="str">
        <f t="shared" si="185"/>
        <v/>
      </c>
      <c r="IE23" s="218" t="str">
        <f t="shared" si="186"/>
        <v/>
      </c>
      <c r="IF23" s="218" t="str">
        <f t="shared" si="187"/>
        <v/>
      </c>
      <c r="IG23" s="218" t="str">
        <f t="shared" si="188"/>
        <v/>
      </c>
      <c r="IH23" s="218" t="str">
        <f t="shared" si="189"/>
        <v/>
      </c>
      <c r="II23" s="218" t="str">
        <f t="shared" si="190"/>
        <v/>
      </c>
      <c r="IJ23" s="218" t="str">
        <f t="shared" si="191"/>
        <v/>
      </c>
      <c r="IK23" s="218" t="str">
        <f t="shared" si="192"/>
        <v/>
      </c>
      <c r="IL23" s="218" t="str">
        <f t="shared" si="193"/>
        <v/>
      </c>
      <c r="IM23" s="218" t="str">
        <f t="shared" si="194"/>
        <v/>
      </c>
      <c r="IN23" s="218" t="str">
        <f t="shared" si="195"/>
        <v/>
      </c>
      <c r="IO23" s="218" t="str">
        <f t="shared" si="196"/>
        <v/>
      </c>
      <c r="IP23" s="218" t="str">
        <f t="shared" si="197"/>
        <v/>
      </c>
      <c r="IQ23" s="218" t="str">
        <f t="shared" si="198"/>
        <v/>
      </c>
      <c r="IR23" s="218" t="str">
        <f t="shared" si="199"/>
        <v/>
      </c>
      <c r="IS23" s="218" t="str">
        <f t="shared" si="200"/>
        <v/>
      </c>
      <c r="IT23" s="218" t="str">
        <f t="shared" si="201"/>
        <v/>
      </c>
      <c r="IU23" s="218" t="str">
        <f t="shared" si="202"/>
        <v/>
      </c>
    </row>
    <row r="24" spans="1:255" x14ac:dyDescent="0.2">
      <c r="A24" s="200" t="s">
        <v>27</v>
      </c>
      <c r="B24" s="178"/>
      <c r="C24" s="180"/>
      <c r="D24" s="181"/>
      <c r="E24" s="181"/>
      <c r="F24" s="197"/>
      <c r="G24" s="198"/>
      <c r="H24" s="197"/>
      <c r="I24" s="197"/>
      <c r="J24" s="197"/>
      <c r="K24" s="185"/>
      <c r="L24" s="217" t="str">
        <f t="shared" si="29"/>
        <v/>
      </c>
      <c r="M24" s="218">
        <f>'HKG vs. BK'!M24</f>
        <v>20.969932590149632</v>
      </c>
      <c r="N24" s="218" t="str">
        <f>'HKG vs. BK'!N24</f>
        <v>±0,86</v>
      </c>
      <c r="O24" s="218" t="str">
        <f>'HKG vs. BK'!O24</f>
        <v>±4,29</v>
      </c>
      <c r="P24" s="218" t="str">
        <f>'HKG vs. BK'!P24</f>
        <v>±0,49</v>
      </c>
      <c r="Q24" s="219" t="str">
        <f t="shared" si="203"/>
        <v/>
      </c>
      <c r="R24" s="220" t="str">
        <f t="shared" si="0"/>
        <v/>
      </c>
      <c r="S24" s="220" t="str">
        <f t="shared" si="1"/>
        <v/>
      </c>
      <c r="T24" s="219" t="str">
        <f t="shared" si="2"/>
        <v/>
      </c>
      <c r="U24" s="220" t="str">
        <f t="shared" si="3"/>
        <v/>
      </c>
      <c r="V24" s="220" t="str">
        <f t="shared" si="4"/>
        <v/>
      </c>
      <c r="W24" s="219" t="str">
        <f t="shared" si="5"/>
        <v/>
      </c>
      <c r="X24" s="220" t="str">
        <f t="shared" si="6"/>
        <v/>
      </c>
      <c r="Y24" s="220" t="str">
        <f t="shared" si="7"/>
        <v/>
      </c>
      <c r="Z24" s="219" t="str">
        <f t="shared" si="8"/>
        <v/>
      </c>
      <c r="AA24" s="220" t="str">
        <f t="shared" si="9"/>
        <v/>
      </c>
      <c r="AB24" s="220" t="str">
        <f t="shared" si="10"/>
        <v/>
      </c>
      <c r="AC24" s="219" t="str">
        <f t="shared" si="11"/>
        <v/>
      </c>
      <c r="AD24" s="220" t="str">
        <f t="shared" si="12"/>
        <v/>
      </c>
      <c r="AE24" s="220" t="str">
        <f t="shared" si="13"/>
        <v/>
      </c>
      <c r="AF24" s="219" t="str">
        <f t="shared" si="14"/>
        <v/>
      </c>
      <c r="AG24" s="220" t="str">
        <f t="shared" si="15"/>
        <v/>
      </c>
      <c r="AH24" s="220" t="str">
        <f t="shared" si="16"/>
        <v/>
      </c>
      <c r="AI24" s="219" t="str">
        <f t="shared" si="17"/>
        <v/>
      </c>
      <c r="AJ24" s="220" t="str">
        <f t="shared" si="18"/>
        <v/>
      </c>
      <c r="AK24" s="220" t="str">
        <f t="shared" si="19"/>
        <v/>
      </c>
      <c r="AL24" s="219" t="str">
        <f t="shared" si="20"/>
        <v/>
      </c>
      <c r="AM24" s="220" t="str">
        <f t="shared" si="21"/>
        <v/>
      </c>
      <c r="AN24" s="220" t="str">
        <f t="shared" si="22"/>
        <v/>
      </c>
      <c r="AO24" s="219" t="str">
        <f t="shared" si="23"/>
        <v/>
      </c>
      <c r="AP24" s="220" t="str">
        <f t="shared" si="24"/>
        <v/>
      </c>
      <c r="AQ24" s="220" t="str">
        <f t="shared" si="25"/>
        <v/>
      </c>
      <c r="AR24" s="219" t="str">
        <f t="shared" si="26"/>
        <v/>
      </c>
      <c r="AS24" s="220" t="str">
        <f t="shared" si="27"/>
        <v/>
      </c>
      <c r="AT24" s="220" t="str">
        <f t="shared" si="28"/>
        <v/>
      </c>
      <c r="AU24" s="221"/>
      <c r="AV24" s="221"/>
      <c r="AW24" s="221"/>
      <c r="AY24" s="218" t="str">
        <f t="shared" si="204"/>
        <v/>
      </c>
      <c r="AZ24" s="218" t="str">
        <f t="shared" si="205"/>
        <v/>
      </c>
      <c r="BA24" s="218" t="str">
        <f t="shared" si="30"/>
        <v/>
      </c>
      <c r="BB24" s="218" t="str">
        <f t="shared" si="206"/>
        <v/>
      </c>
      <c r="BC24" s="218" t="str">
        <f t="shared" si="207"/>
        <v/>
      </c>
      <c r="BD24" s="218" t="str">
        <f t="shared" si="31"/>
        <v/>
      </c>
      <c r="BE24" s="218" t="str">
        <f t="shared" si="208"/>
        <v/>
      </c>
      <c r="BF24" s="218" t="str">
        <f t="shared" si="209"/>
        <v/>
      </c>
      <c r="BG24" s="218" t="str">
        <f t="shared" si="32"/>
        <v/>
      </c>
      <c r="BH24" s="218" t="str">
        <f t="shared" si="210"/>
        <v/>
      </c>
      <c r="BI24" s="218" t="str">
        <f t="shared" si="211"/>
        <v/>
      </c>
      <c r="BJ24" s="218" t="str">
        <f t="shared" si="33"/>
        <v/>
      </c>
      <c r="BK24" s="218" t="str">
        <f t="shared" si="212"/>
        <v/>
      </c>
      <c r="BL24" s="218" t="str">
        <f t="shared" si="213"/>
        <v/>
      </c>
      <c r="BM24" s="218" t="str">
        <f t="shared" si="34"/>
        <v/>
      </c>
      <c r="BN24" s="218" t="str">
        <f t="shared" si="214"/>
        <v/>
      </c>
      <c r="BO24" s="218" t="str">
        <f t="shared" si="215"/>
        <v/>
      </c>
      <c r="BP24" s="218" t="str">
        <f t="shared" si="35"/>
        <v/>
      </c>
      <c r="BQ24" s="218" t="str">
        <f t="shared" si="216"/>
        <v/>
      </c>
      <c r="BR24" s="218" t="str">
        <f t="shared" si="217"/>
        <v/>
      </c>
      <c r="BS24" s="218" t="str">
        <f t="shared" si="36"/>
        <v/>
      </c>
      <c r="BT24" s="218" t="str">
        <f t="shared" si="218"/>
        <v/>
      </c>
      <c r="BU24" s="218" t="str">
        <f t="shared" si="219"/>
        <v/>
      </c>
      <c r="BV24" s="218" t="str">
        <f t="shared" si="37"/>
        <v/>
      </c>
      <c r="BW24" s="218" t="str">
        <f t="shared" si="220"/>
        <v/>
      </c>
      <c r="BX24" s="218" t="str">
        <f t="shared" si="221"/>
        <v/>
      </c>
      <c r="BY24" s="218" t="str">
        <f t="shared" si="38"/>
        <v/>
      </c>
      <c r="BZ24" s="218" t="str">
        <f t="shared" si="222"/>
        <v/>
      </c>
      <c r="CA24" s="218" t="str">
        <f t="shared" si="223"/>
        <v/>
      </c>
      <c r="CB24" s="218" t="str">
        <f t="shared" si="39"/>
        <v/>
      </c>
      <c r="CD24" s="218" t="str">
        <f t="shared" si="40"/>
        <v/>
      </c>
      <c r="CE24" s="218" t="str">
        <f t="shared" si="41"/>
        <v/>
      </c>
      <c r="CF24" s="218" t="str">
        <f t="shared" si="42"/>
        <v/>
      </c>
      <c r="CG24" s="218" t="str">
        <f t="shared" si="43"/>
        <v/>
      </c>
      <c r="CH24" s="218" t="str">
        <f t="shared" si="44"/>
        <v/>
      </c>
      <c r="CI24" s="218" t="str">
        <f t="shared" si="45"/>
        <v/>
      </c>
      <c r="CJ24" s="218" t="str">
        <f t="shared" si="46"/>
        <v/>
      </c>
      <c r="CK24" s="218" t="str">
        <f t="shared" si="47"/>
        <v/>
      </c>
      <c r="CL24" s="218" t="str">
        <f t="shared" si="48"/>
        <v/>
      </c>
      <c r="CM24" s="218" t="str">
        <f t="shared" si="49"/>
        <v/>
      </c>
      <c r="CN24" s="218" t="str">
        <f t="shared" si="50"/>
        <v/>
      </c>
      <c r="CO24" s="218" t="str">
        <f t="shared" si="51"/>
        <v/>
      </c>
      <c r="CP24" s="218" t="str">
        <f t="shared" si="52"/>
        <v/>
      </c>
      <c r="CQ24" s="218" t="str">
        <f t="shared" si="53"/>
        <v/>
      </c>
      <c r="CR24" s="218" t="str">
        <f t="shared" si="54"/>
        <v/>
      </c>
      <c r="CS24" s="218" t="str">
        <f t="shared" si="55"/>
        <v/>
      </c>
      <c r="CT24" s="218" t="str">
        <f t="shared" si="56"/>
        <v/>
      </c>
      <c r="CU24" s="218" t="str">
        <f t="shared" si="57"/>
        <v/>
      </c>
      <c r="CV24" s="218" t="str">
        <f t="shared" si="58"/>
        <v/>
      </c>
      <c r="CW24" s="218" t="str">
        <f t="shared" si="59"/>
        <v/>
      </c>
      <c r="CX24" s="218" t="str">
        <f t="shared" si="60"/>
        <v/>
      </c>
      <c r="CY24" s="218" t="str">
        <f t="shared" si="61"/>
        <v/>
      </c>
      <c r="CZ24" s="218" t="str">
        <f t="shared" si="62"/>
        <v/>
      </c>
      <c r="DA24" s="218" t="str">
        <f t="shared" si="63"/>
        <v/>
      </c>
      <c r="DB24" s="218" t="str">
        <f t="shared" si="64"/>
        <v/>
      </c>
      <c r="DC24" s="218" t="str">
        <f t="shared" si="65"/>
        <v/>
      </c>
      <c r="DD24" s="218" t="str">
        <f t="shared" si="66"/>
        <v/>
      </c>
      <c r="DF24" s="218" t="str">
        <f t="shared" si="67"/>
        <v/>
      </c>
      <c r="DG24" s="218" t="str">
        <f t="shared" si="68"/>
        <v/>
      </c>
      <c r="DH24" s="218" t="str">
        <f t="shared" si="69"/>
        <v/>
      </c>
      <c r="DI24" s="218" t="str">
        <f t="shared" si="70"/>
        <v/>
      </c>
      <c r="DJ24" s="218" t="str">
        <f t="shared" si="71"/>
        <v/>
      </c>
      <c r="DK24" s="218" t="str">
        <f t="shared" si="72"/>
        <v/>
      </c>
      <c r="DL24" s="218" t="str">
        <f t="shared" si="73"/>
        <v/>
      </c>
      <c r="DM24" s="218" t="str">
        <f t="shared" si="74"/>
        <v/>
      </c>
      <c r="DN24" s="218" t="str">
        <f t="shared" si="75"/>
        <v/>
      </c>
      <c r="DO24" s="218" t="str">
        <f t="shared" si="76"/>
        <v/>
      </c>
      <c r="DP24" s="218" t="str">
        <f t="shared" si="77"/>
        <v/>
      </c>
      <c r="DQ24" s="218" t="str">
        <f t="shared" si="78"/>
        <v/>
      </c>
      <c r="DR24" s="218" t="str">
        <f t="shared" si="79"/>
        <v/>
      </c>
      <c r="DS24" s="218" t="str">
        <f t="shared" si="80"/>
        <v/>
      </c>
      <c r="DT24" s="218" t="str">
        <f t="shared" si="81"/>
        <v/>
      </c>
      <c r="DU24" s="218" t="str">
        <f t="shared" si="82"/>
        <v/>
      </c>
      <c r="DV24" s="218" t="str">
        <f t="shared" si="83"/>
        <v/>
      </c>
      <c r="DW24" s="218" t="str">
        <f t="shared" si="84"/>
        <v/>
      </c>
      <c r="DX24" s="218" t="str">
        <f t="shared" si="85"/>
        <v/>
      </c>
      <c r="DY24" s="218" t="str">
        <f t="shared" si="86"/>
        <v/>
      </c>
      <c r="DZ24" s="218" t="str">
        <f t="shared" si="87"/>
        <v/>
      </c>
      <c r="EA24" s="218" t="str">
        <f t="shared" si="88"/>
        <v/>
      </c>
      <c r="EB24" s="218" t="str">
        <f t="shared" si="89"/>
        <v/>
      </c>
      <c r="EC24" s="218" t="str">
        <f t="shared" si="90"/>
        <v/>
      </c>
      <c r="EE24" s="218" t="str">
        <f t="shared" si="91"/>
        <v/>
      </c>
      <c r="EF24" s="218" t="str">
        <f t="shared" si="92"/>
        <v/>
      </c>
      <c r="EG24" s="218" t="str">
        <f t="shared" si="93"/>
        <v/>
      </c>
      <c r="EH24" s="218" t="str">
        <f t="shared" si="94"/>
        <v/>
      </c>
      <c r="EI24" s="218" t="str">
        <f t="shared" si="95"/>
        <v/>
      </c>
      <c r="EJ24" s="218" t="str">
        <f t="shared" si="96"/>
        <v/>
      </c>
      <c r="EK24" s="218" t="str">
        <f t="shared" si="97"/>
        <v/>
      </c>
      <c r="EL24" s="218" t="str">
        <f t="shared" si="98"/>
        <v/>
      </c>
      <c r="EM24" s="218" t="str">
        <f t="shared" si="99"/>
        <v/>
      </c>
      <c r="EN24" s="218" t="str">
        <f t="shared" si="100"/>
        <v/>
      </c>
      <c r="EO24" s="218" t="str">
        <f t="shared" si="101"/>
        <v/>
      </c>
      <c r="EP24" s="218" t="str">
        <f t="shared" si="102"/>
        <v/>
      </c>
      <c r="EQ24" s="218" t="str">
        <f t="shared" si="103"/>
        <v/>
      </c>
      <c r="ER24" s="218" t="str">
        <f t="shared" si="104"/>
        <v/>
      </c>
      <c r="ES24" s="218" t="str">
        <f t="shared" si="105"/>
        <v/>
      </c>
      <c r="ET24" s="218" t="str">
        <f t="shared" si="106"/>
        <v/>
      </c>
      <c r="EU24" s="218" t="str">
        <f t="shared" si="107"/>
        <v/>
      </c>
      <c r="EV24" s="218" t="str">
        <f t="shared" si="108"/>
        <v/>
      </c>
      <c r="EW24" s="218" t="str">
        <f t="shared" si="109"/>
        <v/>
      </c>
      <c r="EX24" s="218" t="str">
        <f t="shared" si="110"/>
        <v/>
      </c>
      <c r="EY24" s="218" t="str">
        <f t="shared" si="111"/>
        <v/>
      </c>
      <c r="FA24" s="218" t="str">
        <f t="shared" si="112"/>
        <v/>
      </c>
      <c r="FB24" s="218" t="str">
        <f t="shared" si="113"/>
        <v/>
      </c>
      <c r="FC24" s="218" t="str">
        <f t="shared" si="114"/>
        <v/>
      </c>
      <c r="FD24" s="218" t="str">
        <f t="shared" si="115"/>
        <v/>
      </c>
      <c r="FE24" s="218" t="str">
        <f t="shared" si="116"/>
        <v/>
      </c>
      <c r="FF24" s="218" t="str">
        <f t="shared" si="117"/>
        <v/>
      </c>
      <c r="FG24" s="218" t="str">
        <f t="shared" si="118"/>
        <v/>
      </c>
      <c r="FH24" s="218" t="str">
        <f t="shared" si="119"/>
        <v/>
      </c>
      <c r="FI24" s="218" t="str">
        <f t="shared" si="120"/>
        <v/>
      </c>
      <c r="FJ24" s="218" t="str">
        <f t="shared" si="121"/>
        <v/>
      </c>
      <c r="FK24" s="218" t="str">
        <f t="shared" si="122"/>
        <v/>
      </c>
      <c r="FL24" s="218" t="str">
        <f t="shared" si="123"/>
        <v/>
      </c>
      <c r="FM24" s="218" t="str">
        <f t="shared" si="124"/>
        <v/>
      </c>
      <c r="FN24" s="218" t="str">
        <f t="shared" si="125"/>
        <v/>
      </c>
      <c r="FO24" s="218" t="str">
        <f t="shared" si="126"/>
        <v/>
      </c>
      <c r="FP24" s="218" t="str">
        <f t="shared" si="127"/>
        <v/>
      </c>
      <c r="FQ24" s="218" t="str">
        <f t="shared" si="128"/>
        <v/>
      </c>
      <c r="FR24" s="218" t="str">
        <f t="shared" si="129"/>
        <v/>
      </c>
      <c r="FT24" s="218" t="str">
        <f t="shared" si="130"/>
        <v/>
      </c>
      <c r="FU24" s="218" t="str">
        <f t="shared" si="131"/>
        <v/>
      </c>
      <c r="FV24" s="218" t="str">
        <f t="shared" si="132"/>
        <v/>
      </c>
      <c r="FW24" s="218" t="str">
        <f t="shared" si="133"/>
        <v/>
      </c>
      <c r="FX24" s="218" t="str">
        <f t="shared" si="134"/>
        <v/>
      </c>
      <c r="FY24" s="218" t="str">
        <f t="shared" si="135"/>
        <v/>
      </c>
      <c r="FZ24" s="218" t="str">
        <f t="shared" si="136"/>
        <v/>
      </c>
      <c r="GA24" s="218" t="str">
        <f t="shared" si="137"/>
        <v/>
      </c>
      <c r="GB24" s="218" t="str">
        <f t="shared" si="138"/>
        <v/>
      </c>
      <c r="GC24" s="218" t="str">
        <f t="shared" si="139"/>
        <v/>
      </c>
      <c r="GD24" s="218" t="str">
        <f t="shared" si="140"/>
        <v/>
      </c>
      <c r="GE24" s="218" t="str">
        <f t="shared" si="141"/>
        <v/>
      </c>
      <c r="GF24" s="218" t="str">
        <f t="shared" si="142"/>
        <v/>
      </c>
      <c r="GG24" s="218" t="str">
        <f t="shared" si="143"/>
        <v/>
      </c>
      <c r="GH24" s="218" t="str">
        <f t="shared" si="144"/>
        <v/>
      </c>
      <c r="GJ24" s="218" t="str">
        <f t="shared" si="145"/>
        <v/>
      </c>
      <c r="GK24" s="218" t="str">
        <f t="shared" si="146"/>
        <v/>
      </c>
      <c r="GL24" s="218" t="str">
        <f t="shared" si="147"/>
        <v/>
      </c>
      <c r="GM24" s="218" t="str">
        <f t="shared" si="148"/>
        <v/>
      </c>
      <c r="GN24" s="218" t="str">
        <f t="shared" si="149"/>
        <v/>
      </c>
      <c r="GO24" s="218" t="str">
        <f t="shared" si="150"/>
        <v/>
      </c>
      <c r="GP24" s="218" t="str">
        <f t="shared" si="151"/>
        <v/>
      </c>
      <c r="GQ24" s="218" t="str">
        <f t="shared" si="152"/>
        <v/>
      </c>
      <c r="GR24" s="218" t="str">
        <f t="shared" si="153"/>
        <v/>
      </c>
      <c r="GS24" s="218" t="str">
        <f t="shared" si="154"/>
        <v/>
      </c>
      <c r="GT24" s="218" t="str">
        <f t="shared" si="155"/>
        <v/>
      </c>
      <c r="GU24" s="218" t="str">
        <f t="shared" si="156"/>
        <v/>
      </c>
      <c r="GW24" s="218" t="str">
        <f t="shared" si="157"/>
        <v/>
      </c>
      <c r="GX24" s="218" t="str">
        <f t="shared" si="158"/>
        <v/>
      </c>
      <c r="GY24" s="218" t="str">
        <f t="shared" si="159"/>
        <v/>
      </c>
      <c r="GZ24" s="218" t="str">
        <f t="shared" si="160"/>
        <v/>
      </c>
      <c r="HA24" s="218" t="str">
        <f t="shared" si="161"/>
        <v/>
      </c>
      <c r="HB24" s="218" t="str">
        <f t="shared" si="162"/>
        <v/>
      </c>
      <c r="HC24" s="218" t="str">
        <f t="shared" si="163"/>
        <v/>
      </c>
      <c r="HD24" s="218" t="str">
        <f t="shared" si="164"/>
        <v/>
      </c>
      <c r="HE24" s="218" t="str">
        <f t="shared" si="165"/>
        <v/>
      </c>
      <c r="HG24" s="218" t="str">
        <f t="shared" si="166"/>
        <v/>
      </c>
      <c r="HH24" s="218" t="str">
        <f t="shared" si="167"/>
        <v/>
      </c>
      <c r="HI24" s="218" t="str">
        <f t="shared" si="168"/>
        <v/>
      </c>
      <c r="HJ24" s="218" t="str">
        <f t="shared" si="169"/>
        <v/>
      </c>
      <c r="HK24" s="218" t="str">
        <f t="shared" si="170"/>
        <v/>
      </c>
      <c r="HL24" s="218" t="str">
        <f t="shared" si="171"/>
        <v/>
      </c>
      <c r="HN24" s="218" t="str">
        <f t="shared" si="172"/>
        <v/>
      </c>
      <c r="HO24" s="218" t="str">
        <f t="shared" si="173"/>
        <v/>
      </c>
      <c r="HP24" s="218" t="str">
        <f t="shared" si="174"/>
        <v/>
      </c>
      <c r="HR24" s="218" t="str">
        <f t="shared" si="224"/>
        <v/>
      </c>
      <c r="HS24" s="218" t="str">
        <f t="shared" si="225"/>
        <v/>
      </c>
      <c r="HT24" s="218" t="str">
        <f t="shared" si="175"/>
        <v/>
      </c>
      <c r="HU24" s="218" t="str">
        <f t="shared" si="176"/>
        <v/>
      </c>
      <c r="HV24" s="218" t="str">
        <f t="shared" si="177"/>
        <v/>
      </c>
      <c r="HW24" s="218" t="str">
        <f t="shared" si="178"/>
        <v/>
      </c>
      <c r="HX24" s="218" t="str">
        <f t="shared" si="179"/>
        <v/>
      </c>
      <c r="HY24" s="218" t="str">
        <f t="shared" si="180"/>
        <v/>
      </c>
      <c r="HZ24" s="218" t="str">
        <f t="shared" si="181"/>
        <v/>
      </c>
      <c r="IA24" s="218" t="str">
        <f t="shared" si="182"/>
        <v/>
      </c>
      <c r="IB24" s="218" t="str">
        <f t="shared" si="183"/>
        <v/>
      </c>
      <c r="IC24" s="218" t="str">
        <f t="shared" si="184"/>
        <v/>
      </c>
      <c r="ID24" s="218" t="str">
        <f t="shared" si="185"/>
        <v/>
      </c>
      <c r="IE24" s="218" t="str">
        <f t="shared" si="186"/>
        <v/>
      </c>
      <c r="IF24" s="218" t="str">
        <f t="shared" si="187"/>
        <v/>
      </c>
      <c r="IG24" s="218" t="str">
        <f t="shared" si="188"/>
        <v/>
      </c>
      <c r="IH24" s="218" t="str">
        <f t="shared" si="189"/>
        <v/>
      </c>
      <c r="II24" s="218" t="str">
        <f t="shared" si="190"/>
        <v/>
      </c>
      <c r="IJ24" s="218" t="str">
        <f t="shared" si="191"/>
        <v/>
      </c>
      <c r="IK24" s="218" t="str">
        <f t="shared" si="192"/>
        <v/>
      </c>
      <c r="IL24" s="218" t="str">
        <f t="shared" si="193"/>
        <v/>
      </c>
      <c r="IM24" s="218" t="str">
        <f t="shared" si="194"/>
        <v/>
      </c>
      <c r="IN24" s="218" t="str">
        <f t="shared" si="195"/>
        <v/>
      </c>
      <c r="IO24" s="218" t="str">
        <f t="shared" si="196"/>
        <v/>
      </c>
      <c r="IP24" s="218" t="str">
        <f t="shared" si="197"/>
        <v/>
      </c>
      <c r="IQ24" s="218" t="str">
        <f t="shared" si="198"/>
        <v/>
      </c>
      <c r="IR24" s="218" t="str">
        <f t="shared" si="199"/>
        <v/>
      </c>
      <c r="IS24" s="218" t="str">
        <f t="shared" si="200"/>
        <v/>
      </c>
      <c r="IT24" s="218" t="str">
        <f t="shared" si="201"/>
        <v/>
      </c>
      <c r="IU24" s="218" t="str">
        <f t="shared" si="202"/>
        <v/>
      </c>
    </row>
    <row r="25" spans="1:255" x14ac:dyDescent="0.2">
      <c r="A25" s="200" t="s">
        <v>28</v>
      </c>
      <c r="B25" s="178"/>
      <c r="C25" s="180"/>
      <c r="D25" s="181"/>
      <c r="E25" s="181"/>
      <c r="F25" s="197"/>
      <c r="G25" s="198"/>
      <c r="H25" s="197"/>
      <c r="I25" s="197"/>
      <c r="J25" s="197"/>
      <c r="K25" s="185"/>
      <c r="L25" s="217" t="str">
        <f t="shared" si="29"/>
        <v/>
      </c>
      <c r="M25" s="218">
        <f>'HKG vs. BK'!M25</f>
        <v>21.342715215320588</v>
      </c>
      <c r="N25" s="218" t="str">
        <f>'HKG vs. BK'!N25</f>
        <v>±0,6</v>
      </c>
      <c r="O25" s="218" t="str">
        <f>'HKG vs. BK'!O25</f>
        <v>±2,67</v>
      </c>
      <c r="P25" s="218" t="str">
        <f>'HKG vs. BK'!P25</f>
        <v>±0,29</v>
      </c>
      <c r="Q25" s="219" t="str">
        <f t="shared" si="203"/>
        <v/>
      </c>
      <c r="R25" s="220" t="str">
        <f t="shared" si="0"/>
        <v/>
      </c>
      <c r="S25" s="220" t="str">
        <f t="shared" si="1"/>
        <v/>
      </c>
      <c r="T25" s="219" t="str">
        <f t="shared" si="2"/>
        <v/>
      </c>
      <c r="U25" s="220" t="str">
        <f t="shared" si="3"/>
        <v/>
      </c>
      <c r="V25" s="220" t="str">
        <f t="shared" si="4"/>
        <v/>
      </c>
      <c r="W25" s="219" t="str">
        <f t="shared" si="5"/>
        <v/>
      </c>
      <c r="X25" s="220" t="str">
        <f t="shared" si="6"/>
        <v/>
      </c>
      <c r="Y25" s="220" t="str">
        <f t="shared" si="7"/>
        <v/>
      </c>
      <c r="Z25" s="219" t="str">
        <f t="shared" si="8"/>
        <v/>
      </c>
      <c r="AA25" s="220" t="str">
        <f t="shared" si="9"/>
        <v/>
      </c>
      <c r="AB25" s="220" t="str">
        <f t="shared" si="10"/>
        <v/>
      </c>
      <c r="AC25" s="219" t="str">
        <f t="shared" si="11"/>
        <v/>
      </c>
      <c r="AD25" s="220" t="str">
        <f t="shared" si="12"/>
        <v/>
      </c>
      <c r="AE25" s="220" t="str">
        <f t="shared" si="13"/>
        <v/>
      </c>
      <c r="AF25" s="219" t="str">
        <f t="shared" si="14"/>
        <v/>
      </c>
      <c r="AG25" s="220" t="str">
        <f t="shared" si="15"/>
        <v/>
      </c>
      <c r="AH25" s="220" t="str">
        <f t="shared" si="16"/>
        <v/>
      </c>
      <c r="AI25" s="219" t="str">
        <f t="shared" si="17"/>
        <v/>
      </c>
      <c r="AJ25" s="220" t="str">
        <f t="shared" si="18"/>
        <v/>
      </c>
      <c r="AK25" s="220" t="str">
        <f t="shared" si="19"/>
        <v/>
      </c>
      <c r="AL25" s="219" t="str">
        <f t="shared" si="20"/>
        <v/>
      </c>
      <c r="AM25" s="220" t="str">
        <f t="shared" si="21"/>
        <v/>
      </c>
      <c r="AN25" s="220" t="str">
        <f t="shared" si="22"/>
        <v/>
      </c>
      <c r="AO25" s="219" t="str">
        <f t="shared" si="23"/>
        <v/>
      </c>
      <c r="AP25" s="220" t="str">
        <f t="shared" si="24"/>
        <v/>
      </c>
      <c r="AQ25" s="220" t="str">
        <f t="shared" si="25"/>
        <v/>
      </c>
      <c r="AR25" s="219" t="str">
        <f t="shared" si="26"/>
        <v/>
      </c>
      <c r="AS25" s="220" t="str">
        <f t="shared" si="27"/>
        <v/>
      </c>
      <c r="AT25" s="220" t="str">
        <f t="shared" si="28"/>
        <v/>
      </c>
      <c r="AU25" s="221"/>
      <c r="AV25" s="221"/>
      <c r="AW25" s="221"/>
      <c r="AY25" s="218" t="str">
        <f t="shared" si="204"/>
        <v/>
      </c>
      <c r="AZ25" s="218" t="str">
        <f t="shared" si="205"/>
        <v/>
      </c>
      <c r="BA25" s="218" t="str">
        <f t="shared" si="30"/>
        <v/>
      </c>
      <c r="BB25" s="218" t="str">
        <f t="shared" si="206"/>
        <v/>
      </c>
      <c r="BC25" s="218" t="str">
        <f t="shared" si="207"/>
        <v/>
      </c>
      <c r="BD25" s="218" t="str">
        <f t="shared" si="31"/>
        <v/>
      </c>
      <c r="BE25" s="218" t="str">
        <f t="shared" si="208"/>
        <v/>
      </c>
      <c r="BF25" s="218" t="str">
        <f t="shared" si="209"/>
        <v/>
      </c>
      <c r="BG25" s="218" t="str">
        <f t="shared" si="32"/>
        <v/>
      </c>
      <c r="BH25" s="218" t="str">
        <f t="shared" si="210"/>
        <v/>
      </c>
      <c r="BI25" s="218" t="str">
        <f t="shared" si="211"/>
        <v/>
      </c>
      <c r="BJ25" s="218" t="str">
        <f t="shared" si="33"/>
        <v/>
      </c>
      <c r="BK25" s="218" t="str">
        <f t="shared" si="212"/>
        <v/>
      </c>
      <c r="BL25" s="218" t="str">
        <f t="shared" si="213"/>
        <v/>
      </c>
      <c r="BM25" s="218" t="str">
        <f t="shared" si="34"/>
        <v/>
      </c>
      <c r="BN25" s="218" t="str">
        <f t="shared" si="214"/>
        <v/>
      </c>
      <c r="BO25" s="218" t="str">
        <f t="shared" si="215"/>
        <v/>
      </c>
      <c r="BP25" s="218" t="str">
        <f t="shared" si="35"/>
        <v/>
      </c>
      <c r="BQ25" s="218" t="str">
        <f t="shared" si="216"/>
        <v/>
      </c>
      <c r="BR25" s="218" t="str">
        <f t="shared" si="217"/>
        <v/>
      </c>
      <c r="BS25" s="218" t="str">
        <f t="shared" si="36"/>
        <v/>
      </c>
      <c r="BT25" s="218" t="str">
        <f t="shared" si="218"/>
        <v/>
      </c>
      <c r="BU25" s="218" t="str">
        <f t="shared" si="219"/>
        <v/>
      </c>
      <c r="BV25" s="218" t="str">
        <f t="shared" si="37"/>
        <v/>
      </c>
      <c r="BW25" s="218" t="str">
        <f t="shared" si="220"/>
        <v/>
      </c>
      <c r="BX25" s="218" t="str">
        <f t="shared" si="221"/>
        <v/>
      </c>
      <c r="BY25" s="218" t="str">
        <f t="shared" si="38"/>
        <v/>
      </c>
      <c r="BZ25" s="218" t="str">
        <f t="shared" si="222"/>
        <v/>
      </c>
      <c r="CA25" s="218" t="str">
        <f t="shared" si="223"/>
        <v/>
      </c>
      <c r="CB25" s="218" t="str">
        <f t="shared" si="39"/>
        <v/>
      </c>
      <c r="CD25" s="218" t="str">
        <f t="shared" si="40"/>
        <v/>
      </c>
      <c r="CE25" s="218" t="str">
        <f t="shared" si="41"/>
        <v/>
      </c>
      <c r="CF25" s="218" t="str">
        <f t="shared" si="42"/>
        <v/>
      </c>
      <c r="CG25" s="218" t="str">
        <f t="shared" si="43"/>
        <v/>
      </c>
      <c r="CH25" s="218" t="str">
        <f t="shared" si="44"/>
        <v/>
      </c>
      <c r="CI25" s="218" t="str">
        <f t="shared" si="45"/>
        <v/>
      </c>
      <c r="CJ25" s="218" t="str">
        <f t="shared" si="46"/>
        <v/>
      </c>
      <c r="CK25" s="218" t="str">
        <f t="shared" si="47"/>
        <v/>
      </c>
      <c r="CL25" s="218" t="str">
        <f t="shared" si="48"/>
        <v/>
      </c>
      <c r="CM25" s="218" t="str">
        <f t="shared" si="49"/>
        <v/>
      </c>
      <c r="CN25" s="218" t="str">
        <f t="shared" si="50"/>
        <v/>
      </c>
      <c r="CO25" s="218" t="str">
        <f t="shared" si="51"/>
        <v/>
      </c>
      <c r="CP25" s="218" t="str">
        <f t="shared" si="52"/>
        <v/>
      </c>
      <c r="CQ25" s="218" t="str">
        <f t="shared" si="53"/>
        <v/>
      </c>
      <c r="CR25" s="218" t="str">
        <f t="shared" si="54"/>
        <v/>
      </c>
      <c r="CS25" s="218" t="str">
        <f t="shared" si="55"/>
        <v/>
      </c>
      <c r="CT25" s="218" t="str">
        <f t="shared" si="56"/>
        <v/>
      </c>
      <c r="CU25" s="218" t="str">
        <f t="shared" si="57"/>
        <v/>
      </c>
      <c r="CV25" s="218" t="str">
        <f t="shared" si="58"/>
        <v/>
      </c>
      <c r="CW25" s="218" t="str">
        <f t="shared" si="59"/>
        <v/>
      </c>
      <c r="CX25" s="218" t="str">
        <f t="shared" si="60"/>
        <v/>
      </c>
      <c r="CY25" s="218" t="str">
        <f t="shared" si="61"/>
        <v/>
      </c>
      <c r="CZ25" s="218" t="str">
        <f t="shared" si="62"/>
        <v/>
      </c>
      <c r="DA25" s="218" t="str">
        <f t="shared" si="63"/>
        <v/>
      </c>
      <c r="DB25" s="218" t="str">
        <f t="shared" si="64"/>
        <v/>
      </c>
      <c r="DC25" s="218" t="str">
        <f t="shared" si="65"/>
        <v/>
      </c>
      <c r="DD25" s="218" t="str">
        <f t="shared" si="66"/>
        <v/>
      </c>
      <c r="DF25" s="218" t="str">
        <f t="shared" si="67"/>
        <v/>
      </c>
      <c r="DG25" s="218" t="str">
        <f t="shared" si="68"/>
        <v/>
      </c>
      <c r="DH25" s="218" t="str">
        <f t="shared" si="69"/>
        <v/>
      </c>
      <c r="DI25" s="218" t="str">
        <f t="shared" si="70"/>
        <v/>
      </c>
      <c r="DJ25" s="218" t="str">
        <f t="shared" si="71"/>
        <v/>
      </c>
      <c r="DK25" s="218" t="str">
        <f t="shared" si="72"/>
        <v/>
      </c>
      <c r="DL25" s="218" t="str">
        <f t="shared" si="73"/>
        <v/>
      </c>
      <c r="DM25" s="218" t="str">
        <f t="shared" si="74"/>
        <v/>
      </c>
      <c r="DN25" s="218" t="str">
        <f t="shared" si="75"/>
        <v/>
      </c>
      <c r="DO25" s="218" t="str">
        <f t="shared" si="76"/>
        <v/>
      </c>
      <c r="DP25" s="218" t="str">
        <f t="shared" si="77"/>
        <v/>
      </c>
      <c r="DQ25" s="218" t="str">
        <f t="shared" si="78"/>
        <v/>
      </c>
      <c r="DR25" s="218" t="str">
        <f t="shared" si="79"/>
        <v/>
      </c>
      <c r="DS25" s="218" t="str">
        <f t="shared" si="80"/>
        <v/>
      </c>
      <c r="DT25" s="218" t="str">
        <f t="shared" si="81"/>
        <v/>
      </c>
      <c r="DU25" s="218" t="str">
        <f t="shared" si="82"/>
        <v/>
      </c>
      <c r="DV25" s="218" t="str">
        <f t="shared" si="83"/>
        <v/>
      </c>
      <c r="DW25" s="218" t="str">
        <f t="shared" si="84"/>
        <v/>
      </c>
      <c r="DX25" s="218" t="str">
        <f t="shared" si="85"/>
        <v/>
      </c>
      <c r="DY25" s="218" t="str">
        <f t="shared" si="86"/>
        <v/>
      </c>
      <c r="DZ25" s="218" t="str">
        <f t="shared" si="87"/>
        <v/>
      </c>
      <c r="EA25" s="218" t="str">
        <f t="shared" si="88"/>
        <v/>
      </c>
      <c r="EB25" s="218" t="str">
        <f t="shared" si="89"/>
        <v/>
      </c>
      <c r="EC25" s="218" t="str">
        <f t="shared" si="90"/>
        <v/>
      </c>
      <c r="EE25" s="218" t="str">
        <f t="shared" si="91"/>
        <v/>
      </c>
      <c r="EF25" s="218" t="str">
        <f t="shared" si="92"/>
        <v/>
      </c>
      <c r="EG25" s="218" t="str">
        <f t="shared" si="93"/>
        <v/>
      </c>
      <c r="EH25" s="218" t="str">
        <f t="shared" si="94"/>
        <v/>
      </c>
      <c r="EI25" s="218" t="str">
        <f t="shared" si="95"/>
        <v/>
      </c>
      <c r="EJ25" s="218" t="str">
        <f t="shared" si="96"/>
        <v/>
      </c>
      <c r="EK25" s="218" t="str">
        <f t="shared" si="97"/>
        <v/>
      </c>
      <c r="EL25" s="218" t="str">
        <f t="shared" si="98"/>
        <v/>
      </c>
      <c r="EM25" s="218" t="str">
        <f t="shared" si="99"/>
        <v/>
      </c>
      <c r="EN25" s="218" t="str">
        <f t="shared" si="100"/>
        <v/>
      </c>
      <c r="EO25" s="218" t="str">
        <f t="shared" si="101"/>
        <v/>
      </c>
      <c r="EP25" s="218" t="str">
        <f t="shared" si="102"/>
        <v/>
      </c>
      <c r="EQ25" s="218" t="str">
        <f t="shared" si="103"/>
        <v/>
      </c>
      <c r="ER25" s="218" t="str">
        <f t="shared" si="104"/>
        <v/>
      </c>
      <c r="ES25" s="218" t="str">
        <f t="shared" si="105"/>
        <v/>
      </c>
      <c r="ET25" s="218" t="str">
        <f t="shared" si="106"/>
        <v/>
      </c>
      <c r="EU25" s="218" t="str">
        <f t="shared" si="107"/>
        <v/>
      </c>
      <c r="EV25" s="218" t="str">
        <f t="shared" si="108"/>
        <v/>
      </c>
      <c r="EW25" s="218" t="str">
        <f t="shared" si="109"/>
        <v/>
      </c>
      <c r="EX25" s="218" t="str">
        <f t="shared" si="110"/>
        <v/>
      </c>
      <c r="EY25" s="218" t="str">
        <f t="shared" si="111"/>
        <v/>
      </c>
      <c r="FA25" s="218" t="str">
        <f t="shared" si="112"/>
        <v/>
      </c>
      <c r="FB25" s="218" t="str">
        <f t="shared" si="113"/>
        <v/>
      </c>
      <c r="FC25" s="218" t="str">
        <f t="shared" si="114"/>
        <v/>
      </c>
      <c r="FD25" s="218" t="str">
        <f t="shared" si="115"/>
        <v/>
      </c>
      <c r="FE25" s="218" t="str">
        <f t="shared" si="116"/>
        <v/>
      </c>
      <c r="FF25" s="218" t="str">
        <f t="shared" si="117"/>
        <v/>
      </c>
      <c r="FG25" s="218" t="str">
        <f t="shared" si="118"/>
        <v/>
      </c>
      <c r="FH25" s="218" t="str">
        <f t="shared" si="119"/>
        <v/>
      </c>
      <c r="FI25" s="218" t="str">
        <f t="shared" si="120"/>
        <v/>
      </c>
      <c r="FJ25" s="218" t="str">
        <f t="shared" si="121"/>
        <v/>
      </c>
      <c r="FK25" s="218" t="str">
        <f t="shared" si="122"/>
        <v/>
      </c>
      <c r="FL25" s="218" t="str">
        <f t="shared" si="123"/>
        <v/>
      </c>
      <c r="FM25" s="218" t="str">
        <f t="shared" si="124"/>
        <v/>
      </c>
      <c r="FN25" s="218" t="str">
        <f t="shared" si="125"/>
        <v/>
      </c>
      <c r="FO25" s="218" t="str">
        <f t="shared" si="126"/>
        <v/>
      </c>
      <c r="FP25" s="218" t="str">
        <f t="shared" si="127"/>
        <v/>
      </c>
      <c r="FQ25" s="218" t="str">
        <f t="shared" si="128"/>
        <v/>
      </c>
      <c r="FR25" s="218" t="str">
        <f t="shared" si="129"/>
        <v/>
      </c>
      <c r="FT25" s="218" t="str">
        <f t="shared" si="130"/>
        <v/>
      </c>
      <c r="FU25" s="218" t="str">
        <f t="shared" si="131"/>
        <v/>
      </c>
      <c r="FV25" s="218" t="str">
        <f t="shared" si="132"/>
        <v/>
      </c>
      <c r="FW25" s="218" t="str">
        <f t="shared" si="133"/>
        <v/>
      </c>
      <c r="FX25" s="218" t="str">
        <f t="shared" si="134"/>
        <v/>
      </c>
      <c r="FY25" s="218" t="str">
        <f t="shared" si="135"/>
        <v/>
      </c>
      <c r="FZ25" s="218" t="str">
        <f t="shared" si="136"/>
        <v/>
      </c>
      <c r="GA25" s="218" t="str">
        <f t="shared" si="137"/>
        <v/>
      </c>
      <c r="GB25" s="218" t="str">
        <f t="shared" si="138"/>
        <v/>
      </c>
      <c r="GC25" s="218" t="str">
        <f t="shared" si="139"/>
        <v/>
      </c>
      <c r="GD25" s="218" t="str">
        <f t="shared" si="140"/>
        <v/>
      </c>
      <c r="GE25" s="218" t="str">
        <f t="shared" si="141"/>
        <v/>
      </c>
      <c r="GF25" s="218" t="str">
        <f t="shared" si="142"/>
        <v/>
      </c>
      <c r="GG25" s="218" t="str">
        <f t="shared" si="143"/>
        <v/>
      </c>
      <c r="GH25" s="218" t="str">
        <f t="shared" si="144"/>
        <v/>
      </c>
      <c r="GJ25" s="218" t="str">
        <f t="shared" si="145"/>
        <v/>
      </c>
      <c r="GK25" s="218" t="str">
        <f t="shared" si="146"/>
        <v/>
      </c>
      <c r="GL25" s="218" t="str">
        <f t="shared" si="147"/>
        <v/>
      </c>
      <c r="GM25" s="218" t="str">
        <f t="shared" si="148"/>
        <v/>
      </c>
      <c r="GN25" s="218" t="str">
        <f t="shared" si="149"/>
        <v/>
      </c>
      <c r="GO25" s="218" t="str">
        <f t="shared" si="150"/>
        <v/>
      </c>
      <c r="GP25" s="218" t="str">
        <f t="shared" si="151"/>
        <v/>
      </c>
      <c r="GQ25" s="218" t="str">
        <f t="shared" si="152"/>
        <v/>
      </c>
      <c r="GR25" s="218" t="str">
        <f t="shared" si="153"/>
        <v/>
      </c>
      <c r="GS25" s="218" t="str">
        <f t="shared" si="154"/>
        <v/>
      </c>
      <c r="GT25" s="218" t="str">
        <f t="shared" si="155"/>
        <v/>
      </c>
      <c r="GU25" s="218" t="str">
        <f t="shared" si="156"/>
        <v/>
      </c>
      <c r="GW25" s="218" t="str">
        <f t="shared" si="157"/>
        <v/>
      </c>
      <c r="GX25" s="218" t="str">
        <f t="shared" si="158"/>
        <v/>
      </c>
      <c r="GY25" s="218" t="str">
        <f t="shared" si="159"/>
        <v/>
      </c>
      <c r="GZ25" s="218" t="str">
        <f t="shared" si="160"/>
        <v/>
      </c>
      <c r="HA25" s="218" t="str">
        <f t="shared" si="161"/>
        <v/>
      </c>
      <c r="HB25" s="218" t="str">
        <f t="shared" si="162"/>
        <v/>
      </c>
      <c r="HC25" s="218" t="str">
        <f t="shared" si="163"/>
        <v/>
      </c>
      <c r="HD25" s="218" t="str">
        <f t="shared" si="164"/>
        <v/>
      </c>
      <c r="HE25" s="218" t="str">
        <f t="shared" si="165"/>
        <v/>
      </c>
      <c r="HG25" s="218" t="str">
        <f t="shared" si="166"/>
        <v/>
      </c>
      <c r="HH25" s="218" t="str">
        <f t="shared" si="167"/>
        <v/>
      </c>
      <c r="HI25" s="218" t="str">
        <f t="shared" si="168"/>
        <v/>
      </c>
      <c r="HJ25" s="218" t="str">
        <f t="shared" si="169"/>
        <v/>
      </c>
      <c r="HK25" s="218" t="str">
        <f t="shared" si="170"/>
        <v/>
      </c>
      <c r="HL25" s="218" t="str">
        <f t="shared" si="171"/>
        <v/>
      </c>
      <c r="HN25" s="218" t="str">
        <f t="shared" si="172"/>
        <v/>
      </c>
      <c r="HO25" s="218" t="str">
        <f t="shared" si="173"/>
        <v/>
      </c>
      <c r="HP25" s="218" t="str">
        <f t="shared" si="174"/>
        <v/>
      </c>
      <c r="HR25" s="218" t="str">
        <f t="shared" si="224"/>
        <v/>
      </c>
      <c r="HS25" s="218" t="str">
        <f t="shared" si="225"/>
        <v/>
      </c>
      <c r="HT25" s="218" t="str">
        <f t="shared" si="175"/>
        <v/>
      </c>
      <c r="HU25" s="218" t="str">
        <f t="shared" si="176"/>
        <v/>
      </c>
      <c r="HV25" s="218" t="str">
        <f t="shared" si="177"/>
        <v/>
      </c>
      <c r="HW25" s="218" t="str">
        <f t="shared" si="178"/>
        <v/>
      </c>
      <c r="HX25" s="218" t="str">
        <f t="shared" si="179"/>
        <v/>
      </c>
      <c r="HY25" s="218" t="str">
        <f t="shared" si="180"/>
        <v/>
      </c>
      <c r="HZ25" s="218" t="str">
        <f t="shared" si="181"/>
        <v/>
      </c>
      <c r="IA25" s="218" t="str">
        <f t="shared" si="182"/>
        <v/>
      </c>
      <c r="IB25" s="218" t="str">
        <f t="shared" si="183"/>
        <v/>
      </c>
      <c r="IC25" s="218" t="str">
        <f t="shared" si="184"/>
        <v/>
      </c>
      <c r="ID25" s="218" t="str">
        <f t="shared" si="185"/>
        <v/>
      </c>
      <c r="IE25" s="218" t="str">
        <f t="shared" si="186"/>
        <v/>
      </c>
      <c r="IF25" s="218" t="str">
        <f t="shared" si="187"/>
        <v/>
      </c>
      <c r="IG25" s="218" t="str">
        <f t="shared" si="188"/>
        <v/>
      </c>
      <c r="IH25" s="218" t="str">
        <f t="shared" si="189"/>
        <v/>
      </c>
      <c r="II25" s="218" t="str">
        <f t="shared" si="190"/>
        <v/>
      </c>
      <c r="IJ25" s="218" t="str">
        <f t="shared" si="191"/>
        <v/>
      </c>
      <c r="IK25" s="218" t="str">
        <f t="shared" si="192"/>
        <v/>
      </c>
      <c r="IL25" s="218" t="str">
        <f t="shared" si="193"/>
        <v/>
      </c>
      <c r="IM25" s="218" t="str">
        <f t="shared" si="194"/>
        <v/>
      </c>
      <c r="IN25" s="218" t="str">
        <f t="shared" si="195"/>
        <v/>
      </c>
      <c r="IO25" s="218" t="str">
        <f t="shared" si="196"/>
        <v/>
      </c>
      <c r="IP25" s="218" t="str">
        <f t="shared" si="197"/>
        <v/>
      </c>
      <c r="IQ25" s="218" t="str">
        <f t="shared" si="198"/>
        <v/>
      </c>
      <c r="IR25" s="218" t="str">
        <f t="shared" si="199"/>
        <v/>
      </c>
      <c r="IS25" s="218" t="str">
        <f t="shared" si="200"/>
        <v/>
      </c>
      <c r="IT25" s="218" t="str">
        <f t="shared" si="201"/>
        <v/>
      </c>
      <c r="IU25" s="218" t="str">
        <f t="shared" si="202"/>
        <v/>
      </c>
    </row>
    <row r="26" spans="1:255" x14ac:dyDescent="0.2">
      <c r="A26" s="200" t="s">
        <v>29</v>
      </c>
      <c r="B26" s="178"/>
      <c r="C26" s="180"/>
      <c r="D26" s="181"/>
      <c r="E26" s="181"/>
      <c r="F26" s="197"/>
      <c r="G26" s="198"/>
      <c r="H26" s="197"/>
      <c r="I26" s="197"/>
      <c r="J26" s="197"/>
      <c r="K26" s="185"/>
      <c r="L26" s="217" t="str">
        <f t="shared" si="29"/>
        <v/>
      </c>
      <c r="M26" s="218">
        <f>'HKG vs. BK'!M26</f>
        <v>21.341068462954023</v>
      </c>
      <c r="N26" s="218" t="str">
        <f>'HKG vs. BK'!N26</f>
        <v>±0,64</v>
      </c>
      <c r="O26" s="218" t="str">
        <f>'HKG vs. BK'!O26</f>
        <v>±2,78</v>
      </c>
      <c r="P26" s="218" t="str">
        <f>'HKG vs. BK'!P26</f>
        <v>±0,47</v>
      </c>
      <c r="Q26" s="219" t="str">
        <f t="shared" si="203"/>
        <v/>
      </c>
      <c r="R26" s="220" t="str">
        <f t="shared" si="0"/>
        <v/>
      </c>
      <c r="S26" s="220" t="str">
        <f t="shared" si="1"/>
        <v/>
      </c>
      <c r="T26" s="219" t="str">
        <f t="shared" si="2"/>
        <v/>
      </c>
      <c r="U26" s="220" t="str">
        <f t="shared" si="3"/>
        <v/>
      </c>
      <c r="V26" s="220" t="str">
        <f t="shared" si="4"/>
        <v/>
      </c>
      <c r="W26" s="219" t="str">
        <f t="shared" si="5"/>
        <v/>
      </c>
      <c r="X26" s="220" t="str">
        <f t="shared" si="6"/>
        <v/>
      </c>
      <c r="Y26" s="220" t="str">
        <f t="shared" si="7"/>
        <v/>
      </c>
      <c r="Z26" s="219" t="str">
        <f t="shared" si="8"/>
        <v/>
      </c>
      <c r="AA26" s="220" t="str">
        <f t="shared" si="9"/>
        <v/>
      </c>
      <c r="AB26" s="220" t="str">
        <f t="shared" si="10"/>
        <v/>
      </c>
      <c r="AC26" s="219" t="str">
        <f t="shared" si="11"/>
        <v/>
      </c>
      <c r="AD26" s="220" t="str">
        <f t="shared" si="12"/>
        <v/>
      </c>
      <c r="AE26" s="220" t="str">
        <f t="shared" si="13"/>
        <v/>
      </c>
      <c r="AF26" s="219" t="str">
        <f t="shared" si="14"/>
        <v/>
      </c>
      <c r="AG26" s="220" t="str">
        <f t="shared" si="15"/>
        <v/>
      </c>
      <c r="AH26" s="220" t="str">
        <f t="shared" si="16"/>
        <v/>
      </c>
      <c r="AI26" s="219" t="str">
        <f t="shared" si="17"/>
        <v/>
      </c>
      <c r="AJ26" s="220" t="str">
        <f t="shared" si="18"/>
        <v/>
      </c>
      <c r="AK26" s="220" t="str">
        <f t="shared" si="19"/>
        <v/>
      </c>
      <c r="AL26" s="219" t="str">
        <f t="shared" si="20"/>
        <v/>
      </c>
      <c r="AM26" s="220" t="str">
        <f t="shared" si="21"/>
        <v/>
      </c>
      <c r="AN26" s="220" t="str">
        <f t="shared" si="22"/>
        <v/>
      </c>
      <c r="AO26" s="219" t="str">
        <f t="shared" si="23"/>
        <v/>
      </c>
      <c r="AP26" s="220" t="str">
        <f t="shared" si="24"/>
        <v/>
      </c>
      <c r="AQ26" s="220" t="str">
        <f t="shared" si="25"/>
        <v/>
      </c>
      <c r="AR26" s="219" t="str">
        <f t="shared" si="26"/>
        <v/>
      </c>
      <c r="AS26" s="220" t="str">
        <f t="shared" si="27"/>
        <v/>
      </c>
      <c r="AT26" s="220" t="str">
        <f t="shared" si="28"/>
        <v/>
      </c>
      <c r="AU26" s="221"/>
      <c r="AV26" s="221"/>
      <c r="AW26" s="221"/>
      <c r="AY26" s="218" t="str">
        <f t="shared" si="204"/>
        <v/>
      </c>
      <c r="AZ26" s="218" t="str">
        <f t="shared" si="205"/>
        <v/>
      </c>
      <c r="BA26" s="218" t="str">
        <f t="shared" si="30"/>
        <v/>
      </c>
      <c r="BB26" s="218" t="str">
        <f t="shared" si="206"/>
        <v/>
      </c>
      <c r="BC26" s="218" t="str">
        <f t="shared" si="207"/>
        <v/>
      </c>
      <c r="BD26" s="218" t="str">
        <f t="shared" si="31"/>
        <v/>
      </c>
      <c r="BE26" s="218" t="str">
        <f t="shared" si="208"/>
        <v/>
      </c>
      <c r="BF26" s="218" t="str">
        <f t="shared" si="209"/>
        <v/>
      </c>
      <c r="BG26" s="218" t="str">
        <f t="shared" si="32"/>
        <v/>
      </c>
      <c r="BH26" s="218" t="str">
        <f t="shared" si="210"/>
        <v/>
      </c>
      <c r="BI26" s="218" t="str">
        <f t="shared" si="211"/>
        <v/>
      </c>
      <c r="BJ26" s="218" t="str">
        <f t="shared" si="33"/>
        <v/>
      </c>
      <c r="BK26" s="218" t="str">
        <f t="shared" si="212"/>
        <v/>
      </c>
      <c r="BL26" s="218" t="str">
        <f t="shared" si="213"/>
        <v/>
      </c>
      <c r="BM26" s="218" t="str">
        <f t="shared" si="34"/>
        <v/>
      </c>
      <c r="BN26" s="218" t="str">
        <f t="shared" si="214"/>
        <v/>
      </c>
      <c r="BO26" s="218" t="str">
        <f t="shared" si="215"/>
        <v/>
      </c>
      <c r="BP26" s="218" t="str">
        <f t="shared" si="35"/>
        <v/>
      </c>
      <c r="BQ26" s="218" t="str">
        <f t="shared" si="216"/>
        <v/>
      </c>
      <c r="BR26" s="218" t="str">
        <f t="shared" si="217"/>
        <v/>
      </c>
      <c r="BS26" s="218" t="str">
        <f t="shared" si="36"/>
        <v/>
      </c>
      <c r="BT26" s="218" t="str">
        <f t="shared" si="218"/>
        <v/>
      </c>
      <c r="BU26" s="218" t="str">
        <f t="shared" si="219"/>
        <v/>
      </c>
      <c r="BV26" s="218" t="str">
        <f t="shared" si="37"/>
        <v/>
      </c>
      <c r="BW26" s="218" t="str">
        <f t="shared" si="220"/>
        <v/>
      </c>
      <c r="BX26" s="218" t="str">
        <f t="shared" si="221"/>
        <v/>
      </c>
      <c r="BY26" s="218" t="str">
        <f t="shared" si="38"/>
        <v/>
      </c>
      <c r="BZ26" s="218" t="str">
        <f t="shared" si="222"/>
        <v/>
      </c>
      <c r="CA26" s="218" t="str">
        <f t="shared" si="223"/>
        <v/>
      </c>
      <c r="CB26" s="218" t="str">
        <f t="shared" si="39"/>
        <v/>
      </c>
      <c r="CD26" s="218" t="str">
        <f t="shared" si="40"/>
        <v/>
      </c>
      <c r="CE26" s="218" t="str">
        <f t="shared" si="41"/>
        <v/>
      </c>
      <c r="CF26" s="218" t="str">
        <f t="shared" si="42"/>
        <v/>
      </c>
      <c r="CG26" s="218" t="str">
        <f t="shared" si="43"/>
        <v/>
      </c>
      <c r="CH26" s="218" t="str">
        <f t="shared" si="44"/>
        <v/>
      </c>
      <c r="CI26" s="218" t="str">
        <f t="shared" si="45"/>
        <v/>
      </c>
      <c r="CJ26" s="218" t="str">
        <f t="shared" si="46"/>
        <v/>
      </c>
      <c r="CK26" s="218" t="str">
        <f t="shared" si="47"/>
        <v/>
      </c>
      <c r="CL26" s="218" t="str">
        <f t="shared" si="48"/>
        <v/>
      </c>
      <c r="CM26" s="218" t="str">
        <f t="shared" si="49"/>
        <v/>
      </c>
      <c r="CN26" s="218" t="str">
        <f t="shared" si="50"/>
        <v/>
      </c>
      <c r="CO26" s="218" t="str">
        <f t="shared" si="51"/>
        <v/>
      </c>
      <c r="CP26" s="218" t="str">
        <f t="shared" si="52"/>
        <v/>
      </c>
      <c r="CQ26" s="218" t="str">
        <f t="shared" si="53"/>
        <v/>
      </c>
      <c r="CR26" s="218" t="str">
        <f t="shared" si="54"/>
        <v/>
      </c>
      <c r="CS26" s="218" t="str">
        <f t="shared" si="55"/>
        <v/>
      </c>
      <c r="CT26" s="218" t="str">
        <f t="shared" si="56"/>
        <v/>
      </c>
      <c r="CU26" s="218" t="str">
        <f t="shared" si="57"/>
        <v/>
      </c>
      <c r="CV26" s="218" t="str">
        <f t="shared" si="58"/>
        <v/>
      </c>
      <c r="CW26" s="218" t="str">
        <f t="shared" si="59"/>
        <v/>
      </c>
      <c r="CX26" s="218" t="str">
        <f t="shared" si="60"/>
        <v/>
      </c>
      <c r="CY26" s="218" t="str">
        <f t="shared" si="61"/>
        <v/>
      </c>
      <c r="CZ26" s="218" t="str">
        <f t="shared" si="62"/>
        <v/>
      </c>
      <c r="DA26" s="218" t="str">
        <f t="shared" si="63"/>
        <v/>
      </c>
      <c r="DB26" s="218" t="str">
        <f t="shared" si="64"/>
        <v/>
      </c>
      <c r="DC26" s="218" t="str">
        <f t="shared" si="65"/>
        <v/>
      </c>
      <c r="DD26" s="218" t="str">
        <f t="shared" si="66"/>
        <v/>
      </c>
      <c r="DF26" s="218" t="str">
        <f t="shared" si="67"/>
        <v/>
      </c>
      <c r="DG26" s="218" t="str">
        <f t="shared" si="68"/>
        <v/>
      </c>
      <c r="DH26" s="218" t="str">
        <f t="shared" si="69"/>
        <v/>
      </c>
      <c r="DI26" s="218" t="str">
        <f t="shared" si="70"/>
        <v/>
      </c>
      <c r="DJ26" s="218" t="str">
        <f t="shared" si="71"/>
        <v/>
      </c>
      <c r="DK26" s="218" t="str">
        <f t="shared" si="72"/>
        <v/>
      </c>
      <c r="DL26" s="218" t="str">
        <f t="shared" si="73"/>
        <v/>
      </c>
      <c r="DM26" s="218" t="str">
        <f t="shared" si="74"/>
        <v/>
      </c>
      <c r="DN26" s="218" t="str">
        <f t="shared" si="75"/>
        <v/>
      </c>
      <c r="DO26" s="218" t="str">
        <f t="shared" si="76"/>
        <v/>
      </c>
      <c r="DP26" s="218" t="str">
        <f t="shared" si="77"/>
        <v/>
      </c>
      <c r="DQ26" s="218" t="str">
        <f t="shared" si="78"/>
        <v/>
      </c>
      <c r="DR26" s="218" t="str">
        <f t="shared" si="79"/>
        <v/>
      </c>
      <c r="DS26" s="218" t="str">
        <f t="shared" si="80"/>
        <v/>
      </c>
      <c r="DT26" s="218" t="str">
        <f t="shared" si="81"/>
        <v/>
      </c>
      <c r="DU26" s="218" t="str">
        <f t="shared" si="82"/>
        <v/>
      </c>
      <c r="DV26" s="218" t="str">
        <f t="shared" si="83"/>
        <v/>
      </c>
      <c r="DW26" s="218" t="str">
        <f t="shared" si="84"/>
        <v/>
      </c>
      <c r="DX26" s="218" t="str">
        <f t="shared" si="85"/>
        <v/>
      </c>
      <c r="DY26" s="218" t="str">
        <f t="shared" si="86"/>
        <v/>
      </c>
      <c r="DZ26" s="218" t="str">
        <f t="shared" si="87"/>
        <v/>
      </c>
      <c r="EA26" s="218" t="str">
        <f t="shared" si="88"/>
        <v/>
      </c>
      <c r="EB26" s="218" t="str">
        <f t="shared" si="89"/>
        <v/>
      </c>
      <c r="EC26" s="218" t="str">
        <f t="shared" si="90"/>
        <v/>
      </c>
      <c r="EE26" s="218" t="str">
        <f t="shared" si="91"/>
        <v/>
      </c>
      <c r="EF26" s="218" t="str">
        <f t="shared" si="92"/>
        <v/>
      </c>
      <c r="EG26" s="218" t="str">
        <f t="shared" si="93"/>
        <v/>
      </c>
      <c r="EH26" s="218" t="str">
        <f t="shared" si="94"/>
        <v/>
      </c>
      <c r="EI26" s="218" t="str">
        <f t="shared" si="95"/>
        <v/>
      </c>
      <c r="EJ26" s="218" t="str">
        <f t="shared" si="96"/>
        <v/>
      </c>
      <c r="EK26" s="218" t="str">
        <f t="shared" si="97"/>
        <v/>
      </c>
      <c r="EL26" s="218" t="str">
        <f t="shared" si="98"/>
        <v/>
      </c>
      <c r="EM26" s="218" t="str">
        <f t="shared" si="99"/>
        <v/>
      </c>
      <c r="EN26" s="218" t="str">
        <f t="shared" si="100"/>
        <v/>
      </c>
      <c r="EO26" s="218" t="str">
        <f t="shared" si="101"/>
        <v/>
      </c>
      <c r="EP26" s="218" t="str">
        <f t="shared" si="102"/>
        <v/>
      </c>
      <c r="EQ26" s="218" t="str">
        <f t="shared" si="103"/>
        <v/>
      </c>
      <c r="ER26" s="218" t="str">
        <f t="shared" si="104"/>
        <v/>
      </c>
      <c r="ES26" s="218" t="str">
        <f t="shared" si="105"/>
        <v/>
      </c>
      <c r="ET26" s="218" t="str">
        <f t="shared" si="106"/>
        <v/>
      </c>
      <c r="EU26" s="218" t="str">
        <f t="shared" si="107"/>
        <v/>
      </c>
      <c r="EV26" s="218" t="str">
        <f t="shared" si="108"/>
        <v/>
      </c>
      <c r="EW26" s="218" t="str">
        <f t="shared" si="109"/>
        <v/>
      </c>
      <c r="EX26" s="218" t="str">
        <f t="shared" si="110"/>
        <v/>
      </c>
      <c r="EY26" s="218" t="str">
        <f t="shared" si="111"/>
        <v/>
      </c>
      <c r="FA26" s="218" t="str">
        <f t="shared" si="112"/>
        <v/>
      </c>
      <c r="FB26" s="218" t="str">
        <f t="shared" si="113"/>
        <v/>
      </c>
      <c r="FC26" s="218" t="str">
        <f t="shared" si="114"/>
        <v/>
      </c>
      <c r="FD26" s="218" t="str">
        <f t="shared" si="115"/>
        <v/>
      </c>
      <c r="FE26" s="218" t="str">
        <f t="shared" si="116"/>
        <v/>
      </c>
      <c r="FF26" s="218" t="str">
        <f t="shared" si="117"/>
        <v/>
      </c>
      <c r="FG26" s="218" t="str">
        <f t="shared" si="118"/>
        <v/>
      </c>
      <c r="FH26" s="218" t="str">
        <f t="shared" si="119"/>
        <v/>
      </c>
      <c r="FI26" s="218" t="str">
        <f t="shared" si="120"/>
        <v/>
      </c>
      <c r="FJ26" s="218" t="str">
        <f t="shared" si="121"/>
        <v/>
      </c>
      <c r="FK26" s="218" t="str">
        <f t="shared" si="122"/>
        <v/>
      </c>
      <c r="FL26" s="218" t="str">
        <f t="shared" si="123"/>
        <v/>
      </c>
      <c r="FM26" s="218" t="str">
        <f t="shared" si="124"/>
        <v/>
      </c>
      <c r="FN26" s="218" t="str">
        <f t="shared" si="125"/>
        <v/>
      </c>
      <c r="FO26" s="218" t="str">
        <f t="shared" si="126"/>
        <v/>
      </c>
      <c r="FP26" s="218" t="str">
        <f t="shared" si="127"/>
        <v/>
      </c>
      <c r="FQ26" s="218" t="str">
        <f t="shared" si="128"/>
        <v/>
      </c>
      <c r="FR26" s="218" t="str">
        <f t="shared" si="129"/>
        <v/>
      </c>
      <c r="FT26" s="218" t="str">
        <f t="shared" si="130"/>
        <v/>
      </c>
      <c r="FU26" s="218" t="str">
        <f t="shared" si="131"/>
        <v/>
      </c>
      <c r="FV26" s="218" t="str">
        <f t="shared" si="132"/>
        <v/>
      </c>
      <c r="FW26" s="218" t="str">
        <f t="shared" si="133"/>
        <v/>
      </c>
      <c r="FX26" s="218" t="str">
        <f t="shared" si="134"/>
        <v/>
      </c>
      <c r="FY26" s="218" t="str">
        <f t="shared" si="135"/>
        <v/>
      </c>
      <c r="FZ26" s="218" t="str">
        <f t="shared" si="136"/>
        <v/>
      </c>
      <c r="GA26" s="218" t="str">
        <f t="shared" si="137"/>
        <v/>
      </c>
      <c r="GB26" s="218" t="str">
        <f t="shared" si="138"/>
        <v/>
      </c>
      <c r="GC26" s="218" t="str">
        <f t="shared" si="139"/>
        <v/>
      </c>
      <c r="GD26" s="218" t="str">
        <f t="shared" si="140"/>
        <v/>
      </c>
      <c r="GE26" s="218" t="str">
        <f t="shared" si="141"/>
        <v/>
      </c>
      <c r="GF26" s="218" t="str">
        <f t="shared" si="142"/>
        <v/>
      </c>
      <c r="GG26" s="218" t="str">
        <f t="shared" si="143"/>
        <v/>
      </c>
      <c r="GH26" s="218" t="str">
        <f t="shared" si="144"/>
        <v/>
      </c>
      <c r="GJ26" s="218" t="str">
        <f t="shared" si="145"/>
        <v/>
      </c>
      <c r="GK26" s="218" t="str">
        <f t="shared" si="146"/>
        <v/>
      </c>
      <c r="GL26" s="218" t="str">
        <f t="shared" si="147"/>
        <v/>
      </c>
      <c r="GM26" s="218" t="str">
        <f t="shared" si="148"/>
        <v/>
      </c>
      <c r="GN26" s="218" t="str">
        <f t="shared" si="149"/>
        <v/>
      </c>
      <c r="GO26" s="218" t="str">
        <f t="shared" si="150"/>
        <v/>
      </c>
      <c r="GP26" s="218" t="str">
        <f t="shared" si="151"/>
        <v/>
      </c>
      <c r="GQ26" s="218" t="str">
        <f t="shared" si="152"/>
        <v/>
      </c>
      <c r="GR26" s="218" t="str">
        <f t="shared" si="153"/>
        <v/>
      </c>
      <c r="GS26" s="218" t="str">
        <f t="shared" si="154"/>
        <v/>
      </c>
      <c r="GT26" s="218" t="str">
        <f t="shared" si="155"/>
        <v/>
      </c>
      <c r="GU26" s="218" t="str">
        <f t="shared" si="156"/>
        <v/>
      </c>
      <c r="GW26" s="218" t="str">
        <f t="shared" si="157"/>
        <v/>
      </c>
      <c r="GX26" s="218" t="str">
        <f t="shared" si="158"/>
        <v/>
      </c>
      <c r="GY26" s="218" t="str">
        <f t="shared" si="159"/>
        <v/>
      </c>
      <c r="GZ26" s="218" t="str">
        <f t="shared" si="160"/>
        <v/>
      </c>
      <c r="HA26" s="218" t="str">
        <f t="shared" si="161"/>
        <v/>
      </c>
      <c r="HB26" s="218" t="str">
        <f t="shared" si="162"/>
        <v/>
      </c>
      <c r="HC26" s="218" t="str">
        <f t="shared" si="163"/>
        <v/>
      </c>
      <c r="HD26" s="218" t="str">
        <f t="shared" si="164"/>
        <v/>
      </c>
      <c r="HE26" s="218" t="str">
        <f t="shared" si="165"/>
        <v/>
      </c>
      <c r="HG26" s="218" t="str">
        <f t="shared" si="166"/>
        <v/>
      </c>
      <c r="HH26" s="218" t="str">
        <f t="shared" si="167"/>
        <v/>
      </c>
      <c r="HI26" s="218" t="str">
        <f t="shared" si="168"/>
        <v/>
      </c>
      <c r="HJ26" s="218" t="str">
        <f t="shared" si="169"/>
        <v/>
      </c>
      <c r="HK26" s="218" t="str">
        <f t="shared" si="170"/>
        <v/>
      </c>
      <c r="HL26" s="218" t="str">
        <f t="shared" si="171"/>
        <v/>
      </c>
      <c r="HN26" s="218" t="str">
        <f t="shared" si="172"/>
        <v/>
      </c>
      <c r="HO26" s="218" t="str">
        <f t="shared" si="173"/>
        <v/>
      </c>
      <c r="HP26" s="218" t="str">
        <f t="shared" si="174"/>
        <v/>
      </c>
      <c r="HR26" s="218" t="str">
        <f t="shared" si="224"/>
        <v/>
      </c>
      <c r="HS26" s="218" t="str">
        <f t="shared" si="225"/>
        <v/>
      </c>
      <c r="HT26" s="218" t="str">
        <f t="shared" si="175"/>
        <v/>
      </c>
      <c r="HU26" s="218" t="str">
        <f t="shared" si="176"/>
        <v/>
      </c>
      <c r="HV26" s="218" t="str">
        <f t="shared" si="177"/>
        <v/>
      </c>
      <c r="HW26" s="218" t="str">
        <f t="shared" si="178"/>
        <v/>
      </c>
      <c r="HX26" s="218" t="str">
        <f t="shared" si="179"/>
        <v/>
      </c>
      <c r="HY26" s="218" t="str">
        <f t="shared" si="180"/>
        <v/>
      </c>
      <c r="HZ26" s="218" t="str">
        <f t="shared" si="181"/>
        <v/>
      </c>
      <c r="IA26" s="218" t="str">
        <f t="shared" si="182"/>
        <v/>
      </c>
      <c r="IB26" s="218" t="str">
        <f t="shared" si="183"/>
        <v/>
      </c>
      <c r="IC26" s="218" t="str">
        <f t="shared" si="184"/>
        <v/>
      </c>
      <c r="ID26" s="218" t="str">
        <f t="shared" si="185"/>
        <v/>
      </c>
      <c r="IE26" s="218" t="str">
        <f t="shared" si="186"/>
        <v/>
      </c>
      <c r="IF26" s="218" t="str">
        <f t="shared" si="187"/>
        <v/>
      </c>
      <c r="IG26" s="218" t="str">
        <f t="shared" si="188"/>
        <v/>
      </c>
      <c r="IH26" s="218" t="str">
        <f t="shared" si="189"/>
        <v/>
      </c>
      <c r="II26" s="218" t="str">
        <f t="shared" si="190"/>
        <v/>
      </c>
      <c r="IJ26" s="218" t="str">
        <f t="shared" si="191"/>
        <v/>
      </c>
      <c r="IK26" s="218" t="str">
        <f t="shared" si="192"/>
        <v/>
      </c>
      <c r="IL26" s="218" t="str">
        <f t="shared" si="193"/>
        <v/>
      </c>
      <c r="IM26" s="218" t="str">
        <f t="shared" si="194"/>
        <v/>
      </c>
      <c r="IN26" s="218" t="str">
        <f t="shared" si="195"/>
        <v/>
      </c>
      <c r="IO26" s="218" t="str">
        <f t="shared" si="196"/>
        <v/>
      </c>
      <c r="IP26" s="218" t="str">
        <f t="shared" si="197"/>
        <v/>
      </c>
      <c r="IQ26" s="218" t="str">
        <f t="shared" si="198"/>
        <v/>
      </c>
      <c r="IR26" s="218" t="str">
        <f t="shared" si="199"/>
        <v/>
      </c>
      <c r="IS26" s="218" t="str">
        <f t="shared" si="200"/>
        <v/>
      </c>
      <c r="IT26" s="218" t="str">
        <f t="shared" si="201"/>
        <v/>
      </c>
      <c r="IU26" s="218" t="str">
        <f t="shared" si="202"/>
        <v/>
      </c>
    </row>
    <row r="27" spans="1:255" x14ac:dyDescent="0.2">
      <c r="A27" s="200" t="s">
        <v>30</v>
      </c>
      <c r="B27" s="178"/>
      <c r="C27" s="179"/>
      <c r="D27" s="181"/>
      <c r="E27" s="181"/>
      <c r="F27" s="197"/>
      <c r="G27" s="198"/>
      <c r="H27" s="197"/>
      <c r="I27" s="197"/>
      <c r="J27" s="197"/>
      <c r="K27" s="185"/>
      <c r="L27" s="217" t="str">
        <f t="shared" si="29"/>
        <v/>
      </c>
      <c r="M27" s="218">
        <f>'HKG vs. BK'!M27</f>
        <v>20.917368789874118</v>
      </c>
      <c r="N27" s="218" t="str">
        <f>'HKG vs. BK'!N27</f>
        <v>±1,48</v>
      </c>
      <c r="O27" s="218" t="str">
        <f>'HKG vs. BK'!O27</f>
        <v>±5,81</v>
      </c>
      <c r="P27" s="218" t="str">
        <f>'HKG vs. BK'!P27</f>
        <v>±0,52</v>
      </c>
      <c r="Q27" s="219" t="str">
        <f t="shared" si="203"/>
        <v/>
      </c>
      <c r="R27" s="220" t="str">
        <f t="shared" si="0"/>
        <v/>
      </c>
      <c r="S27" s="220" t="str">
        <f t="shared" si="1"/>
        <v/>
      </c>
      <c r="T27" s="219" t="str">
        <f t="shared" si="2"/>
        <v/>
      </c>
      <c r="U27" s="220" t="str">
        <f t="shared" si="3"/>
        <v/>
      </c>
      <c r="V27" s="220" t="str">
        <f t="shared" si="4"/>
        <v/>
      </c>
      <c r="W27" s="219" t="str">
        <f t="shared" si="5"/>
        <v/>
      </c>
      <c r="X27" s="220" t="str">
        <f t="shared" si="6"/>
        <v/>
      </c>
      <c r="Y27" s="220" t="str">
        <f t="shared" si="7"/>
        <v/>
      </c>
      <c r="Z27" s="219" t="str">
        <f t="shared" si="8"/>
        <v/>
      </c>
      <c r="AA27" s="220" t="str">
        <f t="shared" si="9"/>
        <v/>
      </c>
      <c r="AB27" s="220" t="str">
        <f t="shared" si="10"/>
        <v/>
      </c>
      <c r="AC27" s="219" t="str">
        <f t="shared" si="11"/>
        <v/>
      </c>
      <c r="AD27" s="220" t="str">
        <f t="shared" si="12"/>
        <v/>
      </c>
      <c r="AE27" s="220" t="str">
        <f t="shared" si="13"/>
        <v/>
      </c>
      <c r="AF27" s="219" t="str">
        <f t="shared" si="14"/>
        <v/>
      </c>
      <c r="AG27" s="220" t="str">
        <f t="shared" si="15"/>
        <v/>
      </c>
      <c r="AH27" s="220" t="str">
        <f t="shared" si="16"/>
        <v/>
      </c>
      <c r="AI27" s="219" t="str">
        <f t="shared" si="17"/>
        <v/>
      </c>
      <c r="AJ27" s="220" t="str">
        <f t="shared" si="18"/>
        <v/>
      </c>
      <c r="AK27" s="220" t="str">
        <f t="shared" si="19"/>
        <v/>
      </c>
      <c r="AL27" s="219" t="str">
        <f t="shared" si="20"/>
        <v/>
      </c>
      <c r="AM27" s="220" t="str">
        <f t="shared" si="21"/>
        <v/>
      </c>
      <c r="AN27" s="220" t="str">
        <f t="shared" si="22"/>
        <v/>
      </c>
      <c r="AO27" s="219" t="str">
        <f t="shared" si="23"/>
        <v/>
      </c>
      <c r="AP27" s="220" t="str">
        <f t="shared" si="24"/>
        <v/>
      </c>
      <c r="AQ27" s="220" t="str">
        <f t="shared" si="25"/>
        <v/>
      </c>
      <c r="AR27" s="219" t="str">
        <f t="shared" si="26"/>
        <v/>
      </c>
      <c r="AS27" s="220" t="str">
        <f t="shared" si="27"/>
        <v/>
      </c>
      <c r="AT27" s="220" t="str">
        <f t="shared" si="28"/>
        <v/>
      </c>
      <c r="AU27" s="221"/>
      <c r="AV27" s="221"/>
      <c r="AW27" s="221"/>
      <c r="AY27" s="218" t="str">
        <f t="shared" si="204"/>
        <v/>
      </c>
      <c r="AZ27" s="218" t="str">
        <f t="shared" si="205"/>
        <v/>
      </c>
      <c r="BA27" s="218" t="str">
        <f t="shared" si="30"/>
        <v/>
      </c>
      <c r="BB27" s="218" t="str">
        <f t="shared" si="206"/>
        <v/>
      </c>
      <c r="BC27" s="218" t="str">
        <f t="shared" si="207"/>
        <v/>
      </c>
      <c r="BD27" s="218" t="str">
        <f t="shared" si="31"/>
        <v/>
      </c>
      <c r="BE27" s="218" t="str">
        <f t="shared" si="208"/>
        <v/>
      </c>
      <c r="BF27" s="218" t="str">
        <f t="shared" si="209"/>
        <v/>
      </c>
      <c r="BG27" s="218" t="str">
        <f t="shared" si="32"/>
        <v/>
      </c>
      <c r="BH27" s="218" t="str">
        <f t="shared" si="210"/>
        <v/>
      </c>
      <c r="BI27" s="218" t="str">
        <f t="shared" si="211"/>
        <v/>
      </c>
      <c r="BJ27" s="218" t="str">
        <f t="shared" si="33"/>
        <v/>
      </c>
      <c r="BK27" s="218" t="str">
        <f t="shared" si="212"/>
        <v/>
      </c>
      <c r="BL27" s="218" t="str">
        <f t="shared" si="213"/>
        <v/>
      </c>
      <c r="BM27" s="218" t="str">
        <f t="shared" si="34"/>
        <v/>
      </c>
      <c r="BN27" s="218" t="str">
        <f t="shared" si="214"/>
        <v/>
      </c>
      <c r="BO27" s="218" t="str">
        <f t="shared" si="215"/>
        <v/>
      </c>
      <c r="BP27" s="218" t="str">
        <f t="shared" si="35"/>
        <v/>
      </c>
      <c r="BQ27" s="218" t="str">
        <f t="shared" si="216"/>
        <v/>
      </c>
      <c r="BR27" s="218" t="str">
        <f t="shared" si="217"/>
        <v/>
      </c>
      <c r="BS27" s="218" t="str">
        <f t="shared" si="36"/>
        <v/>
      </c>
      <c r="BT27" s="218" t="str">
        <f t="shared" si="218"/>
        <v/>
      </c>
      <c r="BU27" s="218" t="str">
        <f t="shared" si="219"/>
        <v/>
      </c>
      <c r="BV27" s="218" t="str">
        <f t="shared" si="37"/>
        <v/>
      </c>
      <c r="BW27" s="218" t="str">
        <f t="shared" si="220"/>
        <v/>
      </c>
      <c r="BX27" s="218" t="str">
        <f t="shared" si="221"/>
        <v/>
      </c>
      <c r="BY27" s="218" t="str">
        <f t="shared" si="38"/>
        <v/>
      </c>
      <c r="BZ27" s="218" t="str">
        <f t="shared" si="222"/>
        <v/>
      </c>
      <c r="CA27" s="218" t="str">
        <f t="shared" si="223"/>
        <v/>
      </c>
      <c r="CB27" s="218" t="str">
        <f t="shared" si="39"/>
        <v/>
      </c>
      <c r="CD27" s="218" t="str">
        <f t="shared" si="40"/>
        <v/>
      </c>
      <c r="CE27" s="218" t="str">
        <f t="shared" si="41"/>
        <v/>
      </c>
      <c r="CF27" s="218" t="str">
        <f t="shared" si="42"/>
        <v/>
      </c>
      <c r="CG27" s="218" t="str">
        <f t="shared" si="43"/>
        <v/>
      </c>
      <c r="CH27" s="218" t="str">
        <f t="shared" si="44"/>
        <v/>
      </c>
      <c r="CI27" s="218" t="str">
        <f t="shared" si="45"/>
        <v/>
      </c>
      <c r="CJ27" s="218" t="str">
        <f t="shared" si="46"/>
        <v/>
      </c>
      <c r="CK27" s="218" t="str">
        <f t="shared" si="47"/>
        <v/>
      </c>
      <c r="CL27" s="218" t="str">
        <f t="shared" si="48"/>
        <v/>
      </c>
      <c r="CM27" s="218" t="str">
        <f t="shared" si="49"/>
        <v/>
      </c>
      <c r="CN27" s="218" t="str">
        <f t="shared" si="50"/>
        <v/>
      </c>
      <c r="CO27" s="218" t="str">
        <f t="shared" si="51"/>
        <v/>
      </c>
      <c r="CP27" s="218" t="str">
        <f t="shared" si="52"/>
        <v/>
      </c>
      <c r="CQ27" s="218" t="str">
        <f t="shared" si="53"/>
        <v/>
      </c>
      <c r="CR27" s="218" t="str">
        <f t="shared" si="54"/>
        <v/>
      </c>
      <c r="CS27" s="218" t="str">
        <f t="shared" si="55"/>
        <v/>
      </c>
      <c r="CT27" s="218" t="str">
        <f t="shared" si="56"/>
        <v/>
      </c>
      <c r="CU27" s="218" t="str">
        <f t="shared" si="57"/>
        <v/>
      </c>
      <c r="CV27" s="218" t="str">
        <f t="shared" si="58"/>
        <v/>
      </c>
      <c r="CW27" s="218" t="str">
        <f t="shared" si="59"/>
        <v/>
      </c>
      <c r="CX27" s="218" t="str">
        <f t="shared" si="60"/>
        <v/>
      </c>
      <c r="CY27" s="218" t="str">
        <f t="shared" si="61"/>
        <v/>
      </c>
      <c r="CZ27" s="218" t="str">
        <f t="shared" si="62"/>
        <v/>
      </c>
      <c r="DA27" s="218" t="str">
        <f t="shared" si="63"/>
        <v/>
      </c>
      <c r="DB27" s="218" t="str">
        <f t="shared" si="64"/>
        <v/>
      </c>
      <c r="DC27" s="218" t="str">
        <f t="shared" si="65"/>
        <v/>
      </c>
      <c r="DD27" s="218" t="str">
        <f t="shared" si="66"/>
        <v/>
      </c>
      <c r="DF27" s="218" t="str">
        <f t="shared" si="67"/>
        <v/>
      </c>
      <c r="DG27" s="218" t="str">
        <f t="shared" si="68"/>
        <v/>
      </c>
      <c r="DH27" s="218" t="str">
        <f t="shared" si="69"/>
        <v/>
      </c>
      <c r="DI27" s="218" t="str">
        <f t="shared" si="70"/>
        <v/>
      </c>
      <c r="DJ27" s="218" t="str">
        <f t="shared" si="71"/>
        <v/>
      </c>
      <c r="DK27" s="218" t="str">
        <f t="shared" si="72"/>
        <v/>
      </c>
      <c r="DL27" s="218" t="str">
        <f t="shared" si="73"/>
        <v/>
      </c>
      <c r="DM27" s="218" t="str">
        <f t="shared" si="74"/>
        <v/>
      </c>
      <c r="DN27" s="218" t="str">
        <f t="shared" si="75"/>
        <v/>
      </c>
      <c r="DO27" s="218" t="str">
        <f t="shared" si="76"/>
        <v/>
      </c>
      <c r="DP27" s="218" t="str">
        <f t="shared" si="77"/>
        <v/>
      </c>
      <c r="DQ27" s="218" t="str">
        <f t="shared" si="78"/>
        <v/>
      </c>
      <c r="DR27" s="218" t="str">
        <f t="shared" si="79"/>
        <v/>
      </c>
      <c r="DS27" s="218" t="str">
        <f t="shared" si="80"/>
        <v/>
      </c>
      <c r="DT27" s="218" t="str">
        <f t="shared" si="81"/>
        <v/>
      </c>
      <c r="DU27" s="218" t="str">
        <f t="shared" si="82"/>
        <v/>
      </c>
      <c r="DV27" s="218" t="str">
        <f t="shared" si="83"/>
        <v/>
      </c>
      <c r="DW27" s="218" t="str">
        <f t="shared" si="84"/>
        <v/>
      </c>
      <c r="DX27" s="218" t="str">
        <f t="shared" si="85"/>
        <v/>
      </c>
      <c r="DY27" s="218" t="str">
        <f t="shared" si="86"/>
        <v/>
      </c>
      <c r="DZ27" s="218" t="str">
        <f t="shared" si="87"/>
        <v/>
      </c>
      <c r="EA27" s="218" t="str">
        <f t="shared" si="88"/>
        <v/>
      </c>
      <c r="EB27" s="218" t="str">
        <f t="shared" si="89"/>
        <v/>
      </c>
      <c r="EC27" s="218" t="str">
        <f t="shared" si="90"/>
        <v/>
      </c>
      <c r="EE27" s="218" t="str">
        <f t="shared" si="91"/>
        <v/>
      </c>
      <c r="EF27" s="218" t="str">
        <f t="shared" si="92"/>
        <v/>
      </c>
      <c r="EG27" s="218" t="str">
        <f t="shared" si="93"/>
        <v/>
      </c>
      <c r="EH27" s="218" t="str">
        <f t="shared" si="94"/>
        <v/>
      </c>
      <c r="EI27" s="218" t="str">
        <f t="shared" si="95"/>
        <v/>
      </c>
      <c r="EJ27" s="218" t="str">
        <f t="shared" si="96"/>
        <v/>
      </c>
      <c r="EK27" s="218" t="str">
        <f t="shared" si="97"/>
        <v/>
      </c>
      <c r="EL27" s="218" t="str">
        <f t="shared" si="98"/>
        <v/>
      </c>
      <c r="EM27" s="218" t="str">
        <f t="shared" si="99"/>
        <v/>
      </c>
      <c r="EN27" s="218" t="str">
        <f t="shared" si="100"/>
        <v/>
      </c>
      <c r="EO27" s="218" t="str">
        <f t="shared" si="101"/>
        <v/>
      </c>
      <c r="EP27" s="218" t="str">
        <f t="shared" si="102"/>
        <v/>
      </c>
      <c r="EQ27" s="218" t="str">
        <f t="shared" si="103"/>
        <v/>
      </c>
      <c r="ER27" s="218" t="str">
        <f t="shared" si="104"/>
        <v/>
      </c>
      <c r="ES27" s="218" t="str">
        <f t="shared" si="105"/>
        <v/>
      </c>
      <c r="ET27" s="218" t="str">
        <f t="shared" si="106"/>
        <v/>
      </c>
      <c r="EU27" s="218" t="str">
        <f t="shared" si="107"/>
        <v/>
      </c>
      <c r="EV27" s="218" t="str">
        <f t="shared" si="108"/>
        <v/>
      </c>
      <c r="EW27" s="218" t="str">
        <f t="shared" si="109"/>
        <v/>
      </c>
      <c r="EX27" s="218" t="str">
        <f t="shared" si="110"/>
        <v/>
      </c>
      <c r="EY27" s="218" t="str">
        <f t="shared" si="111"/>
        <v/>
      </c>
      <c r="FA27" s="218" t="str">
        <f t="shared" si="112"/>
        <v/>
      </c>
      <c r="FB27" s="218" t="str">
        <f t="shared" si="113"/>
        <v/>
      </c>
      <c r="FC27" s="218" t="str">
        <f t="shared" si="114"/>
        <v/>
      </c>
      <c r="FD27" s="218" t="str">
        <f t="shared" si="115"/>
        <v/>
      </c>
      <c r="FE27" s="218" t="str">
        <f t="shared" si="116"/>
        <v/>
      </c>
      <c r="FF27" s="218" t="str">
        <f t="shared" si="117"/>
        <v/>
      </c>
      <c r="FG27" s="218" t="str">
        <f t="shared" si="118"/>
        <v/>
      </c>
      <c r="FH27" s="218" t="str">
        <f t="shared" si="119"/>
        <v/>
      </c>
      <c r="FI27" s="218" t="str">
        <f t="shared" si="120"/>
        <v/>
      </c>
      <c r="FJ27" s="218" t="str">
        <f t="shared" si="121"/>
        <v/>
      </c>
      <c r="FK27" s="218" t="str">
        <f t="shared" si="122"/>
        <v/>
      </c>
      <c r="FL27" s="218" t="str">
        <f t="shared" si="123"/>
        <v/>
      </c>
      <c r="FM27" s="218" t="str">
        <f t="shared" si="124"/>
        <v/>
      </c>
      <c r="FN27" s="218" t="str">
        <f t="shared" si="125"/>
        <v/>
      </c>
      <c r="FO27" s="218" t="str">
        <f t="shared" si="126"/>
        <v/>
      </c>
      <c r="FP27" s="218" t="str">
        <f t="shared" si="127"/>
        <v/>
      </c>
      <c r="FQ27" s="218" t="str">
        <f t="shared" si="128"/>
        <v/>
      </c>
      <c r="FR27" s="218" t="str">
        <f t="shared" si="129"/>
        <v/>
      </c>
      <c r="FT27" s="218" t="str">
        <f t="shared" si="130"/>
        <v/>
      </c>
      <c r="FU27" s="218" t="str">
        <f t="shared" si="131"/>
        <v/>
      </c>
      <c r="FV27" s="218" t="str">
        <f t="shared" si="132"/>
        <v/>
      </c>
      <c r="FW27" s="218" t="str">
        <f t="shared" si="133"/>
        <v/>
      </c>
      <c r="FX27" s="218" t="str">
        <f t="shared" si="134"/>
        <v/>
      </c>
      <c r="FY27" s="218" t="str">
        <f t="shared" si="135"/>
        <v/>
      </c>
      <c r="FZ27" s="218" t="str">
        <f t="shared" si="136"/>
        <v/>
      </c>
      <c r="GA27" s="218" t="str">
        <f t="shared" si="137"/>
        <v/>
      </c>
      <c r="GB27" s="218" t="str">
        <f t="shared" si="138"/>
        <v/>
      </c>
      <c r="GC27" s="218" t="str">
        <f t="shared" si="139"/>
        <v/>
      </c>
      <c r="GD27" s="218" t="str">
        <f t="shared" si="140"/>
        <v/>
      </c>
      <c r="GE27" s="218" t="str">
        <f t="shared" si="141"/>
        <v/>
      </c>
      <c r="GF27" s="218" t="str">
        <f t="shared" si="142"/>
        <v/>
      </c>
      <c r="GG27" s="218" t="str">
        <f t="shared" si="143"/>
        <v/>
      </c>
      <c r="GH27" s="218" t="str">
        <f t="shared" si="144"/>
        <v/>
      </c>
      <c r="GJ27" s="218" t="str">
        <f t="shared" si="145"/>
        <v/>
      </c>
      <c r="GK27" s="218" t="str">
        <f t="shared" si="146"/>
        <v/>
      </c>
      <c r="GL27" s="218" t="str">
        <f t="shared" si="147"/>
        <v/>
      </c>
      <c r="GM27" s="218" t="str">
        <f t="shared" si="148"/>
        <v/>
      </c>
      <c r="GN27" s="218" t="str">
        <f t="shared" si="149"/>
        <v/>
      </c>
      <c r="GO27" s="218" t="str">
        <f t="shared" si="150"/>
        <v/>
      </c>
      <c r="GP27" s="218" t="str">
        <f t="shared" si="151"/>
        <v/>
      </c>
      <c r="GQ27" s="218" t="str">
        <f t="shared" si="152"/>
        <v/>
      </c>
      <c r="GR27" s="218" t="str">
        <f t="shared" si="153"/>
        <v/>
      </c>
      <c r="GS27" s="218" t="str">
        <f t="shared" si="154"/>
        <v/>
      </c>
      <c r="GT27" s="218" t="str">
        <f t="shared" si="155"/>
        <v/>
      </c>
      <c r="GU27" s="218" t="str">
        <f t="shared" si="156"/>
        <v/>
      </c>
      <c r="GW27" s="218" t="str">
        <f t="shared" si="157"/>
        <v/>
      </c>
      <c r="GX27" s="218" t="str">
        <f t="shared" si="158"/>
        <v/>
      </c>
      <c r="GY27" s="218" t="str">
        <f t="shared" si="159"/>
        <v/>
      </c>
      <c r="GZ27" s="218" t="str">
        <f t="shared" si="160"/>
        <v/>
      </c>
      <c r="HA27" s="218" t="str">
        <f t="shared" si="161"/>
        <v/>
      </c>
      <c r="HB27" s="218" t="str">
        <f t="shared" si="162"/>
        <v/>
      </c>
      <c r="HC27" s="218" t="str">
        <f t="shared" si="163"/>
        <v/>
      </c>
      <c r="HD27" s="218" t="str">
        <f t="shared" si="164"/>
        <v/>
      </c>
      <c r="HE27" s="218" t="str">
        <f t="shared" si="165"/>
        <v/>
      </c>
      <c r="HG27" s="218" t="str">
        <f t="shared" si="166"/>
        <v/>
      </c>
      <c r="HH27" s="218" t="str">
        <f t="shared" si="167"/>
        <v/>
      </c>
      <c r="HI27" s="218" t="str">
        <f t="shared" si="168"/>
        <v/>
      </c>
      <c r="HJ27" s="218" t="str">
        <f t="shared" si="169"/>
        <v/>
      </c>
      <c r="HK27" s="218" t="str">
        <f t="shared" si="170"/>
        <v/>
      </c>
      <c r="HL27" s="218" t="str">
        <f t="shared" si="171"/>
        <v/>
      </c>
      <c r="HN27" s="218" t="str">
        <f t="shared" si="172"/>
        <v/>
      </c>
      <c r="HO27" s="218" t="str">
        <f t="shared" si="173"/>
        <v/>
      </c>
      <c r="HP27" s="218" t="str">
        <f t="shared" si="174"/>
        <v/>
      </c>
      <c r="HR27" s="218" t="str">
        <f t="shared" si="224"/>
        <v/>
      </c>
      <c r="HS27" s="218" t="str">
        <f t="shared" si="225"/>
        <v/>
      </c>
      <c r="HT27" s="218" t="str">
        <f t="shared" si="175"/>
        <v/>
      </c>
      <c r="HU27" s="218" t="str">
        <f t="shared" si="176"/>
        <v/>
      </c>
      <c r="HV27" s="218" t="str">
        <f t="shared" si="177"/>
        <v/>
      </c>
      <c r="HW27" s="218" t="str">
        <f t="shared" si="178"/>
        <v/>
      </c>
      <c r="HX27" s="218" t="str">
        <f t="shared" si="179"/>
        <v/>
      </c>
      <c r="HY27" s="218" t="str">
        <f t="shared" si="180"/>
        <v/>
      </c>
      <c r="HZ27" s="218" t="str">
        <f t="shared" si="181"/>
        <v/>
      </c>
      <c r="IA27" s="218" t="str">
        <f t="shared" si="182"/>
        <v/>
      </c>
      <c r="IB27" s="218" t="str">
        <f t="shared" si="183"/>
        <v/>
      </c>
      <c r="IC27" s="218" t="str">
        <f t="shared" si="184"/>
        <v/>
      </c>
      <c r="ID27" s="218" t="str">
        <f t="shared" si="185"/>
        <v/>
      </c>
      <c r="IE27" s="218" t="str">
        <f t="shared" si="186"/>
        <v/>
      </c>
      <c r="IF27" s="218" t="str">
        <f t="shared" si="187"/>
        <v/>
      </c>
      <c r="IG27" s="218" t="str">
        <f t="shared" si="188"/>
        <v/>
      </c>
      <c r="IH27" s="218" t="str">
        <f t="shared" si="189"/>
        <v/>
      </c>
      <c r="II27" s="218" t="str">
        <f t="shared" si="190"/>
        <v/>
      </c>
      <c r="IJ27" s="218" t="str">
        <f t="shared" si="191"/>
        <v/>
      </c>
      <c r="IK27" s="218" t="str">
        <f t="shared" si="192"/>
        <v/>
      </c>
      <c r="IL27" s="218" t="str">
        <f t="shared" si="193"/>
        <v/>
      </c>
      <c r="IM27" s="218" t="str">
        <f t="shared" si="194"/>
        <v/>
      </c>
      <c r="IN27" s="218" t="str">
        <f t="shared" si="195"/>
        <v/>
      </c>
      <c r="IO27" s="218" t="str">
        <f t="shared" si="196"/>
        <v/>
      </c>
      <c r="IP27" s="218" t="str">
        <f t="shared" si="197"/>
        <v/>
      </c>
      <c r="IQ27" s="218" t="str">
        <f t="shared" si="198"/>
        <v/>
      </c>
      <c r="IR27" s="218" t="str">
        <f t="shared" si="199"/>
        <v/>
      </c>
      <c r="IS27" s="218" t="str">
        <f t="shared" si="200"/>
        <v/>
      </c>
      <c r="IT27" s="218" t="str">
        <f t="shared" si="201"/>
        <v/>
      </c>
      <c r="IU27" s="218" t="str">
        <f t="shared" si="202"/>
        <v/>
      </c>
    </row>
    <row r="28" spans="1:255" x14ac:dyDescent="0.2">
      <c r="A28" s="200" t="s">
        <v>31</v>
      </c>
      <c r="B28" s="178"/>
      <c r="C28" s="179"/>
      <c r="D28" s="181"/>
      <c r="E28" s="181"/>
      <c r="F28" s="197"/>
      <c r="G28" s="198"/>
      <c r="H28" s="197"/>
      <c r="I28" s="197"/>
      <c r="J28" s="197"/>
      <c r="K28" s="185"/>
      <c r="L28" s="217" t="str">
        <f t="shared" si="29"/>
        <v/>
      </c>
      <c r="M28" s="218">
        <f>'HKG vs. BK'!M28</f>
        <v>20.965103513981621</v>
      </c>
      <c r="N28" s="218" t="str">
        <f>'HKG vs. BK'!N28</f>
        <v>±0,97</v>
      </c>
      <c r="O28" s="218" t="str">
        <f>'HKG vs. BK'!O28</f>
        <v>±3,96</v>
      </c>
      <c r="P28" s="218" t="str">
        <f>'HKG vs. BK'!P28</f>
        <v>±0,36</v>
      </c>
      <c r="Q28" s="219" t="str">
        <f t="shared" si="203"/>
        <v/>
      </c>
      <c r="R28" s="220" t="str">
        <f t="shared" si="0"/>
        <v/>
      </c>
      <c r="S28" s="220" t="str">
        <f t="shared" si="1"/>
        <v/>
      </c>
      <c r="T28" s="219" t="str">
        <f t="shared" si="2"/>
        <v/>
      </c>
      <c r="U28" s="220" t="str">
        <f t="shared" si="3"/>
        <v/>
      </c>
      <c r="V28" s="220" t="str">
        <f t="shared" si="4"/>
        <v/>
      </c>
      <c r="W28" s="219" t="str">
        <f t="shared" si="5"/>
        <v/>
      </c>
      <c r="X28" s="220" t="str">
        <f t="shared" si="6"/>
        <v/>
      </c>
      <c r="Y28" s="220" t="str">
        <f t="shared" si="7"/>
        <v/>
      </c>
      <c r="Z28" s="219" t="str">
        <f t="shared" si="8"/>
        <v/>
      </c>
      <c r="AA28" s="220" t="str">
        <f t="shared" si="9"/>
        <v/>
      </c>
      <c r="AB28" s="220" t="str">
        <f t="shared" si="10"/>
        <v/>
      </c>
      <c r="AC28" s="219" t="str">
        <f t="shared" si="11"/>
        <v/>
      </c>
      <c r="AD28" s="220" t="str">
        <f t="shared" si="12"/>
        <v/>
      </c>
      <c r="AE28" s="220" t="str">
        <f t="shared" si="13"/>
        <v/>
      </c>
      <c r="AF28" s="219" t="str">
        <f t="shared" si="14"/>
        <v/>
      </c>
      <c r="AG28" s="220" t="str">
        <f t="shared" si="15"/>
        <v/>
      </c>
      <c r="AH28" s="220" t="str">
        <f t="shared" si="16"/>
        <v/>
      </c>
      <c r="AI28" s="219" t="str">
        <f t="shared" si="17"/>
        <v/>
      </c>
      <c r="AJ28" s="220" t="str">
        <f t="shared" si="18"/>
        <v/>
      </c>
      <c r="AK28" s="220" t="str">
        <f t="shared" si="19"/>
        <v/>
      </c>
      <c r="AL28" s="219" t="str">
        <f t="shared" si="20"/>
        <v/>
      </c>
      <c r="AM28" s="220" t="str">
        <f t="shared" si="21"/>
        <v/>
      </c>
      <c r="AN28" s="220" t="str">
        <f t="shared" si="22"/>
        <v/>
      </c>
      <c r="AO28" s="219" t="str">
        <f t="shared" si="23"/>
        <v/>
      </c>
      <c r="AP28" s="220" t="str">
        <f t="shared" si="24"/>
        <v/>
      </c>
      <c r="AQ28" s="220" t="str">
        <f t="shared" si="25"/>
        <v/>
      </c>
      <c r="AR28" s="219" t="str">
        <f t="shared" si="26"/>
        <v/>
      </c>
      <c r="AS28" s="220" t="str">
        <f t="shared" si="27"/>
        <v/>
      </c>
      <c r="AT28" s="220" t="str">
        <f t="shared" si="28"/>
        <v/>
      </c>
      <c r="AU28" s="221"/>
      <c r="AV28" s="221"/>
      <c r="AW28" s="221"/>
      <c r="AY28" s="218" t="str">
        <f t="shared" si="204"/>
        <v/>
      </c>
      <c r="AZ28" s="218" t="str">
        <f t="shared" si="205"/>
        <v/>
      </c>
      <c r="BA28" s="218" t="str">
        <f t="shared" si="30"/>
        <v/>
      </c>
      <c r="BB28" s="218" t="str">
        <f t="shared" si="206"/>
        <v/>
      </c>
      <c r="BC28" s="218" t="str">
        <f t="shared" si="207"/>
        <v/>
      </c>
      <c r="BD28" s="218" t="str">
        <f t="shared" si="31"/>
        <v/>
      </c>
      <c r="BE28" s="218" t="str">
        <f t="shared" si="208"/>
        <v/>
      </c>
      <c r="BF28" s="218" t="str">
        <f t="shared" si="209"/>
        <v/>
      </c>
      <c r="BG28" s="218" t="str">
        <f t="shared" si="32"/>
        <v/>
      </c>
      <c r="BH28" s="218" t="str">
        <f t="shared" si="210"/>
        <v/>
      </c>
      <c r="BI28" s="218" t="str">
        <f t="shared" si="211"/>
        <v/>
      </c>
      <c r="BJ28" s="218" t="str">
        <f t="shared" si="33"/>
        <v/>
      </c>
      <c r="BK28" s="218" t="str">
        <f t="shared" si="212"/>
        <v/>
      </c>
      <c r="BL28" s="218" t="str">
        <f t="shared" si="213"/>
        <v/>
      </c>
      <c r="BM28" s="218" t="str">
        <f t="shared" si="34"/>
        <v/>
      </c>
      <c r="BN28" s="218" t="str">
        <f t="shared" si="214"/>
        <v/>
      </c>
      <c r="BO28" s="218" t="str">
        <f t="shared" si="215"/>
        <v/>
      </c>
      <c r="BP28" s="218" t="str">
        <f t="shared" si="35"/>
        <v/>
      </c>
      <c r="BQ28" s="218" t="str">
        <f t="shared" si="216"/>
        <v/>
      </c>
      <c r="BR28" s="218" t="str">
        <f t="shared" si="217"/>
        <v/>
      </c>
      <c r="BS28" s="218" t="str">
        <f t="shared" si="36"/>
        <v/>
      </c>
      <c r="BT28" s="218" t="str">
        <f t="shared" si="218"/>
        <v/>
      </c>
      <c r="BU28" s="218" t="str">
        <f t="shared" si="219"/>
        <v/>
      </c>
      <c r="BV28" s="218" t="str">
        <f t="shared" si="37"/>
        <v/>
      </c>
      <c r="BW28" s="218" t="str">
        <f t="shared" si="220"/>
        <v/>
      </c>
      <c r="BX28" s="218" t="str">
        <f t="shared" si="221"/>
        <v/>
      </c>
      <c r="BY28" s="218" t="str">
        <f t="shared" si="38"/>
        <v/>
      </c>
      <c r="BZ28" s="218" t="str">
        <f t="shared" si="222"/>
        <v/>
      </c>
      <c r="CA28" s="218" t="str">
        <f t="shared" si="223"/>
        <v/>
      </c>
      <c r="CB28" s="218" t="str">
        <f t="shared" si="39"/>
        <v/>
      </c>
      <c r="CD28" s="218" t="str">
        <f t="shared" si="40"/>
        <v/>
      </c>
      <c r="CE28" s="218" t="str">
        <f t="shared" si="41"/>
        <v/>
      </c>
      <c r="CF28" s="218" t="str">
        <f t="shared" si="42"/>
        <v/>
      </c>
      <c r="CG28" s="218" t="str">
        <f t="shared" si="43"/>
        <v/>
      </c>
      <c r="CH28" s="218" t="str">
        <f t="shared" si="44"/>
        <v/>
      </c>
      <c r="CI28" s="218" t="str">
        <f t="shared" si="45"/>
        <v/>
      </c>
      <c r="CJ28" s="218" t="str">
        <f t="shared" si="46"/>
        <v/>
      </c>
      <c r="CK28" s="218" t="str">
        <f t="shared" si="47"/>
        <v/>
      </c>
      <c r="CL28" s="218" t="str">
        <f t="shared" si="48"/>
        <v/>
      </c>
      <c r="CM28" s="218" t="str">
        <f t="shared" si="49"/>
        <v/>
      </c>
      <c r="CN28" s="218" t="str">
        <f t="shared" si="50"/>
        <v/>
      </c>
      <c r="CO28" s="218" t="str">
        <f t="shared" si="51"/>
        <v/>
      </c>
      <c r="CP28" s="218" t="str">
        <f t="shared" si="52"/>
        <v/>
      </c>
      <c r="CQ28" s="218" t="str">
        <f t="shared" si="53"/>
        <v/>
      </c>
      <c r="CR28" s="218" t="str">
        <f t="shared" si="54"/>
        <v/>
      </c>
      <c r="CS28" s="218" t="str">
        <f t="shared" si="55"/>
        <v/>
      </c>
      <c r="CT28" s="218" t="str">
        <f t="shared" si="56"/>
        <v/>
      </c>
      <c r="CU28" s="218" t="str">
        <f t="shared" si="57"/>
        <v/>
      </c>
      <c r="CV28" s="218" t="str">
        <f t="shared" si="58"/>
        <v/>
      </c>
      <c r="CW28" s="218" t="str">
        <f t="shared" si="59"/>
        <v/>
      </c>
      <c r="CX28" s="218" t="str">
        <f t="shared" si="60"/>
        <v/>
      </c>
      <c r="CY28" s="218" t="str">
        <f t="shared" si="61"/>
        <v/>
      </c>
      <c r="CZ28" s="218" t="str">
        <f t="shared" si="62"/>
        <v/>
      </c>
      <c r="DA28" s="218" t="str">
        <f t="shared" si="63"/>
        <v/>
      </c>
      <c r="DB28" s="218" t="str">
        <f t="shared" si="64"/>
        <v/>
      </c>
      <c r="DC28" s="218" t="str">
        <f t="shared" si="65"/>
        <v/>
      </c>
      <c r="DD28" s="218" t="str">
        <f t="shared" si="66"/>
        <v/>
      </c>
      <c r="DF28" s="218" t="str">
        <f t="shared" si="67"/>
        <v/>
      </c>
      <c r="DG28" s="218" t="str">
        <f t="shared" si="68"/>
        <v/>
      </c>
      <c r="DH28" s="218" t="str">
        <f t="shared" si="69"/>
        <v/>
      </c>
      <c r="DI28" s="218" t="str">
        <f t="shared" si="70"/>
        <v/>
      </c>
      <c r="DJ28" s="218" t="str">
        <f t="shared" si="71"/>
        <v/>
      </c>
      <c r="DK28" s="218" t="str">
        <f t="shared" si="72"/>
        <v/>
      </c>
      <c r="DL28" s="218" t="str">
        <f t="shared" si="73"/>
        <v/>
      </c>
      <c r="DM28" s="218" t="str">
        <f t="shared" si="74"/>
        <v/>
      </c>
      <c r="DN28" s="218" t="str">
        <f t="shared" si="75"/>
        <v/>
      </c>
      <c r="DO28" s="218" t="str">
        <f t="shared" si="76"/>
        <v/>
      </c>
      <c r="DP28" s="218" t="str">
        <f t="shared" si="77"/>
        <v/>
      </c>
      <c r="DQ28" s="218" t="str">
        <f t="shared" si="78"/>
        <v/>
      </c>
      <c r="DR28" s="218" t="str">
        <f t="shared" si="79"/>
        <v/>
      </c>
      <c r="DS28" s="218" t="str">
        <f t="shared" si="80"/>
        <v/>
      </c>
      <c r="DT28" s="218" t="str">
        <f t="shared" si="81"/>
        <v/>
      </c>
      <c r="DU28" s="218" t="str">
        <f t="shared" si="82"/>
        <v/>
      </c>
      <c r="DV28" s="218" t="str">
        <f t="shared" si="83"/>
        <v/>
      </c>
      <c r="DW28" s="218" t="str">
        <f t="shared" si="84"/>
        <v/>
      </c>
      <c r="DX28" s="218" t="str">
        <f t="shared" si="85"/>
        <v/>
      </c>
      <c r="DY28" s="218" t="str">
        <f t="shared" si="86"/>
        <v/>
      </c>
      <c r="DZ28" s="218" t="str">
        <f t="shared" si="87"/>
        <v/>
      </c>
      <c r="EA28" s="218" t="str">
        <f t="shared" si="88"/>
        <v/>
      </c>
      <c r="EB28" s="218" t="str">
        <f t="shared" si="89"/>
        <v/>
      </c>
      <c r="EC28" s="218" t="str">
        <f t="shared" si="90"/>
        <v/>
      </c>
      <c r="EE28" s="218" t="str">
        <f t="shared" si="91"/>
        <v/>
      </c>
      <c r="EF28" s="218" t="str">
        <f t="shared" si="92"/>
        <v/>
      </c>
      <c r="EG28" s="218" t="str">
        <f t="shared" si="93"/>
        <v/>
      </c>
      <c r="EH28" s="218" t="str">
        <f t="shared" si="94"/>
        <v/>
      </c>
      <c r="EI28" s="218" t="str">
        <f t="shared" si="95"/>
        <v/>
      </c>
      <c r="EJ28" s="218" t="str">
        <f t="shared" si="96"/>
        <v/>
      </c>
      <c r="EK28" s="218" t="str">
        <f t="shared" si="97"/>
        <v/>
      </c>
      <c r="EL28" s="218" t="str">
        <f t="shared" si="98"/>
        <v/>
      </c>
      <c r="EM28" s="218" t="str">
        <f t="shared" si="99"/>
        <v/>
      </c>
      <c r="EN28" s="218" t="str">
        <f t="shared" si="100"/>
        <v/>
      </c>
      <c r="EO28" s="218" t="str">
        <f t="shared" si="101"/>
        <v/>
      </c>
      <c r="EP28" s="218" t="str">
        <f t="shared" si="102"/>
        <v/>
      </c>
      <c r="EQ28" s="218" t="str">
        <f t="shared" si="103"/>
        <v/>
      </c>
      <c r="ER28" s="218" t="str">
        <f t="shared" si="104"/>
        <v/>
      </c>
      <c r="ES28" s="218" t="str">
        <f t="shared" si="105"/>
        <v/>
      </c>
      <c r="ET28" s="218" t="str">
        <f t="shared" si="106"/>
        <v/>
      </c>
      <c r="EU28" s="218" t="str">
        <f t="shared" si="107"/>
        <v/>
      </c>
      <c r="EV28" s="218" t="str">
        <f t="shared" si="108"/>
        <v/>
      </c>
      <c r="EW28" s="218" t="str">
        <f t="shared" si="109"/>
        <v/>
      </c>
      <c r="EX28" s="218" t="str">
        <f t="shared" si="110"/>
        <v/>
      </c>
      <c r="EY28" s="218" t="str">
        <f t="shared" si="111"/>
        <v/>
      </c>
      <c r="FA28" s="218" t="str">
        <f t="shared" si="112"/>
        <v/>
      </c>
      <c r="FB28" s="218" t="str">
        <f t="shared" si="113"/>
        <v/>
      </c>
      <c r="FC28" s="218" t="str">
        <f t="shared" si="114"/>
        <v/>
      </c>
      <c r="FD28" s="218" t="str">
        <f t="shared" si="115"/>
        <v/>
      </c>
      <c r="FE28" s="218" t="str">
        <f t="shared" si="116"/>
        <v/>
      </c>
      <c r="FF28" s="218" t="str">
        <f t="shared" si="117"/>
        <v/>
      </c>
      <c r="FG28" s="218" t="str">
        <f t="shared" si="118"/>
        <v/>
      </c>
      <c r="FH28" s="218" t="str">
        <f t="shared" si="119"/>
        <v/>
      </c>
      <c r="FI28" s="218" t="str">
        <f t="shared" si="120"/>
        <v/>
      </c>
      <c r="FJ28" s="218" t="str">
        <f t="shared" si="121"/>
        <v/>
      </c>
      <c r="FK28" s="218" t="str">
        <f t="shared" si="122"/>
        <v/>
      </c>
      <c r="FL28" s="218" t="str">
        <f t="shared" si="123"/>
        <v/>
      </c>
      <c r="FM28" s="218" t="str">
        <f t="shared" si="124"/>
        <v/>
      </c>
      <c r="FN28" s="218" t="str">
        <f t="shared" si="125"/>
        <v/>
      </c>
      <c r="FO28" s="218" t="str">
        <f t="shared" si="126"/>
        <v/>
      </c>
      <c r="FP28" s="218" t="str">
        <f t="shared" si="127"/>
        <v/>
      </c>
      <c r="FQ28" s="218" t="str">
        <f t="shared" si="128"/>
        <v/>
      </c>
      <c r="FR28" s="218" t="str">
        <f t="shared" si="129"/>
        <v/>
      </c>
      <c r="FT28" s="218" t="str">
        <f t="shared" si="130"/>
        <v/>
      </c>
      <c r="FU28" s="218" t="str">
        <f t="shared" si="131"/>
        <v/>
      </c>
      <c r="FV28" s="218" t="str">
        <f t="shared" si="132"/>
        <v/>
      </c>
      <c r="FW28" s="218" t="str">
        <f t="shared" si="133"/>
        <v/>
      </c>
      <c r="FX28" s="218" t="str">
        <f t="shared" si="134"/>
        <v/>
      </c>
      <c r="FY28" s="218" t="str">
        <f t="shared" si="135"/>
        <v/>
      </c>
      <c r="FZ28" s="218" t="str">
        <f t="shared" si="136"/>
        <v/>
      </c>
      <c r="GA28" s="218" t="str">
        <f t="shared" si="137"/>
        <v/>
      </c>
      <c r="GB28" s="218" t="str">
        <f t="shared" si="138"/>
        <v/>
      </c>
      <c r="GC28" s="218" t="str">
        <f t="shared" si="139"/>
        <v/>
      </c>
      <c r="GD28" s="218" t="str">
        <f t="shared" si="140"/>
        <v/>
      </c>
      <c r="GE28" s="218" t="str">
        <f t="shared" si="141"/>
        <v/>
      </c>
      <c r="GF28" s="218" t="str">
        <f t="shared" si="142"/>
        <v/>
      </c>
      <c r="GG28" s="218" t="str">
        <f t="shared" si="143"/>
        <v/>
      </c>
      <c r="GH28" s="218" t="str">
        <f t="shared" si="144"/>
        <v/>
      </c>
      <c r="GJ28" s="218" t="str">
        <f t="shared" si="145"/>
        <v/>
      </c>
      <c r="GK28" s="218" t="str">
        <f t="shared" si="146"/>
        <v/>
      </c>
      <c r="GL28" s="218" t="str">
        <f t="shared" si="147"/>
        <v/>
      </c>
      <c r="GM28" s="218" t="str">
        <f t="shared" si="148"/>
        <v/>
      </c>
      <c r="GN28" s="218" t="str">
        <f t="shared" si="149"/>
        <v/>
      </c>
      <c r="GO28" s="218" t="str">
        <f t="shared" si="150"/>
        <v/>
      </c>
      <c r="GP28" s="218" t="str">
        <f t="shared" si="151"/>
        <v/>
      </c>
      <c r="GQ28" s="218" t="str">
        <f t="shared" si="152"/>
        <v/>
      </c>
      <c r="GR28" s="218" t="str">
        <f t="shared" si="153"/>
        <v/>
      </c>
      <c r="GS28" s="218" t="str">
        <f t="shared" si="154"/>
        <v/>
      </c>
      <c r="GT28" s="218" t="str">
        <f t="shared" si="155"/>
        <v/>
      </c>
      <c r="GU28" s="218" t="str">
        <f t="shared" si="156"/>
        <v/>
      </c>
      <c r="GW28" s="218" t="str">
        <f t="shared" si="157"/>
        <v/>
      </c>
      <c r="GX28" s="218" t="str">
        <f t="shared" si="158"/>
        <v/>
      </c>
      <c r="GY28" s="218" t="str">
        <f t="shared" si="159"/>
        <v/>
      </c>
      <c r="GZ28" s="218" t="str">
        <f t="shared" si="160"/>
        <v/>
      </c>
      <c r="HA28" s="218" t="str">
        <f t="shared" si="161"/>
        <v/>
      </c>
      <c r="HB28" s="218" t="str">
        <f t="shared" si="162"/>
        <v/>
      </c>
      <c r="HC28" s="218" t="str">
        <f t="shared" si="163"/>
        <v/>
      </c>
      <c r="HD28" s="218" t="str">
        <f t="shared" si="164"/>
        <v/>
      </c>
      <c r="HE28" s="218" t="str">
        <f t="shared" si="165"/>
        <v/>
      </c>
      <c r="HG28" s="218" t="str">
        <f t="shared" si="166"/>
        <v/>
      </c>
      <c r="HH28" s="218" t="str">
        <f t="shared" si="167"/>
        <v/>
      </c>
      <c r="HI28" s="218" t="str">
        <f t="shared" si="168"/>
        <v/>
      </c>
      <c r="HJ28" s="218" t="str">
        <f t="shared" si="169"/>
        <v/>
      </c>
      <c r="HK28" s="218" t="str">
        <f t="shared" si="170"/>
        <v/>
      </c>
      <c r="HL28" s="218" t="str">
        <f t="shared" si="171"/>
        <v/>
      </c>
      <c r="HN28" s="218" t="str">
        <f t="shared" si="172"/>
        <v/>
      </c>
      <c r="HO28" s="218" t="str">
        <f t="shared" si="173"/>
        <v/>
      </c>
      <c r="HP28" s="218" t="str">
        <f t="shared" si="174"/>
        <v/>
      </c>
      <c r="HR28" s="218" t="str">
        <f t="shared" si="224"/>
        <v/>
      </c>
      <c r="HS28" s="218" t="str">
        <f t="shared" si="225"/>
        <v/>
      </c>
      <c r="HT28" s="218" t="str">
        <f t="shared" si="175"/>
        <v/>
      </c>
      <c r="HU28" s="218" t="str">
        <f t="shared" si="176"/>
        <v/>
      </c>
      <c r="HV28" s="218" t="str">
        <f t="shared" si="177"/>
        <v/>
      </c>
      <c r="HW28" s="218" t="str">
        <f t="shared" si="178"/>
        <v/>
      </c>
      <c r="HX28" s="218" t="str">
        <f t="shared" si="179"/>
        <v/>
      </c>
      <c r="HY28" s="218" t="str">
        <f t="shared" si="180"/>
        <v/>
      </c>
      <c r="HZ28" s="218" t="str">
        <f t="shared" si="181"/>
        <v/>
      </c>
      <c r="IA28" s="218" t="str">
        <f t="shared" si="182"/>
        <v/>
      </c>
      <c r="IB28" s="218" t="str">
        <f t="shared" si="183"/>
        <v/>
      </c>
      <c r="IC28" s="218" t="str">
        <f t="shared" si="184"/>
        <v/>
      </c>
      <c r="ID28" s="218" t="str">
        <f t="shared" si="185"/>
        <v/>
      </c>
      <c r="IE28" s="218" t="str">
        <f t="shared" si="186"/>
        <v/>
      </c>
      <c r="IF28" s="218" t="str">
        <f t="shared" si="187"/>
        <v/>
      </c>
      <c r="IG28" s="218" t="str">
        <f t="shared" si="188"/>
        <v/>
      </c>
      <c r="IH28" s="218" t="str">
        <f t="shared" si="189"/>
        <v/>
      </c>
      <c r="II28" s="218" t="str">
        <f t="shared" si="190"/>
        <v/>
      </c>
      <c r="IJ28" s="218" t="str">
        <f t="shared" si="191"/>
        <v/>
      </c>
      <c r="IK28" s="218" t="str">
        <f t="shared" si="192"/>
        <v/>
      </c>
      <c r="IL28" s="218" t="str">
        <f t="shared" si="193"/>
        <v/>
      </c>
      <c r="IM28" s="218" t="str">
        <f t="shared" si="194"/>
        <v/>
      </c>
      <c r="IN28" s="218" t="str">
        <f t="shared" si="195"/>
        <v/>
      </c>
      <c r="IO28" s="218" t="str">
        <f t="shared" si="196"/>
        <v/>
      </c>
      <c r="IP28" s="218" t="str">
        <f t="shared" si="197"/>
        <v/>
      </c>
      <c r="IQ28" s="218" t="str">
        <f t="shared" si="198"/>
        <v/>
      </c>
      <c r="IR28" s="218" t="str">
        <f t="shared" si="199"/>
        <v/>
      </c>
      <c r="IS28" s="218" t="str">
        <f t="shared" si="200"/>
        <v/>
      </c>
      <c r="IT28" s="218" t="str">
        <f t="shared" si="201"/>
        <v/>
      </c>
      <c r="IU28" s="218" t="str">
        <f t="shared" si="202"/>
        <v/>
      </c>
    </row>
    <row r="29" spans="1:255" x14ac:dyDescent="0.2">
      <c r="A29" s="200" t="s">
        <v>32</v>
      </c>
      <c r="B29" s="178"/>
      <c r="C29" s="179"/>
      <c r="D29" s="181"/>
      <c r="E29" s="181"/>
      <c r="F29" s="197"/>
      <c r="G29" s="198"/>
      <c r="H29" s="197"/>
      <c r="I29" s="197"/>
      <c r="J29" s="197"/>
      <c r="K29" s="185"/>
      <c r="L29" s="217" t="str">
        <f t="shared" si="29"/>
        <v/>
      </c>
      <c r="M29" s="218">
        <f>'HKG vs. BK'!M29</f>
        <v>21.263005520124221</v>
      </c>
      <c r="N29" s="218" t="str">
        <f>'HKG vs. BK'!N29</f>
        <v>±0,44</v>
      </c>
      <c r="O29" s="218" t="str">
        <f>'HKG vs. BK'!O29</f>
        <v>±2,01</v>
      </c>
      <c r="P29" s="218" t="str">
        <f>'HKG vs. BK'!P29</f>
        <v>±0,22</v>
      </c>
      <c r="Q29" s="219" t="str">
        <f t="shared" si="203"/>
        <v/>
      </c>
      <c r="R29" s="220" t="str">
        <f t="shared" si="0"/>
        <v/>
      </c>
      <c r="S29" s="220" t="str">
        <f t="shared" si="1"/>
        <v/>
      </c>
      <c r="T29" s="219" t="str">
        <f t="shared" si="2"/>
        <v/>
      </c>
      <c r="U29" s="220" t="str">
        <f t="shared" si="3"/>
        <v/>
      </c>
      <c r="V29" s="220" t="str">
        <f t="shared" si="4"/>
        <v/>
      </c>
      <c r="W29" s="219" t="str">
        <f t="shared" si="5"/>
        <v/>
      </c>
      <c r="X29" s="220" t="str">
        <f t="shared" si="6"/>
        <v/>
      </c>
      <c r="Y29" s="220" t="str">
        <f t="shared" si="7"/>
        <v/>
      </c>
      <c r="Z29" s="219" t="str">
        <f t="shared" si="8"/>
        <v/>
      </c>
      <c r="AA29" s="220" t="str">
        <f t="shared" si="9"/>
        <v/>
      </c>
      <c r="AB29" s="220" t="str">
        <f t="shared" si="10"/>
        <v/>
      </c>
      <c r="AC29" s="219" t="str">
        <f t="shared" si="11"/>
        <v/>
      </c>
      <c r="AD29" s="220" t="str">
        <f t="shared" si="12"/>
        <v/>
      </c>
      <c r="AE29" s="220" t="str">
        <f t="shared" si="13"/>
        <v/>
      </c>
      <c r="AF29" s="219" t="str">
        <f t="shared" si="14"/>
        <v/>
      </c>
      <c r="AG29" s="220" t="str">
        <f t="shared" si="15"/>
        <v/>
      </c>
      <c r="AH29" s="220" t="str">
        <f t="shared" si="16"/>
        <v/>
      </c>
      <c r="AI29" s="219" t="str">
        <f t="shared" si="17"/>
        <v/>
      </c>
      <c r="AJ29" s="220" t="str">
        <f t="shared" si="18"/>
        <v/>
      </c>
      <c r="AK29" s="220" t="str">
        <f t="shared" si="19"/>
        <v/>
      </c>
      <c r="AL29" s="219" t="str">
        <f t="shared" si="20"/>
        <v/>
      </c>
      <c r="AM29" s="220" t="str">
        <f t="shared" si="21"/>
        <v/>
      </c>
      <c r="AN29" s="220" t="str">
        <f t="shared" si="22"/>
        <v/>
      </c>
      <c r="AO29" s="219" t="str">
        <f t="shared" si="23"/>
        <v/>
      </c>
      <c r="AP29" s="220" t="str">
        <f t="shared" si="24"/>
        <v/>
      </c>
      <c r="AQ29" s="220" t="str">
        <f t="shared" si="25"/>
        <v/>
      </c>
      <c r="AR29" s="219" t="str">
        <f t="shared" si="26"/>
        <v/>
      </c>
      <c r="AS29" s="220" t="str">
        <f t="shared" si="27"/>
        <v/>
      </c>
      <c r="AT29" s="220" t="str">
        <f t="shared" si="28"/>
        <v/>
      </c>
      <c r="AU29" s="221"/>
      <c r="AV29" s="221"/>
      <c r="AW29" s="221"/>
      <c r="AY29" s="218" t="str">
        <f t="shared" si="204"/>
        <v/>
      </c>
      <c r="AZ29" s="218" t="str">
        <f t="shared" si="205"/>
        <v/>
      </c>
      <c r="BA29" s="218" t="str">
        <f t="shared" si="30"/>
        <v/>
      </c>
      <c r="BB29" s="218" t="str">
        <f t="shared" si="206"/>
        <v/>
      </c>
      <c r="BC29" s="218" t="str">
        <f t="shared" si="207"/>
        <v/>
      </c>
      <c r="BD29" s="218" t="str">
        <f t="shared" si="31"/>
        <v/>
      </c>
      <c r="BE29" s="218" t="str">
        <f t="shared" si="208"/>
        <v/>
      </c>
      <c r="BF29" s="218" t="str">
        <f t="shared" si="209"/>
        <v/>
      </c>
      <c r="BG29" s="218" t="str">
        <f t="shared" si="32"/>
        <v/>
      </c>
      <c r="BH29" s="218" t="str">
        <f t="shared" si="210"/>
        <v/>
      </c>
      <c r="BI29" s="218" t="str">
        <f t="shared" si="211"/>
        <v/>
      </c>
      <c r="BJ29" s="218" t="str">
        <f t="shared" si="33"/>
        <v/>
      </c>
      <c r="BK29" s="218" t="str">
        <f t="shared" si="212"/>
        <v/>
      </c>
      <c r="BL29" s="218" t="str">
        <f t="shared" si="213"/>
        <v/>
      </c>
      <c r="BM29" s="218" t="str">
        <f t="shared" si="34"/>
        <v/>
      </c>
      <c r="BN29" s="218" t="str">
        <f t="shared" si="214"/>
        <v/>
      </c>
      <c r="BO29" s="218" t="str">
        <f t="shared" si="215"/>
        <v/>
      </c>
      <c r="BP29" s="218" t="str">
        <f t="shared" si="35"/>
        <v/>
      </c>
      <c r="BQ29" s="218" t="str">
        <f t="shared" si="216"/>
        <v/>
      </c>
      <c r="BR29" s="218" t="str">
        <f t="shared" si="217"/>
        <v/>
      </c>
      <c r="BS29" s="218" t="str">
        <f t="shared" si="36"/>
        <v/>
      </c>
      <c r="BT29" s="218" t="str">
        <f t="shared" si="218"/>
        <v/>
      </c>
      <c r="BU29" s="218" t="str">
        <f t="shared" si="219"/>
        <v/>
      </c>
      <c r="BV29" s="218" t="str">
        <f t="shared" si="37"/>
        <v/>
      </c>
      <c r="BW29" s="218" t="str">
        <f t="shared" si="220"/>
        <v/>
      </c>
      <c r="BX29" s="218" t="str">
        <f t="shared" si="221"/>
        <v/>
      </c>
      <c r="BY29" s="218" t="str">
        <f t="shared" si="38"/>
        <v/>
      </c>
      <c r="BZ29" s="218" t="str">
        <f t="shared" si="222"/>
        <v/>
      </c>
      <c r="CA29" s="218" t="str">
        <f t="shared" si="223"/>
        <v/>
      </c>
      <c r="CB29" s="218" t="str">
        <f t="shared" si="39"/>
        <v/>
      </c>
      <c r="CD29" s="218" t="str">
        <f t="shared" si="40"/>
        <v/>
      </c>
      <c r="CE29" s="218" t="str">
        <f t="shared" si="41"/>
        <v/>
      </c>
      <c r="CF29" s="218" t="str">
        <f t="shared" si="42"/>
        <v/>
      </c>
      <c r="CG29" s="218" t="str">
        <f t="shared" si="43"/>
        <v/>
      </c>
      <c r="CH29" s="218" t="str">
        <f t="shared" si="44"/>
        <v/>
      </c>
      <c r="CI29" s="218" t="str">
        <f t="shared" si="45"/>
        <v/>
      </c>
      <c r="CJ29" s="218" t="str">
        <f t="shared" si="46"/>
        <v/>
      </c>
      <c r="CK29" s="218" t="str">
        <f t="shared" si="47"/>
        <v/>
      </c>
      <c r="CL29" s="218" t="str">
        <f t="shared" si="48"/>
        <v/>
      </c>
      <c r="CM29" s="218" t="str">
        <f t="shared" si="49"/>
        <v/>
      </c>
      <c r="CN29" s="218" t="str">
        <f t="shared" si="50"/>
        <v/>
      </c>
      <c r="CO29" s="218" t="str">
        <f t="shared" si="51"/>
        <v/>
      </c>
      <c r="CP29" s="218" t="str">
        <f t="shared" si="52"/>
        <v/>
      </c>
      <c r="CQ29" s="218" t="str">
        <f t="shared" si="53"/>
        <v/>
      </c>
      <c r="CR29" s="218" t="str">
        <f t="shared" si="54"/>
        <v/>
      </c>
      <c r="CS29" s="218" t="str">
        <f t="shared" si="55"/>
        <v/>
      </c>
      <c r="CT29" s="218" t="str">
        <f t="shared" si="56"/>
        <v/>
      </c>
      <c r="CU29" s="218" t="str">
        <f t="shared" si="57"/>
        <v/>
      </c>
      <c r="CV29" s="218" t="str">
        <f t="shared" si="58"/>
        <v/>
      </c>
      <c r="CW29" s="218" t="str">
        <f t="shared" si="59"/>
        <v/>
      </c>
      <c r="CX29" s="218" t="str">
        <f t="shared" si="60"/>
        <v/>
      </c>
      <c r="CY29" s="218" t="str">
        <f t="shared" si="61"/>
        <v/>
      </c>
      <c r="CZ29" s="218" t="str">
        <f t="shared" si="62"/>
        <v/>
      </c>
      <c r="DA29" s="218" t="str">
        <f t="shared" si="63"/>
        <v/>
      </c>
      <c r="DB29" s="218" t="str">
        <f t="shared" si="64"/>
        <v/>
      </c>
      <c r="DC29" s="218" t="str">
        <f t="shared" si="65"/>
        <v/>
      </c>
      <c r="DD29" s="218" t="str">
        <f t="shared" si="66"/>
        <v/>
      </c>
      <c r="DF29" s="218" t="str">
        <f t="shared" si="67"/>
        <v/>
      </c>
      <c r="DG29" s="218" t="str">
        <f t="shared" si="68"/>
        <v/>
      </c>
      <c r="DH29" s="218" t="str">
        <f t="shared" si="69"/>
        <v/>
      </c>
      <c r="DI29" s="218" t="str">
        <f t="shared" si="70"/>
        <v/>
      </c>
      <c r="DJ29" s="218" t="str">
        <f t="shared" si="71"/>
        <v/>
      </c>
      <c r="DK29" s="218" t="str">
        <f t="shared" si="72"/>
        <v/>
      </c>
      <c r="DL29" s="218" t="str">
        <f t="shared" si="73"/>
        <v/>
      </c>
      <c r="DM29" s="218" t="str">
        <f t="shared" si="74"/>
        <v/>
      </c>
      <c r="DN29" s="218" t="str">
        <f t="shared" si="75"/>
        <v/>
      </c>
      <c r="DO29" s="218" t="str">
        <f t="shared" si="76"/>
        <v/>
      </c>
      <c r="DP29" s="218" t="str">
        <f t="shared" si="77"/>
        <v/>
      </c>
      <c r="DQ29" s="218" t="str">
        <f t="shared" si="78"/>
        <v/>
      </c>
      <c r="DR29" s="218" t="str">
        <f t="shared" si="79"/>
        <v/>
      </c>
      <c r="DS29" s="218" t="str">
        <f t="shared" si="80"/>
        <v/>
      </c>
      <c r="DT29" s="218" t="str">
        <f t="shared" si="81"/>
        <v/>
      </c>
      <c r="DU29" s="218" t="str">
        <f t="shared" si="82"/>
        <v/>
      </c>
      <c r="DV29" s="218" t="str">
        <f t="shared" si="83"/>
        <v/>
      </c>
      <c r="DW29" s="218" t="str">
        <f t="shared" si="84"/>
        <v/>
      </c>
      <c r="DX29" s="218" t="str">
        <f t="shared" si="85"/>
        <v/>
      </c>
      <c r="DY29" s="218" t="str">
        <f t="shared" si="86"/>
        <v/>
      </c>
      <c r="DZ29" s="218" t="str">
        <f t="shared" si="87"/>
        <v/>
      </c>
      <c r="EA29" s="218" t="str">
        <f t="shared" si="88"/>
        <v/>
      </c>
      <c r="EB29" s="218" t="str">
        <f t="shared" si="89"/>
        <v/>
      </c>
      <c r="EC29" s="218" t="str">
        <f t="shared" si="90"/>
        <v/>
      </c>
      <c r="EE29" s="218" t="str">
        <f t="shared" si="91"/>
        <v/>
      </c>
      <c r="EF29" s="218" t="str">
        <f t="shared" si="92"/>
        <v/>
      </c>
      <c r="EG29" s="218" t="str">
        <f t="shared" si="93"/>
        <v/>
      </c>
      <c r="EH29" s="218" t="str">
        <f t="shared" si="94"/>
        <v/>
      </c>
      <c r="EI29" s="218" t="str">
        <f t="shared" si="95"/>
        <v/>
      </c>
      <c r="EJ29" s="218" t="str">
        <f t="shared" si="96"/>
        <v/>
      </c>
      <c r="EK29" s="218" t="str">
        <f t="shared" si="97"/>
        <v/>
      </c>
      <c r="EL29" s="218" t="str">
        <f t="shared" si="98"/>
        <v/>
      </c>
      <c r="EM29" s="218" t="str">
        <f t="shared" si="99"/>
        <v/>
      </c>
      <c r="EN29" s="218" t="str">
        <f t="shared" si="100"/>
        <v/>
      </c>
      <c r="EO29" s="218" t="str">
        <f t="shared" si="101"/>
        <v/>
      </c>
      <c r="EP29" s="218" t="str">
        <f t="shared" si="102"/>
        <v/>
      </c>
      <c r="EQ29" s="218" t="str">
        <f t="shared" si="103"/>
        <v/>
      </c>
      <c r="ER29" s="218" t="str">
        <f t="shared" si="104"/>
        <v/>
      </c>
      <c r="ES29" s="218" t="str">
        <f t="shared" si="105"/>
        <v/>
      </c>
      <c r="ET29" s="218" t="str">
        <f t="shared" si="106"/>
        <v/>
      </c>
      <c r="EU29" s="218" t="str">
        <f t="shared" si="107"/>
        <v/>
      </c>
      <c r="EV29" s="218" t="str">
        <f t="shared" si="108"/>
        <v/>
      </c>
      <c r="EW29" s="218" t="str">
        <f t="shared" si="109"/>
        <v/>
      </c>
      <c r="EX29" s="218" t="str">
        <f t="shared" si="110"/>
        <v/>
      </c>
      <c r="EY29" s="218" t="str">
        <f t="shared" si="111"/>
        <v/>
      </c>
      <c r="FA29" s="218" t="str">
        <f t="shared" si="112"/>
        <v/>
      </c>
      <c r="FB29" s="218" t="str">
        <f t="shared" si="113"/>
        <v/>
      </c>
      <c r="FC29" s="218" t="str">
        <f t="shared" si="114"/>
        <v/>
      </c>
      <c r="FD29" s="218" t="str">
        <f t="shared" si="115"/>
        <v/>
      </c>
      <c r="FE29" s="218" t="str">
        <f t="shared" si="116"/>
        <v/>
      </c>
      <c r="FF29" s="218" t="str">
        <f t="shared" si="117"/>
        <v/>
      </c>
      <c r="FG29" s="218" t="str">
        <f t="shared" si="118"/>
        <v/>
      </c>
      <c r="FH29" s="218" t="str">
        <f t="shared" si="119"/>
        <v/>
      </c>
      <c r="FI29" s="218" t="str">
        <f t="shared" si="120"/>
        <v/>
      </c>
      <c r="FJ29" s="218" t="str">
        <f t="shared" si="121"/>
        <v/>
      </c>
      <c r="FK29" s="218" t="str">
        <f t="shared" si="122"/>
        <v/>
      </c>
      <c r="FL29" s="218" t="str">
        <f t="shared" si="123"/>
        <v/>
      </c>
      <c r="FM29" s="218" t="str">
        <f t="shared" si="124"/>
        <v/>
      </c>
      <c r="FN29" s="218" t="str">
        <f t="shared" si="125"/>
        <v/>
      </c>
      <c r="FO29" s="218" t="str">
        <f t="shared" si="126"/>
        <v/>
      </c>
      <c r="FP29" s="218" t="str">
        <f t="shared" si="127"/>
        <v/>
      </c>
      <c r="FQ29" s="218" t="str">
        <f t="shared" si="128"/>
        <v/>
      </c>
      <c r="FR29" s="218" t="str">
        <f t="shared" si="129"/>
        <v/>
      </c>
      <c r="FT29" s="218" t="str">
        <f t="shared" si="130"/>
        <v/>
      </c>
      <c r="FU29" s="218" t="str">
        <f t="shared" si="131"/>
        <v/>
      </c>
      <c r="FV29" s="218" t="str">
        <f t="shared" si="132"/>
        <v/>
      </c>
      <c r="FW29" s="218" t="str">
        <f t="shared" si="133"/>
        <v/>
      </c>
      <c r="FX29" s="218" t="str">
        <f t="shared" si="134"/>
        <v/>
      </c>
      <c r="FY29" s="218" t="str">
        <f t="shared" si="135"/>
        <v/>
      </c>
      <c r="FZ29" s="218" t="str">
        <f t="shared" si="136"/>
        <v/>
      </c>
      <c r="GA29" s="218" t="str">
        <f t="shared" si="137"/>
        <v/>
      </c>
      <c r="GB29" s="218" t="str">
        <f t="shared" si="138"/>
        <v/>
      </c>
      <c r="GC29" s="218" t="str">
        <f t="shared" si="139"/>
        <v/>
      </c>
      <c r="GD29" s="218" t="str">
        <f t="shared" si="140"/>
        <v/>
      </c>
      <c r="GE29" s="218" t="str">
        <f t="shared" si="141"/>
        <v/>
      </c>
      <c r="GF29" s="218" t="str">
        <f t="shared" si="142"/>
        <v/>
      </c>
      <c r="GG29" s="218" t="str">
        <f t="shared" si="143"/>
        <v/>
      </c>
      <c r="GH29" s="218" t="str">
        <f t="shared" si="144"/>
        <v/>
      </c>
      <c r="GJ29" s="218" t="str">
        <f t="shared" si="145"/>
        <v/>
      </c>
      <c r="GK29" s="218" t="str">
        <f t="shared" si="146"/>
        <v/>
      </c>
      <c r="GL29" s="218" t="str">
        <f t="shared" si="147"/>
        <v/>
      </c>
      <c r="GM29" s="218" t="str">
        <f t="shared" si="148"/>
        <v/>
      </c>
      <c r="GN29" s="218" t="str">
        <f t="shared" si="149"/>
        <v/>
      </c>
      <c r="GO29" s="218" t="str">
        <f t="shared" si="150"/>
        <v/>
      </c>
      <c r="GP29" s="218" t="str">
        <f t="shared" si="151"/>
        <v/>
      </c>
      <c r="GQ29" s="218" t="str">
        <f t="shared" si="152"/>
        <v/>
      </c>
      <c r="GR29" s="218" t="str">
        <f t="shared" si="153"/>
        <v/>
      </c>
      <c r="GS29" s="218" t="str">
        <f t="shared" si="154"/>
        <v/>
      </c>
      <c r="GT29" s="218" t="str">
        <f t="shared" si="155"/>
        <v/>
      </c>
      <c r="GU29" s="218" t="str">
        <f t="shared" si="156"/>
        <v/>
      </c>
      <c r="GW29" s="218" t="str">
        <f t="shared" si="157"/>
        <v/>
      </c>
      <c r="GX29" s="218" t="str">
        <f t="shared" si="158"/>
        <v/>
      </c>
      <c r="GY29" s="218" t="str">
        <f t="shared" si="159"/>
        <v/>
      </c>
      <c r="GZ29" s="218" t="str">
        <f t="shared" si="160"/>
        <v/>
      </c>
      <c r="HA29" s="218" t="str">
        <f t="shared" si="161"/>
        <v/>
      </c>
      <c r="HB29" s="218" t="str">
        <f t="shared" si="162"/>
        <v/>
      </c>
      <c r="HC29" s="218" t="str">
        <f t="shared" si="163"/>
        <v/>
      </c>
      <c r="HD29" s="218" t="str">
        <f t="shared" si="164"/>
        <v/>
      </c>
      <c r="HE29" s="218" t="str">
        <f t="shared" si="165"/>
        <v/>
      </c>
      <c r="HG29" s="218" t="str">
        <f t="shared" si="166"/>
        <v/>
      </c>
      <c r="HH29" s="218" t="str">
        <f t="shared" si="167"/>
        <v/>
      </c>
      <c r="HI29" s="218" t="str">
        <f t="shared" si="168"/>
        <v/>
      </c>
      <c r="HJ29" s="218" t="str">
        <f t="shared" si="169"/>
        <v/>
      </c>
      <c r="HK29" s="218" t="str">
        <f t="shared" si="170"/>
        <v/>
      </c>
      <c r="HL29" s="218" t="str">
        <f t="shared" si="171"/>
        <v/>
      </c>
      <c r="HN29" s="218" t="str">
        <f t="shared" si="172"/>
        <v/>
      </c>
      <c r="HO29" s="218" t="str">
        <f t="shared" si="173"/>
        <v/>
      </c>
      <c r="HP29" s="218" t="str">
        <f t="shared" si="174"/>
        <v/>
      </c>
      <c r="HR29" s="218" t="str">
        <f t="shared" si="224"/>
        <v/>
      </c>
      <c r="HS29" s="218" t="str">
        <f t="shared" si="225"/>
        <v/>
      </c>
      <c r="HT29" s="218" t="str">
        <f t="shared" si="175"/>
        <v/>
      </c>
      <c r="HU29" s="218" t="str">
        <f t="shared" si="176"/>
        <v/>
      </c>
      <c r="HV29" s="218" t="str">
        <f t="shared" si="177"/>
        <v/>
      </c>
      <c r="HW29" s="218" t="str">
        <f t="shared" si="178"/>
        <v/>
      </c>
      <c r="HX29" s="218" t="str">
        <f t="shared" si="179"/>
        <v/>
      </c>
      <c r="HY29" s="218" t="str">
        <f t="shared" si="180"/>
        <v/>
      </c>
      <c r="HZ29" s="218" t="str">
        <f t="shared" si="181"/>
        <v/>
      </c>
      <c r="IA29" s="218" t="str">
        <f t="shared" si="182"/>
        <v/>
      </c>
      <c r="IB29" s="218" t="str">
        <f t="shared" si="183"/>
        <v/>
      </c>
      <c r="IC29" s="218" t="str">
        <f t="shared" si="184"/>
        <v/>
      </c>
      <c r="ID29" s="218" t="str">
        <f t="shared" si="185"/>
        <v/>
      </c>
      <c r="IE29" s="218" t="str">
        <f t="shared" si="186"/>
        <v/>
      </c>
      <c r="IF29" s="218" t="str">
        <f t="shared" si="187"/>
        <v/>
      </c>
      <c r="IG29" s="218" t="str">
        <f t="shared" si="188"/>
        <v/>
      </c>
      <c r="IH29" s="218" t="str">
        <f t="shared" si="189"/>
        <v/>
      </c>
      <c r="II29" s="218" t="str">
        <f t="shared" si="190"/>
        <v/>
      </c>
      <c r="IJ29" s="218" t="str">
        <f t="shared" si="191"/>
        <v/>
      </c>
      <c r="IK29" s="218" t="str">
        <f t="shared" si="192"/>
        <v/>
      </c>
      <c r="IL29" s="218" t="str">
        <f t="shared" si="193"/>
        <v/>
      </c>
      <c r="IM29" s="218" t="str">
        <f t="shared" si="194"/>
        <v/>
      </c>
      <c r="IN29" s="218" t="str">
        <f t="shared" si="195"/>
        <v/>
      </c>
      <c r="IO29" s="218" t="str">
        <f t="shared" si="196"/>
        <v/>
      </c>
      <c r="IP29" s="218" t="str">
        <f t="shared" si="197"/>
        <v/>
      </c>
      <c r="IQ29" s="218" t="str">
        <f t="shared" si="198"/>
        <v/>
      </c>
      <c r="IR29" s="218" t="str">
        <f t="shared" si="199"/>
        <v/>
      </c>
      <c r="IS29" s="218" t="str">
        <f t="shared" si="200"/>
        <v/>
      </c>
      <c r="IT29" s="218" t="str">
        <f t="shared" si="201"/>
        <v/>
      </c>
      <c r="IU29" s="218" t="str">
        <f t="shared" si="202"/>
        <v/>
      </c>
    </row>
    <row r="30" spans="1:255" x14ac:dyDescent="0.2">
      <c r="A30" s="200" t="s">
        <v>33</v>
      </c>
      <c r="B30" s="178"/>
      <c r="C30" s="179"/>
      <c r="D30" s="181"/>
      <c r="E30" s="181"/>
      <c r="F30" s="181"/>
      <c r="G30" s="198"/>
      <c r="H30" s="197"/>
      <c r="I30" s="197"/>
      <c r="J30" s="197"/>
      <c r="K30" s="185"/>
      <c r="L30" s="217" t="str">
        <f t="shared" si="29"/>
        <v/>
      </c>
      <c r="M30" s="218">
        <f>'HKG vs. BK'!M30</f>
        <v>21.192633178531661</v>
      </c>
      <c r="N30" s="218" t="str">
        <f>'HKG vs. BK'!N30</f>
        <v>±0,66</v>
      </c>
      <c r="O30" s="218" t="str">
        <f>'HKG vs. BK'!O30</f>
        <v>±3,12</v>
      </c>
      <c r="P30" s="218" t="str">
        <f>'HKG vs. BK'!P30</f>
        <v>±0,39</v>
      </c>
      <c r="Q30" s="219" t="str">
        <f t="shared" si="203"/>
        <v/>
      </c>
      <c r="R30" s="220" t="str">
        <f t="shared" si="0"/>
        <v/>
      </c>
      <c r="S30" s="220" t="str">
        <f t="shared" si="1"/>
        <v/>
      </c>
      <c r="T30" s="219" t="str">
        <f t="shared" si="2"/>
        <v/>
      </c>
      <c r="U30" s="220" t="str">
        <f t="shared" si="3"/>
        <v/>
      </c>
      <c r="V30" s="220" t="str">
        <f t="shared" si="4"/>
        <v/>
      </c>
      <c r="W30" s="219" t="str">
        <f t="shared" si="5"/>
        <v/>
      </c>
      <c r="X30" s="220" t="str">
        <f t="shared" si="6"/>
        <v/>
      </c>
      <c r="Y30" s="220" t="str">
        <f t="shared" si="7"/>
        <v/>
      </c>
      <c r="Z30" s="219" t="str">
        <f t="shared" si="8"/>
        <v/>
      </c>
      <c r="AA30" s="220" t="str">
        <f t="shared" si="9"/>
        <v/>
      </c>
      <c r="AB30" s="220" t="str">
        <f t="shared" si="10"/>
        <v/>
      </c>
      <c r="AC30" s="219" t="str">
        <f t="shared" si="11"/>
        <v/>
      </c>
      <c r="AD30" s="220" t="str">
        <f t="shared" si="12"/>
        <v/>
      </c>
      <c r="AE30" s="220" t="str">
        <f t="shared" si="13"/>
        <v/>
      </c>
      <c r="AF30" s="219" t="str">
        <f t="shared" si="14"/>
        <v/>
      </c>
      <c r="AG30" s="220" t="str">
        <f t="shared" si="15"/>
        <v/>
      </c>
      <c r="AH30" s="220" t="str">
        <f t="shared" si="16"/>
        <v/>
      </c>
      <c r="AI30" s="219" t="str">
        <f t="shared" si="17"/>
        <v/>
      </c>
      <c r="AJ30" s="220" t="str">
        <f t="shared" si="18"/>
        <v/>
      </c>
      <c r="AK30" s="220" t="str">
        <f t="shared" si="19"/>
        <v/>
      </c>
      <c r="AL30" s="219" t="str">
        <f t="shared" si="20"/>
        <v/>
      </c>
      <c r="AM30" s="220" t="str">
        <f t="shared" si="21"/>
        <v/>
      </c>
      <c r="AN30" s="220" t="str">
        <f t="shared" si="22"/>
        <v/>
      </c>
      <c r="AO30" s="219" t="str">
        <f t="shared" si="23"/>
        <v/>
      </c>
      <c r="AP30" s="220" t="str">
        <f t="shared" si="24"/>
        <v/>
      </c>
      <c r="AQ30" s="220" t="str">
        <f t="shared" si="25"/>
        <v/>
      </c>
      <c r="AR30" s="219" t="str">
        <f t="shared" si="26"/>
        <v/>
      </c>
      <c r="AS30" s="220" t="str">
        <f t="shared" si="27"/>
        <v/>
      </c>
      <c r="AT30" s="220" t="str">
        <f t="shared" si="28"/>
        <v/>
      </c>
      <c r="AU30" s="221"/>
      <c r="AV30" s="221"/>
      <c r="AW30" s="221"/>
      <c r="AY30" s="218" t="str">
        <f t="shared" si="204"/>
        <v/>
      </c>
      <c r="AZ30" s="218" t="str">
        <f t="shared" si="205"/>
        <v/>
      </c>
      <c r="BA30" s="218" t="str">
        <f t="shared" si="30"/>
        <v/>
      </c>
      <c r="BB30" s="218" t="str">
        <f t="shared" si="206"/>
        <v/>
      </c>
      <c r="BC30" s="218" t="str">
        <f t="shared" si="207"/>
        <v/>
      </c>
      <c r="BD30" s="218" t="str">
        <f t="shared" si="31"/>
        <v/>
      </c>
      <c r="BE30" s="218" t="str">
        <f t="shared" si="208"/>
        <v/>
      </c>
      <c r="BF30" s="218" t="str">
        <f t="shared" si="209"/>
        <v/>
      </c>
      <c r="BG30" s="218" t="str">
        <f t="shared" si="32"/>
        <v/>
      </c>
      <c r="BH30" s="218" t="str">
        <f t="shared" si="210"/>
        <v/>
      </c>
      <c r="BI30" s="218" t="str">
        <f t="shared" si="211"/>
        <v/>
      </c>
      <c r="BJ30" s="218" t="str">
        <f t="shared" si="33"/>
        <v/>
      </c>
      <c r="BK30" s="218" t="str">
        <f t="shared" si="212"/>
        <v/>
      </c>
      <c r="BL30" s="218" t="str">
        <f t="shared" si="213"/>
        <v/>
      </c>
      <c r="BM30" s="218" t="str">
        <f t="shared" si="34"/>
        <v/>
      </c>
      <c r="BN30" s="218" t="str">
        <f t="shared" si="214"/>
        <v/>
      </c>
      <c r="BO30" s="218" t="str">
        <f t="shared" si="215"/>
        <v/>
      </c>
      <c r="BP30" s="218" t="str">
        <f t="shared" si="35"/>
        <v/>
      </c>
      <c r="BQ30" s="218" t="str">
        <f t="shared" si="216"/>
        <v/>
      </c>
      <c r="BR30" s="218" t="str">
        <f t="shared" si="217"/>
        <v/>
      </c>
      <c r="BS30" s="218" t="str">
        <f t="shared" si="36"/>
        <v/>
      </c>
      <c r="BT30" s="218" t="str">
        <f t="shared" si="218"/>
        <v/>
      </c>
      <c r="BU30" s="218" t="str">
        <f t="shared" si="219"/>
        <v/>
      </c>
      <c r="BV30" s="218" t="str">
        <f t="shared" si="37"/>
        <v/>
      </c>
      <c r="BW30" s="218" t="str">
        <f t="shared" si="220"/>
        <v/>
      </c>
      <c r="BX30" s="218" t="str">
        <f t="shared" si="221"/>
        <v/>
      </c>
      <c r="BY30" s="218" t="str">
        <f t="shared" si="38"/>
        <v/>
      </c>
      <c r="BZ30" s="218" t="str">
        <f t="shared" si="222"/>
        <v/>
      </c>
      <c r="CA30" s="218" t="str">
        <f t="shared" si="223"/>
        <v/>
      </c>
      <c r="CB30" s="218" t="str">
        <f t="shared" si="39"/>
        <v/>
      </c>
      <c r="CD30" s="218" t="str">
        <f t="shared" si="40"/>
        <v/>
      </c>
      <c r="CE30" s="218" t="str">
        <f t="shared" si="41"/>
        <v/>
      </c>
      <c r="CF30" s="218" t="str">
        <f t="shared" si="42"/>
        <v/>
      </c>
      <c r="CG30" s="218" t="str">
        <f t="shared" si="43"/>
        <v/>
      </c>
      <c r="CH30" s="218" t="str">
        <f t="shared" si="44"/>
        <v/>
      </c>
      <c r="CI30" s="218" t="str">
        <f t="shared" si="45"/>
        <v/>
      </c>
      <c r="CJ30" s="218" t="str">
        <f t="shared" si="46"/>
        <v/>
      </c>
      <c r="CK30" s="218" t="str">
        <f t="shared" si="47"/>
        <v/>
      </c>
      <c r="CL30" s="218" t="str">
        <f t="shared" si="48"/>
        <v/>
      </c>
      <c r="CM30" s="218" t="str">
        <f t="shared" si="49"/>
        <v/>
      </c>
      <c r="CN30" s="218" t="str">
        <f t="shared" si="50"/>
        <v/>
      </c>
      <c r="CO30" s="218" t="str">
        <f t="shared" si="51"/>
        <v/>
      </c>
      <c r="CP30" s="218" t="str">
        <f t="shared" si="52"/>
        <v/>
      </c>
      <c r="CQ30" s="218" t="str">
        <f t="shared" si="53"/>
        <v/>
      </c>
      <c r="CR30" s="218" t="str">
        <f t="shared" si="54"/>
        <v/>
      </c>
      <c r="CS30" s="218" t="str">
        <f t="shared" si="55"/>
        <v/>
      </c>
      <c r="CT30" s="218" t="str">
        <f t="shared" si="56"/>
        <v/>
      </c>
      <c r="CU30" s="218" t="str">
        <f t="shared" si="57"/>
        <v/>
      </c>
      <c r="CV30" s="218" t="str">
        <f t="shared" si="58"/>
        <v/>
      </c>
      <c r="CW30" s="218" t="str">
        <f t="shared" si="59"/>
        <v/>
      </c>
      <c r="CX30" s="218" t="str">
        <f t="shared" si="60"/>
        <v/>
      </c>
      <c r="CY30" s="218" t="str">
        <f t="shared" si="61"/>
        <v/>
      </c>
      <c r="CZ30" s="218" t="str">
        <f t="shared" si="62"/>
        <v/>
      </c>
      <c r="DA30" s="218" t="str">
        <f t="shared" si="63"/>
        <v/>
      </c>
      <c r="DB30" s="218" t="str">
        <f t="shared" si="64"/>
        <v/>
      </c>
      <c r="DC30" s="218" t="str">
        <f t="shared" si="65"/>
        <v/>
      </c>
      <c r="DD30" s="218" t="str">
        <f t="shared" si="66"/>
        <v/>
      </c>
      <c r="DF30" s="218" t="str">
        <f t="shared" si="67"/>
        <v/>
      </c>
      <c r="DG30" s="218" t="str">
        <f t="shared" si="68"/>
        <v/>
      </c>
      <c r="DH30" s="218" t="str">
        <f t="shared" si="69"/>
        <v/>
      </c>
      <c r="DI30" s="218" t="str">
        <f t="shared" si="70"/>
        <v/>
      </c>
      <c r="DJ30" s="218" t="str">
        <f t="shared" si="71"/>
        <v/>
      </c>
      <c r="DK30" s="218" t="str">
        <f t="shared" si="72"/>
        <v/>
      </c>
      <c r="DL30" s="218" t="str">
        <f t="shared" si="73"/>
        <v/>
      </c>
      <c r="DM30" s="218" t="str">
        <f t="shared" si="74"/>
        <v/>
      </c>
      <c r="DN30" s="218" t="str">
        <f t="shared" si="75"/>
        <v/>
      </c>
      <c r="DO30" s="218" t="str">
        <f t="shared" si="76"/>
        <v/>
      </c>
      <c r="DP30" s="218" t="str">
        <f t="shared" si="77"/>
        <v/>
      </c>
      <c r="DQ30" s="218" t="str">
        <f t="shared" si="78"/>
        <v/>
      </c>
      <c r="DR30" s="218" t="str">
        <f t="shared" si="79"/>
        <v/>
      </c>
      <c r="DS30" s="218" t="str">
        <f t="shared" si="80"/>
        <v/>
      </c>
      <c r="DT30" s="218" t="str">
        <f t="shared" si="81"/>
        <v/>
      </c>
      <c r="DU30" s="218" t="str">
        <f t="shared" si="82"/>
        <v/>
      </c>
      <c r="DV30" s="218" t="str">
        <f t="shared" si="83"/>
        <v/>
      </c>
      <c r="DW30" s="218" t="str">
        <f t="shared" si="84"/>
        <v/>
      </c>
      <c r="DX30" s="218" t="str">
        <f t="shared" si="85"/>
        <v/>
      </c>
      <c r="DY30" s="218" t="str">
        <f t="shared" si="86"/>
        <v/>
      </c>
      <c r="DZ30" s="218" t="str">
        <f t="shared" si="87"/>
        <v/>
      </c>
      <c r="EA30" s="218" t="str">
        <f t="shared" si="88"/>
        <v/>
      </c>
      <c r="EB30" s="218" t="str">
        <f t="shared" si="89"/>
        <v/>
      </c>
      <c r="EC30" s="218" t="str">
        <f t="shared" si="90"/>
        <v/>
      </c>
      <c r="EE30" s="218" t="str">
        <f t="shared" si="91"/>
        <v/>
      </c>
      <c r="EF30" s="218" t="str">
        <f t="shared" si="92"/>
        <v/>
      </c>
      <c r="EG30" s="218" t="str">
        <f t="shared" si="93"/>
        <v/>
      </c>
      <c r="EH30" s="218" t="str">
        <f t="shared" si="94"/>
        <v/>
      </c>
      <c r="EI30" s="218" t="str">
        <f t="shared" si="95"/>
        <v/>
      </c>
      <c r="EJ30" s="218" t="str">
        <f t="shared" si="96"/>
        <v/>
      </c>
      <c r="EK30" s="218" t="str">
        <f t="shared" si="97"/>
        <v/>
      </c>
      <c r="EL30" s="218" t="str">
        <f t="shared" si="98"/>
        <v/>
      </c>
      <c r="EM30" s="218" t="str">
        <f t="shared" si="99"/>
        <v/>
      </c>
      <c r="EN30" s="218" t="str">
        <f t="shared" si="100"/>
        <v/>
      </c>
      <c r="EO30" s="218" t="str">
        <f t="shared" si="101"/>
        <v/>
      </c>
      <c r="EP30" s="218" t="str">
        <f t="shared" si="102"/>
        <v/>
      </c>
      <c r="EQ30" s="218" t="str">
        <f t="shared" si="103"/>
        <v/>
      </c>
      <c r="ER30" s="218" t="str">
        <f t="shared" si="104"/>
        <v/>
      </c>
      <c r="ES30" s="218" t="str">
        <f t="shared" si="105"/>
        <v/>
      </c>
      <c r="ET30" s="218" t="str">
        <f t="shared" si="106"/>
        <v/>
      </c>
      <c r="EU30" s="218" t="str">
        <f t="shared" si="107"/>
        <v/>
      </c>
      <c r="EV30" s="218" t="str">
        <f t="shared" si="108"/>
        <v/>
      </c>
      <c r="EW30" s="218" t="str">
        <f t="shared" si="109"/>
        <v/>
      </c>
      <c r="EX30" s="218" t="str">
        <f t="shared" si="110"/>
        <v/>
      </c>
      <c r="EY30" s="218" t="str">
        <f t="shared" si="111"/>
        <v/>
      </c>
      <c r="FA30" s="218" t="str">
        <f t="shared" si="112"/>
        <v/>
      </c>
      <c r="FB30" s="218" t="str">
        <f t="shared" si="113"/>
        <v/>
      </c>
      <c r="FC30" s="218" t="str">
        <f t="shared" si="114"/>
        <v/>
      </c>
      <c r="FD30" s="218" t="str">
        <f t="shared" si="115"/>
        <v/>
      </c>
      <c r="FE30" s="218" t="str">
        <f t="shared" si="116"/>
        <v/>
      </c>
      <c r="FF30" s="218" t="str">
        <f t="shared" si="117"/>
        <v/>
      </c>
      <c r="FG30" s="218" t="str">
        <f t="shared" si="118"/>
        <v/>
      </c>
      <c r="FH30" s="218" t="str">
        <f t="shared" si="119"/>
        <v/>
      </c>
      <c r="FI30" s="218" t="str">
        <f t="shared" si="120"/>
        <v/>
      </c>
      <c r="FJ30" s="218" t="str">
        <f t="shared" si="121"/>
        <v/>
      </c>
      <c r="FK30" s="218" t="str">
        <f t="shared" si="122"/>
        <v/>
      </c>
      <c r="FL30" s="218" t="str">
        <f t="shared" si="123"/>
        <v/>
      </c>
      <c r="FM30" s="218" t="str">
        <f t="shared" si="124"/>
        <v/>
      </c>
      <c r="FN30" s="218" t="str">
        <f t="shared" si="125"/>
        <v/>
      </c>
      <c r="FO30" s="218" t="str">
        <f t="shared" si="126"/>
        <v/>
      </c>
      <c r="FP30" s="218" t="str">
        <f t="shared" si="127"/>
        <v/>
      </c>
      <c r="FQ30" s="218" t="str">
        <f t="shared" si="128"/>
        <v/>
      </c>
      <c r="FR30" s="218" t="str">
        <f t="shared" si="129"/>
        <v/>
      </c>
      <c r="FT30" s="218" t="str">
        <f t="shared" si="130"/>
        <v/>
      </c>
      <c r="FU30" s="218" t="str">
        <f t="shared" si="131"/>
        <v/>
      </c>
      <c r="FV30" s="218" t="str">
        <f t="shared" si="132"/>
        <v/>
      </c>
      <c r="FW30" s="218" t="str">
        <f t="shared" si="133"/>
        <v/>
      </c>
      <c r="FX30" s="218" t="str">
        <f t="shared" si="134"/>
        <v/>
      </c>
      <c r="FY30" s="218" t="str">
        <f t="shared" si="135"/>
        <v/>
      </c>
      <c r="FZ30" s="218" t="str">
        <f t="shared" si="136"/>
        <v/>
      </c>
      <c r="GA30" s="218" t="str">
        <f t="shared" si="137"/>
        <v/>
      </c>
      <c r="GB30" s="218" t="str">
        <f t="shared" si="138"/>
        <v/>
      </c>
      <c r="GC30" s="218" t="str">
        <f t="shared" si="139"/>
        <v/>
      </c>
      <c r="GD30" s="218" t="str">
        <f t="shared" si="140"/>
        <v/>
      </c>
      <c r="GE30" s="218" t="str">
        <f t="shared" si="141"/>
        <v/>
      </c>
      <c r="GF30" s="218" t="str">
        <f t="shared" si="142"/>
        <v/>
      </c>
      <c r="GG30" s="218" t="str">
        <f t="shared" si="143"/>
        <v/>
      </c>
      <c r="GH30" s="218" t="str">
        <f t="shared" si="144"/>
        <v/>
      </c>
      <c r="GJ30" s="218" t="str">
        <f t="shared" si="145"/>
        <v/>
      </c>
      <c r="GK30" s="218" t="str">
        <f t="shared" si="146"/>
        <v/>
      </c>
      <c r="GL30" s="218" t="str">
        <f t="shared" si="147"/>
        <v/>
      </c>
      <c r="GM30" s="218" t="str">
        <f t="shared" si="148"/>
        <v/>
      </c>
      <c r="GN30" s="218" t="str">
        <f t="shared" si="149"/>
        <v/>
      </c>
      <c r="GO30" s="218" t="str">
        <f t="shared" si="150"/>
        <v/>
      </c>
      <c r="GP30" s="218" t="str">
        <f t="shared" si="151"/>
        <v/>
      </c>
      <c r="GQ30" s="218" t="str">
        <f t="shared" si="152"/>
        <v/>
      </c>
      <c r="GR30" s="218" t="str">
        <f t="shared" si="153"/>
        <v/>
      </c>
      <c r="GS30" s="218" t="str">
        <f t="shared" si="154"/>
        <v/>
      </c>
      <c r="GT30" s="218" t="str">
        <f t="shared" si="155"/>
        <v/>
      </c>
      <c r="GU30" s="218" t="str">
        <f t="shared" si="156"/>
        <v/>
      </c>
      <c r="GW30" s="218" t="str">
        <f t="shared" si="157"/>
        <v/>
      </c>
      <c r="GX30" s="218" t="str">
        <f t="shared" si="158"/>
        <v/>
      </c>
      <c r="GY30" s="218" t="str">
        <f t="shared" si="159"/>
        <v/>
      </c>
      <c r="GZ30" s="218" t="str">
        <f t="shared" si="160"/>
        <v/>
      </c>
      <c r="HA30" s="218" t="str">
        <f t="shared" si="161"/>
        <v/>
      </c>
      <c r="HB30" s="218" t="str">
        <f t="shared" si="162"/>
        <v/>
      </c>
      <c r="HC30" s="218" t="str">
        <f t="shared" si="163"/>
        <v/>
      </c>
      <c r="HD30" s="218" t="str">
        <f t="shared" si="164"/>
        <v/>
      </c>
      <c r="HE30" s="218" t="str">
        <f t="shared" si="165"/>
        <v/>
      </c>
      <c r="HG30" s="218" t="str">
        <f t="shared" si="166"/>
        <v/>
      </c>
      <c r="HH30" s="218" t="str">
        <f t="shared" si="167"/>
        <v/>
      </c>
      <c r="HI30" s="218" t="str">
        <f t="shared" si="168"/>
        <v/>
      </c>
      <c r="HJ30" s="218" t="str">
        <f t="shared" si="169"/>
        <v/>
      </c>
      <c r="HK30" s="218" t="str">
        <f t="shared" si="170"/>
        <v/>
      </c>
      <c r="HL30" s="218" t="str">
        <f t="shared" si="171"/>
        <v/>
      </c>
      <c r="HN30" s="218" t="str">
        <f t="shared" si="172"/>
        <v/>
      </c>
      <c r="HO30" s="218" t="str">
        <f t="shared" si="173"/>
        <v/>
      </c>
      <c r="HP30" s="218" t="str">
        <f t="shared" si="174"/>
        <v/>
      </c>
      <c r="HR30" s="218" t="str">
        <f t="shared" si="224"/>
        <v/>
      </c>
      <c r="HS30" s="218" t="str">
        <f t="shared" si="225"/>
        <v/>
      </c>
      <c r="HT30" s="218" t="str">
        <f t="shared" si="175"/>
        <v/>
      </c>
      <c r="HU30" s="218" t="str">
        <f t="shared" si="176"/>
        <v/>
      </c>
      <c r="HV30" s="218" t="str">
        <f t="shared" si="177"/>
        <v/>
      </c>
      <c r="HW30" s="218" t="str">
        <f t="shared" si="178"/>
        <v/>
      </c>
      <c r="HX30" s="218" t="str">
        <f t="shared" si="179"/>
        <v/>
      </c>
      <c r="HY30" s="218" t="str">
        <f t="shared" si="180"/>
        <v/>
      </c>
      <c r="HZ30" s="218" t="str">
        <f t="shared" si="181"/>
        <v/>
      </c>
      <c r="IA30" s="218" t="str">
        <f t="shared" si="182"/>
        <v/>
      </c>
      <c r="IB30" s="218" t="str">
        <f t="shared" si="183"/>
        <v/>
      </c>
      <c r="IC30" s="218" t="str">
        <f t="shared" si="184"/>
        <v/>
      </c>
      <c r="ID30" s="218" t="str">
        <f t="shared" si="185"/>
        <v/>
      </c>
      <c r="IE30" s="218" t="str">
        <f t="shared" si="186"/>
        <v/>
      </c>
      <c r="IF30" s="218" t="str">
        <f t="shared" si="187"/>
        <v/>
      </c>
      <c r="IG30" s="218" t="str">
        <f t="shared" si="188"/>
        <v/>
      </c>
      <c r="IH30" s="218" t="str">
        <f t="shared" si="189"/>
        <v/>
      </c>
      <c r="II30" s="218" t="str">
        <f t="shared" si="190"/>
        <v/>
      </c>
      <c r="IJ30" s="218" t="str">
        <f t="shared" si="191"/>
        <v/>
      </c>
      <c r="IK30" s="218" t="str">
        <f t="shared" si="192"/>
        <v/>
      </c>
      <c r="IL30" s="218" t="str">
        <f t="shared" si="193"/>
        <v/>
      </c>
      <c r="IM30" s="218" t="str">
        <f t="shared" si="194"/>
        <v/>
      </c>
      <c r="IN30" s="218" t="str">
        <f t="shared" si="195"/>
        <v/>
      </c>
      <c r="IO30" s="218" t="str">
        <f t="shared" si="196"/>
        <v/>
      </c>
      <c r="IP30" s="218" t="str">
        <f t="shared" si="197"/>
        <v/>
      </c>
      <c r="IQ30" s="218" t="str">
        <f t="shared" si="198"/>
        <v/>
      </c>
      <c r="IR30" s="218" t="str">
        <f t="shared" si="199"/>
        <v/>
      </c>
      <c r="IS30" s="218" t="str">
        <f t="shared" si="200"/>
        <v/>
      </c>
      <c r="IT30" s="218" t="str">
        <f t="shared" si="201"/>
        <v/>
      </c>
      <c r="IU30" s="218" t="str">
        <f t="shared" si="202"/>
        <v/>
      </c>
    </row>
    <row r="31" spans="1:255" x14ac:dyDescent="0.2">
      <c r="A31" s="200" t="s">
        <v>34</v>
      </c>
      <c r="B31" s="178"/>
      <c r="C31" s="179"/>
      <c r="D31" s="180"/>
      <c r="E31" s="180"/>
      <c r="F31" s="180"/>
      <c r="G31" s="198"/>
      <c r="H31" s="197"/>
      <c r="I31" s="197"/>
      <c r="J31" s="197"/>
      <c r="K31" s="185"/>
      <c r="L31" s="217" t="str">
        <f t="shared" si="29"/>
        <v/>
      </c>
      <c r="M31" s="218">
        <f>'HKG vs. BK'!M31</f>
        <v>21.782679309753654</v>
      </c>
      <c r="N31" s="218" t="str">
        <f>'HKG vs. BK'!N31</f>
        <v>±1,18</v>
      </c>
      <c r="O31" s="218" t="str">
        <f>'HKG vs. BK'!O31</f>
        <v>±4,87</v>
      </c>
      <c r="P31" s="218" t="str">
        <f>'HKG vs. BK'!P31</f>
        <v>±0,93</v>
      </c>
      <c r="Q31" s="219" t="str">
        <f t="shared" si="203"/>
        <v/>
      </c>
      <c r="R31" s="220" t="str">
        <f t="shared" si="0"/>
        <v/>
      </c>
      <c r="S31" s="220" t="str">
        <f t="shared" si="1"/>
        <v/>
      </c>
      <c r="T31" s="219" t="str">
        <f t="shared" si="2"/>
        <v/>
      </c>
      <c r="U31" s="220" t="str">
        <f t="shared" si="3"/>
        <v/>
      </c>
      <c r="V31" s="220" t="str">
        <f t="shared" si="4"/>
        <v/>
      </c>
      <c r="W31" s="219" t="str">
        <f t="shared" si="5"/>
        <v/>
      </c>
      <c r="X31" s="220" t="str">
        <f t="shared" si="6"/>
        <v/>
      </c>
      <c r="Y31" s="220" t="str">
        <f t="shared" si="7"/>
        <v/>
      </c>
      <c r="Z31" s="219" t="str">
        <f t="shared" si="8"/>
        <v/>
      </c>
      <c r="AA31" s="220" t="str">
        <f t="shared" si="9"/>
        <v/>
      </c>
      <c r="AB31" s="220" t="str">
        <f t="shared" si="10"/>
        <v/>
      </c>
      <c r="AC31" s="219" t="str">
        <f t="shared" si="11"/>
        <v/>
      </c>
      <c r="AD31" s="220" t="str">
        <f t="shared" si="12"/>
        <v/>
      </c>
      <c r="AE31" s="220" t="str">
        <f t="shared" si="13"/>
        <v/>
      </c>
      <c r="AF31" s="219" t="str">
        <f t="shared" si="14"/>
        <v/>
      </c>
      <c r="AG31" s="220" t="str">
        <f t="shared" si="15"/>
        <v/>
      </c>
      <c r="AH31" s="220" t="str">
        <f t="shared" si="16"/>
        <v/>
      </c>
      <c r="AI31" s="219" t="str">
        <f t="shared" si="17"/>
        <v/>
      </c>
      <c r="AJ31" s="220" t="str">
        <f t="shared" si="18"/>
        <v/>
      </c>
      <c r="AK31" s="220" t="str">
        <f t="shared" si="19"/>
        <v/>
      </c>
      <c r="AL31" s="219" t="str">
        <f t="shared" si="20"/>
        <v/>
      </c>
      <c r="AM31" s="220" t="str">
        <f t="shared" si="21"/>
        <v/>
      </c>
      <c r="AN31" s="220" t="str">
        <f t="shared" si="22"/>
        <v/>
      </c>
      <c r="AO31" s="219" t="str">
        <f t="shared" si="23"/>
        <v/>
      </c>
      <c r="AP31" s="220" t="str">
        <f t="shared" si="24"/>
        <v/>
      </c>
      <c r="AQ31" s="220" t="str">
        <f t="shared" si="25"/>
        <v/>
      </c>
      <c r="AR31" s="219" t="str">
        <f t="shared" si="26"/>
        <v/>
      </c>
      <c r="AS31" s="220" t="str">
        <f t="shared" si="27"/>
        <v/>
      </c>
      <c r="AT31" s="220" t="str">
        <f t="shared" si="28"/>
        <v/>
      </c>
      <c r="AU31" s="221"/>
      <c r="AV31" s="221"/>
      <c r="AW31" s="221"/>
      <c r="AY31" s="218" t="str">
        <f t="shared" si="204"/>
        <v/>
      </c>
      <c r="AZ31" s="218" t="str">
        <f t="shared" si="205"/>
        <v/>
      </c>
      <c r="BA31" s="218" t="str">
        <f t="shared" si="30"/>
        <v/>
      </c>
      <c r="BB31" s="218" t="str">
        <f t="shared" si="206"/>
        <v/>
      </c>
      <c r="BC31" s="218" t="str">
        <f t="shared" si="207"/>
        <v/>
      </c>
      <c r="BD31" s="218" t="str">
        <f t="shared" si="31"/>
        <v/>
      </c>
      <c r="BE31" s="218" t="str">
        <f t="shared" si="208"/>
        <v/>
      </c>
      <c r="BF31" s="218" t="str">
        <f t="shared" si="209"/>
        <v/>
      </c>
      <c r="BG31" s="218" t="str">
        <f t="shared" si="32"/>
        <v/>
      </c>
      <c r="BH31" s="218" t="str">
        <f t="shared" si="210"/>
        <v/>
      </c>
      <c r="BI31" s="218" t="str">
        <f t="shared" si="211"/>
        <v/>
      </c>
      <c r="BJ31" s="218" t="str">
        <f t="shared" si="33"/>
        <v/>
      </c>
      <c r="BK31" s="218" t="str">
        <f t="shared" si="212"/>
        <v/>
      </c>
      <c r="BL31" s="218" t="str">
        <f t="shared" si="213"/>
        <v/>
      </c>
      <c r="BM31" s="218" t="str">
        <f t="shared" si="34"/>
        <v/>
      </c>
      <c r="BN31" s="218" t="str">
        <f t="shared" si="214"/>
        <v/>
      </c>
      <c r="BO31" s="218" t="str">
        <f t="shared" si="215"/>
        <v/>
      </c>
      <c r="BP31" s="218" t="str">
        <f t="shared" si="35"/>
        <v/>
      </c>
      <c r="BQ31" s="218" t="str">
        <f t="shared" si="216"/>
        <v/>
      </c>
      <c r="BR31" s="218" t="str">
        <f t="shared" si="217"/>
        <v/>
      </c>
      <c r="BS31" s="218" t="str">
        <f t="shared" si="36"/>
        <v/>
      </c>
      <c r="BT31" s="218" t="str">
        <f t="shared" si="218"/>
        <v/>
      </c>
      <c r="BU31" s="218" t="str">
        <f t="shared" si="219"/>
        <v/>
      </c>
      <c r="BV31" s="218" t="str">
        <f t="shared" si="37"/>
        <v/>
      </c>
      <c r="BW31" s="218" t="str">
        <f t="shared" si="220"/>
        <v/>
      </c>
      <c r="BX31" s="218" t="str">
        <f t="shared" si="221"/>
        <v/>
      </c>
      <c r="BY31" s="218" t="str">
        <f t="shared" si="38"/>
        <v/>
      </c>
      <c r="BZ31" s="218" t="str">
        <f t="shared" si="222"/>
        <v/>
      </c>
      <c r="CA31" s="218" t="str">
        <f t="shared" si="223"/>
        <v/>
      </c>
      <c r="CB31" s="218" t="str">
        <f t="shared" si="39"/>
        <v/>
      </c>
      <c r="CD31" s="218" t="str">
        <f t="shared" si="40"/>
        <v/>
      </c>
      <c r="CE31" s="218" t="str">
        <f t="shared" si="41"/>
        <v/>
      </c>
      <c r="CF31" s="218" t="str">
        <f t="shared" si="42"/>
        <v/>
      </c>
      <c r="CG31" s="218" t="str">
        <f t="shared" si="43"/>
        <v/>
      </c>
      <c r="CH31" s="218" t="str">
        <f t="shared" si="44"/>
        <v/>
      </c>
      <c r="CI31" s="218" t="str">
        <f t="shared" si="45"/>
        <v/>
      </c>
      <c r="CJ31" s="218" t="str">
        <f t="shared" si="46"/>
        <v/>
      </c>
      <c r="CK31" s="218" t="str">
        <f t="shared" si="47"/>
        <v/>
      </c>
      <c r="CL31" s="218" t="str">
        <f t="shared" si="48"/>
        <v/>
      </c>
      <c r="CM31" s="218" t="str">
        <f t="shared" si="49"/>
        <v/>
      </c>
      <c r="CN31" s="218" t="str">
        <f t="shared" si="50"/>
        <v/>
      </c>
      <c r="CO31" s="218" t="str">
        <f t="shared" si="51"/>
        <v/>
      </c>
      <c r="CP31" s="218" t="str">
        <f t="shared" si="52"/>
        <v/>
      </c>
      <c r="CQ31" s="218" t="str">
        <f t="shared" si="53"/>
        <v/>
      </c>
      <c r="CR31" s="218" t="str">
        <f t="shared" si="54"/>
        <v/>
      </c>
      <c r="CS31" s="218" t="str">
        <f t="shared" si="55"/>
        <v/>
      </c>
      <c r="CT31" s="218" t="str">
        <f t="shared" si="56"/>
        <v/>
      </c>
      <c r="CU31" s="218" t="str">
        <f t="shared" si="57"/>
        <v/>
      </c>
      <c r="CV31" s="218" t="str">
        <f t="shared" si="58"/>
        <v/>
      </c>
      <c r="CW31" s="218" t="str">
        <f t="shared" si="59"/>
        <v/>
      </c>
      <c r="CX31" s="218" t="str">
        <f t="shared" si="60"/>
        <v/>
      </c>
      <c r="CY31" s="218" t="str">
        <f t="shared" si="61"/>
        <v/>
      </c>
      <c r="CZ31" s="218" t="str">
        <f t="shared" si="62"/>
        <v/>
      </c>
      <c r="DA31" s="218" t="str">
        <f t="shared" si="63"/>
        <v/>
      </c>
      <c r="DB31" s="218" t="str">
        <f t="shared" si="64"/>
        <v/>
      </c>
      <c r="DC31" s="218" t="str">
        <f t="shared" si="65"/>
        <v/>
      </c>
      <c r="DD31" s="218" t="str">
        <f t="shared" si="66"/>
        <v/>
      </c>
      <c r="DF31" s="218" t="str">
        <f t="shared" si="67"/>
        <v/>
      </c>
      <c r="DG31" s="218" t="str">
        <f t="shared" si="68"/>
        <v/>
      </c>
      <c r="DH31" s="218" t="str">
        <f t="shared" si="69"/>
        <v/>
      </c>
      <c r="DI31" s="218" t="str">
        <f t="shared" si="70"/>
        <v/>
      </c>
      <c r="DJ31" s="218" t="str">
        <f t="shared" si="71"/>
        <v/>
      </c>
      <c r="DK31" s="218" t="str">
        <f t="shared" si="72"/>
        <v/>
      </c>
      <c r="DL31" s="218" t="str">
        <f t="shared" si="73"/>
        <v/>
      </c>
      <c r="DM31" s="218" t="str">
        <f t="shared" si="74"/>
        <v/>
      </c>
      <c r="DN31" s="218" t="str">
        <f t="shared" si="75"/>
        <v/>
      </c>
      <c r="DO31" s="218" t="str">
        <f t="shared" si="76"/>
        <v/>
      </c>
      <c r="DP31" s="218" t="str">
        <f t="shared" si="77"/>
        <v/>
      </c>
      <c r="DQ31" s="218" t="str">
        <f t="shared" si="78"/>
        <v/>
      </c>
      <c r="DR31" s="218" t="str">
        <f t="shared" si="79"/>
        <v/>
      </c>
      <c r="DS31" s="218" t="str">
        <f t="shared" si="80"/>
        <v/>
      </c>
      <c r="DT31" s="218" t="str">
        <f t="shared" si="81"/>
        <v/>
      </c>
      <c r="DU31" s="218" t="str">
        <f t="shared" si="82"/>
        <v/>
      </c>
      <c r="DV31" s="218" t="str">
        <f t="shared" si="83"/>
        <v/>
      </c>
      <c r="DW31" s="218" t="str">
        <f t="shared" si="84"/>
        <v/>
      </c>
      <c r="DX31" s="218" t="str">
        <f t="shared" si="85"/>
        <v/>
      </c>
      <c r="DY31" s="218" t="str">
        <f t="shared" si="86"/>
        <v/>
      </c>
      <c r="DZ31" s="218" t="str">
        <f t="shared" si="87"/>
        <v/>
      </c>
      <c r="EA31" s="218" t="str">
        <f t="shared" si="88"/>
        <v/>
      </c>
      <c r="EB31" s="218" t="str">
        <f t="shared" si="89"/>
        <v/>
      </c>
      <c r="EC31" s="218" t="str">
        <f t="shared" si="90"/>
        <v/>
      </c>
      <c r="EE31" s="218" t="str">
        <f t="shared" si="91"/>
        <v/>
      </c>
      <c r="EF31" s="218" t="str">
        <f t="shared" si="92"/>
        <v/>
      </c>
      <c r="EG31" s="218" t="str">
        <f t="shared" si="93"/>
        <v/>
      </c>
      <c r="EH31" s="218" t="str">
        <f t="shared" si="94"/>
        <v/>
      </c>
      <c r="EI31" s="218" t="str">
        <f t="shared" si="95"/>
        <v/>
      </c>
      <c r="EJ31" s="218" t="str">
        <f t="shared" si="96"/>
        <v/>
      </c>
      <c r="EK31" s="218" t="str">
        <f t="shared" si="97"/>
        <v/>
      </c>
      <c r="EL31" s="218" t="str">
        <f t="shared" si="98"/>
        <v/>
      </c>
      <c r="EM31" s="218" t="str">
        <f t="shared" si="99"/>
        <v/>
      </c>
      <c r="EN31" s="218" t="str">
        <f t="shared" si="100"/>
        <v/>
      </c>
      <c r="EO31" s="218" t="str">
        <f t="shared" si="101"/>
        <v/>
      </c>
      <c r="EP31" s="218" t="str">
        <f t="shared" si="102"/>
        <v/>
      </c>
      <c r="EQ31" s="218" t="str">
        <f t="shared" si="103"/>
        <v/>
      </c>
      <c r="ER31" s="218" t="str">
        <f t="shared" si="104"/>
        <v/>
      </c>
      <c r="ES31" s="218" t="str">
        <f t="shared" si="105"/>
        <v/>
      </c>
      <c r="ET31" s="218" t="str">
        <f t="shared" si="106"/>
        <v/>
      </c>
      <c r="EU31" s="218" t="str">
        <f t="shared" si="107"/>
        <v/>
      </c>
      <c r="EV31" s="218" t="str">
        <f t="shared" si="108"/>
        <v/>
      </c>
      <c r="EW31" s="218" t="str">
        <f t="shared" si="109"/>
        <v/>
      </c>
      <c r="EX31" s="218" t="str">
        <f t="shared" si="110"/>
        <v/>
      </c>
      <c r="EY31" s="218" t="str">
        <f t="shared" si="111"/>
        <v/>
      </c>
      <c r="FA31" s="218" t="str">
        <f t="shared" si="112"/>
        <v/>
      </c>
      <c r="FB31" s="218" t="str">
        <f t="shared" si="113"/>
        <v/>
      </c>
      <c r="FC31" s="218" t="str">
        <f t="shared" si="114"/>
        <v/>
      </c>
      <c r="FD31" s="218" t="str">
        <f t="shared" si="115"/>
        <v/>
      </c>
      <c r="FE31" s="218" t="str">
        <f t="shared" si="116"/>
        <v/>
      </c>
      <c r="FF31" s="218" t="str">
        <f t="shared" si="117"/>
        <v/>
      </c>
      <c r="FG31" s="218" t="str">
        <f t="shared" si="118"/>
        <v/>
      </c>
      <c r="FH31" s="218" t="str">
        <f t="shared" si="119"/>
        <v/>
      </c>
      <c r="FI31" s="218" t="str">
        <f t="shared" si="120"/>
        <v/>
      </c>
      <c r="FJ31" s="218" t="str">
        <f t="shared" si="121"/>
        <v/>
      </c>
      <c r="FK31" s="218" t="str">
        <f t="shared" si="122"/>
        <v/>
      </c>
      <c r="FL31" s="218" t="str">
        <f t="shared" si="123"/>
        <v/>
      </c>
      <c r="FM31" s="218" t="str">
        <f t="shared" si="124"/>
        <v/>
      </c>
      <c r="FN31" s="218" t="str">
        <f t="shared" si="125"/>
        <v/>
      </c>
      <c r="FO31" s="218" t="str">
        <f t="shared" si="126"/>
        <v/>
      </c>
      <c r="FP31" s="218" t="str">
        <f t="shared" si="127"/>
        <v/>
      </c>
      <c r="FQ31" s="218" t="str">
        <f t="shared" si="128"/>
        <v/>
      </c>
      <c r="FR31" s="218" t="str">
        <f t="shared" si="129"/>
        <v/>
      </c>
      <c r="FT31" s="218" t="str">
        <f t="shared" si="130"/>
        <v/>
      </c>
      <c r="FU31" s="218" t="str">
        <f t="shared" si="131"/>
        <v/>
      </c>
      <c r="FV31" s="218" t="str">
        <f t="shared" si="132"/>
        <v/>
      </c>
      <c r="FW31" s="218" t="str">
        <f t="shared" si="133"/>
        <v/>
      </c>
      <c r="FX31" s="218" t="str">
        <f t="shared" si="134"/>
        <v/>
      </c>
      <c r="FY31" s="218" t="str">
        <f t="shared" si="135"/>
        <v/>
      </c>
      <c r="FZ31" s="218" t="str">
        <f t="shared" si="136"/>
        <v/>
      </c>
      <c r="GA31" s="218" t="str">
        <f t="shared" si="137"/>
        <v/>
      </c>
      <c r="GB31" s="218" t="str">
        <f t="shared" si="138"/>
        <v/>
      </c>
      <c r="GC31" s="218" t="str">
        <f t="shared" si="139"/>
        <v/>
      </c>
      <c r="GD31" s="218" t="str">
        <f t="shared" si="140"/>
        <v/>
      </c>
      <c r="GE31" s="218" t="str">
        <f t="shared" si="141"/>
        <v/>
      </c>
      <c r="GF31" s="218" t="str">
        <f t="shared" si="142"/>
        <v/>
      </c>
      <c r="GG31" s="218" t="str">
        <f t="shared" si="143"/>
        <v/>
      </c>
      <c r="GH31" s="218" t="str">
        <f t="shared" si="144"/>
        <v/>
      </c>
      <c r="GJ31" s="218" t="str">
        <f t="shared" si="145"/>
        <v/>
      </c>
      <c r="GK31" s="218" t="str">
        <f t="shared" si="146"/>
        <v/>
      </c>
      <c r="GL31" s="218" t="str">
        <f t="shared" si="147"/>
        <v/>
      </c>
      <c r="GM31" s="218" t="str">
        <f t="shared" si="148"/>
        <v/>
      </c>
      <c r="GN31" s="218" t="str">
        <f t="shared" si="149"/>
        <v/>
      </c>
      <c r="GO31" s="218" t="str">
        <f t="shared" si="150"/>
        <v/>
      </c>
      <c r="GP31" s="218" t="str">
        <f t="shared" si="151"/>
        <v/>
      </c>
      <c r="GQ31" s="218" t="str">
        <f t="shared" si="152"/>
        <v/>
      </c>
      <c r="GR31" s="218" t="str">
        <f t="shared" si="153"/>
        <v/>
      </c>
      <c r="GS31" s="218" t="str">
        <f t="shared" si="154"/>
        <v/>
      </c>
      <c r="GT31" s="218" t="str">
        <f t="shared" si="155"/>
        <v/>
      </c>
      <c r="GU31" s="218" t="str">
        <f t="shared" si="156"/>
        <v/>
      </c>
      <c r="GW31" s="218" t="str">
        <f t="shared" si="157"/>
        <v/>
      </c>
      <c r="GX31" s="218" t="str">
        <f t="shared" si="158"/>
        <v/>
      </c>
      <c r="GY31" s="218" t="str">
        <f t="shared" si="159"/>
        <v/>
      </c>
      <c r="GZ31" s="218" t="str">
        <f t="shared" si="160"/>
        <v/>
      </c>
      <c r="HA31" s="218" t="str">
        <f t="shared" si="161"/>
        <v/>
      </c>
      <c r="HB31" s="218" t="str">
        <f t="shared" si="162"/>
        <v/>
      </c>
      <c r="HC31" s="218" t="str">
        <f t="shared" si="163"/>
        <v/>
      </c>
      <c r="HD31" s="218" t="str">
        <f t="shared" si="164"/>
        <v/>
      </c>
      <c r="HE31" s="218" t="str">
        <f t="shared" si="165"/>
        <v/>
      </c>
      <c r="HG31" s="218" t="str">
        <f t="shared" si="166"/>
        <v/>
      </c>
      <c r="HH31" s="218" t="str">
        <f t="shared" si="167"/>
        <v/>
      </c>
      <c r="HI31" s="218" t="str">
        <f t="shared" si="168"/>
        <v/>
      </c>
      <c r="HJ31" s="218" t="str">
        <f t="shared" si="169"/>
        <v/>
      </c>
      <c r="HK31" s="218" t="str">
        <f t="shared" si="170"/>
        <v/>
      </c>
      <c r="HL31" s="218" t="str">
        <f t="shared" si="171"/>
        <v/>
      </c>
      <c r="HN31" s="218" t="str">
        <f t="shared" si="172"/>
        <v/>
      </c>
      <c r="HO31" s="218" t="str">
        <f t="shared" si="173"/>
        <v/>
      </c>
      <c r="HP31" s="218" t="str">
        <f t="shared" si="174"/>
        <v/>
      </c>
      <c r="HR31" s="218" t="str">
        <f t="shared" si="224"/>
        <v/>
      </c>
      <c r="HS31" s="218" t="str">
        <f t="shared" si="225"/>
        <v/>
      </c>
      <c r="HT31" s="218" t="str">
        <f t="shared" si="175"/>
        <v/>
      </c>
      <c r="HU31" s="218" t="str">
        <f t="shared" si="176"/>
        <v/>
      </c>
      <c r="HV31" s="218" t="str">
        <f t="shared" si="177"/>
        <v/>
      </c>
      <c r="HW31" s="218" t="str">
        <f t="shared" si="178"/>
        <v/>
      </c>
      <c r="HX31" s="218" t="str">
        <f t="shared" si="179"/>
        <v/>
      </c>
      <c r="HY31" s="218" t="str">
        <f t="shared" si="180"/>
        <v/>
      </c>
      <c r="HZ31" s="218" t="str">
        <f t="shared" si="181"/>
        <v/>
      </c>
      <c r="IA31" s="218" t="str">
        <f t="shared" si="182"/>
        <v/>
      </c>
      <c r="IB31" s="218" t="str">
        <f t="shared" si="183"/>
        <v/>
      </c>
      <c r="IC31" s="218" t="str">
        <f t="shared" si="184"/>
        <v/>
      </c>
      <c r="ID31" s="218" t="str">
        <f t="shared" si="185"/>
        <v/>
      </c>
      <c r="IE31" s="218" t="str">
        <f t="shared" si="186"/>
        <v/>
      </c>
      <c r="IF31" s="218" t="str">
        <f t="shared" si="187"/>
        <v/>
      </c>
      <c r="IG31" s="218" t="str">
        <f t="shared" si="188"/>
        <v/>
      </c>
      <c r="IH31" s="218" t="str">
        <f t="shared" si="189"/>
        <v/>
      </c>
      <c r="II31" s="218" t="str">
        <f t="shared" si="190"/>
        <v/>
      </c>
      <c r="IJ31" s="218" t="str">
        <f t="shared" si="191"/>
        <v/>
      </c>
      <c r="IK31" s="218" t="str">
        <f t="shared" si="192"/>
        <v/>
      </c>
      <c r="IL31" s="218" t="str">
        <f t="shared" si="193"/>
        <v/>
      </c>
      <c r="IM31" s="218" t="str">
        <f t="shared" si="194"/>
        <v/>
      </c>
      <c r="IN31" s="218" t="str">
        <f t="shared" si="195"/>
        <v/>
      </c>
      <c r="IO31" s="218" t="str">
        <f t="shared" si="196"/>
        <v/>
      </c>
      <c r="IP31" s="218" t="str">
        <f t="shared" si="197"/>
        <v/>
      </c>
      <c r="IQ31" s="218" t="str">
        <f t="shared" si="198"/>
        <v/>
      </c>
      <c r="IR31" s="218" t="str">
        <f t="shared" si="199"/>
        <v/>
      </c>
      <c r="IS31" s="218" t="str">
        <f t="shared" si="200"/>
        <v/>
      </c>
      <c r="IT31" s="218" t="str">
        <f t="shared" si="201"/>
        <v/>
      </c>
      <c r="IU31" s="218" t="str">
        <f t="shared" si="202"/>
        <v/>
      </c>
    </row>
    <row r="32" spans="1:255" x14ac:dyDescent="0.2">
      <c r="A32" s="200" t="s">
        <v>35</v>
      </c>
      <c r="B32" s="178"/>
      <c r="C32" s="179"/>
      <c r="D32" s="181"/>
      <c r="E32" s="181"/>
      <c r="F32" s="181"/>
      <c r="G32" s="198"/>
      <c r="H32" s="197"/>
      <c r="I32" s="197"/>
      <c r="J32" s="197"/>
      <c r="K32" s="185"/>
      <c r="L32" s="217" t="str">
        <f t="shared" si="29"/>
        <v/>
      </c>
      <c r="M32" s="218">
        <f>'HKG vs. BK'!M32</f>
        <v>19.980305133768042</v>
      </c>
      <c r="N32" s="218" t="str">
        <f>'HKG vs. BK'!N32</f>
        <v>±0,71</v>
      </c>
      <c r="O32" s="218" t="str">
        <f>'HKG vs. BK'!O32</f>
        <v>±2,68</v>
      </c>
      <c r="P32" s="218" t="str">
        <f>'HKG vs. BK'!P32</f>
        <v>±0,14</v>
      </c>
      <c r="Q32" s="219" t="str">
        <f t="shared" si="203"/>
        <v/>
      </c>
      <c r="R32" s="220" t="str">
        <f t="shared" si="0"/>
        <v/>
      </c>
      <c r="S32" s="220" t="str">
        <f t="shared" si="1"/>
        <v/>
      </c>
      <c r="T32" s="219" t="str">
        <f t="shared" si="2"/>
        <v/>
      </c>
      <c r="U32" s="220" t="str">
        <f t="shared" si="3"/>
        <v/>
      </c>
      <c r="V32" s="220" t="str">
        <f t="shared" si="4"/>
        <v/>
      </c>
      <c r="W32" s="219" t="str">
        <f t="shared" si="5"/>
        <v/>
      </c>
      <c r="X32" s="220" t="str">
        <f t="shared" si="6"/>
        <v/>
      </c>
      <c r="Y32" s="220" t="str">
        <f t="shared" si="7"/>
        <v/>
      </c>
      <c r="Z32" s="219" t="str">
        <f t="shared" si="8"/>
        <v/>
      </c>
      <c r="AA32" s="220" t="str">
        <f t="shared" si="9"/>
        <v/>
      </c>
      <c r="AB32" s="220" t="str">
        <f t="shared" si="10"/>
        <v/>
      </c>
      <c r="AC32" s="219" t="str">
        <f t="shared" si="11"/>
        <v/>
      </c>
      <c r="AD32" s="220" t="str">
        <f t="shared" si="12"/>
        <v/>
      </c>
      <c r="AE32" s="220" t="str">
        <f t="shared" si="13"/>
        <v/>
      </c>
      <c r="AF32" s="219" t="str">
        <f t="shared" si="14"/>
        <v/>
      </c>
      <c r="AG32" s="220" t="str">
        <f t="shared" si="15"/>
        <v/>
      </c>
      <c r="AH32" s="220" t="str">
        <f t="shared" si="16"/>
        <v/>
      </c>
      <c r="AI32" s="219" t="str">
        <f t="shared" si="17"/>
        <v/>
      </c>
      <c r="AJ32" s="220" t="str">
        <f t="shared" si="18"/>
        <v/>
      </c>
      <c r="AK32" s="220" t="str">
        <f t="shared" si="19"/>
        <v/>
      </c>
      <c r="AL32" s="219" t="str">
        <f t="shared" si="20"/>
        <v/>
      </c>
      <c r="AM32" s="220" t="str">
        <f t="shared" si="21"/>
        <v/>
      </c>
      <c r="AN32" s="220" t="str">
        <f t="shared" si="22"/>
        <v/>
      </c>
      <c r="AO32" s="219" t="str">
        <f t="shared" si="23"/>
        <v/>
      </c>
      <c r="AP32" s="220" t="str">
        <f t="shared" si="24"/>
        <v/>
      </c>
      <c r="AQ32" s="220" t="str">
        <f t="shared" si="25"/>
        <v/>
      </c>
      <c r="AR32" s="219" t="str">
        <f t="shared" si="26"/>
        <v/>
      </c>
      <c r="AS32" s="220" t="str">
        <f t="shared" si="27"/>
        <v/>
      </c>
      <c r="AT32" s="220" t="str">
        <f t="shared" si="28"/>
        <v/>
      </c>
      <c r="AU32" s="221"/>
      <c r="AV32" s="221"/>
      <c r="AW32" s="221"/>
      <c r="AY32" s="218" t="str">
        <f t="shared" si="204"/>
        <v/>
      </c>
      <c r="AZ32" s="218" t="str">
        <f t="shared" si="205"/>
        <v/>
      </c>
      <c r="BA32" s="218" t="str">
        <f t="shared" si="30"/>
        <v/>
      </c>
      <c r="BB32" s="218" t="str">
        <f t="shared" si="206"/>
        <v/>
      </c>
      <c r="BC32" s="218" t="str">
        <f t="shared" si="207"/>
        <v/>
      </c>
      <c r="BD32" s="218" t="str">
        <f t="shared" si="31"/>
        <v/>
      </c>
      <c r="BE32" s="218" t="str">
        <f t="shared" si="208"/>
        <v/>
      </c>
      <c r="BF32" s="218" t="str">
        <f t="shared" si="209"/>
        <v/>
      </c>
      <c r="BG32" s="218" t="str">
        <f t="shared" si="32"/>
        <v/>
      </c>
      <c r="BH32" s="218" t="str">
        <f t="shared" si="210"/>
        <v/>
      </c>
      <c r="BI32" s="218" t="str">
        <f t="shared" si="211"/>
        <v/>
      </c>
      <c r="BJ32" s="218" t="str">
        <f t="shared" si="33"/>
        <v/>
      </c>
      <c r="BK32" s="218" t="str">
        <f t="shared" si="212"/>
        <v/>
      </c>
      <c r="BL32" s="218" t="str">
        <f t="shared" si="213"/>
        <v/>
      </c>
      <c r="BM32" s="218" t="str">
        <f t="shared" si="34"/>
        <v/>
      </c>
      <c r="BN32" s="218" t="str">
        <f t="shared" si="214"/>
        <v/>
      </c>
      <c r="BO32" s="218" t="str">
        <f t="shared" si="215"/>
        <v/>
      </c>
      <c r="BP32" s="218" t="str">
        <f t="shared" si="35"/>
        <v/>
      </c>
      <c r="BQ32" s="218" t="str">
        <f t="shared" si="216"/>
        <v/>
      </c>
      <c r="BR32" s="218" t="str">
        <f t="shared" si="217"/>
        <v/>
      </c>
      <c r="BS32" s="218" t="str">
        <f t="shared" si="36"/>
        <v/>
      </c>
      <c r="BT32" s="218" t="str">
        <f t="shared" si="218"/>
        <v/>
      </c>
      <c r="BU32" s="218" t="str">
        <f t="shared" si="219"/>
        <v/>
      </c>
      <c r="BV32" s="218" t="str">
        <f t="shared" si="37"/>
        <v/>
      </c>
      <c r="BW32" s="218" t="str">
        <f t="shared" si="220"/>
        <v/>
      </c>
      <c r="BX32" s="218" t="str">
        <f t="shared" si="221"/>
        <v/>
      </c>
      <c r="BY32" s="218" t="str">
        <f t="shared" si="38"/>
        <v/>
      </c>
      <c r="BZ32" s="218" t="str">
        <f t="shared" si="222"/>
        <v/>
      </c>
      <c r="CA32" s="218" t="str">
        <f t="shared" si="223"/>
        <v/>
      </c>
      <c r="CB32" s="218" t="str">
        <f t="shared" si="39"/>
        <v/>
      </c>
      <c r="CD32" s="218" t="str">
        <f t="shared" si="40"/>
        <v/>
      </c>
      <c r="CE32" s="218" t="str">
        <f t="shared" si="41"/>
        <v/>
      </c>
      <c r="CF32" s="218" t="str">
        <f t="shared" si="42"/>
        <v/>
      </c>
      <c r="CG32" s="218" t="str">
        <f t="shared" si="43"/>
        <v/>
      </c>
      <c r="CH32" s="218" t="str">
        <f t="shared" si="44"/>
        <v/>
      </c>
      <c r="CI32" s="218" t="str">
        <f t="shared" si="45"/>
        <v/>
      </c>
      <c r="CJ32" s="218" t="str">
        <f t="shared" si="46"/>
        <v/>
      </c>
      <c r="CK32" s="218" t="str">
        <f t="shared" si="47"/>
        <v/>
      </c>
      <c r="CL32" s="218" t="str">
        <f t="shared" si="48"/>
        <v/>
      </c>
      <c r="CM32" s="218" t="str">
        <f t="shared" si="49"/>
        <v/>
      </c>
      <c r="CN32" s="218" t="str">
        <f t="shared" si="50"/>
        <v/>
      </c>
      <c r="CO32" s="218" t="str">
        <f t="shared" si="51"/>
        <v/>
      </c>
      <c r="CP32" s="218" t="str">
        <f t="shared" si="52"/>
        <v/>
      </c>
      <c r="CQ32" s="218" t="str">
        <f t="shared" si="53"/>
        <v/>
      </c>
      <c r="CR32" s="218" t="str">
        <f t="shared" si="54"/>
        <v/>
      </c>
      <c r="CS32" s="218" t="str">
        <f t="shared" si="55"/>
        <v/>
      </c>
      <c r="CT32" s="218" t="str">
        <f t="shared" si="56"/>
        <v/>
      </c>
      <c r="CU32" s="218" t="str">
        <f t="shared" si="57"/>
        <v/>
      </c>
      <c r="CV32" s="218" t="str">
        <f t="shared" si="58"/>
        <v/>
      </c>
      <c r="CW32" s="218" t="str">
        <f t="shared" si="59"/>
        <v/>
      </c>
      <c r="CX32" s="218" t="str">
        <f t="shared" si="60"/>
        <v/>
      </c>
      <c r="CY32" s="218" t="str">
        <f t="shared" si="61"/>
        <v/>
      </c>
      <c r="CZ32" s="218" t="str">
        <f t="shared" si="62"/>
        <v/>
      </c>
      <c r="DA32" s="218" t="str">
        <f t="shared" si="63"/>
        <v/>
      </c>
      <c r="DB32" s="218" t="str">
        <f t="shared" si="64"/>
        <v/>
      </c>
      <c r="DC32" s="218" t="str">
        <f t="shared" si="65"/>
        <v/>
      </c>
      <c r="DD32" s="218" t="str">
        <f t="shared" si="66"/>
        <v/>
      </c>
      <c r="DF32" s="218" t="str">
        <f t="shared" si="67"/>
        <v/>
      </c>
      <c r="DG32" s="218" t="str">
        <f t="shared" si="68"/>
        <v/>
      </c>
      <c r="DH32" s="218" t="str">
        <f t="shared" si="69"/>
        <v/>
      </c>
      <c r="DI32" s="218" t="str">
        <f t="shared" si="70"/>
        <v/>
      </c>
      <c r="DJ32" s="218" t="str">
        <f t="shared" si="71"/>
        <v/>
      </c>
      <c r="DK32" s="218" t="str">
        <f t="shared" si="72"/>
        <v/>
      </c>
      <c r="DL32" s="218" t="str">
        <f t="shared" si="73"/>
        <v/>
      </c>
      <c r="DM32" s="218" t="str">
        <f t="shared" si="74"/>
        <v/>
      </c>
      <c r="DN32" s="218" t="str">
        <f t="shared" si="75"/>
        <v/>
      </c>
      <c r="DO32" s="218" t="str">
        <f t="shared" si="76"/>
        <v/>
      </c>
      <c r="DP32" s="218" t="str">
        <f t="shared" si="77"/>
        <v/>
      </c>
      <c r="DQ32" s="218" t="str">
        <f t="shared" si="78"/>
        <v/>
      </c>
      <c r="DR32" s="218" t="str">
        <f t="shared" si="79"/>
        <v/>
      </c>
      <c r="DS32" s="218" t="str">
        <f t="shared" si="80"/>
        <v/>
      </c>
      <c r="DT32" s="218" t="str">
        <f t="shared" si="81"/>
        <v/>
      </c>
      <c r="DU32" s="218" t="str">
        <f t="shared" si="82"/>
        <v/>
      </c>
      <c r="DV32" s="218" t="str">
        <f t="shared" si="83"/>
        <v/>
      </c>
      <c r="DW32" s="218" t="str">
        <f t="shared" si="84"/>
        <v/>
      </c>
      <c r="DX32" s="218" t="str">
        <f t="shared" si="85"/>
        <v/>
      </c>
      <c r="DY32" s="218" t="str">
        <f t="shared" si="86"/>
        <v/>
      </c>
      <c r="DZ32" s="218" t="str">
        <f t="shared" si="87"/>
        <v/>
      </c>
      <c r="EA32" s="218" t="str">
        <f t="shared" si="88"/>
        <v/>
      </c>
      <c r="EB32" s="218" t="str">
        <f t="shared" si="89"/>
        <v/>
      </c>
      <c r="EC32" s="218" t="str">
        <f t="shared" si="90"/>
        <v/>
      </c>
      <c r="EE32" s="218" t="str">
        <f t="shared" si="91"/>
        <v/>
      </c>
      <c r="EF32" s="218" t="str">
        <f t="shared" si="92"/>
        <v/>
      </c>
      <c r="EG32" s="218" t="str">
        <f t="shared" si="93"/>
        <v/>
      </c>
      <c r="EH32" s="218" t="str">
        <f t="shared" si="94"/>
        <v/>
      </c>
      <c r="EI32" s="218" t="str">
        <f t="shared" si="95"/>
        <v/>
      </c>
      <c r="EJ32" s="218" t="str">
        <f t="shared" si="96"/>
        <v/>
      </c>
      <c r="EK32" s="218" t="str">
        <f t="shared" si="97"/>
        <v/>
      </c>
      <c r="EL32" s="218" t="str">
        <f t="shared" si="98"/>
        <v/>
      </c>
      <c r="EM32" s="218" t="str">
        <f t="shared" si="99"/>
        <v/>
      </c>
      <c r="EN32" s="218" t="str">
        <f t="shared" si="100"/>
        <v/>
      </c>
      <c r="EO32" s="218" t="str">
        <f t="shared" si="101"/>
        <v/>
      </c>
      <c r="EP32" s="218" t="str">
        <f t="shared" si="102"/>
        <v/>
      </c>
      <c r="EQ32" s="218" t="str">
        <f t="shared" si="103"/>
        <v/>
      </c>
      <c r="ER32" s="218" t="str">
        <f t="shared" si="104"/>
        <v/>
      </c>
      <c r="ES32" s="218" t="str">
        <f t="shared" si="105"/>
        <v/>
      </c>
      <c r="ET32" s="218" t="str">
        <f t="shared" si="106"/>
        <v/>
      </c>
      <c r="EU32" s="218" t="str">
        <f t="shared" si="107"/>
        <v/>
      </c>
      <c r="EV32" s="218" t="str">
        <f t="shared" si="108"/>
        <v/>
      </c>
      <c r="EW32" s="218" t="str">
        <f t="shared" si="109"/>
        <v/>
      </c>
      <c r="EX32" s="218" t="str">
        <f t="shared" si="110"/>
        <v/>
      </c>
      <c r="EY32" s="218" t="str">
        <f t="shared" si="111"/>
        <v/>
      </c>
      <c r="FA32" s="218" t="str">
        <f t="shared" si="112"/>
        <v/>
      </c>
      <c r="FB32" s="218" t="str">
        <f t="shared" si="113"/>
        <v/>
      </c>
      <c r="FC32" s="218" t="str">
        <f t="shared" si="114"/>
        <v/>
      </c>
      <c r="FD32" s="218" t="str">
        <f t="shared" si="115"/>
        <v/>
      </c>
      <c r="FE32" s="218" t="str">
        <f t="shared" si="116"/>
        <v/>
      </c>
      <c r="FF32" s="218" t="str">
        <f t="shared" si="117"/>
        <v/>
      </c>
      <c r="FG32" s="218" t="str">
        <f t="shared" si="118"/>
        <v/>
      </c>
      <c r="FH32" s="218" t="str">
        <f t="shared" si="119"/>
        <v/>
      </c>
      <c r="FI32" s="218" t="str">
        <f t="shared" si="120"/>
        <v/>
      </c>
      <c r="FJ32" s="218" t="str">
        <f t="shared" si="121"/>
        <v/>
      </c>
      <c r="FK32" s="218" t="str">
        <f t="shared" si="122"/>
        <v/>
      </c>
      <c r="FL32" s="218" t="str">
        <f t="shared" si="123"/>
        <v/>
      </c>
      <c r="FM32" s="218" t="str">
        <f t="shared" si="124"/>
        <v/>
      </c>
      <c r="FN32" s="218" t="str">
        <f t="shared" si="125"/>
        <v/>
      </c>
      <c r="FO32" s="218" t="str">
        <f t="shared" si="126"/>
        <v/>
      </c>
      <c r="FP32" s="218" t="str">
        <f t="shared" si="127"/>
        <v/>
      </c>
      <c r="FQ32" s="218" t="str">
        <f t="shared" si="128"/>
        <v/>
      </c>
      <c r="FR32" s="218" t="str">
        <f t="shared" si="129"/>
        <v/>
      </c>
      <c r="FT32" s="218" t="str">
        <f t="shared" si="130"/>
        <v/>
      </c>
      <c r="FU32" s="218" t="str">
        <f t="shared" si="131"/>
        <v/>
      </c>
      <c r="FV32" s="218" t="str">
        <f t="shared" si="132"/>
        <v/>
      </c>
      <c r="FW32" s="218" t="str">
        <f t="shared" si="133"/>
        <v/>
      </c>
      <c r="FX32" s="218" t="str">
        <f t="shared" si="134"/>
        <v/>
      </c>
      <c r="FY32" s="218" t="str">
        <f t="shared" si="135"/>
        <v/>
      </c>
      <c r="FZ32" s="218" t="str">
        <f t="shared" si="136"/>
        <v/>
      </c>
      <c r="GA32" s="218" t="str">
        <f t="shared" si="137"/>
        <v/>
      </c>
      <c r="GB32" s="218" t="str">
        <f t="shared" si="138"/>
        <v/>
      </c>
      <c r="GC32" s="218" t="str">
        <f t="shared" si="139"/>
        <v/>
      </c>
      <c r="GD32" s="218" t="str">
        <f t="shared" si="140"/>
        <v/>
      </c>
      <c r="GE32" s="218" t="str">
        <f t="shared" si="141"/>
        <v/>
      </c>
      <c r="GF32" s="218" t="str">
        <f t="shared" si="142"/>
        <v/>
      </c>
      <c r="GG32" s="218" t="str">
        <f t="shared" si="143"/>
        <v/>
      </c>
      <c r="GH32" s="218" t="str">
        <f t="shared" si="144"/>
        <v/>
      </c>
      <c r="GJ32" s="218" t="str">
        <f t="shared" si="145"/>
        <v/>
      </c>
      <c r="GK32" s="218" t="str">
        <f t="shared" si="146"/>
        <v/>
      </c>
      <c r="GL32" s="218" t="str">
        <f t="shared" si="147"/>
        <v/>
      </c>
      <c r="GM32" s="218" t="str">
        <f t="shared" si="148"/>
        <v/>
      </c>
      <c r="GN32" s="218" t="str">
        <f t="shared" si="149"/>
        <v/>
      </c>
      <c r="GO32" s="218" t="str">
        <f t="shared" si="150"/>
        <v/>
      </c>
      <c r="GP32" s="218" t="str">
        <f t="shared" si="151"/>
        <v/>
      </c>
      <c r="GQ32" s="218" t="str">
        <f t="shared" si="152"/>
        <v/>
      </c>
      <c r="GR32" s="218" t="str">
        <f t="shared" si="153"/>
        <v/>
      </c>
      <c r="GS32" s="218" t="str">
        <f t="shared" si="154"/>
        <v/>
      </c>
      <c r="GT32" s="218" t="str">
        <f t="shared" si="155"/>
        <v/>
      </c>
      <c r="GU32" s="218" t="str">
        <f t="shared" si="156"/>
        <v/>
      </c>
      <c r="GW32" s="218" t="str">
        <f t="shared" si="157"/>
        <v/>
      </c>
      <c r="GX32" s="218" t="str">
        <f t="shared" si="158"/>
        <v/>
      </c>
      <c r="GY32" s="218" t="str">
        <f t="shared" si="159"/>
        <v/>
      </c>
      <c r="GZ32" s="218" t="str">
        <f t="shared" si="160"/>
        <v/>
      </c>
      <c r="HA32" s="218" t="str">
        <f t="shared" si="161"/>
        <v/>
      </c>
      <c r="HB32" s="218" t="str">
        <f t="shared" si="162"/>
        <v/>
      </c>
      <c r="HC32" s="218" t="str">
        <f t="shared" si="163"/>
        <v/>
      </c>
      <c r="HD32" s="218" t="str">
        <f t="shared" si="164"/>
        <v/>
      </c>
      <c r="HE32" s="218" t="str">
        <f t="shared" si="165"/>
        <v/>
      </c>
      <c r="HG32" s="218" t="str">
        <f t="shared" si="166"/>
        <v/>
      </c>
      <c r="HH32" s="218" t="str">
        <f t="shared" si="167"/>
        <v/>
      </c>
      <c r="HI32" s="218" t="str">
        <f t="shared" si="168"/>
        <v/>
      </c>
      <c r="HJ32" s="218" t="str">
        <f t="shared" si="169"/>
        <v/>
      </c>
      <c r="HK32" s="218" t="str">
        <f t="shared" si="170"/>
        <v/>
      </c>
      <c r="HL32" s="218" t="str">
        <f t="shared" si="171"/>
        <v/>
      </c>
      <c r="HN32" s="218" t="str">
        <f t="shared" si="172"/>
        <v/>
      </c>
      <c r="HO32" s="218" t="str">
        <f t="shared" si="173"/>
        <v/>
      </c>
      <c r="HP32" s="218" t="str">
        <f t="shared" si="174"/>
        <v/>
      </c>
      <c r="HR32" s="218" t="str">
        <f t="shared" si="224"/>
        <v/>
      </c>
      <c r="HS32" s="218" t="str">
        <f t="shared" si="225"/>
        <v/>
      </c>
      <c r="HT32" s="218" t="str">
        <f t="shared" si="175"/>
        <v/>
      </c>
      <c r="HU32" s="218" t="str">
        <f t="shared" si="176"/>
        <v/>
      </c>
      <c r="HV32" s="218" t="str">
        <f t="shared" si="177"/>
        <v/>
      </c>
      <c r="HW32" s="218" t="str">
        <f t="shared" si="178"/>
        <v/>
      </c>
      <c r="HX32" s="218" t="str">
        <f t="shared" si="179"/>
        <v/>
      </c>
      <c r="HY32" s="218" t="str">
        <f t="shared" si="180"/>
        <v/>
      </c>
      <c r="HZ32" s="218" t="str">
        <f t="shared" si="181"/>
        <v/>
      </c>
      <c r="IA32" s="218" t="str">
        <f t="shared" si="182"/>
        <v/>
      </c>
      <c r="IB32" s="218" t="str">
        <f t="shared" si="183"/>
        <v/>
      </c>
      <c r="IC32" s="218" t="str">
        <f t="shared" si="184"/>
        <v/>
      </c>
      <c r="ID32" s="218" t="str">
        <f t="shared" si="185"/>
        <v/>
      </c>
      <c r="IE32" s="218" t="str">
        <f t="shared" si="186"/>
        <v/>
      </c>
      <c r="IF32" s="218" t="str">
        <f t="shared" si="187"/>
        <v/>
      </c>
      <c r="IG32" s="218" t="str">
        <f t="shared" si="188"/>
        <v/>
      </c>
      <c r="IH32" s="218" t="str">
        <f t="shared" si="189"/>
        <v/>
      </c>
      <c r="II32" s="218" t="str">
        <f t="shared" si="190"/>
        <v/>
      </c>
      <c r="IJ32" s="218" t="str">
        <f t="shared" si="191"/>
        <v/>
      </c>
      <c r="IK32" s="218" t="str">
        <f t="shared" si="192"/>
        <v/>
      </c>
      <c r="IL32" s="218" t="str">
        <f t="shared" si="193"/>
        <v/>
      </c>
      <c r="IM32" s="218" t="str">
        <f t="shared" si="194"/>
        <v/>
      </c>
      <c r="IN32" s="218" t="str">
        <f t="shared" si="195"/>
        <v/>
      </c>
      <c r="IO32" s="218" t="str">
        <f t="shared" si="196"/>
        <v/>
      </c>
      <c r="IP32" s="218" t="str">
        <f t="shared" si="197"/>
        <v/>
      </c>
      <c r="IQ32" s="218" t="str">
        <f t="shared" si="198"/>
        <v/>
      </c>
      <c r="IR32" s="218" t="str">
        <f t="shared" si="199"/>
        <v/>
      </c>
      <c r="IS32" s="218" t="str">
        <f t="shared" si="200"/>
        <v/>
      </c>
      <c r="IT32" s="218" t="str">
        <f t="shared" si="201"/>
        <v/>
      </c>
      <c r="IU32" s="218" t="str">
        <f t="shared" si="202"/>
        <v/>
      </c>
    </row>
    <row r="33" spans="1:255" x14ac:dyDescent="0.2">
      <c r="A33" s="200" t="s">
        <v>36</v>
      </c>
      <c r="B33" s="184"/>
      <c r="C33" s="179"/>
      <c r="D33" s="181"/>
      <c r="E33" s="181"/>
      <c r="F33" s="181"/>
      <c r="G33" s="198"/>
      <c r="H33" s="197"/>
      <c r="I33" s="197"/>
      <c r="J33" s="197"/>
      <c r="K33" s="185"/>
      <c r="L33" s="217" t="str">
        <f t="shared" si="29"/>
        <v/>
      </c>
      <c r="M33" s="218">
        <f>'HKG vs. BK'!M33</f>
        <v>20.566437976192294</v>
      </c>
      <c r="N33" s="218" t="str">
        <f>'HKG vs. BK'!N33</f>
        <v>±1,02</v>
      </c>
      <c r="O33" s="218" t="str">
        <f>'HKG vs. BK'!O33</f>
        <v>±4,23</v>
      </c>
      <c r="P33" s="218" t="str">
        <f>'HKG vs. BK'!P33</f>
        <v>±0,41</v>
      </c>
      <c r="Q33" s="219" t="str">
        <f t="shared" si="203"/>
        <v/>
      </c>
      <c r="R33" s="220" t="str">
        <f t="shared" si="0"/>
        <v/>
      </c>
      <c r="S33" s="220" t="str">
        <f t="shared" si="1"/>
        <v/>
      </c>
      <c r="T33" s="219" t="str">
        <f t="shared" si="2"/>
        <v/>
      </c>
      <c r="U33" s="220" t="str">
        <f t="shared" si="3"/>
        <v/>
      </c>
      <c r="V33" s="220" t="str">
        <f t="shared" si="4"/>
        <v/>
      </c>
      <c r="W33" s="219" t="str">
        <f t="shared" si="5"/>
        <v/>
      </c>
      <c r="X33" s="220" t="str">
        <f t="shared" si="6"/>
        <v/>
      </c>
      <c r="Y33" s="220" t="str">
        <f t="shared" si="7"/>
        <v/>
      </c>
      <c r="Z33" s="219" t="str">
        <f t="shared" si="8"/>
        <v/>
      </c>
      <c r="AA33" s="220" t="str">
        <f t="shared" si="9"/>
        <v/>
      </c>
      <c r="AB33" s="220" t="str">
        <f t="shared" si="10"/>
        <v/>
      </c>
      <c r="AC33" s="219" t="str">
        <f t="shared" si="11"/>
        <v/>
      </c>
      <c r="AD33" s="220" t="str">
        <f t="shared" si="12"/>
        <v/>
      </c>
      <c r="AE33" s="220" t="str">
        <f t="shared" si="13"/>
        <v/>
      </c>
      <c r="AF33" s="219" t="str">
        <f t="shared" si="14"/>
        <v/>
      </c>
      <c r="AG33" s="220" t="str">
        <f t="shared" si="15"/>
        <v/>
      </c>
      <c r="AH33" s="220" t="str">
        <f t="shared" si="16"/>
        <v/>
      </c>
      <c r="AI33" s="219" t="str">
        <f t="shared" si="17"/>
        <v/>
      </c>
      <c r="AJ33" s="220" t="str">
        <f t="shared" si="18"/>
        <v/>
      </c>
      <c r="AK33" s="220" t="str">
        <f t="shared" si="19"/>
        <v/>
      </c>
      <c r="AL33" s="219" t="str">
        <f t="shared" si="20"/>
        <v/>
      </c>
      <c r="AM33" s="220" t="str">
        <f t="shared" si="21"/>
        <v/>
      </c>
      <c r="AN33" s="220" t="str">
        <f t="shared" si="22"/>
        <v/>
      </c>
      <c r="AO33" s="219" t="str">
        <f t="shared" si="23"/>
        <v/>
      </c>
      <c r="AP33" s="220" t="str">
        <f t="shared" si="24"/>
        <v/>
      </c>
      <c r="AQ33" s="220" t="str">
        <f t="shared" si="25"/>
        <v/>
      </c>
      <c r="AR33" s="219" t="str">
        <f t="shared" si="26"/>
        <v/>
      </c>
      <c r="AS33" s="220" t="str">
        <f t="shared" si="27"/>
        <v/>
      </c>
      <c r="AT33" s="220" t="str">
        <f t="shared" si="28"/>
        <v/>
      </c>
      <c r="AU33" s="221"/>
      <c r="AV33" s="221"/>
      <c r="AW33" s="221"/>
      <c r="AY33" s="218" t="str">
        <f t="shared" si="204"/>
        <v/>
      </c>
      <c r="AZ33" s="218" t="str">
        <f t="shared" si="205"/>
        <v/>
      </c>
      <c r="BA33" s="218" t="str">
        <f t="shared" si="30"/>
        <v/>
      </c>
      <c r="BB33" s="218" t="str">
        <f t="shared" si="206"/>
        <v/>
      </c>
      <c r="BC33" s="218" t="str">
        <f t="shared" si="207"/>
        <v/>
      </c>
      <c r="BD33" s="218" t="str">
        <f t="shared" si="31"/>
        <v/>
      </c>
      <c r="BE33" s="218" t="str">
        <f t="shared" si="208"/>
        <v/>
      </c>
      <c r="BF33" s="218" t="str">
        <f t="shared" si="209"/>
        <v/>
      </c>
      <c r="BG33" s="218" t="str">
        <f t="shared" si="32"/>
        <v/>
      </c>
      <c r="BH33" s="218" t="str">
        <f t="shared" si="210"/>
        <v/>
      </c>
      <c r="BI33" s="218" t="str">
        <f t="shared" si="211"/>
        <v/>
      </c>
      <c r="BJ33" s="218" t="str">
        <f t="shared" si="33"/>
        <v/>
      </c>
      <c r="BK33" s="218" t="str">
        <f t="shared" si="212"/>
        <v/>
      </c>
      <c r="BL33" s="218" t="str">
        <f t="shared" si="213"/>
        <v/>
      </c>
      <c r="BM33" s="218" t="str">
        <f t="shared" si="34"/>
        <v/>
      </c>
      <c r="BN33" s="218" t="str">
        <f t="shared" si="214"/>
        <v/>
      </c>
      <c r="BO33" s="218" t="str">
        <f t="shared" si="215"/>
        <v/>
      </c>
      <c r="BP33" s="218" t="str">
        <f t="shared" si="35"/>
        <v/>
      </c>
      <c r="BQ33" s="218" t="str">
        <f t="shared" si="216"/>
        <v/>
      </c>
      <c r="BR33" s="218" t="str">
        <f t="shared" si="217"/>
        <v/>
      </c>
      <c r="BS33" s="218" t="str">
        <f t="shared" si="36"/>
        <v/>
      </c>
      <c r="BT33" s="218" t="str">
        <f t="shared" si="218"/>
        <v/>
      </c>
      <c r="BU33" s="218" t="str">
        <f t="shared" si="219"/>
        <v/>
      </c>
      <c r="BV33" s="218" t="str">
        <f t="shared" si="37"/>
        <v/>
      </c>
      <c r="BW33" s="218" t="str">
        <f t="shared" si="220"/>
        <v/>
      </c>
      <c r="BX33" s="218" t="str">
        <f t="shared" si="221"/>
        <v/>
      </c>
      <c r="BY33" s="218" t="str">
        <f t="shared" si="38"/>
        <v/>
      </c>
      <c r="BZ33" s="218" t="str">
        <f t="shared" si="222"/>
        <v/>
      </c>
      <c r="CA33" s="218" t="str">
        <f t="shared" si="223"/>
        <v/>
      </c>
      <c r="CB33" s="218" t="str">
        <f t="shared" si="39"/>
        <v/>
      </c>
      <c r="CD33" s="218" t="str">
        <f t="shared" si="40"/>
        <v/>
      </c>
      <c r="CE33" s="218" t="str">
        <f t="shared" si="41"/>
        <v/>
      </c>
      <c r="CF33" s="218" t="str">
        <f t="shared" si="42"/>
        <v/>
      </c>
      <c r="CG33" s="218" t="str">
        <f t="shared" si="43"/>
        <v/>
      </c>
      <c r="CH33" s="218" t="str">
        <f t="shared" si="44"/>
        <v/>
      </c>
      <c r="CI33" s="218" t="str">
        <f t="shared" si="45"/>
        <v/>
      </c>
      <c r="CJ33" s="218" t="str">
        <f t="shared" si="46"/>
        <v/>
      </c>
      <c r="CK33" s="218" t="str">
        <f t="shared" si="47"/>
        <v/>
      </c>
      <c r="CL33" s="218" t="str">
        <f t="shared" si="48"/>
        <v/>
      </c>
      <c r="CM33" s="218" t="str">
        <f t="shared" si="49"/>
        <v/>
      </c>
      <c r="CN33" s="218" t="str">
        <f t="shared" si="50"/>
        <v/>
      </c>
      <c r="CO33" s="218" t="str">
        <f t="shared" si="51"/>
        <v/>
      </c>
      <c r="CP33" s="218" t="str">
        <f t="shared" si="52"/>
        <v/>
      </c>
      <c r="CQ33" s="218" t="str">
        <f t="shared" si="53"/>
        <v/>
      </c>
      <c r="CR33" s="218" t="str">
        <f t="shared" si="54"/>
        <v/>
      </c>
      <c r="CS33" s="218" t="str">
        <f t="shared" si="55"/>
        <v/>
      </c>
      <c r="CT33" s="218" t="str">
        <f t="shared" si="56"/>
        <v/>
      </c>
      <c r="CU33" s="218" t="str">
        <f t="shared" si="57"/>
        <v/>
      </c>
      <c r="CV33" s="218" t="str">
        <f t="shared" si="58"/>
        <v/>
      </c>
      <c r="CW33" s="218" t="str">
        <f t="shared" si="59"/>
        <v/>
      </c>
      <c r="CX33" s="218" t="str">
        <f t="shared" si="60"/>
        <v/>
      </c>
      <c r="CY33" s="218" t="str">
        <f t="shared" si="61"/>
        <v/>
      </c>
      <c r="CZ33" s="218" t="str">
        <f t="shared" si="62"/>
        <v/>
      </c>
      <c r="DA33" s="218" t="str">
        <f t="shared" si="63"/>
        <v/>
      </c>
      <c r="DB33" s="218" t="str">
        <f t="shared" si="64"/>
        <v/>
      </c>
      <c r="DC33" s="218" t="str">
        <f t="shared" si="65"/>
        <v/>
      </c>
      <c r="DD33" s="218" t="str">
        <f t="shared" si="66"/>
        <v/>
      </c>
      <c r="DF33" s="218" t="str">
        <f t="shared" si="67"/>
        <v/>
      </c>
      <c r="DG33" s="218" t="str">
        <f t="shared" si="68"/>
        <v/>
      </c>
      <c r="DH33" s="218" t="str">
        <f t="shared" si="69"/>
        <v/>
      </c>
      <c r="DI33" s="218" t="str">
        <f t="shared" si="70"/>
        <v/>
      </c>
      <c r="DJ33" s="218" t="str">
        <f t="shared" si="71"/>
        <v/>
      </c>
      <c r="DK33" s="218" t="str">
        <f t="shared" si="72"/>
        <v/>
      </c>
      <c r="DL33" s="218" t="str">
        <f t="shared" si="73"/>
        <v/>
      </c>
      <c r="DM33" s="218" t="str">
        <f t="shared" si="74"/>
        <v/>
      </c>
      <c r="DN33" s="218" t="str">
        <f t="shared" si="75"/>
        <v/>
      </c>
      <c r="DO33" s="218" t="str">
        <f t="shared" si="76"/>
        <v/>
      </c>
      <c r="DP33" s="218" t="str">
        <f t="shared" si="77"/>
        <v/>
      </c>
      <c r="DQ33" s="218" t="str">
        <f t="shared" si="78"/>
        <v/>
      </c>
      <c r="DR33" s="218" t="str">
        <f t="shared" si="79"/>
        <v/>
      </c>
      <c r="DS33" s="218" t="str">
        <f t="shared" si="80"/>
        <v/>
      </c>
      <c r="DT33" s="218" t="str">
        <f t="shared" si="81"/>
        <v/>
      </c>
      <c r="DU33" s="218" t="str">
        <f t="shared" si="82"/>
        <v/>
      </c>
      <c r="DV33" s="218" t="str">
        <f t="shared" si="83"/>
        <v/>
      </c>
      <c r="DW33" s="218" t="str">
        <f t="shared" si="84"/>
        <v/>
      </c>
      <c r="DX33" s="218" t="str">
        <f t="shared" si="85"/>
        <v/>
      </c>
      <c r="DY33" s="218" t="str">
        <f t="shared" si="86"/>
        <v/>
      </c>
      <c r="DZ33" s="218" t="str">
        <f t="shared" si="87"/>
        <v/>
      </c>
      <c r="EA33" s="218" t="str">
        <f t="shared" si="88"/>
        <v/>
      </c>
      <c r="EB33" s="218" t="str">
        <f t="shared" si="89"/>
        <v/>
      </c>
      <c r="EC33" s="218" t="str">
        <f t="shared" si="90"/>
        <v/>
      </c>
      <c r="EE33" s="218" t="str">
        <f t="shared" si="91"/>
        <v/>
      </c>
      <c r="EF33" s="218" t="str">
        <f t="shared" si="92"/>
        <v/>
      </c>
      <c r="EG33" s="218" t="str">
        <f t="shared" si="93"/>
        <v/>
      </c>
      <c r="EH33" s="218" t="str">
        <f t="shared" si="94"/>
        <v/>
      </c>
      <c r="EI33" s="218" t="str">
        <f t="shared" si="95"/>
        <v/>
      </c>
      <c r="EJ33" s="218" t="str">
        <f t="shared" si="96"/>
        <v/>
      </c>
      <c r="EK33" s="218" t="str">
        <f t="shared" si="97"/>
        <v/>
      </c>
      <c r="EL33" s="218" t="str">
        <f t="shared" si="98"/>
        <v/>
      </c>
      <c r="EM33" s="218" t="str">
        <f t="shared" si="99"/>
        <v/>
      </c>
      <c r="EN33" s="218" t="str">
        <f t="shared" si="100"/>
        <v/>
      </c>
      <c r="EO33" s="218" t="str">
        <f t="shared" si="101"/>
        <v/>
      </c>
      <c r="EP33" s="218" t="str">
        <f t="shared" si="102"/>
        <v/>
      </c>
      <c r="EQ33" s="218" t="str">
        <f t="shared" si="103"/>
        <v/>
      </c>
      <c r="ER33" s="218" t="str">
        <f t="shared" si="104"/>
        <v/>
      </c>
      <c r="ES33" s="218" t="str">
        <f t="shared" si="105"/>
        <v/>
      </c>
      <c r="ET33" s="218" t="str">
        <f t="shared" si="106"/>
        <v/>
      </c>
      <c r="EU33" s="218" t="str">
        <f t="shared" si="107"/>
        <v/>
      </c>
      <c r="EV33" s="218" t="str">
        <f t="shared" si="108"/>
        <v/>
      </c>
      <c r="EW33" s="218" t="str">
        <f t="shared" si="109"/>
        <v/>
      </c>
      <c r="EX33" s="218" t="str">
        <f t="shared" si="110"/>
        <v/>
      </c>
      <c r="EY33" s="218" t="str">
        <f t="shared" si="111"/>
        <v/>
      </c>
      <c r="FA33" s="218" t="str">
        <f t="shared" si="112"/>
        <v/>
      </c>
      <c r="FB33" s="218" t="str">
        <f t="shared" si="113"/>
        <v/>
      </c>
      <c r="FC33" s="218" t="str">
        <f t="shared" si="114"/>
        <v/>
      </c>
      <c r="FD33" s="218" t="str">
        <f t="shared" si="115"/>
        <v/>
      </c>
      <c r="FE33" s="218" t="str">
        <f t="shared" si="116"/>
        <v/>
      </c>
      <c r="FF33" s="218" t="str">
        <f t="shared" si="117"/>
        <v/>
      </c>
      <c r="FG33" s="218" t="str">
        <f t="shared" si="118"/>
        <v/>
      </c>
      <c r="FH33" s="218" t="str">
        <f t="shared" si="119"/>
        <v/>
      </c>
      <c r="FI33" s="218" t="str">
        <f t="shared" si="120"/>
        <v/>
      </c>
      <c r="FJ33" s="218" t="str">
        <f t="shared" si="121"/>
        <v/>
      </c>
      <c r="FK33" s="218" t="str">
        <f t="shared" si="122"/>
        <v/>
      </c>
      <c r="FL33" s="218" t="str">
        <f t="shared" si="123"/>
        <v/>
      </c>
      <c r="FM33" s="218" t="str">
        <f t="shared" si="124"/>
        <v/>
      </c>
      <c r="FN33" s="218" t="str">
        <f t="shared" si="125"/>
        <v/>
      </c>
      <c r="FO33" s="218" t="str">
        <f t="shared" si="126"/>
        <v/>
      </c>
      <c r="FP33" s="218" t="str">
        <f t="shared" si="127"/>
        <v/>
      </c>
      <c r="FQ33" s="218" t="str">
        <f t="shared" si="128"/>
        <v/>
      </c>
      <c r="FR33" s="218" t="str">
        <f t="shared" si="129"/>
        <v/>
      </c>
      <c r="FT33" s="218" t="str">
        <f t="shared" si="130"/>
        <v/>
      </c>
      <c r="FU33" s="218" t="str">
        <f t="shared" si="131"/>
        <v/>
      </c>
      <c r="FV33" s="218" t="str">
        <f t="shared" si="132"/>
        <v/>
      </c>
      <c r="FW33" s="218" t="str">
        <f t="shared" si="133"/>
        <v/>
      </c>
      <c r="FX33" s="218" t="str">
        <f t="shared" si="134"/>
        <v/>
      </c>
      <c r="FY33" s="218" t="str">
        <f t="shared" si="135"/>
        <v/>
      </c>
      <c r="FZ33" s="218" t="str">
        <f t="shared" si="136"/>
        <v/>
      </c>
      <c r="GA33" s="218" t="str">
        <f t="shared" si="137"/>
        <v/>
      </c>
      <c r="GB33" s="218" t="str">
        <f t="shared" si="138"/>
        <v/>
      </c>
      <c r="GC33" s="218" t="str">
        <f t="shared" si="139"/>
        <v/>
      </c>
      <c r="GD33" s="218" t="str">
        <f t="shared" si="140"/>
        <v/>
      </c>
      <c r="GE33" s="218" t="str">
        <f t="shared" si="141"/>
        <v/>
      </c>
      <c r="GF33" s="218" t="str">
        <f t="shared" si="142"/>
        <v/>
      </c>
      <c r="GG33" s="218" t="str">
        <f t="shared" si="143"/>
        <v/>
      </c>
      <c r="GH33" s="218" t="str">
        <f t="shared" si="144"/>
        <v/>
      </c>
      <c r="GJ33" s="218" t="str">
        <f t="shared" si="145"/>
        <v/>
      </c>
      <c r="GK33" s="218" t="str">
        <f t="shared" si="146"/>
        <v/>
      </c>
      <c r="GL33" s="218" t="str">
        <f t="shared" si="147"/>
        <v/>
      </c>
      <c r="GM33" s="218" t="str">
        <f t="shared" si="148"/>
        <v/>
      </c>
      <c r="GN33" s="218" t="str">
        <f t="shared" si="149"/>
        <v/>
      </c>
      <c r="GO33" s="218" t="str">
        <f t="shared" si="150"/>
        <v/>
      </c>
      <c r="GP33" s="218" t="str">
        <f t="shared" si="151"/>
        <v/>
      </c>
      <c r="GQ33" s="218" t="str">
        <f t="shared" si="152"/>
        <v/>
      </c>
      <c r="GR33" s="218" t="str">
        <f t="shared" si="153"/>
        <v/>
      </c>
      <c r="GS33" s="218" t="str">
        <f t="shared" si="154"/>
        <v/>
      </c>
      <c r="GT33" s="218" t="str">
        <f t="shared" si="155"/>
        <v/>
      </c>
      <c r="GU33" s="218" t="str">
        <f t="shared" si="156"/>
        <v/>
      </c>
      <c r="GW33" s="218" t="str">
        <f t="shared" si="157"/>
        <v/>
      </c>
      <c r="GX33" s="218" t="str">
        <f t="shared" si="158"/>
        <v/>
      </c>
      <c r="GY33" s="218" t="str">
        <f t="shared" si="159"/>
        <v/>
      </c>
      <c r="GZ33" s="218" t="str">
        <f t="shared" si="160"/>
        <v/>
      </c>
      <c r="HA33" s="218" t="str">
        <f t="shared" si="161"/>
        <v/>
      </c>
      <c r="HB33" s="218" t="str">
        <f t="shared" si="162"/>
        <v/>
      </c>
      <c r="HC33" s="218" t="str">
        <f t="shared" si="163"/>
        <v/>
      </c>
      <c r="HD33" s="218" t="str">
        <f t="shared" si="164"/>
        <v/>
      </c>
      <c r="HE33" s="218" t="str">
        <f t="shared" si="165"/>
        <v/>
      </c>
      <c r="HG33" s="218" t="str">
        <f t="shared" si="166"/>
        <v/>
      </c>
      <c r="HH33" s="218" t="str">
        <f t="shared" si="167"/>
        <v/>
      </c>
      <c r="HI33" s="218" t="str">
        <f t="shared" si="168"/>
        <v/>
      </c>
      <c r="HJ33" s="218" t="str">
        <f t="shared" si="169"/>
        <v/>
      </c>
      <c r="HK33" s="218" t="str">
        <f t="shared" si="170"/>
        <v/>
      </c>
      <c r="HL33" s="218" t="str">
        <f t="shared" si="171"/>
        <v/>
      </c>
      <c r="HN33" s="218" t="str">
        <f t="shared" si="172"/>
        <v/>
      </c>
      <c r="HO33" s="218" t="str">
        <f t="shared" si="173"/>
        <v/>
      </c>
      <c r="HP33" s="218" t="str">
        <f t="shared" si="174"/>
        <v/>
      </c>
      <c r="HR33" s="218" t="str">
        <f t="shared" si="224"/>
        <v/>
      </c>
      <c r="HS33" s="218" t="str">
        <f t="shared" si="225"/>
        <v/>
      </c>
      <c r="HT33" s="218" t="str">
        <f t="shared" si="175"/>
        <v/>
      </c>
      <c r="HU33" s="218" t="str">
        <f t="shared" si="176"/>
        <v/>
      </c>
      <c r="HV33" s="218" t="str">
        <f t="shared" si="177"/>
        <v/>
      </c>
      <c r="HW33" s="218" t="str">
        <f t="shared" si="178"/>
        <v/>
      </c>
      <c r="HX33" s="218" t="str">
        <f t="shared" si="179"/>
        <v/>
      </c>
      <c r="HY33" s="218" t="str">
        <f t="shared" si="180"/>
        <v/>
      </c>
      <c r="HZ33" s="218" t="str">
        <f t="shared" si="181"/>
        <v/>
      </c>
      <c r="IA33" s="218" t="str">
        <f t="shared" si="182"/>
        <v/>
      </c>
      <c r="IB33" s="218" t="str">
        <f t="shared" si="183"/>
        <v/>
      </c>
      <c r="IC33" s="218" t="str">
        <f t="shared" si="184"/>
        <v/>
      </c>
      <c r="ID33" s="218" t="str">
        <f t="shared" si="185"/>
        <v/>
      </c>
      <c r="IE33" s="218" t="str">
        <f t="shared" si="186"/>
        <v/>
      </c>
      <c r="IF33" s="218" t="str">
        <f t="shared" si="187"/>
        <v/>
      </c>
      <c r="IG33" s="218" t="str">
        <f t="shared" si="188"/>
        <v/>
      </c>
      <c r="IH33" s="218" t="str">
        <f t="shared" si="189"/>
        <v/>
      </c>
      <c r="II33" s="218" t="str">
        <f t="shared" si="190"/>
        <v/>
      </c>
      <c r="IJ33" s="218" t="str">
        <f t="shared" si="191"/>
        <v/>
      </c>
      <c r="IK33" s="218" t="str">
        <f t="shared" si="192"/>
        <v/>
      </c>
      <c r="IL33" s="218" t="str">
        <f t="shared" si="193"/>
        <v/>
      </c>
      <c r="IM33" s="218" t="str">
        <f t="shared" si="194"/>
        <v/>
      </c>
      <c r="IN33" s="218" t="str">
        <f t="shared" si="195"/>
        <v/>
      </c>
      <c r="IO33" s="218" t="str">
        <f t="shared" si="196"/>
        <v/>
      </c>
      <c r="IP33" s="218" t="str">
        <f t="shared" si="197"/>
        <v/>
      </c>
      <c r="IQ33" s="218" t="str">
        <f t="shared" si="198"/>
        <v/>
      </c>
      <c r="IR33" s="218" t="str">
        <f t="shared" si="199"/>
        <v/>
      </c>
      <c r="IS33" s="218" t="str">
        <f t="shared" si="200"/>
        <v/>
      </c>
      <c r="IT33" s="218" t="str">
        <f t="shared" si="201"/>
        <v/>
      </c>
      <c r="IU33" s="218" t="str">
        <f t="shared" si="202"/>
        <v/>
      </c>
    </row>
    <row r="34" spans="1:255" x14ac:dyDescent="0.2">
      <c r="A34" s="200" t="s">
        <v>37</v>
      </c>
      <c r="B34" s="184"/>
      <c r="C34" s="179"/>
      <c r="D34" s="181"/>
      <c r="E34" s="181"/>
      <c r="F34" s="181"/>
      <c r="G34" s="198"/>
      <c r="H34" s="197"/>
      <c r="I34" s="197"/>
      <c r="J34" s="197"/>
      <c r="K34" s="185"/>
      <c r="L34" s="217" t="str">
        <f t="shared" si="29"/>
        <v/>
      </c>
      <c r="M34" s="218" t="str">
        <f>'HKG vs. BK'!M34</f>
        <v/>
      </c>
      <c r="N34" s="218" t="str">
        <f>'HKG vs. BK'!N34</f>
        <v/>
      </c>
      <c r="O34" s="218" t="str">
        <f>'HKG vs. BK'!O34</f>
        <v/>
      </c>
      <c r="P34" s="218" t="str">
        <f>'HKG vs. BK'!P34</f>
        <v/>
      </c>
      <c r="Q34" s="219" t="str">
        <f t="shared" si="203"/>
        <v/>
      </c>
      <c r="R34" s="220" t="str">
        <f t="shared" si="0"/>
        <v/>
      </c>
      <c r="S34" s="220" t="str">
        <f t="shared" si="1"/>
        <v/>
      </c>
      <c r="T34" s="219" t="str">
        <f t="shared" si="2"/>
        <v/>
      </c>
      <c r="U34" s="220" t="str">
        <f t="shared" si="3"/>
        <v/>
      </c>
      <c r="V34" s="220" t="str">
        <f t="shared" si="4"/>
        <v/>
      </c>
      <c r="W34" s="219" t="str">
        <f t="shared" si="5"/>
        <v/>
      </c>
      <c r="X34" s="220" t="str">
        <f t="shared" si="6"/>
        <v/>
      </c>
      <c r="Y34" s="220" t="str">
        <f t="shared" si="7"/>
        <v/>
      </c>
      <c r="Z34" s="219" t="str">
        <f t="shared" si="8"/>
        <v/>
      </c>
      <c r="AA34" s="220" t="str">
        <f t="shared" si="9"/>
        <v/>
      </c>
      <c r="AB34" s="220" t="str">
        <f t="shared" si="10"/>
        <v/>
      </c>
      <c r="AC34" s="219" t="str">
        <f t="shared" si="11"/>
        <v/>
      </c>
      <c r="AD34" s="220" t="str">
        <f t="shared" si="12"/>
        <v/>
      </c>
      <c r="AE34" s="220" t="str">
        <f t="shared" si="13"/>
        <v/>
      </c>
      <c r="AF34" s="219" t="str">
        <f t="shared" si="14"/>
        <v/>
      </c>
      <c r="AG34" s="220" t="str">
        <f t="shared" si="15"/>
        <v/>
      </c>
      <c r="AH34" s="220" t="str">
        <f t="shared" si="16"/>
        <v/>
      </c>
      <c r="AI34" s="219" t="str">
        <f t="shared" si="17"/>
        <v/>
      </c>
      <c r="AJ34" s="220" t="str">
        <f t="shared" si="18"/>
        <v/>
      </c>
      <c r="AK34" s="220" t="str">
        <f t="shared" si="19"/>
        <v/>
      </c>
      <c r="AL34" s="219" t="str">
        <f t="shared" si="20"/>
        <v/>
      </c>
      <c r="AM34" s="220" t="str">
        <f t="shared" si="21"/>
        <v/>
      </c>
      <c r="AN34" s="220" t="str">
        <f t="shared" si="22"/>
        <v/>
      </c>
      <c r="AO34" s="219" t="str">
        <f t="shared" si="23"/>
        <v/>
      </c>
      <c r="AP34" s="220" t="str">
        <f t="shared" si="24"/>
        <v/>
      </c>
      <c r="AQ34" s="220" t="str">
        <f t="shared" si="25"/>
        <v/>
      </c>
      <c r="AR34" s="219" t="str">
        <f t="shared" si="26"/>
        <v/>
      </c>
      <c r="AS34" s="220" t="str">
        <f t="shared" si="27"/>
        <v/>
      </c>
      <c r="AT34" s="220" t="str">
        <f t="shared" si="28"/>
        <v/>
      </c>
      <c r="AU34" s="221"/>
      <c r="AV34" s="221"/>
      <c r="AW34" s="221"/>
      <c r="AY34" s="218" t="str">
        <f t="shared" si="204"/>
        <v/>
      </c>
      <c r="AZ34" s="218" t="str">
        <f t="shared" si="205"/>
        <v/>
      </c>
      <c r="BA34" s="218" t="str">
        <f t="shared" si="30"/>
        <v/>
      </c>
      <c r="BB34" s="218" t="str">
        <f t="shared" si="206"/>
        <v/>
      </c>
      <c r="BC34" s="218" t="str">
        <f t="shared" si="207"/>
        <v/>
      </c>
      <c r="BD34" s="218" t="str">
        <f t="shared" si="31"/>
        <v/>
      </c>
      <c r="BE34" s="218" t="str">
        <f t="shared" si="208"/>
        <v/>
      </c>
      <c r="BF34" s="218" t="str">
        <f t="shared" si="209"/>
        <v/>
      </c>
      <c r="BG34" s="218" t="str">
        <f t="shared" si="32"/>
        <v/>
      </c>
      <c r="BH34" s="218" t="str">
        <f t="shared" si="210"/>
        <v/>
      </c>
      <c r="BI34" s="218" t="str">
        <f t="shared" si="211"/>
        <v/>
      </c>
      <c r="BJ34" s="218" t="str">
        <f t="shared" si="33"/>
        <v/>
      </c>
      <c r="BK34" s="218" t="str">
        <f t="shared" si="212"/>
        <v/>
      </c>
      <c r="BL34" s="218" t="str">
        <f t="shared" si="213"/>
        <v/>
      </c>
      <c r="BM34" s="218" t="str">
        <f t="shared" si="34"/>
        <v/>
      </c>
      <c r="BN34" s="218" t="str">
        <f t="shared" si="214"/>
        <v/>
      </c>
      <c r="BO34" s="218" t="str">
        <f t="shared" si="215"/>
        <v/>
      </c>
      <c r="BP34" s="218" t="str">
        <f t="shared" si="35"/>
        <v/>
      </c>
      <c r="BQ34" s="218" t="str">
        <f t="shared" si="216"/>
        <v/>
      </c>
      <c r="BR34" s="218" t="str">
        <f t="shared" si="217"/>
        <v/>
      </c>
      <c r="BS34" s="218" t="str">
        <f t="shared" si="36"/>
        <v/>
      </c>
      <c r="BT34" s="218" t="str">
        <f t="shared" si="218"/>
        <v/>
      </c>
      <c r="BU34" s="218" t="str">
        <f t="shared" si="219"/>
        <v/>
      </c>
      <c r="BV34" s="218" t="str">
        <f t="shared" si="37"/>
        <v/>
      </c>
      <c r="BW34" s="218" t="str">
        <f t="shared" si="220"/>
        <v/>
      </c>
      <c r="BX34" s="218" t="str">
        <f t="shared" si="221"/>
        <v/>
      </c>
      <c r="BY34" s="218" t="str">
        <f t="shared" si="38"/>
        <v/>
      </c>
      <c r="BZ34" s="218" t="str">
        <f t="shared" si="222"/>
        <v/>
      </c>
      <c r="CA34" s="218" t="str">
        <f t="shared" si="223"/>
        <v/>
      </c>
      <c r="CB34" s="218" t="str">
        <f t="shared" si="39"/>
        <v/>
      </c>
      <c r="CD34" s="218" t="str">
        <f t="shared" si="40"/>
        <v/>
      </c>
      <c r="CE34" s="218" t="str">
        <f t="shared" si="41"/>
        <v/>
      </c>
      <c r="CF34" s="218" t="str">
        <f t="shared" si="42"/>
        <v/>
      </c>
      <c r="CG34" s="218" t="str">
        <f t="shared" si="43"/>
        <v/>
      </c>
      <c r="CH34" s="218" t="str">
        <f t="shared" si="44"/>
        <v/>
      </c>
      <c r="CI34" s="218" t="str">
        <f t="shared" si="45"/>
        <v/>
      </c>
      <c r="CJ34" s="218" t="str">
        <f t="shared" si="46"/>
        <v/>
      </c>
      <c r="CK34" s="218" t="str">
        <f t="shared" si="47"/>
        <v/>
      </c>
      <c r="CL34" s="218" t="str">
        <f t="shared" si="48"/>
        <v/>
      </c>
      <c r="CM34" s="218" t="str">
        <f t="shared" si="49"/>
        <v/>
      </c>
      <c r="CN34" s="218" t="str">
        <f t="shared" si="50"/>
        <v/>
      </c>
      <c r="CO34" s="218" t="str">
        <f t="shared" si="51"/>
        <v/>
      </c>
      <c r="CP34" s="218" t="str">
        <f t="shared" si="52"/>
        <v/>
      </c>
      <c r="CQ34" s="218" t="str">
        <f t="shared" si="53"/>
        <v/>
      </c>
      <c r="CR34" s="218" t="str">
        <f t="shared" si="54"/>
        <v/>
      </c>
      <c r="CS34" s="218" t="str">
        <f t="shared" si="55"/>
        <v/>
      </c>
      <c r="CT34" s="218" t="str">
        <f t="shared" si="56"/>
        <v/>
      </c>
      <c r="CU34" s="218" t="str">
        <f t="shared" si="57"/>
        <v/>
      </c>
      <c r="CV34" s="218" t="str">
        <f t="shared" si="58"/>
        <v/>
      </c>
      <c r="CW34" s="218" t="str">
        <f t="shared" si="59"/>
        <v/>
      </c>
      <c r="CX34" s="218" t="str">
        <f t="shared" si="60"/>
        <v/>
      </c>
      <c r="CY34" s="218" t="str">
        <f t="shared" si="61"/>
        <v/>
      </c>
      <c r="CZ34" s="218" t="str">
        <f t="shared" si="62"/>
        <v/>
      </c>
      <c r="DA34" s="218" t="str">
        <f t="shared" si="63"/>
        <v/>
      </c>
      <c r="DB34" s="218" t="str">
        <f t="shared" si="64"/>
        <v/>
      </c>
      <c r="DC34" s="218" t="str">
        <f t="shared" si="65"/>
        <v/>
      </c>
      <c r="DD34" s="218" t="str">
        <f t="shared" si="66"/>
        <v/>
      </c>
      <c r="DF34" s="218" t="str">
        <f t="shared" si="67"/>
        <v/>
      </c>
      <c r="DG34" s="218" t="str">
        <f t="shared" si="68"/>
        <v/>
      </c>
      <c r="DH34" s="218" t="str">
        <f t="shared" si="69"/>
        <v/>
      </c>
      <c r="DI34" s="218" t="str">
        <f t="shared" si="70"/>
        <v/>
      </c>
      <c r="DJ34" s="218" t="str">
        <f t="shared" si="71"/>
        <v/>
      </c>
      <c r="DK34" s="218" t="str">
        <f t="shared" si="72"/>
        <v/>
      </c>
      <c r="DL34" s="218" t="str">
        <f t="shared" si="73"/>
        <v/>
      </c>
      <c r="DM34" s="218" t="str">
        <f t="shared" si="74"/>
        <v/>
      </c>
      <c r="DN34" s="218" t="str">
        <f t="shared" si="75"/>
        <v/>
      </c>
      <c r="DO34" s="218" t="str">
        <f t="shared" si="76"/>
        <v/>
      </c>
      <c r="DP34" s="218" t="str">
        <f t="shared" si="77"/>
        <v/>
      </c>
      <c r="DQ34" s="218" t="str">
        <f t="shared" si="78"/>
        <v/>
      </c>
      <c r="DR34" s="218" t="str">
        <f t="shared" si="79"/>
        <v/>
      </c>
      <c r="DS34" s="218" t="str">
        <f t="shared" si="80"/>
        <v/>
      </c>
      <c r="DT34" s="218" t="str">
        <f t="shared" si="81"/>
        <v/>
      </c>
      <c r="DU34" s="218" t="str">
        <f t="shared" si="82"/>
        <v/>
      </c>
      <c r="DV34" s="218" t="str">
        <f t="shared" si="83"/>
        <v/>
      </c>
      <c r="DW34" s="218" t="str">
        <f t="shared" si="84"/>
        <v/>
      </c>
      <c r="DX34" s="218" t="str">
        <f t="shared" si="85"/>
        <v/>
      </c>
      <c r="DY34" s="218" t="str">
        <f t="shared" si="86"/>
        <v/>
      </c>
      <c r="DZ34" s="218" t="str">
        <f t="shared" si="87"/>
        <v/>
      </c>
      <c r="EA34" s="218" t="str">
        <f t="shared" si="88"/>
        <v/>
      </c>
      <c r="EB34" s="218" t="str">
        <f t="shared" si="89"/>
        <v/>
      </c>
      <c r="EC34" s="218" t="str">
        <f t="shared" si="90"/>
        <v/>
      </c>
      <c r="EE34" s="218" t="str">
        <f t="shared" si="91"/>
        <v/>
      </c>
      <c r="EF34" s="218" t="str">
        <f t="shared" si="92"/>
        <v/>
      </c>
      <c r="EG34" s="218" t="str">
        <f t="shared" si="93"/>
        <v/>
      </c>
      <c r="EH34" s="218" t="str">
        <f t="shared" si="94"/>
        <v/>
      </c>
      <c r="EI34" s="218" t="str">
        <f t="shared" si="95"/>
        <v/>
      </c>
      <c r="EJ34" s="218" t="str">
        <f t="shared" si="96"/>
        <v/>
      </c>
      <c r="EK34" s="218" t="str">
        <f t="shared" si="97"/>
        <v/>
      </c>
      <c r="EL34" s="218" t="str">
        <f t="shared" si="98"/>
        <v/>
      </c>
      <c r="EM34" s="218" t="str">
        <f t="shared" si="99"/>
        <v/>
      </c>
      <c r="EN34" s="218" t="str">
        <f t="shared" si="100"/>
        <v/>
      </c>
      <c r="EO34" s="218" t="str">
        <f t="shared" si="101"/>
        <v/>
      </c>
      <c r="EP34" s="218" t="str">
        <f t="shared" si="102"/>
        <v/>
      </c>
      <c r="EQ34" s="218" t="str">
        <f t="shared" si="103"/>
        <v/>
      </c>
      <c r="ER34" s="218" t="str">
        <f t="shared" si="104"/>
        <v/>
      </c>
      <c r="ES34" s="218" t="str">
        <f t="shared" si="105"/>
        <v/>
      </c>
      <c r="ET34" s="218" t="str">
        <f t="shared" si="106"/>
        <v/>
      </c>
      <c r="EU34" s="218" t="str">
        <f t="shared" si="107"/>
        <v/>
      </c>
      <c r="EV34" s="218" t="str">
        <f t="shared" si="108"/>
        <v/>
      </c>
      <c r="EW34" s="218" t="str">
        <f t="shared" si="109"/>
        <v/>
      </c>
      <c r="EX34" s="218" t="str">
        <f t="shared" si="110"/>
        <v/>
      </c>
      <c r="EY34" s="218" t="str">
        <f t="shared" si="111"/>
        <v/>
      </c>
      <c r="FA34" s="218" t="str">
        <f t="shared" si="112"/>
        <v/>
      </c>
      <c r="FB34" s="218" t="str">
        <f t="shared" si="113"/>
        <v/>
      </c>
      <c r="FC34" s="218" t="str">
        <f t="shared" si="114"/>
        <v/>
      </c>
      <c r="FD34" s="218" t="str">
        <f t="shared" si="115"/>
        <v/>
      </c>
      <c r="FE34" s="218" t="str">
        <f t="shared" si="116"/>
        <v/>
      </c>
      <c r="FF34" s="218" t="str">
        <f t="shared" si="117"/>
        <v/>
      </c>
      <c r="FG34" s="218" t="str">
        <f t="shared" si="118"/>
        <v/>
      </c>
      <c r="FH34" s="218" t="str">
        <f t="shared" si="119"/>
        <v/>
      </c>
      <c r="FI34" s="218" t="str">
        <f t="shared" si="120"/>
        <v/>
      </c>
      <c r="FJ34" s="218" t="str">
        <f t="shared" si="121"/>
        <v/>
      </c>
      <c r="FK34" s="218" t="str">
        <f t="shared" si="122"/>
        <v/>
      </c>
      <c r="FL34" s="218" t="str">
        <f t="shared" si="123"/>
        <v/>
      </c>
      <c r="FM34" s="218" t="str">
        <f t="shared" si="124"/>
        <v/>
      </c>
      <c r="FN34" s="218" t="str">
        <f t="shared" si="125"/>
        <v/>
      </c>
      <c r="FO34" s="218" t="str">
        <f t="shared" si="126"/>
        <v/>
      </c>
      <c r="FP34" s="218" t="str">
        <f t="shared" si="127"/>
        <v/>
      </c>
      <c r="FQ34" s="218" t="str">
        <f t="shared" si="128"/>
        <v/>
      </c>
      <c r="FR34" s="218" t="str">
        <f t="shared" si="129"/>
        <v/>
      </c>
      <c r="FT34" s="218" t="str">
        <f t="shared" si="130"/>
        <v/>
      </c>
      <c r="FU34" s="218" t="str">
        <f t="shared" si="131"/>
        <v/>
      </c>
      <c r="FV34" s="218" t="str">
        <f t="shared" si="132"/>
        <v/>
      </c>
      <c r="FW34" s="218" t="str">
        <f t="shared" si="133"/>
        <v/>
      </c>
      <c r="FX34" s="218" t="str">
        <f t="shared" si="134"/>
        <v/>
      </c>
      <c r="FY34" s="218" t="str">
        <f t="shared" si="135"/>
        <v/>
      </c>
      <c r="FZ34" s="218" t="str">
        <f t="shared" si="136"/>
        <v/>
      </c>
      <c r="GA34" s="218" t="str">
        <f t="shared" si="137"/>
        <v/>
      </c>
      <c r="GB34" s="218" t="str">
        <f t="shared" si="138"/>
        <v/>
      </c>
      <c r="GC34" s="218" t="str">
        <f t="shared" si="139"/>
        <v/>
      </c>
      <c r="GD34" s="218" t="str">
        <f t="shared" si="140"/>
        <v/>
      </c>
      <c r="GE34" s="218" t="str">
        <f t="shared" si="141"/>
        <v/>
      </c>
      <c r="GF34" s="218" t="str">
        <f t="shared" si="142"/>
        <v/>
      </c>
      <c r="GG34" s="218" t="str">
        <f t="shared" si="143"/>
        <v/>
      </c>
      <c r="GH34" s="218" t="str">
        <f t="shared" si="144"/>
        <v/>
      </c>
      <c r="GJ34" s="218" t="str">
        <f t="shared" si="145"/>
        <v/>
      </c>
      <c r="GK34" s="218" t="str">
        <f t="shared" si="146"/>
        <v/>
      </c>
      <c r="GL34" s="218" t="str">
        <f t="shared" si="147"/>
        <v/>
      </c>
      <c r="GM34" s="218" t="str">
        <f t="shared" si="148"/>
        <v/>
      </c>
      <c r="GN34" s="218" t="str">
        <f t="shared" si="149"/>
        <v/>
      </c>
      <c r="GO34" s="218" t="str">
        <f t="shared" si="150"/>
        <v/>
      </c>
      <c r="GP34" s="218" t="str">
        <f t="shared" si="151"/>
        <v/>
      </c>
      <c r="GQ34" s="218" t="str">
        <f t="shared" si="152"/>
        <v/>
      </c>
      <c r="GR34" s="218" t="str">
        <f t="shared" si="153"/>
        <v/>
      </c>
      <c r="GS34" s="218" t="str">
        <f t="shared" si="154"/>
        <v/>
      </c>
      <c r="GT34" s="218" t="str">
        <f t="shared" si="155"/>
        <v/>
      </c>
      <c r="GU34" s="218" t="str">
        <f t="shared" si="156"/>
        <v/>
      </c>
      <c r="GW34" s="218" t="str">
        <f t="shared" si="157"/>
        <v/>
      </c>
      <c r="GX34" s="218" t="str">
        <f t="shared" si="158"/>
        <v/>
      </c>
      <c r="GY34" s="218" t="str">
        <f t="shared" si="159"/>
        <v/>
      </c>
      <c r="GZ34" s="218" t="str">
        <f t="shared" si="160"/>
        <v/>
      </c>
      <c r="HA34" s="218" t="str">
        <f t="shared" si="161"/>
        <v/>
      </c>
      <c r="HB34" s="218" t="str">
        <f t="shared" si="162"/>
        <v/>
      </c>
      <c r="HC34" s="218" t="str">
        <f t="shared" si="163"/>
        <v/>
      </c>
      <c r="HD34" s="218" t="str">
        <f t="shared" si="164"/>
        <v/>
      </c>
      <c r="HE34" s="218" t="str">
        <f t="shared" si="165"/>
        <v/>
      </c>
      <c r="HG34" s="218" t="str">
        <f t="shared" si="166"/>
        <v/>
      </c>
      <c r="HH34" s="218" t="str">
        <f t="shared" si="167"/>
        <v/>
      </c>
      <c r="HI34" s="218" t="str">
        <f t="shared" si="168"/>
        <v/>
      </c>
      <c r="HJ34" s="218" t="str">
        <f t="shared" si="169"/>
        <v/>
      </c>
      <c r="HK34" s="218" t="str">
        <f t="shared" si="170"/>
        <v/>
      </c>
      <c r="HL34" s="218" t="str">
        <f t="shared" si="171"/>
        <v/>
      </c>
      <c r="HN34" s="218" t="str">
        <f t="shared" si="172"/>
        <v/>
      </c>
      <c r="HO34" s="218" t="str">
        <f t="shared" si="173"/>
        <v/>
      </c>
      <c r="HP34" s="218" t="str">
        <f t="shared" si="174"/>
        <v/>
      </c>
      <c r="HR34" s="218" t="str">
        <f t="shared" si="224"/>
        <v/>
      </c>
      <c r="HS34" s="218" t="str">
        <f t="shared" si="225"/>
        <v/>
      </c>
      <c r="HT34" s="218" t="str">
        <f t="shared" si="175"/>
        <v/>
      </c>
      <c r="HU34" s="218" t="str">
        <f t="shared" si="176"/>
        <v/>
      </c>
      <c r="HV34" s="218" t="str">
        <f t="shared" si="177"/>
        <v/>
      </c>
      <c r="HW34" s="218" t="str">
        <f t="shared" si="178"/>
        <v/>
      </c>
      <c r="HX34" s="218" t="str">
        <f t="shared" si="179"/>
        <v/>
      </c>
      <c r="HY34" s="218" t="str">
        <f t="shared" si="180"/>
        <v/>
      </c>
      <c r="HZ34" s="218" t="str">
        <f t="shared" si="181"/>
        <v/>
      </c>
      <c r="IA34" s="218" t="str">
        <f t="shared" si="182"/>
        <v/>
      </c>
      <c r="IB34" s="218" t="str">
        <f t="shared" si="183"/>
        <v/>
      </c>
      <c r="IC34" s="218" t="str">
        <f t="shared" si="184"/>
        <v/>
      </c>
      <c r="ID34" s="218" t="str">
        <f t="shared" si="185"/>
        <v/>
      </c>
      <c r="IE34" s="218" t="str">
        <f t="shared" si="186"/>
        <v/>
      </c>
      <c r="IF34" s="218" t="str">
        <f t="shared" si="187"/>
        <v/>
      </c>
      <c r="IG34" s="218" t="str">
        <f t="shared" si="188"/>
        <v/>
      </c>
      <c r="IH34" s="218" t="str">
        <f t="shared" si="189"/>
        <v/>
      </c>
      <c r="II34" s="218" t="str">
        <f t="shared" si="190"/>
        <v/>
      </c>
      <c r="IJ34" s="218" t="str">
        <f t="shared" si="191"/>
        <v/>
      </c>
      <c r="IK34" s="218" t="str">
        <f t="shared" si="192"/>
        <v/>
      </c>
      <c r="IL34" s="218" t="str">
        <f t="shared" si="193"/>
        <v/>
      </c>
      <c r="IM34" s="218" t="str">
        <f t="shared" si="194"/>
        <v/>
      </c>
      <c r="IN34" s="218" t="str">
        <f t="shared" si="195"/>
        <v/>
      </c>
      <c r="IO34" s="218" t="str">
        <f t="shared" si="196"/>
        <v/>
      </c>
      <c r="IP34" s="218" t="str">
        <f t="shared" si="197"/>
        <v/>
      </c>
      <c r="IQ34" s="218" t="str">
        <f t="shared" si="198"/>
        <v/>
      </c>
      <c r="IR34" s="218" t="str">
        <f t="shared" si="199"/>
        <v/>
      </c>
      <c r="IS34" s="218" t="str">
        <f t="shared" si="200"/>
        <v/>
      </c>
      <c r="IT34" s="218" t="str">
        <f t="shared" si="201"/>
        <v/>
      </c>
      <c r="IU34" s="218" t="str">
        <f t="shared" si="202"/>
        <v/>
      </c>
    </row>
    <row r="35" spans="1:255" x14ac:dyDescent="0.2">
      <c r="A35" s="200" t="s">
        <v>38</v>
      </c>
      <c r="B35" s="184"/>
      <c r="C35" s="179"/>
      <c r="D35" s="181"/>
      <c r="E35" s="181"/>
      <c r="F35" s="181"/>
      <c r="G35" s="198"/>
      <c r="H35" s="197"/>
      <c r="I35" s="197"/>
      <c r="J35" s="197"/>
      <c r="K35" s="185"/>
      <c r="L35" s="217" t="str">
        <f t="shared" si="29"/>
        <v/>
      </c>
      <c r="M35" s="218" t="str">
        <f>'HKG vs. BK'!M35</f>
        <v/>
      </c>
      <c r="N35" s="218" t="str">
        <f>'HKG vs. BK'!N35</f>
        <v/>
      </c>
      <c r="O35" s="218" t="str">
        <f>'HKG vs. BK'!O35</f>
        <v/>
      </c>
      <c r="P35" s="218" t="str">
        <f>'HKG vs. BK'!P35</f>
        <v/>
      </c>
      <c r="Q35" s="219" t="str">
        <f t="shared" si="203"/>
        <v/>
      </c>
      <c r="R35" s="220" t="str">
        <f t="shared" si="0"/>
        <v/>
      </c>
      <c r="S35" s="220" t="str">
        <f t="shared" si="1"/>
        <v/>
      </c>
      <c r="T35" s="219" t="str">
        <f t="shared" si="2"/>
        <v/>
      </c>
      <c r="U35" s="220" t="str">
        <f t="shared" si="3"/>
        <v/>
      </c>
      <c r="V35" s="220" t="str">
        <f t="shared" si="4"/>
        <v/>
      </c>
      <c r="W35" s="219" t="str">
        <f t="shared" si="5"/>
        <v/>
      </c>
      <c r="X35" s="220" t="str">
        <f t="shared" si="6"/>
        <v/>
      </c>
      <c r="Y35" s="220" t="str">
        <f t="shared" si="7"/>
        <v/>
      </c>
      <c r="Z35" s="219" t="str">
        <f t="shared" si="8"/>
        <v/>
      </c>
      <c r="AA35" s="220" t="str">
        <f t="shared" si="9"/>
        <v/>
      </c>
      <c r="AB35" s="220" t="str">
        <f t="shared" si="10"/>
        <v/>
      </c>
      <c r="AC35" s="219" t="str">
        <f t="shared" si="11"/>
        <v/>
      </c>
      <c r="AD35" s="220" t="str">
        <f t="shared" si="12"/>
        <v/>
      </c>
      <c r="AE35" s="220" t="str">
        <f t="shared" si="13"/>
        <v/>
      </c>
      <c r="AF35" s="219" t="str">
        <f t="shared" si="14"/>
        <v/>
      </c>
      <c r="AG35" s="220" t="str">
        <f t="shared" si="15"/>
        <v/>
      </c>
      <c r="AH35" s="220" t="str">
        <f t="shared" si="16"/>
        <v/>
      </c>
      <c r="AI35" s="219" t="str">
        <f t="shared" si="17"/>
        <v/>
      </c>
      <c r="AJ35" s="220" t="str">
        <f t="shared" si="18"/>
        <v/>
      </c>
      <c r="AK35" s="220" t="str">
        <f t="shared" si="19"/>
        <v/>
      </c>
      <c r="AL35" s="219" t="str">
        <f t="shared" si="20"/>
        <v/>
      </c>
      <c r="AM35" s="220" t="str">
        <f t="shared" si="21"/>
        <v/>
      </c>
      <c r="AN35" s="220" t="str">
        <f t="shared" si="22"/>
        <v/>
      </c>
      <c r="AO35" s="219" t="str">
        <f t="shared" si="23"/>
        <v/>
      </c>
      <c r="AP35" s="220" t="str">
        <f t="shared" si="24"/>
        <v/>
      </c>
      <c r="AQ35" s="220" t="str">
        <f t="shared" si="25"/>
        <v/>
      </c>
      <c r="AR35" s="219" t="str">
        <f t="shared" si="26"/>
        <v/>
      </c>
      <c r="AS35" s="220" t="str">
        <f t="shared" si="27"/>
        <v/>
      </c>
      <c r="AT35" s="220" t="str">
        <f t="shared" si="28"/>
        <v/>
      </c>
      <c r="AU35" s="221"/>
      <c r="AV35" s="221"/>
      <c r="AW35" s="221"/>
      <c r="AY35" s="218" t="str">
        <f t="shared" si="204"/>
        <v/>
      </c>
      <c r="AZ35" s="218" t="str">
        <f t="shared" si="205"/>
        <v/>
      </c>
      <c r="BA35" s="218" t="str">
        <f t="shared" si="30"/>
        <v/>
      </c>
      <c r="BB35" s="218" t="str">
        <f t="shared" si="206"/>
        <v/>
      </c>
      <c r="BC35" s="218" t="str">
        <f t="shared" si="207"/>
        <v/>
      </c>
      <c r="BD35" s="218" t="str">
        <f t="shared" si="31"/>
        <v/>
      </c>
      <c r="BE35" s="218" t="str">
        <f t="shared" si="208"/>
        <v/>
      </c>
      <c r="BF35" s="218" t="str">
        <f t="shared" si="209"/>
        <v/>
      </c>
      <c r="BG35" s="218" t="str">
        <f t="shared" si="32"/>
        <v/>
      </c>
      <c r="BH35" s="218" t="str">
        <f t="shared" si="210"/>
        <v/>
      </c>
      <c r="BI35" s="218" t="str">
        <f t="shared" si="211"/>
        <v/>
      </c>
      <c r="BJ35" s="218" t="str">
        <f t="shared" si="33"/>
        <v/>
      </c>
      <c r="BK35" s="218" t="str">
        <f t="shared" si="212"/>
        <v/>
      </c>
      <c r="BL35" s="218" t="str">
        <f t="shared" si="213"/>
        <v/>
      </c>
      <c r="BM35" s="218" t="str">
        <f t="shared" si="34"/>
        <v/>
      </c>
      <c r="BN35" s="218" t="str">
        <f t="shared" si="214"/>
        <v/>
      </c>
      <c r="BO35" s="218" t="str">
        <f t="shared" si="215"/>
        <v/>
      </c>
      <c r="BP35" s="218" t="str">
        <f t="shared" si="35"/>
        <v/>
      </c>
      <c r="BQ35" s="218" t="str">
        <f t="shared" si="216"/>
        <v/>
      </c>
      <c r="BR35" s="218" t="str">
        <f t="shared" si="217"/>
        <v/>
      </c>
      <c r="BS35" s="218" t="str">
        <f t="shared" si="36"/>
        <v/>
      </c>
      <c r="BT35" s="218" t="str">
        <f t="shared" si="218"/>
        <v/>
      </c>
      <c r="BU35" s="218" t="str">
        <f t="shared" si="219"/>
        <v/>
      </c>
      <c r="BV35" s="218" t="str">
        <f t="shared" si="37"/>
        <v/>
      </c>
      <c r="BW35" s="218" t="str">
        <f t="shared" si="220"/>
        <v/>
      </c>
      <c r="BX35" s="218" t="str">
        <f t="shared" si="221"/>
        <v/>
      </c>
      <c r="BY35" s="218" t="str">
        <f t="shared" si="38"/>
        <v/>
      </c>
      <c r="BZ35" s="218" t="str">
        <f t="shared" si="222"/>
        <v/>
      </c>
      <c r="CA35" s="218" t="str">
        <f t="shared" si="223"/>
        <v/>
      </c>
      <c r="CB35" s="218" t="str">
        <f t="shared" si="39"/>
        <v/>
      </c>
      <c r="CD35" s="218" t="str">
        <f t="shared" si="40"/>
        <v/>
      </c>
      <c r="CE35" s="218" t="str">
        <f t="shared" si="41"/>
        <v/>
      </c>
      <c r="CF35" s="218" t="str">
        <f t="shared" si="42"/>
        <v/>
      </c>
      <c r="CG35" s="218" t="str">
        <f t="shared" si="43"/>
        <v/>
      </c>
      <c r="CH35" s="218" t="str">
        <f t="shared" si="44"/>
        <v/>
      </c>
      <c r="CI35" s="218" t="str">
        <f t="shared" si="45"/>
        <v/>
      </c>
      <c r="CJ35" s="218" t="str">
        <f t="shared" si="46"/>
        <v/>
      </c>
      <c r="CK35" s="218" t="str">
        <f t="shared" si="47"/>
        <v/>
      </c>
      <c r="CL35" s="218" t="str">
        <f t="shared" si="48"/>
        <v/>
      </c>
      <c r="CM35" s="218" t="str">
        <f t="shared" si="49"/>
        <v/>
      </c>
      <c r="CN35" s="218" t="str">
        <f t="shared" si="50"/>
        <v/>
      </c>
      <c r="CO35" s="218" t="str">
        <f t="shared" si="51"/>
        <v/>
      </c>
      <c r="CP35" s="218" t="str">
        <f t="shared" si="52"/>
        <v/>
      </c>
      <c r="CQ35" s="218" t="str">
        <f t="shared" si="53"/>
        <v/>
      </c>
      <c r="CR35" s="218" t="str">
        <f t="shared" si="54"/>
        <v/>
      </c>
      <c r="CS35" s="218" t="str">
        <f t="shared" si="55"/>
        <v/>
      </c>
      <c r="CT35" s="218" t="str">
        <f t="shared" si="56"/>
        <v/>
      </c>
      <c r="CU35" s="218" t="str">
        <f t="shared" si="57"/>
        <v/>
      </c>
      <c r="CV35" s="218" t="str">
        <f t="shared" si="58"/>
        <v/>
      </c>
      <c r="CW35" s="218" t="str">
        <f t="shared" si="59"/>
        <v/>
      </c>
      <c r="CX35" s="218" t="str">
        <f t="shared" si="60"/>
        <v/>
      </c>
      <c r="CY35" s="218" t="str">
        <f t="shared" si="61"/>
        <v/>
      </c>
      <c r="CZ35" s="218" t="str">
        <f t="shared" si="62"/>
        <v/>
      </c>
      <c r="DA35" s="218" t="str">
        <f t="shared" si="63"/>
        <v/>
      </c>
      <c r="DB35" s="218" t="str">
        <f t="shared" si="64"/>
        <v/>
      </c>
      <c r="DC35" s="218" t="str">
        <f t="shared" si="65"/>
        <v/>
      </c>
      <c r="DD35" s="218" t="str">
        <f t="shared" si="66"/>
        <v/>
      </c>
      <c r="DF35" s="218" t="str">
        <f t="shared" si="67"/>
        <v/>
      </c>
      <c r="DG35" s="218" t="str">
        <f t="shared" si="68"/>
        <v/>
      </c>
      <c r="DH35" s="218" t="str">
        <f t="shared" si="69"/>
        <v/>
      </c>
      <c r="DI35" s="218" t="str">
        <f t="shared" si="70"/>
        <v/>
      </c>
      <c r="DJ35" s="218" t="str">
        <f t="shared" si="71"/>
        <v/>
      </c>
      <c r="DK35" s="218" t="str">
        <f t="shared" si="72"/>
        <v/>
      </c>
      <c r="DL35" s="218" t="str">
        <f t="shared" si="73"/>
        <v/>
      </c>
      <c r="DM35" s="218" t="str">
        <f t="shared" si="74"/>
        <v/>
      </c>
      <c r="DN35" s="218" t="str">
        <f t="shared" si="75"/>
        <v/>
      </c>
      <c r="DO35" s="218" t="str">
        <f t="shared" si="76"/>
        <v/>
      </c>
      <c r="DP35" s="218" t="str">
        <f t="shared" si="77"/>
        <v/>
      </c>
      <c r="DQ35" s="218" t="str">
        <f t="shared" si="78"/>
        <v/>
      </c>
      <c r="DR35" s="218" t="str">
        <f t="shared" si="79"/>
        <v/>
      </c>
      <c r="DS35" s="218" t="str">
        <f t="shared" si="80"/>
        <v/>
      </c>
      <c r="DT35" s="218" t="str">
        <f t="shared" si="81"/>
        <v/>
      </c>
      <c r="DU35" s="218" t="str">
        <f t="shared" si="82"/>
        <v/>
      </c>
      <c r="DV35" s="218" t="str">
        <f t="shared" si="83"/>
        <v/>
      </c>
      <c r="DW35" s="218" t="str">
        <f t="shared" si="84"/>
        <v/>
      </c>
      <c r="DX35" s="218" t="str">
        <f t="shared" si="85"/>
        <v/>
      </c>
      <c r="DY35" s="218" t="str">
        <f t="shared" si="86"/>
        <v/>
      </c>
      <c r="DZ35" s="218" t="str">
        <f t="shared" si="87"/>
        <v/>
      </c>
      <c r="EA35" s="218" t="str">
        <f t="shared" si="88"/>
        <v/>
      </c>
      <c r="EB35" s="218" t="str">
        <f t="shared" si="89"/>
        <v/>
      </c>
      <c r="EC35" s="218" t="str">
        <f t="shared" si="90"/>
        <v/>
      </c>
      <c r="EE35" s="218" t="str">
        <f t="shared" si="91"/>
        <v/>
      </c>
      <c r="EF35" s="218" t="str">
        <f t="shared" si="92"/>
        <v/>
      </c>
      <c r="EG35" s="218" t="str">
        <f t="shared" si="93"/>
        <v/>
      </c>
      <c r="EH35" s="218" t="str">
        <f t="shared" si="94"/>
        <v/>
      </c>
      <c r="EI35" s="218" t="str">
        <f t="shared" si="95"/>
        <v/>
      </c>
      <c r="EJ35" s="218" t="str">
        <f t="shared" si="96"/>
        <v/>
      </c>
      <c r="EK35" s="218" t="str">
        <f t="shared" si="97"/>
        <v/>
      </c>
      <c r="EL35" s="218" t="str">
        <f t="shared" si="98"/>
        <v/>
      </c>
      <c r="EM35" s="218" t="str">
        <f t="shared" si="99"/>
        <v/>
      </c>
      <c r="EN35" s="218" t="str">
        <f t="shared" si="100"/>
        <v/>
      </c>
      <c r="EO35" s="218" t="str">
        <f t="shared" si="101"/>
        <v/>
      </c>
      <c r="EP35" s="218" t="str">
        <f t="shared" si="102"/>
        <v/>
      </c>
      <c r="EQ35" s="218" t="str">
        <f t="shared" si="103"/>
        <v/>
      </c>
      <c r="ER35" s="218" t="str">
        <f t="shared" si="104"/>
        <v/>
      </c>
      <c r="ES35" s="218" t="str">
        <f t="shared" si="105"/>
        <v/>
      </c>
      <c r="ET35" s="218" t="str">
        <f t="shared" si="106"/>
        <v/>
      </c>
      <c r="EU35" s="218" t="str">
        <f t="shared" si="107"/>
        <v/>
      </c>
      <c r="EV35" s="218" t="str">
        <f t="shared" si="108"/>
        <v/>
      </c>
      <c r="EW35" s="218" t="str">
        <f t="shared" si="109"/>
        <v/>
      </c>
      <c r="EX35" s="218" t="str">
        <f t="shared" si="110"/>
        <v/>
      </c>
      <c r="EY35" s="218" t="str">
        <f t="shared" si="111"/>
        <v/>
      </c>
      <c r="FA35" s="218" t="str">
        <f t="shared" si="112"/>
        <v/>
      </c>
      <c r="FB35" s="218" t="str">
        <f t="shared" si="113"/>
        <v/>
      </c>
      <c r="FC35" s="218" t="str">
        <f t="shared" si="114"/>
        <v/>
      </c>
      <c r="FD35" s="218" t="str">
        <f t="shared" si="115"/>
        <v/>
      </c>
      <c r="FE35" s="218" t="str">
        <f t="shared" si="116"/>
        <v/>
      </c>
      <c r="FF35" s="218" t="str">
        <f t="shared" si="117"/>
        <v/>
      </c>
      <c r="FG35" s="218" t="str">
        <f t="shared" si="118"/>
        <v/>
      </c>
      <c r="FH35" s="218" t="str">
        <f t="shared" si="119"/>
        <v/>
      </c>
      <c r="FI35" s="218" t="str">
        <f t="shared" si="120"/>
        <v/>
      </c>
      <c r="FJ35" s="218" t="str">
        <f t="shared" si="121"/>
        <v/>
      </c>
      <c r="FK35" s="218" t="str">
        <f t="shared" si="122"/>
        <v/>
      </c>
      <c r="FL35" s="218" t="str">
        <f t="shared" si="123"/>
        <v/>
      </c>
      <c r="FM35" s="218" t="str">
        <f t="shared" si="124"/>
        <v/>
      </c>
      <c r="FN35" s="218" t="str">
        <f t="shared" si="125"/>
        <v/>
      </c>
      <c r="FO35" s="218" t="str">
        <f t="shared" si="126"/>
        <v/>
      </c>
      <c r="FP35" s="218" t="str">
        <f t="shared" si="127"/>
        <v/>
      </c>
      <c r="FQ35" s="218" t="str">
        <f t="shared" si="128"/>
        <v/>
      </c>
      <c r="FR35" s="218" t="str">
        <f t="shared" si="129"/>
        <v/>
      </c>
      <c r="FT35" s="218" t="str">
        <f t="shared" si="130"/>
        <v/>
      </c>
      <c r="FU35" s="218" t="str">
        <f t="shared" si="131"/>
        <v/>
      </c>
      <c r="FV35" s="218" t="str">
        <f t="shared" si="132"/>
        <v/>
      </c>
      <c r="FW35" s="218" t="str">
        <f t="shared" si="133"/>
        <v/>
      </c>
      <c r="FX35" s="218" t="str">
        <f t="shared" si="134"/>
        <v/>
      </c>
      <c r="FY35" s="218" t="str">
        <f t="shared" si="135"/>
        <v/>
      </c>
      <c r="FZ35" s="218" t="str">
        <f t="shared" si="136"/>
        <v/>
      </c>
      <c r="GA35" s="218" t="str">
        <f t="shared" si="137"/>
        <v/>
      </c>
      <c r="GB35" s="218" t="str">
        <f t="shared" si="138"/>
        <v/>
      </c>
      <c r="GC35" s="218" t="str">
        <f t="shared" si="139"/>
        <v/>
      </c>
      <c r="GD35" s="218" t="str">
        <f t="shared" si="140"/>
        <v/>
      </c>
      <c r="GE35" s="218" t="str">
        <f t="shared" si="141"/>
        <v/>
      </c>
      <c r="GF35" s="218" t="str">
        <f t="shared" si="142"/>
        <v/>
      </c>
      <c r="GG35" s="218" t="str">
        <f t="shared" si="143"/>
        <v/>
      </c>
      <c r="GH35" s="218" t="str">
        <f t="shared" si="144"/>
        <v/>
      </c>
      <c r="GJ35" s="218" t="str">
        <f t="shared" si="145"/>
        <v/>
      </c>
      <c r="GK35" s="218" t="str">
        <f t="shared" si="146"/>
        <v/>
      </c>
      <c r="GL35" s="218" t="str">
        <f t="shared" si="147"/>
        <v/>
      </c>
      <c r="GM35" s="218" t="str">
        <f t="shared" si="148"/>
        <v/>
      </c>
      <c r="GN35" s="218" t="str">
        <f t="shared" si="149"/>
        <v/>
      </c>
      <c r="GO35" s="218" t="str">
        <f t="shared" si="150"/>
        <v/>
      </c>
      <c r="GP35" s="218" t="str">
        <f t="shared" si="151"/>
        <v/>
      </c>
      <c r="GQ35" s="218" t="str">
        <f t="shared" si="152"/>
        <v/>
      </c>
      <c r="GR35" s="218" t="str">
        <f t="shared" si="153"/>
        <v/>
      </c>
      <c r="GS35" s="218" t="str">
        <f t="shared" si="154"/>
        <v/>
      </c>
      <c r="GT35" s="218" t="str">
        <f t="shared" si="155"/>
        <v/>
      </c>
      <c r="GU35" s="218" t="str">
        <f t="shared" si="156"/>
        <v/>
      </c>
      <c r="GW35" s="218" t="str">
        <f t="shared" si="157"/>
        <v/>
      </c>
      <c r="GX35" s="218" t="str">
        <f t="shared" si="158"/>
        <v/>
      </c>
      <c r="GY35" s="218" t="str">
        <f t="shared" si="159"/>
        <v/>
      </c>
      <c r="GZ35" s="218" t="str">
        <f t="shared" si="160"/>
        <v/>
      </c>
      <c r="HA35" s="218" t="str">
        <f t="shared" si="161"/>
        <v/>
      </c>
      <c r="HB35" s="218" t="str">
        <f t="shared" si="162"/>
        <v/>
      </c>
      <c r="HC35" s="218" t="str">
        <f t="shared" si="163"/>
        <v/>
      </c>
      <c r="HD35" s="218" t="str">
        <f t="shared" si="164"/>
        <v/>
      </c>
      <c r="HE35" s="218" t="str">
        <f t="shared" si="165"/>
        <v/>
      </c>
      <c r="HG35" s="218" t="str">
        <f t="shared" si="166"/>
        <v/>
      </c>
      <c r="HH35" s="218" t="str">
        <f t="shared" si="167"/>
        <v/>
      </c>
      <c r="HI35" s="218" t="str">
        <f t="shared" si="168"/>
        <v/>
      </c>
      <c r="HJ35" s="218" t="str">
        <f t="shared" si="169"/>
        <v/>
      </c>
      <c r="HK35" s="218" t="str">
        <f t="shared" si="170"/>
        <v/>
      </c>
      <c r="HL35" s="218" t="str">
        <f t="shared" si="171"/>
        <v/>
      </c>
      <c r="HN35" s="218" t="str">
        <f t="shared" si="172"/>
        <v/>
      </c>
      <c r="HO35" s="218" t="str">
        <f t="shared" si="173"/>
        <v/>
      </c>
      <c r="HP35" s="218" t="str">
        <f t="shared" si="174"/>
        <v/>
      </c>
      <c r="HR35" s="218" t="str">
        <f t="shared" si="224"/>
        <v/>
      </c>
      <c r="HS35" s="218" t="str">
        <f t="shared" si="225"/>
        <v/>
      </c>
      <c r="HT35" s="218" t="str">
        <f t="shared" si="175"/>
        <v/>
      </c>
      <c r="HU35" s="218" t="str">
        <f t="shared" si="176"/>
        <v/>
      </c>
      <c r="HV35" s="218" t="str">
        <f t="shared" si="177"/>
        <v/>
      </c>
      <c r="HW35" s="218" t="str">
        <f t="shared" si="178"/>
        <v/>
      </c>
      <c r="HX35" s="218" t="str">
        <f t="shared" si="179"/>
        <v/>
      </c>
      <c r="HY35" s="218" t="str">
        <f t="shared" si="180"/>
        <v/>
      </c>
      <c r="HZ35" s="218" t="str">
        <f t="shared" si="181"/>
        <v/>
      </c>
      <c r="IA35" s="218" t="str">
        <f t="shared" si="182"/>
        <v/>
      </c>
      <c r="IB35" s="218" t="str">
        <f t="shared" si="183"/>
        <v/>
      </c>
      <c r="IC35" s="218" t="str">
        <f t="shared" si="184"/>
        <v/>
      </c>
      <c r="ID35" s="218" t="str">
        <f t="shared" si="185"/>
        <v/>
      </c>
      <c r="IE35" s="218" t="str">
        <f t="shared" si="186"/>
        <v/>
      </c>
      <c r="IF35" s="218" t="str">
        <f t="shared" si="187"/>
        <v/>
      </c>
      <c r="IG35" s="218" t="str">
        <f t="shared" si="188"/>
        <v/>
      </c>
      <c r="IH35" s="218" t="str">
        <f t="shared" si="189"/>
        <v/>
      </c>
      <c r="II35" s="218" t="str">
        <f t="shared" si="190"/>
        <v/>
      </c>
      <c r="IJ35" s="218" t="str">
        <f t="shared" si="191"/>
        <v/>
      </c>
      <c r="IK35" s="218" t="str">
        <f t="shared" si="192"/>
        <v/>
      </c>
      <c r="IL35" s="218" t="str">
        <f t="shared" si="193"/>
        <v/>
      </c>
      <c r="IM35" s="218" t="str">
        <f t="shared" si="194"/>
        <v/>
      </c>
      <c r="IN35" s="218" t="str">
        <f t="shared" si="195"/>
        <v/>
      </c>
      <c r="IO35" s="218" t="str">
        <f t="shared" si="196"/>
        <v/>
      </c>
      <c r="IP35" s="218" t="str">
        <f t="shared" si="197"/>
        <v/>
      </c>
      <c r="IQ35" s="218" t="str">
        <f t="shared" si="198"/>
        <v/>
      </c>
      <c r="IR35" s="218" t="str">
        <f t="shared" si="199"/>
        <v/>
      </c>
      <c r="IS35" s="218" t="str">
        <f t="shared" si="200"/>
        <v/>
      </c>
      <c r="IT35" s="218" t="str">
        <f t="shared" si="201"/>
        <v/>
      </c>
      <c r="IU35" s="218" t="str">
        <f t="shared" si="202"/>
        <v/>
      </c>
    </row>
    <row r="36" spans="1:255" x14ac:dyDescent="0.2">
      <c r="A36" s="200" t="s">
        <v>39</v>
      </c>
      <c r="B36" s="178"/>
      <c r="C36" s="180"/>
      <c r="D36" s="181"/>
      <c r="E36" s="181"/>
      <c r="F36" s="181"/>
      <c r="G36" s="198"/>
      <c r="H36" s="197"/>
      <c r="I36" s="197"/>
      <c r="J36" s="197"/>
      <c r="K36" s="185"/>
      <c r="L36" s="217" t="str">
        <f t="shared" si="29"/>
        <v/>
      </c>
      <c r="M36" s="218" t="str">
        <f>'HKG vs. BK'!M36</f>
        <v/>
      </c>
      <c r="N36" s="218" t="str">
        <f>'HKG vs. BK'!N36</f>
        <v/>
      </c>
      <c r="O36" s="218" t="str">
        <f>'HKG vs. BK'!O36</f>
        <v/>
      </c>
      <c r="P36" s="218" t="str">
        <f>'HKG vs. BK'!P36</f>
        <v/>
      </c>
      <c r="Q36" s="219" t="str">
        <f t="shared" si="203"/>
        <v/>
      </c>
      <c r="R36" s="220" t="str">
        <f t="shared" si="0"/>
        <v/>
      </c>
      <c r="S36" s="220" t="str">
        <f t="shared" si="1"/>
        <v/>
      </c>
      <c r="T36" s="219" t="str">
        <f t="shared" si="2"/>
        <v/>
      </c>
      <c r="U36" s="220" t="str">
        <f t="shared" si="3"/>
        <v/>
      </c>
      <c r="V36" s="220" t="str">
        <f t="shared" si="4"/>
        <v/>
      </c>
      <c r="W36" s="219" t="str">
        <f t="shared" si="5"/>
        <v/>
      </c>
      <c r="X36" s="220" t="str">
        <f t="shared" si="6"/>
        <v/>
      </c>
      <c r="Y36" s="220" t="str">
        <f t="shared" si="7"/>
        <v/>
      </c>
      <c r="Z36" s="219" t="str">
        <f t="shared" si="8"/>
        <v/>
      </c>
      <c r="AA36" s="220" t="str">
        <f t="shared" si="9"/>
        <v/>
      </c>
      <c r="AB36" s="220" t="str">
        <f t="shared" si="10"/>
        <v/>
      </c>
      <c r="AC36" s="219" t="str">
        <f t="shared" si="11"/>
        <v/>
      </c>
      <c r="AD36" s="220" t="str">
        <f t="shared" si="12"/>
        <v/>
      </c>
      <c r="AE36" s="220" t="str">
        <f t="shared" si="13"/>
        <v/>
      </c>
      <c r="AF36" s="219" t="str">
        <f t="shared" si="14"/>
        <v/>
      </c>
      <c r="AG36" s="220" t="str">
        <f t="shared" si="15"/>
        <v/>
      </c>
      <c r="AH36" s="220" t="str">
        <f t="shared" si="16"/>
        <v/>
      </c>
      <c r="AI36" s="219" t="str">
        <f t="shared" si="17"/>
        <v/>
      </c>
      <c r="AJ36" s="220" t="str">
        <f t="shared" si="18"/>
        <v/>
      </c>
      <c r="AK36" s="220" t="str">
        <f t="shared" si="19"/>
        <v/>
      </c>
      <c r="AL36" s="219" t="str">
        <f t="shared" si="20"/>
        <v/>
      </c>
      <c r="AM36" s="220" t="str">
        <f t="shared" si="21"/>
        <v/>
      </c>
      <c r="AN36" s="220" t="str">
        <f t="shared" si="22"/>
        <v/>
      </c>
      <c r="AO36" s="219" t="str">
        <f t="shared" si="23"/>
        <v/>
      </c>
      <c r="AP36" s="220" t="str">
        <f t="shared" si="24"/>
        <v/>
      </c>
      <c r="AQ36" s="220" t="str">
        <f t="shared" si="25"/>
        <v/>
      </c>
      <c r="AR36" s="219" t="str">
        <f t="shared" si="26"/>
        <v/>
      </c>
      <c r="AS36" s="220" t="str">
        <f t="shared" si="27"/>
        <v/>
      </c>
      <c r="AT36" s="220" t="str">
        <f t="shared" si="28"/>
        <v/>
      </c>
      <c r="AU36" s="221"/>
      <c r="AV36" s="221"/>
      <c r="AW36" s="221"/>
      <c r="AY36" s="218" t="str">
        <f t="shared" si="204"/>
        <v/>
      </c>
      <c r="AZ36" s="218" t="str">
        <f t="shared" si="205"/>
        <v/>
      </c>
      <c r="BA36" s="218" t="str">
        <f t="shared" si="30"/>
        <v/>
      </c>
      <c r="BB36" s="218" t="str">
        <f t="shared" si="206"/>
        <v/>
      </c>
      <c r="BC36" s="218" t="str">
        <f t="shared" si="207"/>
        <v/>
      </c>
      <c r="BD36" s="218" t="str">
        <f t="shared" si="31"/>
        <v/>
      </c>
      <c r="BE36" s="218" t="str">
        <f t="shared" si="208"/>
        <v/>
      </c>
      <c r="BF36" s="218" t="str">
        <f t="shared" si="209"/>
        <v/>
      </c>
      <c r="BG36" s="218" t="str">
        <f t="shared" si="32"/>
        <v/>
      </c>
      <c r="BH36" s="218" t="str">
        <f t="shared" si="210"/>
        <v/>
      </c>
      <c r="BI36" s="218" t="str">
        <f t="shared" si="211"/>
        <v/>
      </c>
      <c r="BJ36" s="218" t="str">
        <f t="shared" si="33"/>
        <v/>
      </c>
      <c r="BK36" s="218" t="str">
        <f t="shared" si="212"/>
        <v/>
      </c>
      <c r="BL36" s="218" t="str">
        <f t="shared" si="213"/>
        <v/>
      </c>
      <c r="BM36" s="218" t="str">
        <f t="shared" si="34"/>
        <v/>
      </c>
      <c r="BN36" s="218" t="str">
        <f t="shared" si="214"/>
        <v/>
      </c>
      <c r="BO36" s="218" t="str">
        <f t="shared" si="215"/>
        <v/>
      </c>
      <c r="BP36" s="218" t="str">
        <f t="shared" si="35"/>
        <v/>
      </c>
      <c r="BQ36" s="218" t="str">
        <f t="shared" si="216"/>
        <v/>
      </c>
      <c r="BR36" s="218" t="str">
        <f t="shared" si="217"/>
        <v/>
      </c>
      <c r="BS36" s="218" t="str">
        <f t="shared" si="36"/>
        <v/>
      </c>
      <c r="BT36" s="218" t="str">
        <f t="shared" si="218"/>
        <v/>
      </c>
      <c r="BU36" s="218" t="str">
        <f t="shared" si="219"/>
        <v/>
      </c>
      <c r="BV36" s="218" t="str">
        <f t="shared" si="37"/>
        <v/>
      </c>
      <c r="BW36" s="218" t="str">
        <f t="shared" si="220"/>
        <v/>
      </c>
      <c r="BX36" s="218" t="str">
        <f t="shared" si="221"/>
        <v/>
      </c>
      <c r="BY36" s="218" t="str">
        <f t="shared" si="38"/>
        <v/>
      </c>
      <c r="BZ36" s="218" t="str">
        <f t="shared" si="222"/>
        <v/>
      </c>
      <c r="CA36" s="218" t="str">
        <f t="shared" si="223"/>
        <v/>
      </c>
      <c r="CB36" s="218" t="str">
        <f t="shared" si="39"/>
        <v/>
      </c>
      <c r="CD36" s="218" t="str">
        <f t="shared" si="40"/>
        <v/>
      </c>
      <c r="CE36" s="218" t="str">
        <f t="shared" si="41"/>
        <v/>
      </c>
      <c r="CF36" s="218" t="str">
        <f t="shared" si="42"/>
        <v/>
      </c>
      <c r="CG36" s="218" t="str">
        <f t="shared" si="43"/>
        <v/>
      </c>
      <c r="CH36" s="218" t="str">
        <f t="shared" si="44"/>
        <v/>
      </c>
      <c r="CI36" s="218" t="str">
        <f t="shared" si="45"/>
        <v/>
      </c>
      <c r="CJ36" s="218" t="str">
        <f t="shared" si="46"/>
        <v/>
      </c>
      <c r="CK36" s="218" t="str">
        <f t="shared" si="47"/>
        <v/>
      </c>
      <c r="CL36" s="218" t="str">
        <f t="shared" si="48"/>
        <v/>
      </c>
      <c r="CM36" s="218" t="str">
        <f t="shared" si="49"/>
        <v/>
      </c>
      <c r="CN36" s="218" t="str">
        <f t="shared" si="50"/>
        <v/>
      </c>
      <c r="CO36" s="218" t="str">
        <f t="shared" si="51"/>
        <v/>
      </c>
      <c r="CP36" s="218" t="str">
        <f t="shared" si="52"/>
        <v/>
      </c>
      <c r="CQ36" s="218" t="str">
        <f t="shared" si="53"/>
        <v/>
      </c>
      <c r="CR36" s="218" t="str">
        <f t="shared" si="54"/>
        <v/>
      </c>
      <c r="CS36" s="218" t="str">
        <f t="shared" si="55"/>
        <v/>
      </c>
      <c r="CT36" s="218" t="str">
        <f t="shared" si="56"/>
        <v/>
      </c>
      <c r="CU36" s="218" t="str">
        <f t="shared" si="57"/>
        <v/>
      </c>
      <c r="CV36" s="218" t="str">
        <f t="shared" si="58"/>
        <v/>
      </c>
      <c r="CW36" s="218" t="str">
        <f t="shared" si="59"/>
        <v/>
      </c>
      <c r="CX36" s="218" t="str">
        <f t="shared" si="60"/>
        <v/>
      </c>
      <c r="CY36" s="218" t="str">
        <f t="shared" si="61"/>
        <v/>
      </c>
      <c r="CZ36" s="218" t="str">
        <f t="shared" si="62"/>
        <v/>
      </c>
      <c r="DA36" s="218" t="str">
        <f t="shared" si="63"/>
        <v/>
      </c>
      <c r="DB36" s="218" t="str">
        <f t="shared" si="64"/>
        <v/>
      </c>
      <c r="DC36" s="218" t="str">
        <f t="shared" si="65"/>
        <v/>
      </c>
      <c r="DD36" s="218" t="str">
        <f t="shared" si="66"/>
        <v/>
      </c>
      <c r="DF36" s="218" t="str">
        <f t="shared" si="67"/>
        <v/>
      </c>
      <c r="DG36" s="218" t="str">
        <f t="shared" si="68"/>
        <v/>
      </c>
      <c r="DH36" s="218" t="str">
        <f t="shared" si="69"/>
        <v/>
      </c>
      <c r="DI36" s="218" t="str">
        <f t="shared" si="70"/>
        <v/>
      </c>
      <c r="DJ36" s="218" t="str">
        <f t="shared" si="71"/>
        <v/>
      </c>
      <c r="DK36" s="218" t="str">
        <f t="shared" si="72"/>
        <v/>
      </c>
      <c r="DL36" s="218" t="str">
        <f t="shared" si="73"/>
        <v/>
      </c>
      <c r="DM36" s="218" t="str">
        <f t="shared" si="74"/>
        <v/>
      </c>
      <c r="DN36" s="218" t="str">
        <f t="shared" si="75"/>
        <v/>
      </c>
      <c r="DO36" s="218" t="str">
        <f t="shared" si="76"/>
        <v/>
      </c>
      <c r="DP36" s="218" t="str">
        <f t="shared" si="77"/>
        <v/>
      </c>
      <c r="DQ36" s="218" t="str">
        <f t="shared" si="78"/>
        <v/>
      </c>
      <c r="DR36" s="218" t="str">
        <f t="shared" si="79"/>
        <v/>
      </c>
      <c r="DS36" s="218" t="str">
        <f t="shared" si="80"/>
        <v/>
      </c>
      <c r="DT36" s="218" t="str">
        <f t="shared" si="81"/>
        <v/>
      </c>
      <c r="DU36" s="218" t="str">
        <f t="shared" si="82"/>
        <v/>
      </c>
      <c r="DV36" s="218" t="str">
        <f t="shared" si="83"/>
        <v/>
      </c>
      <c r="DW36" s="218" t="str">
        <f t="shared" si="84"/>
        <v/>
      </c>
      <c r="DX36" s="218" t="str">
        <f t="shared" si="85"/>
        <v/>
      </c>
      <c r="DY36" s="218" t="str">
        <f t="shared" si="86"/>
        <v/>
      </c>
      <c r="DZ36" s="218" t="str">
        <f t="shared" si="87"/>
        <v/>
      </c>
      <c r="EA36" s="218" t="str">
        <f t="shared" si="88"/>
        <v/>
      </c>
      <c r="EB36" s="218" t="str">
        <f t="shared" si="89"/>
        <v/>
      </c>
      <c r="EC36" s="218" t="str">
        <f t="shared" si="90"/>
        <v/>
      </c>
      <c r="EE36" s="218" t="str">
        <f t="shared" si="91"/>
        <v/>
      </c>
      <c r="EF36" s="218" t="str">
        <f t="shared" si="92"/>
        <v/>
      </c>
      <c r="EG36" s="218" t="str">
        <f t="shared" si="93"/>
        <v/>
      </c>
      <c r="EH36" s="218" t="str">
        <f t="shared" si="94"/>
        <v/>
      </c>
      <c r="EI36" s="218" t="str">
        <f t="shared" si="95"/>
        <v/>
      </c>
      <c r="EJ36" s="218" t="str">
        <f t="shared" si="96"/>
        <v/>
      </c>
      <c r="EK36" s="218" t="str">
        <f t="shared" si="97"/>
        <v/>
      </c>
      <c r="EL36" s="218" t="str">
        <f t="shared" si="98"/>
        <v/>
      </c>
      <c r="EM36" s="218" t="str">
        <f t="shared" si="99"/>
        <v/>
      </c>
      <c r="EN36" s="218" t="str">
        <f t="shared" si="100"/>
        <v/>
      </c>
      <c r="EO36" s="218" t="str">
        <f t="shared" si="101"/>
        <v/>
      </c>
      <c r="EP36" s="218" t="str">
        <f t="shared" si="102"/>
        <v/>
      </c>
      <c r="EQ36" s="218" t="str">
        <f t="shared" si="103"/>
        <v/>
      </c>
      <c r="ER36" s="218" t="str">
        <f t="shared" si="104"/>
        <v/>
      </c>
      <c r="ES36" s="218" t="str">
        <f t="shared" si="105"/>
        <v/>
      </c>
      <c r="ET36" s="218" t="str">
        <f t="shared" si="106"/>
        <v/>
      </c>
      <c r="EU36" s="218" t="str">
        <f t="shared" si="107"/>
        <v/>
      </c>
      <c r="EV36" s="218" t="str">
        <f t="shared" si="108"/>
        <v/>
      </c>
      <c r="EW36" s="218" t="str">
        <f t="shared" si="109"/>
        <v/>
      </c>
      <c r="EX36" s="218" t="str">
        <f t="shared" si="110"/>
        <v/>
      </c>
      <c r="EY36" s="218" t="str">
        <f t="shared" si="111"/>
        <v/>
      </c>
      <c r="FA36" s="218" t="str">
        <f t="shared" si="112"/>
        <v/>
      </c>
      <c r="FB36" s="218" t="str">
        <f t="shared" si="113"/>
        <v/>
      </c>
      <c r="FC36" s="218" t="str">
        <f t="shared" si="114"/>
        <v/>
      </c>
      <c r="FD36" s="218" t="str">
        <f t="shared" si="115"/>
        <v/>
      </c>
      <c r="FE36" s="218" t="str">
        <f t="shared" si="116"/>
        <v/>
      </c>
      <c r="FF36" s="218" t="str">
        <f t="shared" si="117"/>
        <v/>
      </c>
      <c r="FG36" s="218" t="str">
        <f t="shared" si="118"/>
        <v/>
      </c>
      <c r="FH36" s="218" t="str">
        <f t="shared" si="119"/>
        <v/>
      </c>
      <c r="FI36" s="218" t="str">
        <f t="shared" si="120"/>
        <v/>
      </c>
      <c r="FJ36" s="218" t="str">
        <f t="shared" si="121"/>
        <v/>
      </c>
      <c r="FK36" s="218" t="str">
        <f t="shared" si="122"/>
        <v/>
      </c>
      <c r="FL36" s="218" t="str">
        <f t="shared" si="123"/>
        <v/>
      </c>
      <c r="FM36" s="218" t="str">
        <f t="shared" si="124"/>
        <v/>
      </c>
      <c r="FN36" s="218" t="str">
        <f t="shared" si="125"/>
        <v/>
      </c>
      <c r="FO36" s="218" t="str">
        <f t="shared" si="126"/>
        <v/>
      </c>
      <c r="FP36" s="218" t="str">
        <f t="shared" si="127"/>
        <v/>
      </c>
      <c r="FQ36" s="218" t="str">
        <f t="shared" si="128"/>
        <v/>
      </c>
      <c r="FR36" s="218" t="str">
        <f t="shared" si="129"/>
        <v/>
      </c>
      <c r="FT36" s="218" t="str">
        <f t="shared" si="130"/>
        <v/>
      </c>
      <c r="FU36" s="218" t="str">
        <f t="shared" si="131"/>
        <v/>
      </c>
      <c r="FV36" s="218" t="str">
        <f t="shared" si="132"/>
        <v/>
      </c>
      <c r="FW36" s="218" t="str">
        <f t="shared" si="133"/>
        <v/>
      </c>
      <c r="FX36" s="218" t="str">
        <f t="shared" si="134"/>
        <v/>
      </c>
      <c r="FY36" s="218" t="str">
        <f t="shared" si="135"/>
        <v/>
      </c>
      <c r="FZ36" s="218" t="str">
        <f t="shared" si="136"/>
        <v/>
      </c>
      <c r="GA36" s="218" t="str">
        <f t="shared" si="137"/>
        <v/>
      </c>
      <c r="GB36" s="218" t="str">
        <f t="shared" si="138"/>
        <v/>
      </c>
      <c r="GC36" s="218" t="str">
        <f t="shared" si="139"/>
        <v/>
      </c>
      <c r="GD36" s="218" t="str">
        <f t="shared" si="140"/>
        <v/>
      </c>
      <c r="GE36" s="218" t="str">
        <f t="shared" si="141"/>
        <v/>
      </c>
      <c r="GF36" s="218" t="str">
        <f t="shared" si="142"/>
        <v/>
      </c>
      <c r="GG36" s="218" t="str">
        <f t="shared" si="143"/>
        <v/>
      </c>
      <c r="GH36" s="218" t="str">
        <f t="shared" si="144"/>
        <v/>
      </c>
      <c r="GJ36" s="218" t="str">
        <f t="shared" si="145"/>
        <v/>
      </c>
      <c r="GK36" s="218" t="str">
        <f t="shared" si="146"/>
        <v/>
      </c>
      <c r="GL36" s="218" t="str">
        <f t="shared" si="147"/>
        <v/>
      </c>
      <c r="GM36" s="218" t="str">
        <f t="shared" si="148"/>
        <v/>
      </c>
      <c r="GN36" s="218" t="str">
        <f t="shared" si="149"/>
        <v/>
      </c>
      <c r="GO36" s="218" t="str">
        <f t="shared" si="150"/>
        <v/>
      </c>
      <c r="GP36" s="218" t="str">
        <f t="shared" si="151"/>
        <v/>
      </c>
      <c r="GQ36" s="218" t="str">
        <f t="shared" si="152"/>
        <v/>
      </c>
      <c r="GR36" s="218" t="str">
        <f t="shared" si="153"/>
        <v/>
      </c>
      <c r="GS36" s="218" t="str">
        <f t="shared" si="154"/>
        <v/>
      </c>
      <c r="GT36" s="218" t="str">
        <f t="shared" si="155"/>
        <v/>
      </c>
      <c r="GU36" s="218" t="str">
        <f t="shared" si="156"/>
        <v/>
      </c>
      <c r="GW36" s="218" t="str">
        <f t="shared" si="157"/>
        <v/>
      </c>
      <c r="GX36" s="218" t="str">
        <f t="shared" si="158"/>
        <v/>
      </c>
      <c r="GY36" s="218" t="str">
        <f t="shared" si="159"/>
        <v/>
      </c>
      <c r="GZ36" s="218" t="str">
        <f t="shared" si="160"/>
        <v/>
      </c>
      <c r="HA36" s="218" t="str">
        <f t="shared" si="161"/>
        <v/>
      </c>
      <c r="HB36" s="218" t="str">
        <f t="shared" si="162"/>
        <v/>
      </c>
      <c r="HC36" s="218" t="str">
        <f t="shared" si="163"/>
        <v/>
      </c>
      <c r="HD36" s="218" t="str">
        <f t="shared" si="164"/>
        <v/>
      </c>
      <c r="HE36" s="218" t="str">
        <f t="shared" si="165"/>
        <v/>
      </c>
      <c r="HG36" s="218" t="str">
        <f t="shared" si="166"/>
        <v/>
      </c>
      <c r="HH36" s="218" t="str">
        <f t="shared" si="167"/>
        <v/>
      </c>
      <c r="HI36" s="218" t="str">
        <f t="shared" si="168"/>
        <v/>
      </c>
      <c r="HJ36" s="218" t="str">
        <f t="shared" si="169"/>
        <v/>
      </c>
      <c r="HK36" s="218" t="str">
        <f t="shared" si="170"/>
        <v/>
      </c>
      <c r="HL36" s="218" t="str">
        <f t="shared" si="171"/>
        <v/>
      </c>
      <c r="HN36" s="218" t="str">
        <f t="shared" si="172"/>
        <v/>
      </c>
      <c r="HO36" s="218" t="str">
        <f t="shared" si="173"/>
        <v/>
      </c>
      <c r="HP36" s="218" t="str">
        <f t="shared" si="174"/>
        <v/>
      </c>
      <c r="HR36" s="218" t="str">
        <f t="shared" si="224"/>
        <v/>
      </c>
      <c r="HS36" s="218" t="str">
        <f t="shared" si="225"/>
        <v/>
      </c>
      <c r="HT36" s="218" t="str">
        <f t="shared" si="175"/>
        <v/>
      </c>
      <c r="HU36" s="218" t="str">
        <f t="shared" si="176"/>
        <v/>
      </c>
      <c r="HV36" s="218" t="str">
        <f t="shared" si="177"/>
        <v/>
      </c>
      <c r="HW36" s="218" t="str">
        <f t="shared" si="178"/>
        <v/>
      </c>
      <c r="HX36" s="218" t="str">
        <f t="shared" si="179"/>
        <v/>
      </c>
      <c r="HY36" s="218" t="str">
        <f t="shared" si="180"/>
        <v/>
      </c>
      <c r="HZ36" s="218" t="str">
        <f t="shared" si="181"/>
        <v/>
      </c>
      <c r="IA36" s="218" t="str">
        <f t="shared" si="182"/>
        <v/>
      </c>
      <c r="IB36" s="218" t="str">
        <f t="shared" si="183"/>
        <v/>
      </c>
      <c r="IC36" s="218" t="str">
        <f t="shared" si="184"/>
        <v/>
      </c>
      <c r="ID36" s="218" t="str">
        <f t="shared" si="185"/>
        <v/>
      </c>
      <c r="IE36" s="218" t="str">
        <f t="shared" si="186"/>
        <v/>
      </c>
      <c r="IF36" s="218" t="str">
        <f t="shared" si="187"/>
        <v/>
      </c>
      <c r="IG36" s="218" t="str">
        <f t="shared" si="188"/>
        <v/>
      </c>
      <c r="IH36" s="218" t="str">
        <f t="shared" si="189"/>
        <v/>
      </c>
      <c r="II36" s="218" t="str">
        <f t="shared" si="190"/>
        <v/>
      </c>
      <c r="IJ36" s="218" t="str">
        <f t="shared" si="191"/>
        <v/>
      </c>
      <c r="IK36" s="218" t="str">
        <f t="shared" si="192"/>
        <v/>
      </c>
      <c r="IL36" s="218" t="str">
        <f t="shared" si="193"/>
        <v/>
      </c>
      <c r="IM36" s="218" t="str">
        <f t="shared" si="194"/>
        <v/>
      </c>
      <c r="IN36" s="218" t="str">
        <f t="shared" si="195"/>
        <v/>
      </c>
      <c r="IO36" s="218" t="str">
        <f t="shared" si="196"/>
        <v/>
      </c>
      <c r="IP36" s="218" t="str">
        <f t="shared" si="197"/>
        <v/>
      </c>
      <c r="IQ36" s="218" t="str">
        <f t="shared" si="198"/>
        <v/>
      </c>
      <c r="IR36" s="218" t="str">
        <f t="shared" si="199"/>
        <v/>
      </c>
      <c r="IS36" s="218" t="str">
        <f t="shared" si="200"/>
        <v/>
      </c>
      <c r="IT36" s="218" t="str">
        <f t="shared" si="201"/>
        <v/>
      </c>
      <c r="IU36" s="218" t="str">
        <f t="shared" si="202"/>
        <v/>
      </c>
    </row>
    <row r="37" spans="1:255" x14ac:dyDescent="0.2">
      <c r="A37" s="200" t="s">
        <v>40</v>
      </c>
      <c r="B37" s="178"/>
      <c r="C37" s="180"/>
      <c r="D37" s="181"/>
      <c r="E37" s="181"/>
      <c r="F37" s="181"/>
      <c r="G37" s="181"/>
      <c r="H37" s="187"/>
      <c r="I37" s="181"/>
      <c r="J37" s="181"/>
      <c r="K37" s="183"/>
      <c r="L37" s="217" t="str">
        <f t="shared" si="29"/>
        <v/>
      </c>
      <c r="M37" s="218" t="str">
        <f>'HKG vs. BK'!M37</f>
        <v/>
      </c>
      <c r="N37" s="218" t="str">
        <f>'HKG vs. BK'!N37</f>
        <v/>
      </c>
      <c r="O37" s="218" t="str">
        <f>'HKG vs. BK'!O37</f>
        <v/>
      </c>
      <c r="P37" s="218" t="str">
        <f>'HKG vs. BK'!P37</f>
        <v/>
      </c>
      <c r="Q37" s="219" t="str">
        <f t="shared" si="203"/>
        <v/>
      </c>
      <c r="R37" s="220" t="str">
        <f t="shared" si="0"/>
        <v/>
      </c>
      <c r="S37" s="220" t="str">
        <f t="shared" si="1"/>
        <v/>
      </c>
      <c r="T37" s="219" t="str">
        <f t="shared" si="2"/>
        <v/>
      </c>
      <c r="U37" s="220" t="str">
        <f t="shared" si="3"/>
        <v/>
      </c>
      <c r="V37" s="220" t="str">
        <f t="shared" si="4"/>
        <v/>
      </c>
      <c r="W37" s="219" t="str">
        <f t="shared" si="5"/>
        <v/>
      </c>
      <c r="X37" s="220" t="str">
        <f t="shared" si="6"/>
        <v/>
      </c>
      <c r="Y37" s="220" t="str">
        <f t="shared" si="7"/>
        <v/>
      </c>
      <c r="Z37" s="219" t="str">
        <f t="shared" si="8"/>
        <v/>
      </c>
      <c r="AA37" s="220" t="str">
        <f t="shared" si="9"/>
        <v/>
      </c>
      <c r="AB37" s="220" t="str">
        <f t="shared" si="10"/>
        <v/>
      </c>
      <c r="AC37" s="219" t="str">
        <f t="shared" si="11"/>
        <v/>
      </c>
      <c r="AD37" s="220" t="str">
        <f t="shared" si="12"/>
        <v/>
      </c>
      <c r="AE37" s="220" t="str">
        <f t="shared" si="13"/>
        <v/>
      </c>
      <c r="AF37" s="219" t="str">
        <f t="shared" si="14"/>
        <v/>
      </c>
      <c r="AG37" s="220" t="str">
        <f t="shared" si="15"/>
        <v/>
      </c>
      <c r="AH37" s="220" t="str">
        <f t="shared" si="16"/>
        <v/>
      </c>
      <c r="AI37" s="219" t="str">
        <f t="shared" si="17"/>
        <v/>
      </c>
      <c r="AJ37" s="220" t="str">
        <f t="shared" si="18"/>
        <v/>
      </c>
      <c r="AK37" s="220" t="str">
        <f t="shared" si="19"/>
        <v/>
      </c>
      <c r="AL37" s="219" t="str">
        <f t="shared" si="20"/>
        <v/>
      </c>
      <c r="AM37" s="220" t="str">
        <f t="shared" si="21"/>
        <v/>
      </c>
      <c r="AN37" s="220" t="str">
        <f t="shared" si="22"/>
        <v/>
      </c>
      <c r="AO37" s="219" t="str">
        <f t="shared" si="23"/>
        <v/>
      </c>
      <c r="AP37" s="220" t="str">
        <f t="shared" si="24"/>
        <v/>
      </c>
      <c r="AQ37" s="220" t="str">
        <f t="shared" si="25"/>
        <v/>
      </c>
      <c r="AR37" s="219" t="str">
        <f t="shared" si="26"/>
        <v/>
      </c>
      <c r="AS37" s="220" t="str">
        <f t="shared" si="27"/>
        <v/>
      </c>
      <c r="AT37" s="220" t="str">
        <f t="shared" si="28"/>
        <v/>
      </c>
      <c r="AU37" s="221"/>
      <c r="AV37" s="221"/>
      <c r="AW37" s="221"/>
      <c r="AY37" s="218" t="str">
        <f t="shared" si="204"/>
        <v/>
      </c>
      <c r="AZ37" s="218" t="str">
        <f t="shared" si="205"/>
        <v/>
      </c>
      <c r="BA37" s="218" t="str">
        <f t="shared" si="30"/>
        <v/>
      </c>
      <c r="BB37" s="218" t="str">
        <f t="shared" si="206"/>
        <v/>
      </c>
      <c r="BC37" s="218" t="str">
        <f t="shared" si="207"/>
        <v/>
      </c>
      <c r="BD37" s="218" t="str">
        <f t="shared" si="31"/>
        <v/>
      </c>
      <c r="BE37" s="218" t="str">
        <f t="shared" si="208"/>
        <v/>
      </c>
      <c r="BF37" s="218" t="str">
        <f t="shared" si="209"/>
        <v/>
      </c>
      <c r="BG37" s="218" t="str">
        <f t="shared" si="32"/>
        <v/>
      </c>
      <c r="BH37" s="218" t="str">
        <f t="shared" si="210"/>
        <v/>
      </c>
      <c r="BI37" s="218" t="str">
        <f t="shared" si="211"/>
        <v/>
      </c>
      <c r="BJ37" s="218" t="str">
        <f t="shared" si="33"/>
        <v/>
      </c>
      <c r="BK37" s="218" t="str">
        <f t="shared" si="212"/>
        <v/>
      </c>
      <c r="BL37" s="218" t="str">
        <f t="shared" si="213"/>
        <v/>
      </c>
      <c r="BM37" s="218" t="str">
        <f t="shared" si="34"/>
        <v/>
      </c>
      <c r="BN37" s="218" t="str">
        <f t="shared" si="214"/>
        <v/>
      </c>
      <c r="BO37" s="218" t="str">
        <f t="shared" si="215"/>
        <v/>
      </c>
      <c r="BP37" s="218" t="str">
        <f t="shared" si="35"/>
        <v/>
      </c>
      <c r="BQ37" s="218" t="str">
        <f t="shared" si="216"/>
        <v/>
      </c>
      <c r="BR37" s="218" t="str">
        <f t="shared" si="217"/>
        <v/>
      </c>
      <c r="BS37" s="218" t="str">
        <f t="shared" si="36"/>
        <v/>
      </c>
      <c r="BT37" s="218" t="str">
        <f t="shared" si="218"/>
        <v/>
      </c>
      <c r="BU37" s="218" t="str">
        <f t="shared" si="219"/>
        <v/>
      </c>
      <c r="BV37" s="218" t="str">
        <f t="shared" si="37"/>
        <v/>
      </c>
      <c r="BW37" s="218" t="str">
        <f t="shared" si="220"/>
        <v/>
      </c>
      <c r="BX37" s="218" t="str">
        <f t="shared" si="221"/>
        <v/>
      </c>
      <c r="BY37" s="218" t="str">
        <f t="shared" si="38"/>
        <v/>
      </c>
      <c r="BZ37" s="218" t="str">
        <f t="shared" si="222"/>
        <v/>
      </c>
      <c r="CA37" s="218" t="str">
        <f t="shared" si="223"/>
        <v/>
      </c>
      <c r="CB37" s="218" t="str">
        <f t="shared" si="39"/>
        <v/>
      </c>
      <c r="CD37" s="218" t="str">
        <f t="shared" si="40"/>
        <v/>
      </c>
      <c r="CE37" s="218" t="str">
        <f t="shared" si="41"/>
        <v/>
      </c>
      <c r="CF37" s="218" t="str">
        <f t="shared" si="42"/>
        <v/>
      </c>
      <c r="CG37" s="218" t="str">
        <f t="shared" si="43"/>
        <v/>
      </c>
      <c r="CH37" s="218" t="str">
        <f t="shared" si="44"/>
        <v/>
      </c>
      <c r="CI37" s="218" t="str">
        <f t="shared" si="45"/>
        <v/>
      </c>
      <c r="CJ37" s="218" t="str">
        <f t="shared" si="46"/>
        <v/>
      </c>
      <c r="CK37" s="218" t="str">
        <f t="shared" si="47"/>
        <v/>
      </c>
      <c r="CL37" s="218" t="str">
        <f t="shared" si="48"/>
        <v/>
      </c>
      <c r="CM37" s="218" t="str">
        <f t="shared" si="49"/>
        <v/>
      </c>
      <c r="CN37" s="218" t="str">
        <f t="shared" si="50"/>
        <v/>
      </c>
      <c r="CO37" s="218" t="str">
        <f t="shared" si="51"/>
        <v/>
      </c>
      <c r="CP37" s="218" t="str">
        <f t="shared" si="52"/>
        <v/>
      </c>
      <c r="CQ37" s="218" t="str">
        <f t="shared" si="53"/>
        <v/>
      </c>
      <c r="CR37" s="218" t="str">
        <f t="shared" si="54"/>
        <v/>
      </c>
      <c r="CS37" s="218" t="str">
        <f t="shared" si="55"/>
        <v/>
      </c>
      <c r="CT37" s="218" t="str">
        <f t="shared" si="56"/>
        <v/>
      </c>
      <c r="CU37" s="218" t="str">
        <f t="shared" si="57"/>
        <v/>
      </c>
      <c r="CV37" s="218" t="str">
        <f t="shared" si="58"/>
        <v/>
      </c>
      <c r="CW37" s="218" t="str">
        <f t="shared" si="59"/>
        <v/>
      </c>
      <c r="CX37" s="218" t="str">
        <f t="shared" si="60"/>
        <v/>
      </c>
      <c r="CY37" s="218" t="str">
        <f t="shared" si="61"/>
        <v/>
      </c>
      <c r="CZ37" s="218" t="str">
        <f t="shared" si="62"/>
        <v/>
      </c>
      <c r="DA37" s="218" t="str">
        <f t="shared" si="63"/>
        <v/>
      </c>
      <c r="DB37" s="218" t="str">
        <f t="shared" si="64"/>
        <v/>
      </c>
      <c r="DC37" s="218" t="str">
        <f t="shared" si="65"/>
        <v/>
      </c>
      <c r="DD37" s="218" t="str">
        <f t="shared" si="66"/>
        <v/>
      </c>
      <c r="DF37" s="218" t="str">
        <f t="shared" si="67"/>
        <v/>
      </c>
      <c r="DG37" s="218" t="str">
        <f t="shared" si="68"/>
        <v/>
      </c>
      <c r="DH37" s="218" t="str">
        <f t="shared" si="69"/>
        <v/>
      </c>
      <c r="DI37" s="218" t="str">
        <f t="shared" si="70"/>
        <v/>
      </c>
      <c r="DJ37" s="218" t="str">
        <f t="shared" si="71"/>
        <v/>
      </c>
      <c r="DK37" s="218" t="str">
        <f t="shared" si="72"/>
        <v/>
      </c>
      <c r="DL37" s="218" t="str">
        <f t="shared" si="73"/>
        <v/>
      </c>
      <c r="DM37" s="218" t="str">
        <f t="shared" si="74"/>
        <v/>
      </c>
      <c r="DN37" s="218" t="str">
        <f t="shared" si="75"/>
        <v/>
      </c>
      <c r="DO37" s="218" t="str">
        <f t="shared" si="76"/>
        <v/>
      </c>
      <c r="DP37" s="218" t="str">
        <f t="shared" si="77"/>
        <v/>
      </c>
      <c r="DQ37" s="218" t="str">
        <f t="shared" si="78"/>
        <v/>
      </c>
      <c r="DR37" s="218" t="str">
        <f t="shared" si="79"/>
        <v/>
      </c>
      <c r="DS37" s="218" t="str">
        <f t="shared" si="80"/>
        <v/>
      </c>
      <c r="DT37" s="218" t="str">
        <f t="shared" si="81"/>
        <v/>
      </c>
      <c r="DU37" s="218" t="str">
        <f t="shared" si="82"/>
        <v/>
      </c>
      <c r="DV37" s="218" t="str">
        <f t="shared" si="83"/>
        <v/>
      </c>
      <c r="DW37" s="218" t="str">
        <f t="shared" si="84"/>
        <v/>
      </c>
      <c r="DX37" s="218" t="str">
        <f t="shared" si="85"/>
        <v/>
      </c>
      <c r="DY37" s="218" t="str">
        <f t="shared" si="86"/>
        <v/>
      </c>
      <c r="DZ37" s="218" t="str">
        <f t="shared" si="87"/>
        <v/>
      </c>
      <c r="EA37" s="218" t="str">
        <f t="shared" si="88"/>
        <v/>
      </c>
      <c r="EB37" s="218" t="str">
        <f t="shared" si="89"/>
        <v/>
      </c>
      <c r="EC37" s="218" t="str">
        <f t="shared" si="90"/>
        <v/>
      </c>
      <c r="EE37" s="218" t="str">
        <f t="shared" si="91"/>
        <v/>
      </c>
      <c r="EF37" s="218" t="str">
        <f t="shared" si="92"/>
        <v/>
      </c>
      <c r="EG37" s="218" t="str">
        <f t="shared" si="93"/>
        <v/>
      </c>
      <c r="EH37" s="218" t="str">
        <f t="shared" si="94"/>
        <v/>
      </c>
      <c r="EI37" s="218" t="str">
        <f t="shared" si="95"/>
        <v/>
      </c>
      <c r="EJ37" s="218" t="str">
        <f t="shared" si="96"/>
        <v/>
      </c>
      <c r="EK37" s="218" t="str">
        <f t="shared" si="97"/>
        <v/>
      </c>
      <c r="EL37" s="218" t="str">
        <f t="shared" si="98"/>
        <v/>
      </c>
      <c r="EM37" s="218" t="str">
        <f t="shared" si="99"/>
        <v/>
      </c>
      <c r="EN37" s="218" t="str">
        <f t="shared" si="100"/>
        <v/>
      </c>
      <c r="EO37" s="218" t="str">
        <f t="shared" si="101"/>
        <v/>
      </c>
      <c r="EP37" s="218" t="str">
        <f t="shared" si="102"/>
        <v/>
      </c>
      <c r="EQ37" s="218" t="str">
        <f t="shared" si="103"/>
        <v/>
      </c>
      <c r="ER37" s="218" t="str">
        <f t="shared" si="104"/>
        <v/>
      </c>
      <c r="ES37" s="218" t="str">
        <f t="shared" si="105"/>
        <v/>
      </c>
      <c r="ET37" s="218" t="str">
        <f t="shared" si="106"/>
        <v/>
      </c>
      <c r="EU37" s="218" t="str">
        <f t="shared" si="107"/>
        <v/>
      </c>
      <c r="EV37" s="218" t="str">
        <f t="shared" si="108"/>
        <v/>
      </c>
      <c r="EW37" s="218" t="str">
        <f t="shared" si="109"/>
        <v/>
      </c>
      <c r="EX37" s="218" t="str">
        <f t="shared" si="110"/>
        <v/>
      </c>
      <c r="EY37" s="218" t="str">
        <f t="shared" si="111"/>
        <v/>
      </c>
      <c r="FA37" s="218" t="str">
        <f t="shared" si="112"/>
        <v/>
      </c>
      <c r="FB37" s="218" t="str">
        <f t="shared" si="113"/>
        <v/>
      </c>
      <c r="FC37" s="218" t="str">
        <f t="shared" si="114"/>
        <v/>
      </c>
      <c r="FD37" s="218" t="str">
        <f t="shared" si="115"/>
        <v/>
      </c>
      <c r="FE37" s="218" t="str">
        <f t="shared" si="116"/>
        <v/>
      </c>
      <c r="FF37" s="218" t="str">
        <f t="shared" si="117"/>
        <v/>
      </c>
      <c r="FG37" s="218" t="str">
        <f t="shared" si="118"/>
        <v/>
      </c>
      <c r="FH37" s="218" t="str">
        <f t="shared" si="119"/>
        <v/>
      </c>
      <c r="FI37" s="218" t="str">
        <f t="shared" si="120"/>
        <v/>
      </c>
      <c r="FJ37" s="218" t="str">
        <f t="shared" si="121"/>
        <v/>
      </c>
      <c r="FK37" s="218" t="str">
        <f t="shared" si="122"/>
        <v/>
      </c>
      <c r="FL37" s="218" t="str">
        <f t="shared" si="123"/>
        <v/>
      </c>
      <c r="FM37" s="218" t="str">
        <f t="shared" si="124"/>
        <v/>
      </c>
      <c r="FN37" s="218" t="str">
        <f t="shared" si="125"/>
        <v/>
      </c>
      <c r="FO37" s="218" t="str">
        <f t="shared" si="126"/>
        <v/>
      </c>
      <c r="FP37" s="218" t="str">
        <f t="shared" si="127"/>
        <v/>
      </c>
      <c r="FQ37" s="218" t="str">
        <f t="shared" si="128"/>
        <v/>
      </c>
      <c r="FR37" s="218" t="str">
        <f t="shared" si="129"/>
        <v/>
      </c>
      <c r="FT37" s="218" t="str">
        <f t="shared" si="130"/>
        <v/>
      </c>
      <c r="FU37" s="218" t="str">
        <f t="shared" si="131"/>
        <v/>
      </c>
      <c r="FV37" s="218" t="str">
        <f t="shared" si="132"/>
        <v/>
      </c>
      <c r="FW37" s="218" t="str">
        <f t="shared" si="133"/>
        <v/>
      </c>
      <c r="FX37" s="218" t="str">
        <f t="shared" si="134"/>
        <v/>
      </c>
      <c r="FY37" s="218" t="str">
        <f t="shared" si="135"/>
        <v/>
      </c>
      <c r="FZ37" s="218" t="str">
        <f t="shared" si="136"/>
        <v/>
      </c>
      <c r="GA37" s="218" t="str">
        <f t="shared" si="137"/>
        <v/>
      </c>
      <c r="GB37" s="218" t="str">
        <f t="shared" si="138"/>
        <v/>
      </c>
      <c r="GC37" s="218" t="str">
        <f t="shared" si="139"/>
        <v/>
      </c>
      <c r="GD37" s="218" t="str">
        <f t="shared" si="140"/>
        <v/>
      </c>
      <c r="GE37" s="218" t="str">
        <f t="shared" si="141"/>
        <v/>
      </c>
      <c r="GF37" s="218" t="str">
        <f t="shared" si="142"/>
        <v/>
      </c>
      <c r="GG37" s="218" t="str">
        <f t="shared" si="143"/>
        <v/>
      </c>
      <c r="GH37" s="218" t="str">
        <f t="shared" si="144"/>
        <v/>
      </c>
      <c r="GJ37" s="218" t="str">
        <f t="shared" si="145"/>
        <v/>
      </c>
      <c r="GK37" s="218" t="str">
        <f t="shared" si="146"/>
        <v/>
      </c>
      <c r="GL37" s="218" t="str">
        <f t="shared" si="147"/>
        <v/>
      </c>
      <c r="GM37" s="218" t="str">
        <f t="shared" si="148"/>
        <v/>
      </c>
      <c r="GN37" s="218" t="str">
        <f t="shared" si="149"/>
        <v/>
      </c>
      <c r="GO37" s="218" t="str">
        <f t="shared" si="150"/>
        <v/>
      </c>
      <c r="GP37" s="218" t="str">
        <f t="shared" si="151"/>
        <v/>
      </c>
      <c r="GQ37" s="218" t="str">
        <f t="shared" si="152"/>
        <v/>
      </c>
      <c r="GR37" s="218" t="str">
        <f t="shared" si="153"/>
        <v/>
      </c>
      <c r="GS37" s="218" t="str">
        <f t="shared" si="154"/>
        <v/>
      </c>
      <c r="GT37" s="218" t="str">
        <f t="shared" si="155"/>
        <v/>
      </c>
      <c r="GU37" s="218" t="str">
        <f t="shared" si="156"/>
        <v/>
      </c>
      <c r="GW37" s="218" t="str">
        <f t="shared" si="157"/>
        <v/>
      </c>
      <c r="GX37" s="218" t="str">
        <f t="shared" si="158"/>
        <v/>
      </c>
      <c r="GY37" s="218" t="str">
        <f t="shared" si="159"/>
        <v/>
      </c>
      <c r="GZ37" s="218" t="str">
        <f t="shared" si="160"/>
        <v/>
      </c>
      <c r="HA37" s="218" t="str">
        <f t="shared" si="161"/>
        <v/>
      </c>
      <c r="HB37" s="218" t="str">
        <f t="shared" si="162"/>
        <v/>
      </c>
      <c r="HC37" s="218" t="str">
        <f t="shared" si="163"/>
        <v/>
      </c>
      <c r="HD37" s="218" t="str">
        <f t="shared" si="164"/>
        <v/>
      </c>
      <c r="HE37" s="218" t="str">
        <f t="shared" si="165"/>
        <v/>
      </c>
      <c r="HG37" s="218" t="str">
        <f t="shared" si="166"/>
        <v/>
      </c>
      <c r="HH37" s="218" t="str">
        <f t="shared" si="167"/>
        <v/>
      </c>
      <c r="HI37" s="218" t="str">
        <f t="shared" si="168"/>
        <v/>
      </c>
      <c r="HJ37" s="218" t="str">
        <f t="shared" si="169"/>
        <v/>
      </c>
      <c r="HK37" s="218" t="str">
        <f t="shared" si="170"/>
        <v/>
      </c>
      <c r="HL37" s="218" t="str">
        <f t="shared" si="171"/>
        <v/>
      </c>
      <c r="HN37" s="218" t="str">
        <f t="shared" si="172"/>
        <v/>
      </c>
      <c r="HO37" s="218" t="str">
        <f t="shared" si="173"/>
        <v/>
      </c>
      <c r="HP37" s="218" t="str">
        <f t="shared" si="174"/>
        <v/>
      </c>
      <c r="HR37" s="218" t="str">
        <f t="shared" si="224"/>
        <v/>
      </c>
      <c r="HS37" s="218" t="str">
        <f t="shared" si="225"/>
        <v/>
      </c>
      <c r="HT37" s="218" t="str">
        <f t="shared" si="175"/>
        <v/>
      </c>
      <c r="HU37" s="218" t="str">
        <f t="shared" si="176"/>
        <v/>
      </c>
      <c r="HV37" s="218" t="str">
        <f t="shared" si="177"/>
        <v/>
      </c>
      <c r="HW37" s="218" t="str">
        <f t="shared" si="178"/>
        <v/>
      </c>
      <c r="HX37" s="218" t="str">
        <f t="shared" si="179"/>
        <v/>
      </c>
      <c r="HY37" s="218" t="str">
        <f t="shared" si="180"/>
        <v/>
      </c>
      <c r="HZ37" s="218" t="str">
        <f t="shared" si="181"/>
        <v/>
      </c>
      <c r="IA37" s="218" t="str">
        <f t="shared" si="182"/>
        <v/>
      </c>
      <c r="IB37" s="218" t="str">
        <f t="shared" si="183"/>
        <v/>
      </c>
      <c r="IC37" s="218" t="str">
        <f t="shared" si="184"/>
        <v/>
      </c>
      <c r="ID37" s="218" t="str">
        <f t="shared" si="185"/>
        <v/>
      </c>
      <c r="IE37" s="218" t="str">
        <f t="shared" si="186"/>
        <v/>
      </c>
      <c r="IF37" s="218" t="str">
        <f t="shared" si="187"/>
        <v/>
      </c>
      <c r="IG37" s="218" t="str">
        <f t="shared" si="188"/>
        <v/>
      </c>
      <c r="IH37" s="218" t="str">
        <f t="shared" si="189"/>
        <v/>
      </c>
      <c r="II37" s="218" t="str">
        <f t="shared" si="190"/>
        <v/>
      </c>
      <c r="IJ37" s="218" t="str">
        <f t="shared" si="191"/>
        <v/>
      </c>
      <c r="IK37" s="218" t="str">
        <f t="shared" si="192"/>
        <v/>
      </c>
      <c r="IL37" s="218" t="str">
        <f t="shared" si="193"/>
        <v/>
      </c>
      <c r="IM37" s="218" t="str">
        <f t="shared" si="194"/>
        <v/>
      </c>
      <c r="IN37" s="218" t="str">
        <f t="shared" si="195"/>
        <v/>
      </c>
      <c r="IO37" s="218" t="str">
        <f t="shared" si="196"/>
        <v/>
      </c>
      <c r="IP37" s="218" t="str">
        <f t="shared" si="197"/>
        <v/>
      </c>
      <c r="IQ37" s="218" t="str">
        <f t="shared" si="198"/>
        <v/>
      </c>
      <c r="IR37" s="218" t="str">
        <f t="shared" si="199"/>
        <v/>
      </c>
      <c r="IS37" s="218" t="str">
        <f t="shared" si="200"/>
        <v/>
      </c>
      <c r="IT37" s="218" t="str">
        <f t="shared" si="201"/>
        <v/>
      </c>
      <c r="IU37" s="218" t="str">
        <f t="shared" si="202"/>
        <v/>
      </c>
    </row>
    <row r="38" spans="1:255" x14ac:dyDescent="0.2">
      <c r="A38" s="200" t="s">
        <v>41</v>
      </c>
      <c r="B38" s="178"/>
      <c r="C38" s="180"/>
      <c r="D38" s="181"/>
      <c r="E38" s="181"/>
      <c r="F38" s="181"/>
      <c r="G38" s="181"/>
      <c r="H38" s="187"/>
      <c r="I38" s="181"/>
      <c r="J38" s="181"/>
      <c r="K38" s="183"/>
      <c r="L38" s="217" t="str">
        <f t="shared" si="29"/>
        <v/>
      </c>
      <c r="M38" s="218" t="str">
        <f>'HKG vs. BK'!M38</f>
        <v/>
      </c>
      <c r="N38" s="218" t="str">
        <f>'HKG vs. BK'!N38</f>
        <v/>
      </c>
      <c r="O38" s="218" t="str">
        <f>'HKG vs. BK'!O38</f>
        <v/>
      </c>
      <c r="P38" s="218" t="str">
        <f>'HKG vs. BK'!P38</f>
        <v/>
      </c>
      <c r="Q38" s="219" t="str">
        <f t="shared" si="203"/>
        <v/>
      </c>
      <c r="R38" s="220" t="str">
        <f t="shared" si="0"/>
        <v/>
      </c>
      <c r="S38" s="220" t="str">
        <f t="shared" si="1"/>
        <v/>
      </c>
      <c r="T38" s="219" t="str">
        <f t="shared" si="2"/>
        <v/>
      </c>
      <c r="U38" s="220" t="str">
        <f t="shared" si="3"/>
        <v/>
      </c>
      <c r="V38" s="220" t="str">
        <f t="shared" si="4"/>
        <v/>
      </c>
      <c r="W38" s="219" t="str">
        <f t="shared" si="5"/>
        <v/>
      </c>
      <c r="X38" s="220" t="str">
        <f t="shared" si="6"/>
        <v/>
      </c>
      <c r="Y38" s="220" t="str">
        <f t="shared" si="7"/>
        <v/>
      </c>
      <c r="Z38" s="219" t="str">
        <f t="shared" si="8"/>
        <v/>
      </c>
      <c r="AA38" s="220" t="str">
        <f t="shared" si="9"/>
        <v/>
      </c>
      <c r="AB38" s="220" t="str">
        <f t="shared" si="10"/>
        <v/>
      </c>
      <c r="AC38" s="219" t="str">
        <f t="shared" si="11"/>
        <v/>
      </c>
      <c r="AD38" s="220" t="str">
        <f t="shared" si="12"/>
        <v/>
      </c>
      <c r="AE38" s="220" t="str">
        <f t="shared" si="13"/>
        <v/>
      </c>
      <c r="AF38" s="219" t="str">
        <f t="shared" si="14"/>
        <v/>
      </c>
      <c r="AG38" s="220" t="str">
        <f t="shared" si="15"/>
        <v/>
      </c>
      <c r="AH38" s="220" t="str">
        <f t="shared" si="16"/>
        <v/>
      </c>
      <c r="AI38" s="219" t="str">
        <f t="shared" si="17"/>
        <v/>
      </c>
      <c r="AJ38" s="220" t="str">
        <f t="shared" si="18"/>
        <v/>
      </c>
      <c r="AK38" s="220" t="str">
        <f t="shared" si="19"/>
        <v/>
      </c>
      <c r="AL38" s="219" t="str">
        <f t="shared" si="20"/>
        <v/>
      </c>
      <c r="AM38" s="220" t="str">
        <f t="shared" si="21"/>
        <v/>
      </c>
      <c r="AN38" s="220" t="str">
        <f t="shared" si="22"/>
        <v/>
      </c>
      <c r="AO38" s="219" t="str">
        <f t="shared" si="23"/>
        <v/>
      </c>
      <c r="AP38" s="220" t="str">
        <f t="shared" si="24"/>
        <v/>
      </c>
      <c r="AQ38" s="220" t="str">
        <f t="shared" si="25"/>
        <v/>
      </c>
      <c r="AR38" s="219" t="str">
        <f t="shared" si="26"/>
        <v/>
      </c>
      <c r="AS38" s="220" t="str">
        <f t="shared" si="27"/>
        <v/>
      </c>
      <c r="AT38" s="220" t="str">
        <f t="shared" si="28"/>
        <v/>
      </c>
      <c r="AU38" s="221"/>
      <c r="AV38" s="221"/>
      <c r="AW38" s="221"/>
      <c r="AY38" s="218" t="str">
        <f t="shared" si="204"/>
        <v/>
      </c>
      <c r="AZ38" s="218" t="str">
        <f t="shared" si="205"/>
        <v/>
      </c>
      <c r="BA38" s="218" t="str">
        <f t="shared" si="30"/>
        <v/>
      </c>
      <c r="BB38" s="218" t="str">
        <f t="shared" si="206"/>
        <v/>
      </c>
      <c r="BC38" s="218" t="str">
        <f t="shared" si="207"/>
        <v/>
      </c>
      <c r="BD38" s="218" t="str">
        <f t="shared" si="31"/>
        <v/>
      </c>
      <c r="BE38" s="218" t="str">
        <f t="shared" si="208"/>
        <v/>
      </c>
      <c r="BF38" s="218" t="str">
        <f t="shared" si="209"/>
        <v/>
      </c>
      <c r="BG38" s="218" t="str">
        <f t="shared" si="32"/>
        <v/>
      </c>
      <c r="BH38" s="218" t="str">
        <f t="shared" si="210"/>
        <v/>
      </c>
      <c r="BI38" s="218" t="str">
        <f t="shared" si="211"/>
        <v/>
      </c>
      <c r="BJ38" s="218" t="str">
        <f t="shared" si="33"/>
        <v/>
      </c>
      <c r="BK38" s="218" t="str">
        <f t="shared" si="212"/>
        <v/>
      </c>
      <c r="BL38" s="218" t="str">
        <f t="shared" si="213"/>
        <v/>
      </c>
      <c r="BM38" s="218" t="str">
        <f t="shared" si="34"/>
        <v/>
      </c>
      <c r="BN38" s="218" t="str">
        <f t="shared" si="214"/>
        <v/>
      </c>
      <c r="BO38" s="218" t="str">
        <f t="shared" si="215"/>
        <v/>
      </c>
      <c r="BP38" s="218" t="str">
        <f t="shared" si="35"/>
        <v/>
      </c>
      <c r="BQ38" s="218" t="str">
        <f t="shared" si="216"/>
        <v/>
      </c>
      <c r="BR38" s="218" t="str">
        <f t="shared" si="217"/>
        <v/>
      </c>
      <c r="BS38" s="218" t="str">
        <f t="shared" si="36"/>
        <v/>
      </c>
      <c r="BT38" s="218" t="str">
        <f t="shared" si="218"/>
        <v/>
      </c>
      <c r="BU38" s="218" t="str">
        <f t="shared" si="219"/>
        <v/>
      </c>
      <c r="BV38" s="218" t="str">
        <f t="shared" si="37"/>
        <v/>
      </c>
      <c r="BW38" s="218" t="str">
        <f t="shared" si="220"/>
        <v/>
      </c>
      <c r="BX38" s="218" t="str">
        <f t="shared" si="221"/>
        <v/>
      </c>
      <c r="BY38" s="218" t="str">
        <f t="shared" si="38"/>
        <v/>
      </c>
      <c r="BZ38" s="218" t="str">
        <f t="shared" si="222"/>
        <v/>
      </c>
      <c r="CA38" s="218" t="str">
        <f t="shared" si="223"/>
        <v/>
      </c>
      <c r="CB38" s="218" t="str">
        <f t="shared" si="39"/>
        <v/>
      </c>
      <c r="CD38" s="218" t="str">
        <f t="shared" si="40"/>
        <v/>
      </c>
      <c r="CE38" s="218" t="str">
        <f t="shared" si="41"/>
        <v/>
      </c>
      <c r="CF38" s="218" t="str">
        <f t="shared" si="42"/>
        <v/>
      </c>
      <c r="CG38" s="218" t="str">
        <f t="shared" si="43"/>
        <v/>
      </c>
      <c r="CH38" s="218" t="str">
        <f t="shared" si="44"/>
        <v/>
      </c>
      <c r="CI38" s="218" t="str">
        <f t="shared" si="45"/>
        <v/>
      </c>
      <c r="CJ38" s="218" t="str">
        <f t="shared" si="46"/>
        <v/>
      </c>
      <c r="CK38" s="218" t="str">
        <f t="shared" si="47"/>
        <v/>
      </c>
      <c r="CL38" s="218" t="str">
        <f t="shared" si="48"/>
        <v/>
      </c>
      <c r="CM38" s="218" t="str">
        <f t="shared" si="49"/>
        <v/>
      </c>
      <c r="CN38" s="218" t="str">
        <f t="shared" si="50"/>
        <v/>
      </c>
      <c r="CO38" s="218" t="str">
        <f t="shared" si="51"/>
        <v/>
      </c>
      <c r="CP38" s="218" t="str">
        <f t="shared" si="52"/>
        <v/>
      </c>
      <c r="CQ38" s="218" t="str">
        <f t="shared" si="53"/>
        <v/>
      </c>
      <c r="CR38" s="218" t="str">
        <f t="shared" si="54"/>
        <v/>
      </c>
      <c r="CS38" s="218" t="str">
        <f t="shared" si="55"/>
        <v/>
      </c>
      <c r="CT38" s="218" t="str">
        <f t="shared" si="56"/>
        <v/>
      </c>
      <c r="CU38" s="218" t="str">
        <f t="shared" si="57"/>
        <v/>
      </c>
      <c r="CV38" s="218" t="str">
        <f t="shared" si="58"/>
        <v/>
      </c>
      <c r="CW38" s="218" t="str">
        <f t="shared" si="59"/>
        <v/>
      </c>
      <c r="CX38" s="218" t="str">
        <f t="shared" si="60"/>
        <v/>
      </c>
      <c r="CY38" s="218" t="str">
        <f t="shared" si="61"/>
        <v/>
      </c>
      <c r="CZ38" s="218" t="str">
        <f t="shared" si="62"/>
        <v/>
      </c>
      <c r="DA38" s="218" t="str">
        <f t="shared" si="63"/>
        <v/>
      </c>
      <c r="DB38" s="218" t="str">
        <f t="shared" si="64"/>
        <v/>
      </c>
      <c r="DC38" s="218" t="str">
        <f t="shared" si="65"/>
        <v/>
      </c>
      <c r="DD38" s="218" t="str">
        <f t="shared" si="66"/>
        <v/>
      </c>
      <c r="DF38" s="218" t="str">
        <f t="shared" si="67"/>
        <v/>
      </c>
      <c r="DG38" s="218" t="str">
        <f t="shared" si="68"/>
        <v/>
      </c>
      <c r="DH38" s="218" t="str">
        <f t="shared" si="69"/>
        <v/>
      </c>
      <c r="DI38" s="218" t="str">
        <f t="shared" si="70"/>
        <v/>
      </c>
      <c r="DJ38" s="218" t="str">
        <f t="shared" si="71"/>
        <v/>
      </c>
      <c r="DK38" s="218" t="str">
        <f t="shared" si="72"/>
        <v/>
      </c>
      <c r="DL38" s="218" t="str">
        <f t="shared" si="73"/>
        <v/>
      </c>
      <c r="DM38" s="218" t="str">
        <f t="shared" si="74"/>
        <v/>
      </c>
      <c r="DN38" s="218" t="str">
        <f t="shared" si="75"/>
        <v/>
      </c>
      <c r="DO38" s="218" t="str">
        <f t="shared" si="76"/>
        <v/>
      </c>
      <c r="DP38" s="218" t="str">
        <f t="shared" si="77"/>
        <v/>
      </c>
      <c r="DQ38" s="218" t="str">
        <f t="shared" si="78"/>
        <v/>
      </c>
      <c r="DR38" s="218" t="str">
        <f t="shared" si="79"/>
        <v/>
      </c>
      <c r="DS38" s="218" t="str">
        <f t="shared" si="80"/>
        <v/>
      </c>
      <c r="DT38" s="218" t="str">
        <f t="shared" si="81"/>
        <v/>
      </c>
      <c r="DU38" s="218" t="str">
        <f t="shared" si="82"/>
        <v/>
      </c>
      <c r="DV38" s="218" t="str">
        <f t="shared" si="83"/>
        <v/>
      </c>
      <c r="DW38" s="218" t="str">
        <f t="shared" si="84"/>
        <v/>
      </c>
      <c r="DX38" s="218" t="str">
        <f t="shared" si="85"/>
        <v/>
      </c>
      <c r="DY38" s="218" t="str">
        <f t="shared" si="86"/>
        <v/>
      </c>
      <c r="DZ38" s="218" t="str">
        <f t="shared" si="87"/>
        <v/>
      </c>
      <c r="EA38" s="218" t="str">
        <f t="shared" si="88"/>
        <v/>
      </c>
      <c r="EB38" s="218" t="str">
        <f t="shared" si="89"/>
        <v/>
      </c>
      <c r="EC38" s="218" t="str">
        <f t="shared" si="90"/>
        <v/>
      </c>
      <c r="EE38" s="218" t="str">
        <f t="shared" si="91"/>
        <v/>
      </c>
      <c r="EF38" s="218" t="str">
        <f t="shared" si="92"/>
        <v/>
      </c>
      <c r="EG38" s="218" t="str">
        <f t="shared" si="93"/>
        <v/>
      </c>
      <c r="EH38" s="218" t="str">
        <f t="shared" si="94"/>
        <v/>
      </c>
      <c r="EI38" s="218" t="str">
        <f t="shared" si="95"/>
        <v/>
      </c>
      <c r="EJ38" s="218" t="str">
        <f t="shared" si="96"/>
        <v/>
      </c>
      <c r="EK38" s="218" t="str">
        <f t="shared" si="97"/>
        <v/>
      </c>
      <c r="EL38" s="218" t="str">
        <f t="shared" si="98"/>
        <v/>
      </c>
      <c r="EM38" s="218" t="str">
        <f t="shared" si="99"/>
        <v/>
      </c>
      <c r="EN38" s="218" t="str">
        <f t="shared" si="100"/>
        <v/>
      </c>
      <c r="EO38" s="218" t="str">
        <f t="shared" si="101"/>
        <v/>
      </c>
      <c r="EP38" s="218" t="str">
        <f t="shared" si="102"/>
        <v/>
      </c>
      <c r="EQ38" s="218" t="str">
        <f t="shared" si="103"/>
        <v/>
      </c>
      <c r="ER38" s="218" t="str">
        <f t="shared" si="104"/>
        <v/>
      </c>
      <c r="ES38" s="218" t="str">
        <f t="shared" si="105"/>
        <v/>
      </c>
      <c r="ET38" s="218" t="str">
        <f t="shared" si="106"/>
        <v/>
      </c>
      <c r="EU38" s="218" t="str">
        <f t="shared" si="107"/>
        <v/>
      </c>
      <c r="EV38" s="218" t="str">
        <f t="shared" si="108"/>
        <v/>
      </c>
      <c r="EW38" s="218" t="str">
        <f t="shared" si="109"/>
        <v/>
      </c>
      <c r="EX38" s="218" t="str">
        <f t="shared" si="110"/>
        <v/>
      </c>
      <c r="EY38" s="218" t="str">
        <f t="shared" si="111"/>
        <v/>
      </c>
      <c r="FA38" s="218" t="str">
        <f t="shared" si="112"/>
        <v/>
      </c>
      <c r="FB38" s="218" t="str">
        <f t="shared" si="113"/>
        <v/>
      </c>
      <c r="FC38" s="218" t="str">
        <f t="shared" si="114"/>
        <v/>
      </c>
      <c r="FD38" s="218" t="str">
        <f t="shared" si="115"/>
        <v/>
      </c>
      <c r="FE38" s="218" t="str">
        <f t="shared" si="116"/>
        <v/>
      </c>
      <c r="FF38" s="218" t="str">
        <f t="shared" si="117"/>
        <v/>
      </c>
      <c r="FG38" s="218" t="str">
        <f t="shared" si="118"/>
        <v/>
      </c>
      <c r="FH38" s="218" t="str">
        <f t="shared" si="119"/>
        <v/>
      </c>
      <c r="FI38" s="218" t="str">
        <f t="shared" si="120"/>
        <v/>
      </c>
      <c r="FJ38" s="218" t="str">
        <f t="shared" si="121"/>
        <v/>
      </c>
      <c r="FK38" s="218" t="str">
        <f t="shared" si="122"/>
        <v/>
      </c>
      <c r="FL38" s="218" t="str">
        <f t="shared" si="123"/>
        <v/>
      </c>
      <c r="FM38" s="218" t="str">
        <f t="shared" si="124"/>
        <v/>
      </c>
      <c r="FN38" s="218" t="str">
        <f t="shared" si="125"/>
        <v/>
      </c>
      <c r="FO38" s="218" t="str">
        <f t="shared" si="126"/>
        <v/>
      </c>
      <c r="FP38" s="218" t="str">
        <f t="shared" si="127"/>
        <v/>
      </c>
      <c r="FQ38" s="218" t="str">
        <f t="shared" si="128"/>
        <v/>
      </c>
      <c r="FR38" s="218" t="str">
        <f t="shared" si="129"/>
        <v/>
      </c>
      <c r="FT38" s="218" t="str">
        <f t="shared" si="130"/>
        <v/>
      </c>
      <c r="FU38" s="218" t="str">
        <f t="shared" si="131"/>
        <v/>
      </c>
      <c r="FV38" s="218" t="str">
        <f t="shared" si="132"/>
        <v/>
      </c>
      <c r="FW38" s="218" t="str">
        <f t="shared" si="133"/>
        <v/>
      </c>
      <c r="FX38" s="218" t="str">
        <f t="shared" si="134"/>
        <v/>
      </c>
      <c r="FY38" s="218" t="str">
        <f t="shared" si="135"/>
        <v/>
      </c>
      <c r="FZ38" s="218" t="str">
        <f t="shared" si="136"/>
        <v/>
      </c>
      <c r="GA38" s="218" t="str">
        <f t="shared" si="137"/>
        <v/>
      </c>
      <c r="GB38" s="218" t="str">
        <f t="shared" si="138"/>
        <v/>
      </c>
      <c r="GC38" s="218" t="str">
        <f t="shared" si="139"/>
        <v/>
      </c>
      <c r="GD38" s="218" t="str">
        <f t="shared" si="140"/>
        <v/>
      </c>
      <c r="GE38" s="218" t="str">
        <f t="shared" si="141"/>
        <v/>
      </c>
      <c r="GF38" s="218" t="str">
        <f t="shared" si="142"/>
        <v/>
      </c>
      <c r="GG38" s="218" t="str">
        <f t="shared" si="143"/>
        <v/>
      </c>
      <c r="GH38" s="218" t="str">
        <f t="shared" si="144"/>
        <v/>
      </c>
      <c r="GJ38" s="218" t="str">
        <f t="shared" si="145"/>
        <v/>
      </c>
      <c r="GK38" s="218" t="str">
        <f t="shared" si="146"/>
        <v/>
      </c>
      <c r="GL38" s="218" t="str">
        <f t="shared" si="147"/>
        <v/>
      </c>
      <c r="GM38" s="218" t="str">
        <f t="shared" si="148"/>
        <v/>
      </c>
      <c r="GN38" s="218" t="str">
        <f t="shared" si="149"/>
        <v/>
      </c>
      <c r="GO38" s="218" t="str">
        <f t="shared" si="150"/>
        <v/>
      </c>
      <c r="GP38" s="218" t="str">
        <f t="shared" si="151"/>
        <v/>
      </c>
      <c r="GQ38" s="218" t="str">
        <f t="shared" si="152"/>
        <v/>
      </c>
      <c r="GR38" s="218" t="str">
        <f t="shared" si="153"/>
        <v/>
      </c>
      <c r="GS38" s="218" t="str">
        <f t="shared" si="154"/>
        <v/>
      </c>
      <c r="GT38" s="218" t="str">
        <f t="shared" si="155"/>
        <v/>
      </c>
      <c r="GU38" s="218" t="str">
        <f t="shared" si="156"/>
        <v/>
      </c>
      <c r="GW38" s="218" t="str">
        <f t="shared" si="157"/>
        <v/>
      </c>
      <c r="GX38" s="218" t="str">
        <f t="shared" si="158"/>
        <v/>
      </c>
      <c r="GY38" s="218" t="str">
        <f t="shared" si="159"/>
        <v/>
      </c>
      <c r="GZ38" s="218" t="str">
        <f t="shared" si="160"/>
        <v/>
      </c>
      <c r="HA38" s="218" t="str">
        <f t="shared" si="161"/>
        <v/>
      </c>
      <c r="HB38" s="218" t="str">
        <f t="shared" si="162"/>
        <v/>
      </c>
      <c r="HC38" s="218" t="str">
        <f t="shared" si="163"/>
        <v/>
      </c>
      <c r="HD38" s="218" t="str">
        <f t="shared" si="164"/>
        <v/>
      </c>
      <c r="HE38" s="218" t="str">
        <f t="shared" si="165"/>
        <v/>
      </c>
      <c r="HG38" s="218" t="str">
        <f t="shared" si="166"/>
        <v/>
      </c>
      <c r="HH38" s="218" t="str">
        <f t="shared" si="167"/>
        <v/>
      </c>
      <c r="HI38" s="218" t="str">
        <f t="shared" si="168"/>
        <v/>
      </c>
      <c r="HJ38" s="218" t="str">
        <f t="shared" si="169"/>
        <v/>
      </c>
      <c r="HK38" s="218" t="str">
        <f t="shared" si="170"/>
        <v/>
      </c>
      <c r="HL38" s="218" t="str">
        <f t="shared" si="171"/>
        <v/>
      </c>
      <c r="HN38" s="218" t="str">
        <f t="shared" si="172"/>
        <v/>
      </c>
      <c r="HO38" s="218" t="str">
        <f t="shared" si="173"/>
        <v/>
      </c>
      <c r="HP38" s="218" t="str">
        <f t="shared" si="174"/>
        <v/>
      </c>
      <c r="HR38" s="218" t="str">
        <f t="shared" si="224"/>
        <v/>
      </c>
      <c r="HS38" s="218" t="str">
        <f t="shared" si="225"/>
        <v/>
      </c>
      <c r="HT38" s="218" t="str">
        <f t="shared" si="175"/>
        <v/>
      </c>
      <c r="HU38" s="218" t="str">
        <f t="shared" si="176"/>
        <v/>
      </c>
      <c r="HV38" s="218" t="str">
        <f t="shared" si="177"/>
        <v/>
      </c>
      <c r="HW38" s="218" t="str">
        <f t="shared" si="178"/>
        <v/>
      </c>
      <c r="HX38" s="218" t="str">
        <f t="shared" si="179"/>
        <v/>
      </c>
      <c r="HY38" s="218" t="str">
        <f t="shared" si="180"/>
        <v/>
      </c>
      <c r="HZ38" s="218" t="str">
        <f t="shared" si="181"/>
        <v/>
      </c>
      <c r="IA38" s="218" t="str">
        <f t="shared" si="182"/>
        <v/>
      </c>
      <c r="IB38" s="218" t="str">
        <f t="shared" si="183"/>
        <v/>
      </c>
      <c r="IC38" s="218" t="str">
        <f t="shared" si="184"/>
        <v/>
      </c>
      <c r="ID38" s="218" t="str">
        <f t="shared" si="185"/>
        <v/>
      </c>
      <c r="IE38" s="218" t="str">
        <f t="shared" si="186"/>
        <v/>
      </c>
      <c r="IF38" s="218" t="str">
        <f t="shared" si="187"/>
        <v/>
      </c>
      <c r="IG38" s="218" t="str">
        <f t="shared" si="188"/>
        <v/>
      </c>
      <c r="IH38" s="218" t="str">
        <f t="shared" si="189"/>
        <v/>
      </c>
      <c r="II38" s="218" t="str">
        <f t="shared" si="190"/>
        <v/>
      </c>
      <c r="IJ38" s="218" t="str">
        <f t="shared" si="191"/>
        <v/>
      </c>
      <c r="IK38" s="218" t="str">
        <f t="shared" si="192"/>
        <v/>
      </c>
      <c r="IL38" s="218" t="str">
        <f t="shared" si="193"/>
        <v/>
      </c>
      <c r="IM38" s="218" t="str">
        <f t="shared" si="194"/>
        <v/>
      </c>
      <c r="IN38" s="218" t="str">
        <f t="shared" si="195"/>
        <v/>
      </c>
      <c r="IO38" s="218" t="str">
        <f t="shared" si="196"/>
        <v/>
      </c>
      <c r="IP38" s="218" t="str">
        <f t="shared" si="197"/>
        <v/>
      </c>
      <c r="IQ38" s="218" t="str">
        <f t="shared" si="198"/>
        <v/>
      </c>
      <c r="IR38" s="218" t="str">
        <f t="shared" si="199"/>
        <v/>
      </c>
      <c r="IS38" s="218" t="str">
        <f t="shared" si="200"/>
        <v/>
      </c>
      <c r="IT38" s="218" t="str">
        <f t="shared" si="201"/>
        <v/>
      </c>
      <c r="IU38" s="218" t="str">
        <f t="shared" si="202"/>
        <v/>
      </c>
    </row>
    <row r="39" spans="1:255" x14ac:dyDescent="0.2">
      <c r="A39" s="200" t="s">
        <v>42</v>
      </c>
      <c r="B39" s="178"/>
      <c r="C39" s="179"/>
      <c r="D39" s="181"/>
      <c r="E39" s="181"/>
      <c r="F39" s="181"/>
      <c r="G39" s="181"/>
      <c r="H39" s="181"/>
      <c r="I39" s="181"/>
      <c r="J39" s="181"/>
      <c r="K39" s="183"/>
      <c r="L39" s="217" t="str">
        <f t="shared" si="29"/>
        <v/>
      </c>
      <c r="M39" s="218" t="str">
        <f>'HKG vs. BK'!M39</f>
        <v/>
      </c>
      <c r="N39" s="218" t="str">
        <f>'HKG vs. BK'!N39</f>
        <v/>
      </c>
      <c r="O39" s="218" t="str">
        <f>'HKG vs. BK'!O39</f>
        <v/>
      </c>
      <c r="P39" s="218" t="str">
        <f>'HKG vs. BK'!P39</f>
        <v/>
      </c>
      <c r="Q39" s="219" t="str">
        <f t="shared" si="203"/>
        <v/>
      </c>
      <c r="R39" s="220" t="str">
        <f t="shared" si="0"/>
        <v/>
      </c>
      <c r="S39" s="220" t="str">
        <f t="shared" si="1"/>
        <v/>
      </c>
      <c r="T39" s="219" t="str">
        <f t="shared" si="2"/>
        <v/>
      </c>
      <c r="U39" s="220" t="str">
        <f t="shared" si="3"/>
        <v/>
      </c>
      <c r="V39" s="220" t="str">
        <f t="shared" si="4"/>
        <v/>
      </c>
      <c r="W39" s="219" t="str">
        <f t="shared" si="5"/>
        <v/>
      </c>
      <c r="X39" s="220" t="str">
        <f t="shared" si="6"/>
        <v/>
      </c>
      <c r="Y39" s="220" t="str">
        <f t="shared" si="7"/>
        <v/>
      </c>
      <c r="Z39" s="219" t="str">
        <f t="shared" si="8"/>
        <v/>
      </c>
      <c r="AA39" s="220" t="str">
        <f t="shared" si="9"/>
        <v/>
      </c>
      <c r="AB39" s="220" t="str">
        <f t="shared" si="10"/>
        <v/>
      </c>
      <c r="AC39" s="219" t="str">
        <f t="shared" si="11"/>
        <v/>
      </c>
      <c r="AD39" s="220" t="str">
        <f t="shared" si="12"/>
        <v/>
      </c>
      <c r="AE39" s="220" t="str">
        <f t="shared" si="13"/>
        <v/>
      </c>
      <c r="AF39" s="219" t="str">
        <f t="shared" si="14"/>
        <v/>
      </c>
      <c r="AG39" s="220" t="str">
        <f t="shared" si="15"/>
        <v/>
      </c>
      <c r="AH39" s="220" t="str">
        <f t="shared" si="16"/>
        <v/>
      </c>
      <c r="AI39" s="219" t="str">
        <f t="shared" si="17"/>
        <v/>
      </c>
      <c r="AJ39" s="220" t="str">
        <f t="shared" si="18"/>
        <v/>
      </c>
      <c r="AK39" s="220" t="str">
        <f t="shared" si="19"/>
        <v/>
      </c>
      <c r="AL39" s="219" t="str">
        <f t="shared" si="20"/>
        <v/>
      </c>
      <c r="AM39" s="220" t="str">
        <f t="shared" si="21"/>
        <v/>
      </c>
      <c r="AN39" s="220" t="str">
        <f t="shared" si="22"/>
        <v/>
      </c>
      <c r="AO39" s="219" t="str">
        <f t="shared" si="23"/>
        <v/>
      </c>
      <c r="AP39" s="220" t="str">
        <f t="shared" si="24"/>
        <v/>
      </c>
      <c r="AQ39" s="220" t="str">
        <f t="shared" si="25"/>
        <v/>
      </c>
      <c r="AR39" s="219" t="str">
        <f t="shared" si="26"/>
        <v/>
      </c>
      <c r="AS39" s="220" t="str">
        <f t="shared" si="27"/>
        <v/>
      </c>
      <c r="AT39" s="220" t="str">
        <f t="shared" si="28"/>
        <v/>
      </c>
      <c r="AU39" s="221"/>
      <c r="AV39" s="221"/>
      <c r="AW39" s="221"/>
      <c r="AY39" s="218" t="str">
        <f t="shared" si="204"/>
        <v/>
      </c>
      <c r="AZ39" s="218" t="str">
        <f t="shared" si="205"/>
        <v/>
      </c>
      <c r="BA39" s="218" t="str">
        <f t="shared" si="30"/>
        <v/>
      </c>
      <c r="BB39" s="218" t="str">
        <f t="shared" si="206"/>
        <v/>
      </c>
      <c r="BC39" s="218" t="str">
        <f t="shared" si="207"/>
        <v/>
      </c>
      <c r="BD39" s="218" t="str">
        <f t="shared" si="31"/>
        <v/>
      </c>
      <c r="BE39" s="218" t="str">
        <f t="shared" si="208"/>
        <v/>
      </c>
      <c r="BF39" s="218" t="str">
        <f t="shared" si="209"/>
        <v/>
      </c>
      <c r="BG39" s="218" t="str">
        <f t="shared" si="32"/>
        <v/>
      </c>
      <c r="BH39" s="218" t="str">
        <f t="shared" si="210"/>
        <v/>
      </c>
      <c r="BI39" s="218" t="str">
        <f t="shared" si="211"/>
        <v/>
      </c>
      <c r="BJ39" s="218" t="str">
        <f t="shared" si="33"/>
        <v/>
      </c>
      <c r="BK39" s="218" t="str">
        <f t="shared" si="212"/>
        <v/>
      </c>
      <c r="BL39" s="218" t="str">
        <f t="shared" si="213"/>
        <v/>
      </c>
      <c r="BM39" s="218" t="str">
        <f t="shared" si="34"/>
        <v/>
      </c>
      <c r="BN39" s="218" t="str">
        <f t="shared" si="214"/>
        <v/>
      </c>
      <c r="BO39" s="218" t="str">
        <f t="shared" si="215"/>
        <v/>
      </c>
      <c r="BP39" s="218" t="str">
        <f t="shared" si="35"/>
        <v/>
      </c>
      <c r="BQ39" s="218" t="str">
        <f t="shared" si="216"/>
        <v/>
      </c>
      <c r="BR39" s="218" t="str">
        <f t="shared" si="217"/>
        <v/>
      </c>
      <c r="BS39" s="218" t="str">
        <f t="shared" si="36"/>
        <v/>
      </c>
      <c r="BT39" s="218" t="str">
        <f t="shared" si="218"/>
        <v/>
      </c>
      <c r="BU39" s="218" t="str">
        <f t="shared" si="219"/>
        <v/>
      </c>
      <c r="BV39" s="218" t="str">
        <f t="shared" si="37"/>
        <v/>
      </c>
      <c r="BW39" s="218" t="str">
        <f t="shared" si="220"/>
        <v/>
      </c>
      <c r="BX39" s="218" t="str">
        <f t="shared" si="221"/>
        <v/>
      </c>
      <c r="BY39" s="218" t="str">
        <f t="shared" si="38"/>
        <v/>
      </c>
      <c r="BZ39" s="218" t="str">
        <f t="shared" si="222"/>
        <v/>
      </c>
      <c r="CA39" s="218" t="str">
        <f t="shared" si="223"/>
        <v/>
      </c>
      <c r="CB39" s="218" t="str">
        <f t="shared" si="39"/>
        <v/>
      </c>
      <c r="CD39" s="218" t="str">
        <f t="shared" si="40"/>
        <v/>
      </c>
      <c r="CE39" s="218" t="str">
        <f t="shared" si="41"/>
        <v/>
      </c>
      <c r="CF39" s="218" t="str">
        <f t="shared" si="42"/>
        <v/>
      </c>
      <c r="CG39" s="218" t="str">
        <f t="shared" si="43"/>
        <v/>
      </c>
      <c r="CH39" s="218" t="str">
        <f t="shared" si="44"/>
        <v/>
      </c>
      <c r="CI39" s="218" t="str">
        <f t="shared" si="45"/>
        <v/>
      </c>
      <c r="CJ39" s="218" t="str">
        <f t="shared" si="46"/>
        <v/>
      </c>
      <c r="CK39" s="218" t="str">
        <f t="shared" si="47"/>
        <v/>
      </c>
      <c r="CL39" s="218" t="str">
        <f t="shared" si="48"/>
        <v/>
      </c>
      <c r="CM39" s="218" t="str">
        <f t="shared" si="49"/>
        <v/>
      </c>
      <c r="CN39" s="218" t="str">
        <f t="shared" si="50"/>
        <v/>
      </c>
      <c r="CO39" s="218" t="str">
        <f t="shared" si="51"/>
        <v/>
      </c>
      <c r="CP39" s="218" t="str">
        <f t="shared" si="52"/>
        <v/>
      </c>
      <c r="CQ39" s="218" t="str">
        <f t="shared" si="53"/>
        <v/>
      </c>
      <c r="CR39" s="218" t="str">
        <f t="shared" si="54"/>
        <v/>
      </c>
      <c r="CS39" s="218" t="str">
        <f t="shared" si="55"/>
        <v/>
      </c>
      <c r="CT39" s="218" t="str">
        <f t="shared" si="56"/>
        <v/>
      </c>
      <c r="CU39" s="218" t="str">
        <f t="shared" si="57"/>
        <v/>
      </c>
      <c r="CV39" s="218" t="str">
        <f t="shared" si="58"/>
        <v/>
      </c>
      <c r="CW39" s="218" t="str">
        <f t="shared" si="59"/>
        <v/>
      </c>
      <c r="CX39" s="218" t="str">
        <f t="shared" si="60"/>
        <v/>
      </c>
      <c r="CY39" s="218" t="str">
        <f t="shared" si="61"/>
        <v/>
      </c>
      <c r="CZ39" s="218" t="str">
        <f t="shared" si="62"/>
        <v/>
      </c>
      <c r="DA39" s="218" t="str">
        <f t="shared" si="63"/>
        <v/>
      </c>
      <c r="DB39" s="218" t="str">
        <f t="shared" si="64"/>
        <v/>
      </c>
      <c r="DC39" s="218" t="str">
        <f t="shared" si="65"/>
        <v/>
      </c>
      <c r="DD39" s="218" t="str">
        <f t="shared" si="66"/>
        <v/>
      </c>
      <c r="DF39" s="218" t="str">
        <f t="shared" si="67"/>
        <v/>
      </c>
      <c r="DG39" s="218" t="str">
        <f t="shared" si="68"/>
        <v/>
      </c>
      <c r="DH39" s="218" t="str">
        <f t="shared" si="69"/>
        <v/>
      </c>
      <c r="DI39" s="218" t="str">
        <f t="shared" si="70"/>
        <v/>
      </c>
      <c r="DJ39" s="218" t="str">
        <f t="shared" si="71"/>
        <v/>
      </c>
      <c r="DK39" s="218" t="str">
        <f t="shared" si="72"/>
        <v/>
      </c>
      <c r="DL39" s="218" t="str">
        <f t="shared" si="73"/>
        <v/>
      </c>
      <c r="DM39" s="218" t="str">
        <f t="shared" si="74"/>
        <v/>
      </c>
      <c r="DN39" s="218" t="str">
        <f t="shared" si="75"/>
        <v/>
      </c>
      <c r="DO39" s="218" t="str">
        <f t="shared" si="76"/>
        <v/>
      </c>
      <c r="DP39" s="218" t="str">
        <f t="shared" si="77"/>
        <v/>
      </c>
      <c r="DQ39" s="218" t="str">
        <f t="shared" si="78"/>
        <v/>
      </c>
      <c r="DR39" s="218" t="str">
        <f t="shared" si="79"/>
        <v/>
      </c>
      <c r="DS39" s="218" t="str">
        <f t="shared" si="80"/>
        <v/>
      </c>
      <c r="DT39" s="218" t="str">
        <f t="shared" si="81"/>
        <v/>
      </c>
      <c r="DU39" s="218" t="str">
        <f t="shared" si="82"/>
        <v/>
      </c>
      <c r="DV39" s="218" t="str">
        <f t="shared" si="83"/>
        <v/>
      </c>
      <c r="DW39" s="218" t="str">
        <f t="shared" si="84"/>
        <v/>
      </c>
      <c r="DX39" s="218" t="str">
        <f t="shared" si="85"/>
        <v/>
      </c>
      <c r="DY39" s="218" t="str">
        <f t="shared" si="86"/>
        <v/>
      </c>
      <c r="DZ39" s="218" t="str">
        <f t="shared" si="87"/>
        <v/>
      </c>
      <c r="EA39" s="218" t="str">
        <f t="shared" si="88"/>
        <v/>
      </c>
      <c r="EB39" s="218" t="str">
        <f t="shared" si="89"/>
        <v/>
      </c>
      <c r="EC39" s="218" t="str">
        <f t="shared" si="90"/>
        <v/>
      </c>
      <c r="EE39" s="218" t="str">
        <f t="shared" si="91"/>
        <v/>
      </c>
      <c r="EF39" s="218" t="str">
        <f t="shared" si="92"/>
        <v/>
      </c>
      <c r="EG39" s="218" t="str">
        <f t="shared" si="93"/>
        <v/>
      </c>
      <c r="EH39" s="218" t="str">
        <f t="shared" si="94"/>
        <v/>
      </c>
      <c r="EI39" s="218" t="str">
        <f t="shared" si="95"/>
        <v/>
      </c>
      <c r="EJ39" s="218" t="str">
        <f t="shared" si="96"/>
        <v/>
      </c>
      <c r="EK39" s="218" t="str">
        <f t="shared" si="97"/>
        <v/>
      </c>
      <c r="EL39" s="218" t="str">
        <f t="shared" si="98"/>
        <v/>
      </c>
      <c r="EM39" s="218" t="str">
        <f t="shared" si="99"/>
        <v/>
      </c>
      <c r="EN39" s="218" t="str">
        <f t="shared" si="100"/>
        <v/>
      </c>
      <c r="EO39" s="218" t="str">
        <f t="shared" si="101"/>
        <v/>
      </c>
      <c r="EP39" s="218" t="str">
        <f t="shared" si="102"/>
        <v/>
      </c>
      <c r="EQ39" s="218" t="str">
        <f t="shared" si="103"/>
        <v/>
      </c>
      <c r="ER39" s="218" t="str">
        <f t="shared" si="104"/>
        <v/>
      </c>
      <c r="ES39" s="218" t="str">
        <f t="shared" si="105"/>
        <v/>
      </c>
      <c r="ET39" s="218" t="str">
        <f t="shared" si="106"/>
        <v/>
      </c>
      <c r="EU39" s="218" t="str">
        <f t="shared" si="107"/>
        <v/>
      </c>
      <c r="EV39" s="218" t="str">
        <f t="shared" si="108"/>
        <v/>
      </c>
      <c r="EW39" s="218" t="str">
        <f t="shared" si="109"/>
        <v/>
      </c>
      <c r="EX39" s="218" t="str">
        <f t="shared" si="110"/>
        <v/>
      </c>
      <c r="EY39" s="218" t="str">
        <f t="shared" si="111"/>
        <v/>
      </c>
      <c r="FA39" s="218" t="str">
        <f t="shared" si="112"/>
        <v/>
      </c>
      <c r="FB39" s="218" t="str">
        <f t="shared" si="113"/>
        <v/>
      </c>
      <c r="FC39" s="218" t="str">
        <f t="shared" si="114"/>
        <v/>
      </c>
      <c r="FD39" s="218" t="str">
        <f t="shared" si="115"/>
        <v/>
      </c>
      <c r="FE39" s="218" t="str">
        <f t="shared" si="116"/>
        <v/>
      </c>
      <c r="FF39" s="218" t="str">
        <f t="shared" si="117"/>
        <v/>
      </c>
      <c r="FG39" s="218" t="str">
        <f t="shared" si="118"/>
        <v/>
      </c>
      <c r="FH39" s="218" t="str">
        <f t="shared" si="119"/>
        <v/>
      </c>
      <c r="FI39" s="218" t="str">
        <f t="shared" si="120"/>
        <v/>
      </c>
      <c r="FJ39" s="218" t="str">
        <f t="shared" si="121"/>
        <v/>
      </c>
      <c r="FK39" s="218" t="str">
        <f t="shared" si="122"/>
        <v/>
      </c>
      <c r="FL39" s="218" t="str">
        <f t="shared" si="123"/>
        <v/>
      </c>
      <c r="FM39" s="218" t="str">
        <f t="shared" si="124"/>
        <v/>
      </c>
      <c r="FN39" s="218" t="str">
        <f t="shared" si="125"/>
        <v/>
      </c>
      <c r="FO39" s="218" t="str">
        <f t="shared" si="126"/>
        <v/>
      </c>
      <c r="FP39" s="218" t="str">
        <f t="shared" si="127"/>
        <v/>
      </c>
      <c r="FQ39" s="218" t="str">
        <f t="shared" si="128"/>
        <v/>
      </c>
      <c r="FR39" s="218" t="str">
        <f t="shared" si="129"/>
        <v/>
      </c>
      <c r="FT39" s="218" t="str">
        <f t="shared" si="130"/>
        <v/>
      </c>
      <c r="FU39" s="218" t="str">
        <f t="shared" si="131"/>
        <v/>
      </c>
      <c r="FV39" s="218" t="str">
        <f t="shared" si="132"/>
        <v/>
      </c>
      <c r="FW39" s="218" t="str">
        <f t="shared" si="133"/>
        <v/>
      </c>
      <c r="FX39" s="218" t="str">
        <f t="shared" si="134"/>
        <v/>
      </c>
      <c r="FY39" s="218" t="str">
        <f t="shared" si="135"/>
        <v/>
      </c>
      <c r="FZ39" s="218" t="str">
        <f t="shared" si="136"/>
        <v/>
      </c>
      <c r="GA39" s="218" t="str">
        <f t="shared" si="137"/>
        <v/>
      </c>
      <c r="GB39" s="218" t="str">
        <f t="shared" si="138"/>
        <v/>
      </c>
      <c r="GC39" s="218" t="str">
        <f t="shared" si="139"/>
        <v/>
      </c>
      <c r="GD39" s="218" t="str">
        <f t="shared" si="140"/>
        <v/>
      </c>
      <c r="GE39" s="218" t="str">
        <f t="shared" si="141"/>
        <v/>
      </c>
      <c r="GF39" s="218" t="str">
        <f t="shared" si="142"/>
        <v/>
      </c>
      <c r="GG39" s="218" t="str">
        <f t="shared" si="143"/>
        <v/>
      </c>
      <c r="GH39" s="218" t="str">
        <f t="shared" si="144"/>
        <v/>
      </c>
      <c r="GJ39" s="218" t="str">
        <f t="shared" si="145"/>
        <v/>
      </c>
      <c r="GK39" s="218" t="str">
        <f t="shared" si="146"/>
        <v/>
      </c>
      <c r="GL39" s="218" t="str">
        <f t="shared" si="147"/>
        <v/>
      </c>
      <c r="GM39" s="218" t="str">
        <f t="shared" si="148"/>
        <v/>
      </c>
      <c r="GN39" s="218" t="str">
        <f t="shared" si="149"/>
        <v/>
      </c>
      <c r="GO39" s="218" t="str">
        <f t="shared" si="150"/>
        <v/>
      </c>
      <c r="GP39" s="218" t="str">
        <f t="shared" si="151"/>
        <v/>
      </c>
      <c r="GQ39" s="218" t="str">
        <f t="shared" si="152"/>
        <v/>
      </c>
      <c r="GR39" s="218" t="str">
        <f t="shared" si="153"/>
        <v/>
      </c>
      <c r="GS39" s="218" t="str">
        <f t="shared" si="154"/>
        <v/>
      </c>
      <c r="GT39" s="218" t="str">
        <f t="shared" si="155"/>
        <v/>
      </c>
      <c r="GU39" s="218" t="str">
        <f t="shared" si="156"/>
        <v/>
      </c>
      <c r="GW39" s="218" t="str">
        <f t="shared" si="157"/>
        <v/>
      </c>
      <c r="GX39" s="218" t="str">
        <f t="shared" si="158"/>
        <v/>
      </c>
      <c r="GY39" s="218" t="str">
        <f t="shared" si="159"/>
        <v/>
      </c>
      <c r="GZ39" s="218" t="str">
        <f t="shared" si="160"/>
        <v/>
      </c>
      <c r="HA39" s="218" t="str">
        <f t="shared" si="161"/>
        <v/>
      </c>
      <c r="HB39" s="218" t="str">
        <f t="shared" si="162"/>
        <v/>
      </c>
      <c r="HC39" s="218" t="str">
        <f t="shared" si="163"/>
        <v/>
      </c>
      <c r="HD39" s="218" t="str">
        <f t="shared" si="164"/>
        <v/>
      </c>
      <c r="HE39" s="218" t="str">
        <f t="shared" si="165"/>
        <v/>
      </c>
      <c r="HG39" s="218" t="str">
        <f t="shared" si="166"/>
        <v/>
      </c>
      <c r="HH39" s="218" t="str">
        <f t="shared" si="167"/>
        <v/>
      </c>
      <c r="HI39" s="218" t="str">
        <f t="shared" si="168"/>
        <v/>
      </c>
      <c r="HJ39" s="218" t="str">
        <f t="shared" si="169"/>
        <v/>
      </c>
      <c r="HK39" s="218" t="str">
        <f t="shared" si="170"/>
        <v/>
      </c>
      <c r="HL39" s="218" t="str">
        <f t="shared" si="171"/>
        <v/>
      </c>
      <c r="HN39" s="218" t="str">
        <f t="shared" si="172"/>
        <v/>
      </c>
      <c r="HO39" s="218" t="str">
        <f t="shared" si="173"/>
        <v/>
      </c>
      <c r="HP39" s="218" t="str">
        <f t="shared" si="174"/>
        <v/>
      </c>
      <c r="HR39" s="218" t="str">
        <f t="shared" si="224"/>
        <v/>
      </c>
      <c r="HS39" s="218" t="str">
        <f t="shared" si="225"/>
        <v/>
      </c>
      <c r="HT39" s="218" t="str">
        <f t="shared" si="175"/>
        <v/>
      </c>
      <c r="HU39" s="218" t="str">
        <f t="shared" si="176"/>
        <v/>
      </c>
      <c r="HV39" s="218" t="str">
        <f t="shared" si="177"/>
        <v/>
      </c>
      <c r="HW39" s="218" t="str">
        <f t="shared" si="178"/>
        <v/>
      </c>
      <c r="HX39" s="218" t="str">
        <f t="shared" si="179"/>
        <v/>
      </c>
      <c r="HY39" s="218" t="str">
        <f t="shared" si="180"/>
        <v/>
      </c>
      <c r="HZ39" s="218" t="str">
        <f t="shared" si="181"/>
        <v/>
      </c>
      <c r="IA39" s="218" t="str">
        <f t="shared" si="182"/>
        <v/>
      </c>
      <c r="IB39" s="218" t="str">
        <f t="shared" si="183"/>
        <v/>
      </c>
      <c r="IC39" s="218" t="str">
        <f t="shared" si="184"/>
        <v/>
      </c>
      <c r="ID39" s="218" t="str">
        <f t="shared" si="185"/>
        <v/>
      </c>
      <c r="IE39" s="218" t="str">
        <f t="shared" si="186"/>
        <v/>
      </c>
      <c r="IF39" s="218" t="str">
        <f t="shared" si="187"/>
        <v/>
      </c>
      <c r="IG39" s="218" t="str">
        <f t="shared" si="188"/>
        <v/>
      </c>
      <c r="IH39" s="218" t="str">
        <f t="shared" si="189"/>
        <v/>
      </c>
      <c r="II39" s="218" t="str">
        <f t="shared" si="190"/>
        <v/>
      </c>
      <c r="IJ39" s="218" t="str">
        <f t="shared" si="191"/>
        <v/>
      </c>
      <c r="IK39" s="218" t="str">
        <f t="shared" si="192"/>
        <v/>
      </c>
      <c r="IL39" s="218" t="str">
        <f t="shared" si="193"/>
        <v/>
      </c>
      <c r="IM39" s="218" t="str">
        <f t="shared" si="194"/>
        <v/>
      </c>
      <c r="IN39" s="218" t="str">
        <f t="shared" si="195"/>
        <v/>
      </c>
      <c r="IO39" s="218" t="str">
        <f t="shared" si="196"/>
        <v/>
      </c>
      <c r="IP39" s="218" t="str">
        <f t="shared" si="197"/>
        <v/>
      </c>
      <c r="IQ39" s="218" t="str">
        <f t="shared" si="198"/>
        <v/>
      </c>
      <c r="IR39" s="218" t="str">
        <f t="shared" si="199"/>
        <v/>
      </c>
      <c r="IS39" s="218" t="str">
        <f t="shared" si="200"/>
        <v/>
      </c>
      <c r="IT39" s="218" t="str">
        <f t="shared" si="201"/>
        <v/>
      </c>
      <c r="IU39" s="218" t="str">
        <f t="shared" si="202"/>
        <v/>
      </c>
    </row>
    <row r="40" spans="1:255" x14ac:dyDescent="0.2">
      <c r="A40" s="200" t="s">
        <v>43</v>
      </c>
      <c r="B40" s="178"/>
      <c r="C40" s="179"/>
      <c r="D40" s="181"/>
      <c r="E40" s="181"/>
      <c r="F40" s="181"/>
      <c r="G40" s="181"/>
      <c r="H40" s="181"/>
      <c r="I40" s="181"/>
      <c r="J40" s="181"/>
      <c r="K40" s="183"/>
      <c r="L40" s="217" t="str">
        <f t="shared" si="29"/>
        <v/>
      </c>
      <c r="M40" s="218" t="str">
        <f>'HKG vs. BK'!M40</f>
        <v/>
      </c>
      <c r="N40" s="218" t="str">
        <f>'HKG vs. BK'!N40</f>
        <v/>
      </c>
      <c r="O40" s="218" t="str">
        <f>'HKG vs. BK'!O40</f>
        <v/>
      </c>
      <c r="P40" s="218" t="str">
        <f>'HKG vs. BK'!P40</f>
        <v/>
      </c>
      <c r="Q40" s="219" t="str">
        <f t="shared" si="203"/>
        <v/>
      </c>
      <c r="R40" s="220" t="str">
        <f t="shared" si="0"/>
        <v/>
      </c>
      <c r="S40" s="220" t="str">
        <f t="shared" si="1"/>
        <v/>
      </c>
      <c r="T40" s="219" t="str">
        <f t="shared" si="2"/>
        <v/>
      </c>
      <c r="U40" s="220" t="str">
        <f t="shared" si="3"/>
        <v/>
      </c>
      <c r="V40" s="220" t="str">
        <f t="shared" si="4"/>
        <v/>
      </c>
      <c r="W40" s="219" t="str">
        <f t="shared" si="5"/>
        <v/>
      </c>
      <c r="X40" s="220" t="str">
        <f t="shared" si="6"/>
        <v/>
      </c>
      <c r="Y40" s="220" t="str">
        <f t="shared" si="7"/>
        <v/>
      </c>
      <c r="Z40" s="219" t="str">
        <f t="shared" si="8"/>
        <v/>
      </c>
      <c r="AA40" s="220" t="str">
        <f t="shared" si="9"/>
        <v/>
      </c>
      <c r="AB40" s="220" t="str">
        <f t="shared" si="10"/>
        <v/>
      </c>
      <c r="AC40" s="219" t="str">
        <f t="shared" si="11"/>
        <v/>
      </c>
      <c r="AD40" s="220" t="str">
        <f t="shared" si="12"/>
        <v/>
      </c>
      <c r="AE40" s="220" t="str">
        <f t="shared" si="13"/>
        <v/>
      </c>
      <c r="AF40" s="219" t="str">
        <f t="shared" si="14"/>
        <v/>
      </c>
      <c r="AG40" s="220" t="str">
        <f t="shared" si="15"/>
        <v/>
      </c>
      <c r="AH40" s="220" t="str">
        <f t="shared" si="16"/>
        <v/>
      </c>
      <c r="AI40" s="219" t="str">
        <f t="shared" si="17"/>
        <v/>
      </c>
      <c r="AJ40" s="220" t="str">
        <f t="shared" si="18"/>
        <v/>
      </c>
      <c r="AK40" s="220" t="str">
        <f t="shared" si="19"/>
        <v/>
      </c>
      <c r="AL40" s="219" t="str">
        <f t="shared" si="20"/>
        <v/>
      </c>
      <c r="AM40" s="220" t="str">
        <f t="shared" si="21"/>
        <v/>
      </c>
      <c r="AN40" s="220" t="str">
        <f t="shared" si="22"/>
        <v/>
      </c>
      <c r="AO40" s="219" t="str">
        <f t="shared" si="23"/>
        <v/>
      </c>
      <c r="AP40" s="220" t="str">
        <f t="shared" si="24"/>
        <v/>
      </c>
      <c r="AQ40" s="220" t="str">
        <f t="shared" si="25"/>
        <v/>
      </c>
      <c r="AR40" s="219" t="str">
        <f t="shared" si="26"/>
        <v/>
      </c>
      <c r="AS40" s="220" t="str">
        <f t="shared" si="27"/>
        <v/>
      </c>
      <c r="AT40" s="220" t="str">
        <f t="shared" si="28"/>
        <v/>
      </c>
      <c r="AU40" s="221"/>
      <c r="AV40" s="221"/>
      <c r="AW40" s="221"/>
      <c r="AY40" s="218" t="str">
        <f t="shared" si="204"/>
        <v/>
      </c>
      <c r="AZ40" s="218" t="str">
        <f t="shared" si="205"/>
        <v/>
      </c>
      <c r="BA40" s="218" t="str">
        <f t="shared" si="30"/>
        <v/>
      </c>
      <c r="BB40" s="218" t="str">
        <f t="shared" si="206"/>
        <v/>
      </c>
      <c r="BC40" s="218" t="str">
        <f t="shared" si="207"/>
        <v/>
      </c>
      <c r="BD40" s="218" t="str">
        <f t="shared" si="31"/>
        <v/>
      </c>
      <c r="BE40" s="218" t="str">
        <f t="shared" si="208"/>
        <v/>
      </c>
      <c r="BF40" s="218" t="str">
        <f t="shared" si="209"/>
        <v/>
      </c>
      <c r="BG40" s="218" t="str">
        <f t="shared" si="32"/>
        <v/>
      </c>
      <c r="BH40" s="218" t="str">
        <f t="shared" si="210"/>
        <v/>
      </c>
      <c r="BI40" s="218" t="str">
        <f t="shared" si="211"/>
        <v/>
      </c>
      <c r="BJ40" s="218" t="str">
        <f t="shared" si="33"/>
        <v/>
      </c>
      <c r="BK40" s="218" t="str">
        <f t="shared" si="212"/>
        <v/>
      </c>
      <c r="BL40" s="218" t="str">
        <f t="shared" si="213"/>
        <v/>
      </c>
      <c r="BM40" s="218" t="str">
        <f t="shared" si="34"/>
        <v/>
      </c>
      <c r="BN40" s="218" t="str">
        <f t="shared" si="214"/>
        <v/>
      </c>
      <c r="BO40" s="218" t="str">
        <f t="shared" si="215"/>
        <v/>
      </c>
      <c r="BP40" s="218" t="str">
        <f t="shared" si="35"/>
        <v/>
      </c>
      <c r="BQ40" s="218" t="str">
        <f t="shared" si="216"/>
        <v/>
      </c>
      <c r="BR40" s="218" t="str">
        <f t="shared" si="217"/>
        <v/>
      </c>
      <c r="BS40" s="218" t="str">
        <f t="shared" si="36"/>
        <v/>
      </c>
      <c r="BT40" s="218" t="str">
        <f t="shared" si="218"/>
        <v/>
      </c>
      <c r="BU40" s="218" t="str">
        <f t="shared" si="219"/>
        <v/>
      </c>
      <c r="BV40" s="218" t="str">
        <f t="shared" si="37"/>
        <v/>
      </c>
      <c r="BW40" s="218" t="str">
        <f t="shared" si="220"/>
        <v/>
      </c>
      <c r="BX40" s="218" t="str">
        <f t="shared" si="221"/>
        <v/>
      </c>
      <c r="BY40" s="218" t="str">
        <f t="shared" si="38"/>
        <v/>
      </c>
      <c r="BZ40" s="218" t="str">
        <f t="shared" si="222"/>
        <v/>
      </c>
      <c r="CA40" s="218" t="str">
        <f t="shared" si="223"/>
        <v/>
      </c>
      <c r="CB40" s="218" t="str">
        <f t="shared" si="39"/>
        <v/>
      </c>
      <c r="CD40" s="218" t="str">
        <f t="shared" si="40"/>
        <v/>
      </c>
      <c r="CE40" s="218" t="str">
        <f t="shared" si="41"/>
        <v/>
      </c>
      <c r="CF40" s="218" t="str">
        <f t="shared" si="42"/>
        <v/>
      </c>
      <c r="CG40" s="218" t="str">
        <f t="shared" si="43"/>
        <v/>
      </c>
      <c r="CH40" s="218" t="str">
        <f t="shared" si="44"/>
        <v/>
      </c>
      <c r="CI40" s="218" t="str">
        <f t="shared" si="45"/>
        <v/>
      </c>
      <c r="CJ40" s="218" t="str">
        <f t="shared" si="46"/>
        <v/>
      </c>
      <c r="CK40" s="218" t="str">
        <f t="shared" si="47"/>
        <v/>
      </c>
      <c r="CL40" s="218" t="str">
        <f t="shared" si="48"/>
        <v/>
      </c>
      <c r="CM40" s="218" t="str">
        <f t="shared" si="49"/>
        <v/>
      </c>
      <c r="CN40" s="218" t="str">
        <f t="shared" si="50"/>
        <v/>
      </c>
      <c r="CO40" s="218" t="str">
        <f t="shared" si="51"/>
        <v/>
      </c>
      <c r="CP40" s="218" t="str">
        <f t="shared" si="52"/>
        <v/>
      </c>
      <c r="CQ40" s="218" t="str">
        <f t="shared" si="53"/>
        <v/>
      </c>
      <c r="CR40" s="218" t="str">
        <f t="shared" si="54"/>
        <v/>
      </c>
      <c r="CS40" s="218" t="str">
        <f t="shared" si="55"/>
        <v/>
      </c>
      <c r="CT40" s="218" t="str">
        <f t="shared" si="56"/>
        <v/>
      </c>
      <c r="CU40" s="218" t="str">
        <f t="shared" si="57"/>
        <v/>
      </c>
      <c r="CV40" s="218" t="str">
        <f t="shared" si="58"/>
        <v/>
      </c>
      <c r="CW40" s="218" t="str">
        <f t="shared" si="59"/>
        <v/>
      </c>
      <c r="CX40" s="218" t="str">
        <f t="shared" si="60"/>
        <v/>
      </c>
      <c r="CY40" s="218" t="str">
        <f t="shared" si="61"/>
        <v/>
      </c>
      <c r="CZ40" s="218" t="str">
        <f t="shared" si="62"/>
        <v/>
      </c>
      <c r="DA40" s="218" t="str">
        <f t="shared" si="63"/>
        <v/>
      </c>
      <c r="DB40" s="218" t="str">
        <f t="shared" si="64"/>
        <v/>
      </c>
      <c r="DC40" s="218" t="str">
        <f t="shared" si="65"/>
        <v/>
      </c>
      <c r="DD40" s="218" t="str">
        <f t="shared" si="66"/>
        <v/>
      </c>
      <c r="DF40" s="218" t="str">
        <f t="shared" si="67"/>
        <v/>
      </c>
      <c r="DG40" s="218" t="str">
        <f t="shared" si="68"/>
        <v/>
      </c>
      <c r="DH40" s="218" t="str">
        <f t="shared" si="69"/>
        <v/>
      </c>
      <c r="DI40" s="218" t="str">
        <f t="shared" si="70"/>
        <v/>
      </c>
      <c r="DJ40" s="218" t="str">
        <f t="shared" si="71"/>
        <v/>
      </c>
      <c r="DK40" s="218" t="str">
        <f t="shared" si="72"/>
        <v/>
      </c>
      <c r="DL40" s="218" t="str">
        <f t="shared" si="73"/>
        <v/>
      </c>
      <c r="DM40" s="218" t="str">
        <f t="shared" si="74"/>
        <v/>
      </c>
      <c r="DN40" s="218" t="str">
        <f t="shared" si="75"/>
        <v/>
      </c>
      <c r="DO40" s="218" t="str">
        <f t="shared" si="76"/>
        <v/>
      </c>
      <c r="DP40" s="218" t="str">
        <f t="shared" si="77"/>
        <v/>
      </c>
      <c r="DQ40" s="218" t="str">
        <f t="shared" si="78"/>
        <v/>
      </c>
      <c r="DR40" s="218" t="str">
        <f t="shared" si="79"/>
        <v/>
      </c>
      <c r="DS40" s="218" t="str">
        <f t="shared" si="80"/>
        <v/>
      </c>
      <c r="DT40" s="218" t="str">
        <f t="shared" si="81"/>
        <v/>
      </c>
      <c r="DU40" s="218" t="str">
        <f t="shared" si="82"/>
        <v/>
      </c>
      <c r="DV40" s="218" t="str">
        <f t="shared" si="83"/>
        <v/>
      </c>
      <c r="DW40" s="218" t="str">
        <f t="shared" si="84"/>
        <v/>
      </c>
      <c r="DX40" s="218" t="str">
        <f t="shared" si="85"/>
        <v/>
      </c>
      <c r="DY40" s="218" t="str">
        <f t="shared" si="86"/>
        <v/>
      </c>
      <c r="DZ40" s="218" t="str">
        <f t="shared" si="87"/>
        <v/>
      </c>
      <c r="EA40" s="218" t="str">
        <f t="shared" si="88"/>
        <v/>
      </c>
      <c r="EB40" s="218" t="str">
        <f t="shared" si="89"/>
        <v/>
      </c>
      <c r="EC40" s="218" t="str">
        <f t="shared" si="90"/>
        <v/>
      </c>
      <c r="EE40" s="218" t="str">
        <f t="shared" si="91"/>
        <v/>
      </c>
      <c r="EF40" s="218" t="str">
        <f t="shared" si="92"/>
        <v/>
      </c>
      <c r="EG40" s="218" t="str">
        <f t="shared" si="93"/>
        <v/>
      </c>
      <c r="EH40" s="218" t="str">
        <f t="shared" si="94"/>
        <v/>
      </c>
      <c r="EI40" s="218" t="str">
        <f t="shared" si="95"/>
        <v/>
      </c>
      <c r="EJ40" s="218" t="str">
        <f t="shared" si="96"/>
        <v/>
      </c>
      <c r="EK40" s="218" t="str">
        <f t="shared" si="97"/>
        <v/>
      </c>
      <c r="EL40" s="218" t="str">
        <f t="shared" si="98"/>
        <v/>
      </c>
      <c r="EM40" s="218" t="str">
        <f t="shared" si="99"/>
        <v/>
      </c>
      <c r="EN40" s="218" t="str">
        <f t="shared" si="100"/>
        <v/>
      </c>
      <c r="EO40" s="218" t="str">
        <f t="shared" si="101"/>
        <v/>
      </c>
      <c r="EP40" s="218" t="str">
        <f t="shared" si="102"/>
        <v/>
      </c>
      <c r="EQ40" s="218" t="str">
        <f t="shared" si="103"/>
        <v/>
      </c>
      <c r="ER40" s="218" t="str">
        <f t="shared" si="104"/>
        <v/>
      </c>
      <c r="ES40" s="218" t="str">
        <f t="shared" si="105"/>
        <v/>
      </c>
      <c r="ET40" s="218" t="str">
        <f t="shared" si="106"/>
        <v/>
      </c>
      <c r="EU40" s="218" t="str">
        <f t="shared" si="107"/>
        <v/>
      </c>
      <c r="EV40" s="218" t="str">
        <f t="shared" si="108"/>
        <v/>
      </c>
      <c r="EW40" s="218" t="str">
        <f t="shared" si="109"/>
        <v/>
      </c>
      <c r="EX40" s="218" t="str">
        <f t="shared" si="110"/>
        <v/>
      </c>
      <c r="EY40" s="218" t="str">
        <f t="shared" si="111"/>
        <v/>
      </c>
      <c r="FA40" s="218" t="str">
        <f t="shared" si="112"/>
        <v/>
      </c>
      <c r="FB40" s="218" t="str">
        <f t="shared" si="113"/>
        <v/>
      </c>
      <c r="FC40" s="218" t="str">
        <f t="shared" si="114"/>
        <v/>
      </c>
      <c r="FD40" s="218" t="str">
        <f t="shared" si="115"/>
        <v/>
      </c>
      <c r="FE40" s="218" t="str">
        <f t="shared" si="116"/>
        <v/>
      </c>
      <c r="FF40" s="218" t="str">
        <f t="shared" si="117"/>
        <v/>
      </c>
      <c r="FG40" s="218" t="str">
        <f t="shared" si="118"/>
        <v/>
      </c>
      <c r="FH40" s="218" t="str">
        <f t="shared" si="119"/>
        <v/>
      </c>
      <c r="FI40" s="218" t="str">
        <f t="shared" si="120"/>
        <v/>
      </c>
      <c r="FJ40" s="218" t="str">
        <f t="shared" si="121"/>
        <v/>
      </c>
      <c r="FK40" s="218" t="str">
        <f t="shared" si="122"/>
        <v/>
      </c>
      <c r="FL40" s="218" t="str">
        <f t="shared" si="123"/>
        <v/>
      </c>
      <c r="FM40" s="218" t="str">
        <f t="shared" si="124"/>
        <v/>
      </c>
      <c r="FN40" s="218" t="str">
        <f t="shared" si="125"/>
        <v/>
      </c>
      <c r="FO40" s="218" t="str">
        <f t="shared" si="126"/>
        <v/>
      </c>
      <c r="FP40" s="218" t="str">
        <f t="shared" si="127"/>
        <v/>
      </c>
      <c r="FQ40" s="218" t="str">
        <f t="shared" si="128"/>
        <v/>
      </c>
      <c r="FR40" s="218" t="str">
        <f t="shared" si="129"/>
        <v/>
      </c>
      <c r="FT40" s="218" t="str">
        <f t="shared" si="130"/>
        <v/>
      </c>
      <c r="FU40" s="218" t="str">
        <f t="shared" si="131"/>
        <v/>
      </c>
      <c r="FV40" s="218" t="str">
        <f t="shared" si="132"/>
        <v/>
      </c>
      <c r="FW40" s="218" t="str">
        <f t="shared" si="133"/>
        <v/>
      </c>
      <c r="FX40" s="218" t="str">
        <f t="shared" si="134"/>
        <v/>
      </c>
      <c r="FY40" s="218" t="str">
        <f t="shared" si="135"/>
        <v/>
      </c>
      <c r="FZ40" s="218" t="str">
        <f t="shared" si="136"/>
        <v/>
      </c>
      <c r="GA40" s="218" t="str">
        <f t="shared" si="137"/>
        <v/>
      </c>
      <c r="GB40" s="218" t="str">
        <f t="shared" si="138"/>
        <v/>
      </c>
      <c r="GC40" s="218" t="str">
        <f t="shared" si="139"/>
        <v/>
      </c>
      <c r="GD40" s="218" t="str">
        <f t="shared" si="140"/>
        <v/>
      </c>
      <c r="GE40" s="218" t="str">
        <f t="shared" si="141"/>
        <v/>
      </c>
      <c r="GF40" s="218" t="str">
        <f t="shared" si="142"/>
        <v/>
      </c>
      <c r="GG40" s="218" t="str">
        <f t="shared" si="143"/>
        <v/>
      </c>
      <c r="GH40" s="218" t="str">
        <f t="shared" si="144"/>
        <v/>
      </c>
      <c r="GJ40" s="218" t="str">
        <f t="shared" si="145"/>
        <v/>
      </c>
      <c r="GK40" s="218" t="str">
        <f t="shared" si="146"/>
        <v/>
      </c>
      <c r="GL40" s="218" t="str">
        <f t="shared" si="147"/>
        <v/>
      </c>
      <c r="GM40" s="218" t="str">
        <f t="shared" si="148"/>
        <v/>
      </c>
      <c r="GN40" s="218" t="str">
        <f t="shared" si="149"/>
        <v/>
      </c>
      <c r="GO40" s="218" t="str">
        <f t="shared" si="150"/>
        <v/>
      </c>
      <c r="GP40" s="218" t="str">
        <f t="shared" si="151"/>
        <v/>
      </c>
      <c r="GQ40" s="218" t="str">
        <f t="shared" si="152"/>
        <v/>
      </c>
      <c r="GR40" s="218" t="str">
        <f t="shared" si="153"/>
        <v/>
      </c>
      <c r="GS40" s="218" t="str">
        <f t="shared" si="154"/>
        <v/>
      </c>
      <c r="GT40" s="218" t="str">
        <f t="shared" si="155"/>
        <v/>
      </c>
      <c r="GU40" s="218" t="str">
        <f t="shared" si="156"/>
        <v/>
      </c>
      <c r="GW40" s="218" t="str">
        <f t="shared" si="157"/>
        <v/>
      </c>
      <c r="GX40" s="218" t="str">
        <f t="shared" si="158"/>
        <v/>
      </c>
      <c r="GY40" s="218" t="str">
        <f t="shared" si="159"/>
        <v/>
      </c>
      <c r="GZ40" s="218" t="str">
        <f t="shared" si="160"/>
        <v/>
      </c>
      <c r="HA40" s="218" t="str">
        <f t="shared" si="161"/>
        <v/>
      </c>
      <c r="HB40" s="218" t="str">
        <f t="shared" si="162"/>
        <v/>
      </c>
      <c r="HC40" s="218" t="str">
        <f t="shared" si="163"/>
        <v/>
      </c>
      <c r="HD40" s="218" t="str">
        <f t="shared" si="164"/>
        <v/>
      </c>
      <c r="HE40" s="218" t="str">
        <f t="shared" si="165"/>
        <v/>
      </c>
      <c r="HG40" s="218" t="str">
        <f t="shared" si="166"/>
        <v/>
      </c>
      <c r="HH40" s="218" t="str">
        <f t="shared" si="167"/>
        <v/>
      </c>
      <c r="HI40" s="218" t="str">
        <f t="shared" si="168"/>
        <v/>
      </c>
      <c r="HJ40" s="218" t="str">
        <f t="shared" si="169"/>
        <v/>
      </c>
      <c r="HK40" s="218" t="str">
        <f t="shared" si="170"/>
        <v/>
      </c>
      <c r="HL40" s="218" t="str">
        <f t="shared" si="171"/>
        <v/>
      </c>
      <c r="HN40" s="218" t="str">
        <f t="shared" si="172"/>
        <v/>
      </c>
      <c r="HO40" s="218" t="str">
        <f t="shared" si="173"/>
        <v/>
      </c>
      <c r="HP40" s="218" t="str">
        <f t="shared" si="174"/>
        <v/>
      </c>
      <c r="HR40" s="218" t="str">
        <f t="shared" si="224"/>
        <v/>
      </c>
      <c r="HS40" s="218" t="str">
        <f t="shared" si="225"/>
        <v/>
      </c>
      <c r="HT40" s="218" t="str">
        <f t="shared" si="175"/>
        <v/>
      </c>
      <c r="HU40" s="218" t="str">
        <f t="shared" si="176"/>
        <v/>
      </c>
      <c r="HV40" s="218" t="str">
        <f t="shared" si="177"/>
        <v/>
      </c>
      <c r="HW40" s="218" t="str">
        <f t="shared" si="178"/>
        <v/>
      </c>
      <c r="HX40" s="218" t="str">
        <f t="shared" si="179"/>
        <v/>
      </c>
      <c r="HY40" s="218" t="str">
        <f t="shared" si="180"/>
        <v/>
      </c>
      <c r="HZ40" s="218" t="str">
        <f t="shared" si="181"/>
        <v/>
      </c>
      <c r="IA40" s="218" t="str">
        <f t="shared" si="182"/>
        <v/>
      </c>
      <c r="IB40" s="218" t="str">
        <f t="shared" si="183"/>
        <v/>
      </c>
      <c r="IC40" s="218" t="str">
        <f t="shared" si="184"/>
        <v/>
      </c>
      <c r="ID40" s="218" t="str">
        <f t="shared" si="185"/>
        <v/>
      </c>
      <c r="IE40" s="218" t="str">
        <f t="shared" si="186"/>
        <v/>
      </c>
      <c r="IF40" s="218" t="str">
        <f t="shared" si="187"/>
        <v/>
      </c>
      <c r="IG40" s="218" t="str">
        <f t="shared" si="188"/>
        <v/>
      </c>
      <c r="IH40" s="218" t="str">
        <f t="shared" si="189"/>
        <v/>
      </c>
      <c r="II40" s="218" t="str">
        <f t="shared" si="190"/>
        <v/>
      </c>
      <c r="IJ40" s="218" t="str">
        <f t="shared" si="191"/>
        <v/>
      </c>
      <c r="IK40" s="218" t="str">
        <f t="shared" si="192"/>
        <v/>
      </c>
      <c r="IL40" s="218" t="str">
        <f t="shared" si="193"/>
        <v/>
      </c>
      <c r="IM40" s="218" t="str">
        <f t="shared" si="194"/>
        <v/>
      </c>
      <c r="IN40" s="218" t="str">
        <f t="shared" si="195"/>
        <v/>
      </c>
      <c r="IO40" s="218" t="str">
        <f t="shared" si="196"/>
        <v/>
      </c>
      <c r="IP40" s="218" t="str">
        <f t="shared" si="197"/>
        <v/>
      </c>
      <c r="IQ40" s="218" t="str">
        <f t="shared" si="198"/>
        <v/>
      </c>
      <c r="IR40" s="218" t="str">
        <f t="shared" si="199"/>
        <v/>
      </c>
      <c r="IS40" s="218" t="str">
        <f t="shared" si="200"/>
        <v/>
      </c>
      <c r="IT40" s="218" t="str">
        <f t="shared" si="201"/>
        <v/>
      </c>
      <c r="IU40" s="218" t="str">
        <f t="shared" si="202"/>
        <v/>
      </c>
    </row>
    <row r="41" spans="1:255" x14ac:dyDescent="0.2">
      <c r="A41" s="200" t="s">
        <v>44</v>
      </c>
      <c r="B41" s="178"/>
      <c r="C41" s="179"/>
      <c r="D41" s="181"/>
      <c r="E41" s="181"/>
      <c r="F41" s="181"/>
      <c r="G41" s="181"/>
      <c r="H41" s="181"/>
      <c r="I41" s="181"/>
      <c r="J41" s="181"/>
      <c r="K41" s="183"/>
      <c r="L41" s="217" t="str">
        <f t="shared" si="29"/>
        <v/>
      </c>
      <c r="M41" s="218" t="str">
        <f>'HKG vs. BK'!M41</f>
        <v/>
      </c>
      <c r="N41" s="218" t="str">
        <f>'HKG vs. BK'!N41</f>
        <v/>
      </c>
      <c r="O41" s="218" t="str">
        <f>'HKG vs. BK'!O41</f>
        <v/>
      </c>
      <c r="P41" s="218" t="str">
        <f>'HKG vs. BK'!P41</f>
        <v/>
      </c>
      <c r="Q41" s="219" t="str">
        <f t="shared" si="203"/>
        <v/>
      </c>
      <c r="R41" s="220" t="str">
        <f t="shared" si="0"/>
        <v/>
      </c>
      <c r="S41" s="220" t="str">
        <f t="shared" si="1"/>
        <v/>
      </c>
      <c r="T41" s="219" t="str">
        <f t="shared" si="2"/>
        <v/>
      </c>
      <c r="U41" s="220" t="str">
        <f t="shared" si="3"/>
        <v/>
      </c>
      <c r="V41" s="220" t="str">
        <f t="shared" si="4"/>
        <v/>
      </c>
      <c r="W41" s="219" t="str">
        <f t="shared" si="5"/>
        <v/>
      </c>
      <c r="X41" s="220" t="str">
        <f t="shared" si="6"/>
        <v/>
      </c>
      <c r="Y41" s="220" t="str">
        <f t="shared" si="7"/>
        <v/>
      </c>
      <c r="Z41" s="219" t="str">
        <f t="shared" si="8"/>
        <v/>
      </c>
      <c r="AA41" s="220" t="str">
        <f t="shared" si="9"/>
        <v/>
      </c>
      <c r="AB41" s="220" t="str">
        <f t="shared" si="10"/>
        <v/>
      </c>
      <c r="AC41" s="219" t="str">
        <f t="shared" si="11"/>
        <v/>
      </c>
      <c r="AD41" s="220" t="str">
        <f t="shared" si="12"/>
        <v/>
      </c>
      <c r="AE41" s="220" t="str">
        <f t="shared" si="13"/>
        <v/>
      </c>
      <c r="AF41" s="219" t="str">
        <f t="shared" si="14"/>
        <v/>
      </c>
      <c r="AG41" s="220" t="str">
        <f t="shared" si="15"/>
        <v/>
      </c>
      <c r="AH41" s="220" t="str">
        <f t="shared" si="16"/>
        <v/>
      </c>
      <c r="AI41" s="219" t="str">
        <f t="shared" si="17"/>
        <v/>
      </c>
      <c r="AJ41" s="220" t="str">
        <f t="shared" si="18"/>
        <v/>
      </c>
      <c r="AK41" s="220" t="str">
        <f t="shared" si="19"/>
        <v/>
      </c>
      <c r="AL41" s="219" t="str">
        <f t="shared" si="20"/>
        <v/>
      </c>
      <c r="AM41" s="220" t="str">
        <f t="shared" si="21"/>
        <v/>
      </c>
      <c r="AN41" s="220" t="str">
        <f t="shared" si="22"/>
        <v/>
      </c>
      <c r="AO41" s="219" t="str">
        <f t="shared" si="23"/>
        <v/>
      </c>
      <c r="AP41" s="220" t="str">
        <f t="shared" si="24"/>
        <v/>
      </c>
      <c r="AQ41" s="220" t="str">
        <f t="shared" si="25"/>
        <v/>
      </c>
      <c r="AR41" s="219" t="str">
        <f t="shared" si="26"/>
        <v/>
      </c>
      <c r="AS41" s="220" t="str">
        <f t="shared" si="27"/>
        <v/>
      </c>
      <c r="AT41" s="220" t="str">
        <f t="shared" si="28"/>
        <v/>
      </c>
      <c r="AU41" s="221"/>
      <c r="AV41" s="221"/>
      <c r="AW41" s="221"/>
      <c r="AY41" s="218" t="str">
        <f t="shared" si="204"/>
        <v/>
      </c>
      <c r="AZ41" s="218" t="str">
        <f t="shared" si="205"/>
        <v/>
      </c>
      <c r="BA41" s="218" t="str">
        <f t="shared" si="30"/>
        <v/>
      </c>
      <c r="BB41" s="218" t="str">
        <f t="shared" si="206"/>
        <v/>
      </c>
      <c r="BC41" s="218" t="str">
        <f t="shared" si="207"/>
        <v/>
      </c>
      <c r="BD41" s="218" t="str">
        <f t="shared" si="31"/>
        <v/>
      </c>
      <c r="BE41" s="218" t="str">
        <f t="shared" si="208"/>
        <v/>
      </c>
      <c r="BF41" s="218" t="str">
        <f t="shared" si="209"/>
        <v/>
      </c>
      <c r="BG41" s="218" t="str">
        <f t="shared" si="32"/>
        <v/>
      </c>
      <c r="BH41" s="218" t="str">
        <f t="shared" si="210"/>
        <v/>
      </c>
      <c r="BI41" s="218" t="str">
        <f t="shared" si="211"/>
        <v/>
      </c>
      <c r="BJ41" s="218" t="str">
        <f t="shared" si="33"/>
        <v/>
      </c>
      <c r="BK41" s="218" t="str">
        <f t="shared" si="212"/>
        <v/>
      </c>
      <c r="BL41" s="218" t="str">
        <f t="shared" si="213"/>
        <v/>
      </c>
      <c r="BM41" s="218" t="str">
        <f t="shared" si="34"/>
        <v/>
      </c>
      <c r="BN41" s="218" t="str">
        <f t="shared" si="214"/>
        <v/>
      </c>
      <c r="BO41" s="218" t="str">
        <f t="shared" si="215"/>
        <v/>
      </c>
      <c r="BP41" s="218" t="str">
        <f t="shared" si="35"/>
        <v/>
      </c>
      <c r="BQ41" s="218" t="str">
        <f t="shared" si="216"/>
        <v/>
      </c>
      <c r="BR41" s="218" t="str">
        <f t="shared" si="217"/>
        <v/>
      </c>
      <c r="BS41" s="218" t="str">
        <f t="shared" si="36"/>
        <v/>
      </c>
      <c r="BT41" s="218" t="str">
        <f t="shared" si="218"/>
        <v/>
      </c>
      <c r="BU41" s="218" t="str">
        <f t="shared" si="219"/>
        <v/>
      </c>
      <c r="BV41" s="218" t="str">
        <f t="shared" si="37"/>
        <v/>
      </c>
      <c r="BW41" s="218" t="str">
        <f t="shared" si="220"/>
        <v/>
      </c>
      <c r="BX41" s="218" t="str">
        <f t="shared" si="221"/>
        <v/>
      </c>
      <c r="BY41" s="218" t="str">
        <f t="shared" si="38"/>
        <v/>
      </c>
      <c r="BZ41" s="218" t="str">
        <f t="shared" si="222"/>
        <v/>
      </c>
      <c r="CA41" s="218" t="str">
        <f t="shared" si="223"/>
        <v/>
      </c>
      <c r="CB41" s="218" t="str">
        <f t="shared" si="39"/>
        <v/>
      </c>
      <c r="CD41" s="218" t="str">
        <f t="shared" si="40"/>
        <v/>
      </c>
      <c r="CE41" s="218" t="str">
        <f t="shared" si="41"/>
        <v/>
      </c>
      <c r="CF41" s="218" t="str">
        <f t="shared" si="42"/>
        <v/>
      </c>
      <c r="CG41" s="218" t="str">
        <f t="shared" si="43"/>
        <v/>
      </c>
      <c r="CH41" s="218" t="str">
        <f t="shared" si="44"/>
        <v/>
      </c>
      <c r="CI41" s="218" t="str">
        <f t="shared" si="45"/>
        <v/>
      </c>
      <c r="CJ41" s="218" t="str">
        <f t="shared" si="46"/>
        <v/>
      </c>
      <c r="CK41" s="218" t="str">
        <f t="shared" si="47"/>
        <v/>
      </c>
      <c r="CL41" s="218" t="str">
        <f t="shared" si="48"/>
        <v/>
      </c>
      <c r="CM41" s="218" t="str">
        <f t="shared" si="49"/>
        <v/>
      </c>
      <c r="CN41" s="218" t="str">
        <f t="shared" si="50"/>
        <v/>
      </c>
      <c r="CO41" s="218" t="str">
        <f t="shared" si="51"/>
        <v/>
      </c>
      <c r="CP41" s="218" t="str">
        <f t="shared" si="52"/>
        <v/>
      </c>
      <c r="CQ41" s="218" t="str">
        <f t="shared" si="53"/>
        <v/>
      </c>
      <c r="CR41" s="218" t="str">
        <f t="shared" si="54"/>
        <v/>
      </c>
      <c r="CS41" s="218" t="str">
        <f t="shared" si="55"/>
        <v/>
      </c>
      <c r="CT41" s="218" t="str">
        <f t="shared" si="56"/>
        <v/>
      </c>
      <c r="CU41" s="218" t="str">
        <f t="shared" si="57"/>
        <v/>
      </c>
      <c r="CV41" s="218" t="str">
        <f t="shared" si="58"/>
        <v/>
      </c>
      <c r="CW41" s="218" t="str">
        <f t="shared" si="59"/>
        <v/>
      </c>
      <c r="CX41" s="218" t="str">
        <f t="shared" si="60"/>
        <v/>
      </c>
      <c r="CY41" s="218" t="str">
        <f t="shared" si="61"/>
        <v/>
      </c>
      <c r="CZ41" s="218" t="str">
        <f t="shared" si="62"/>
        <v/>
      </c>
      <c r="DA41" s="218" t="str">
        <f t="shared" si="63"/>
        <v/>
      </c>
      <c r="DB41" s="218" t="str">
        <f t="shared" si="64"/>
        <v/>
      </c>
      <c r="DC41" s="218" t="str">
        <f t="shared" si="65"/>
        <v/>
      </c>
      <c r="DD41" s="218" t="str">
        <f t="shared" si="66"/>
        <v/>
      </c>
      <c r="DF41" s="218" t="str">
        <f t="shared" si="67"/>
        <v/>
      </c>
      <c r="DG41" s="218" t="str">
        <f t="shared" si="68"/>
        <v/>
      </c>
      <c r="DH41" s="218" t="str">
        <f t="shared" si="69"/>
        <v/>
      </c>
      <c r="DI41" s="218" t="str">
        <f t="shared" si="70"/>
        <v/>
      </c>
      <c r="DJ41" s="218" t="str">
        <f t="shared" si="71"/>
        <v/>
      </c>
      <c r="DK41" s="218" t="str">
        <f t="shared" si="72"/>
        <v/>
      </c>
      <c r="DL41" s="218" t="str">
        <f t="shared" si="73"/>
        <v/>
      </c>
      <c r="DM41" s="218" t="str">
        <f t="shared" si="74"/>
        <v/>
      </c>
      <c r="DN41" s="218" t="str">
        <f t="shared" si="75"/>
        <v/>
      </c>
      <c r="DO41" s="218" t="str">
        <f t="shared" si="76"/>
        <v/>
      </c>
      <c r="DP41" s="218" t="str">
        <f t="shared" si="77"/>
        <v/>
      </c>
      <c r="DQ41" s="218" t="str">
        <f t="shared" si="78"/>
        <v/>
      </c>
      <c r="DR41" s="218" t="str">
        <f t="shared" si="79"/>
        <v/>
      </c>
      <c r="DS41" s="218" t="str">
        <f t="shared" si="80"/>
        <v/>
      </c>
      <c r="DT41" s="218" t="str">
        <f t="shared" si="81"/>
        <v/>
      </c>
      <c r="DU41" s="218" t="str">
        <f t="shared" si="82"/>
        <v/>
      </c>
      <c r="DV41" s="218" t="str">
        <f t="shared" si="83"/>
        <v/>
      </c>
      <c r="DW41" s="218" t="str">
        <f t="shared" si="84"/>
        <v/>
      </c>
      <c r="DX41" s="218" t="str">
        <f t="shared" si="85"/>
        <v/>
      </c>
      <c r="DY41" s="218" t="str">
        <f t="shared" si="86"/>
        <v/>
      </c>
      <c r="DZ41" s="218" t="str">
        <f t="shared" si="87"/>
        <v/>
      </c>
      <c r="EA41" s="218" t="str">
        <f t="shared" si="88"/>
        <v/>
      </c>
      <c r="EB41" s="218" t="str">
        <f t="shared" si="89"/>
        <v/>
      </c>
      <c r="EC41" s="218" t="str">
        <f t="shared" si="90"/>
        <v/>
      </c>
      <c r="EE41" s="218" t="str">
        <f t="shared" si="91"/>
        <v/>
      </c>
      <c r="EF41" s="218" t="str">
        <f t="shared" si="92"/>
        <v/>
      </c>
      <c r="EG41" s="218" t="str">
        <f t="shared" si="93"/>
        <v/>
      </c>
      <c r="EH41" s="218" t="str">
        <f t="shared" si="94"/>
        <v/>
      </c>
      <c r="EI41" s="218" t="str">
        <f t="shared" si="95"/>
        <v/>
      </c>
      <c r="EJ41" s="218" t="str">
        <f t="shared" si="96"/>
        <v/>
      </c>
      <c r="EK41" s="218" t="str">
        <f t="shared" si="97"/>
        <v/>
      </c>
      <c r="EL41" s="218" t="str">
        <f t="shared" si="98"/>
        <v/>
      </c>
      <c r="EM41" s="218" t="str">
        <f t="shared" si="99"/>
        <v/>
      </c>
      <c r="EN41" s="218" t="str">
        <f t="shared" si="100"/>
        <v/>
      </c>
      <c r="EO41" s="218" t="str">
        <f t="shared" si="101"/>
        <v/>
      </c>
      <c r="EP41" s="218" t="str">
        <f t="shared" si="102"/>
        <v/>
      </c>
      <c r="EQ41" s="218" t="str">
        <f t="shared" si="103"/>
        <v/>
      </c>
      <c r="ER41" s="218" t="str">
        <f t="shared" si="104"/>
        <v/>
      </c>
      <c r="ES41" s="218" t="str">
        <f t="shared" si="105"/>
        <v/>
      </c>
      <c r="ET41" s="218" t="str">
        <f t="shared" si="106"/>
        <v/>
      </c>
      <c r="EU41" s="218" t="str">
        <f t="shared" si="107"/>
        <v/>
      </c>
      <c r="EV41" s="218" t="str">
        <f t="shared" si="108"/>
        <v/>
      </c>
      <c r="EW41" s="218" t="str">
        <f t="shared" si="109"/>
        <v/>
      </c>
      <c r="EX41" s="218" t="str">
        <f t="shared" si="110"/>
        <v/>
      </c>
      <c r="EY41" s="218" t="str">
        <f t="shared" si="111"/>
        <v/>
      </c>
      <c r="FA41" s="218" t="str">
        <f t="shared" si="112"/>
        <v/>
      </c>
      <c r="FB41" s="218" t="str">
        <f t="shared" si="113"/>
        <v/>
      </c>
      <c r="FC41" s="218" t="str">
        <f t="shared" si="114"/>
        <v/>
      </c>
      <c r="FD41" s="218" t="str">
        <f t="shared" si="115"/>
        <v/>
      </c>
      <c r="FE41" s="218" t="str">
        <f t="shared" si="116"/>
        <v/>
      </c>
      <c r="FF41" s="218" t="str">
        <f t="shared" si="117"/>
        <v/>
      </c>
      <c r="FG41" s="218" t="str">
        <f t="shared" si="118"/>
        <v/>
      </c>
      <c r="FH41" s="218" t="str">
        <f t="shared" si="119"/>
        <v/>
      </c>
      <c r="FI41" s="218" t="str">
        <f t="shared" si="120"/>
        <v/>
      </c>
      <c r="FJ41" s="218" t="str">
        <f t="shared" si="121"/>
        <v/>
      </c>
      <c r="FK41" s="218" t="str">
        <f t="shared" si="122"/>
        <v/>
      </c>
      <c r="FL41" s="218" t="str">
        <f t="shared" si="123"/>
        <v/>
      </c>
      <c r="FM41" s="218" t="str">
        <f t="shared" si="124"/>
        <v/>
      </c>
      <c r="FN41" s="218" t="str">
        <f t="shared" si="125"/>
        <v/>
      </c>
      <c r="FO41" s="218" t="str">
        <f t="shared" si="126"/>
        <v/>
      </c>
      <c r="FP41" s="218" t="str">
        <f t="shared" si="127"/>
        <v/>
      </c>
      <c r="FQ41" s="218" t="str">
        <f t="shared" si="128"/>
        <v/>
      </c>
      <c r="FR41" s="218" t="str">
        <f t="shared" si="129"/>
        <v/>
      </c>
      <c r="FT41" s="218" t="str">
        <f t="shared" si="130"/>
        <v/>
      </c>
      <c r="FU41" s="218" t="str">
        <f t="shared" si="131"/>
        <v/>
      </c>
      <c r="FV41" s="218" t="str">
        <f t="shared" si="132"/>
        <v/>
      </c>
      <c r="FW41" s="218" t="str">
        <f t="shared" si="133"/>
        <v/>
      </c>
      <c r="FX41" s="218" t="str">
        <f t="shared" si="134"/>
        <v/>
      </c>
      <c r="FY41" s="218" t="str">
        <f t="shared" si="135"/>
        <v/>
      </c>
      <c r="FZ41" s="218" t="str">
        <f t="shared" si="136"/>
        <v/>
      </c>
      <c r="GA41" s="218" t="str">
        <f t="shared" si="137"/>
        <v/>
      </c>
      <c r="GB41" s="218" t="str">
        <f t="shared" si="138"/>
        <v/>
      </c>
      <c r="GC41" s="218" t="str">
        <f t="shared" si="139"/>
        <v/>
      </c>
      <c r="GD41" s="218" t="str">
        <f t="shared" si="140"/>
        <v/>
      </c>
      <c r="GE41" s="218" t="str">
        <f t="shared" si="141"/>
        <v/>
      </c>
      <c r="GF41" s="218" t="str">
        <f t="shared" si="142"/>
        <v/>
      </c>
      <c r="GG41" s="218" t="str">
        <f t="shared" si="143"/>
        <v/>
      </c>
      <c r="GH41" s="218" t="str">
        <f t="shared" si="144"/>
        <v/>
      </c>
      <c r="GJ41" s="218" t="str">
        <f t="shared" si="145"/>
        <v/>
      </c>
      <c r="GK41" s="218" t="str">
        <f t="shared" si="146"/>
        <v/>
      </c>
      <c r="GL41" s="218" t="str">
        <f t="shared" si="147"/>
        <v/>
      </c>
      <c r="GM41" s="218" t="str">
        <f t="shared" si="148"/>
        <v/>
      </c>
      <c r="GN41" s="218" t="str">
        <f t="shared" si="149"/>
        <v/>
      </c>
      <c r="GO41" s="218" t="str">
        <f t="shared" si="150"/>
        <v/>
      </c>
      <c r="GP41" s="218" t="str">
        <f t="shared" si="151"/>
        <v/>
      </c>
      <c r="GQ41" s="218" t="str">
        <f t="shared" si="152"/>
        <v/>
      </c>
      <c r="GR41" s="218" t="str">
        <f t="shared" si="153"/>
        <v/>
      </c>
      <c r="GS41" s="218" t="str">
        <f t="shared" si="154"/>
        <v/>
      </c>
      <c r="GT41" s="218" t="str">
        <f t="shared" si="155"/>
        <v/>
      </c>
      <c r="GU41" s="218" t="str">
        <f t="shared" si="156"/>
        <v/>
      </c>
      <c r="GW41" s="218" t="str">
        <f t="shared" si="157"/>
        <v/>
      </c>
      <c r="GX41" s="218" t="str">
        <f t="shared" si="158"/>
        <v/>
      </c>
      <c r="GY41" s="218" t="str">
        <f t="shared" si="159"/>
        <v/>
      </c>
      <c r="GZ41" s="218" t="str">
        <f t="shared" si="160"/>
        <v/>
      </c>
      <c r="HA41" s="218" t="str">
        <f t="shared" si="161"/>
        <v/>
      </c>
      <c r="HB41" s="218" t="str">
        <f t="shared" si="162"/>
        <v/>
      </c>
      <c r="HC41" s="218" t="str">
        <f t="shared" si="163"/>
        <v/>
      </c>
      <c r="HD41" s="218" t="str">
        <f t="shared" si="164"/>
        <v/>
      </c>
      <c r="HE41" s="218" t="str">
        <f t="shared" si="165"/>
        <v/>
      </c>
      <c r="HG41" s="218" t="str">
        <f t="shared" si="166"/>
        <v/>
      </c>
      <c r="HH41" s="218" t="str">
        <f t="shared" si="167"/>
        <v/>
      </c>
      <c r="HI41" s="218" t="str">
        <f t="shared" si="168"/>
        <v/>
      </c>
      <c r="HJ41" s="218" t="str">
        <f t="shared" si="169"/>
        <v/>
      </c>
      <c r="HK41" s="218" t="str">
        <f t="shared" si="170"/>
        <v/>
      </c>
      <c r="HL41" s="218" t="str">
        <f t="shared" si="171"/>
        <v/>
      </c>
      <c r="HN41" s="218" t="str">
        <f t="shared" si="172"/>
        <v/>
      </c>
      <c r="HO41" s="218" t="str">
        <f t="shared" si="173"/>
        <v/>
      </c>
      <c r="HP41" s="218" t="str">
        <f t="shared" si="174"/>
        <v/>
      </c>
      <c r="HR41" s="218" t="str">
        <f t="shared" si="224"/>
        <v/>
      </c>
      <c r="HS41" s="218" t="str">
        <f t="shared" si="225"/>
        <v/>
      </c>
      <c r="HT41" s="218" t="str">
        <f t="shared" si="175"/>
        <v/>
      </c>
      <c r="HU41" s="218" t="str">
        <f t="shared" si="176"/>
        <v/>
      </c>
      <c r="HV41" s="218" t="str">
        <f t="shared" si="177"/>
        <v/>
      </c>
      <c r="HW41" s="218" t="str">
        <f t="shared" si="178"/>
        <v/>
      </c>
      <c r="HX41" s="218" t="str">
        <f t="shared" si="179"/>
        <v/>
      </c>
      <c r="HY41" s="218" t="str">
        <f t="shared" si="180"/>
        <v/>
      </c>
      <c r="HZ41" s="218" t="str">
        <f t="shared" si="181"/>
        <v/>
      </c>
      <c r="IA41" s="218" t="str">
        <f t="shared" si="182"/>
        <v/>
      </c>
      <c r="IB41" s="218" t="str">
        <f t="shared" si="183"/>
        <v/>
      </c>
      <c r="IC41" s="218" t="str">
        <f t="shared" si="184"/>
        <v/>
      </c>
      <c r="ID41" s="218" t="str">
        <f t="shared" si="185"/>
        <v/>
      </c>
      <c r="IE41" s="218" t="str">
        <f t="shared" si="186"/>
        <v/>
      </c>
      <c r="IF41" s="218" t="str">
        <f t="shared" si="187"/>
        <v/>
      </c>
      <c r="IG41" s="218" t="str">
        <f t="shared" si="188"/>
        <v/>
      </c>
      <c r="IH41" s="218" t="str">
        <f t="shared" si="189"/>
        <v/>
      </c>
      <c r="II41" s="218" t="str">
        <f t="shared" si="190"/>
        <v/>
      </c>
      <c r="IJ41" s="218" t="str">
        <f t="shared" si="191"/>
        <v/>
      </c>
      <c r="IK41" s="218" t="str">
        <f t="shared" si="192"/>
        <v/>
      </c>
      <c r="IL41" s="218" t="str">
        <f t="shared" si="193"/>
        <v/>
      </c>
      <c r="IM41" s="218" t="str">
        <f t="shared" si="194"/>
        <v/>
      </c>
      <c r="IN41" s="218" t="str">
        <f t="shared" si="195"/>
        <v/>
      </c>
      <c r="IO41" s="218" t="str">
        <f t="shared" si="196"/>
        <v/>
      </c>
      <c r="IP41" s="218" t="str">
        <f t="shared" si="197"/>
        <v/>
      </c>
      <c r="IQ41" s="218" t="str">
        <f t="shared" si="198"/>
        <v/>
      </c>
      <c r="IR41" s="218" t="str">
        <f t="shared" si="199"/>
        <v/>
      </c>
      <c r="IS41" s="218" t="str">
        <f t="shared" si="200"/>
        <v/>
      </c>
      <c r="IT41" s="218" t="str">
        <f t="shared" si="201"/>
        <v/>
      </c>
      <c r="IU41" s="218" t="str">
        <f t="shared" si="202"/>
        <v/>
      </c>
    </row>
    <row r="42" spans="1:255" x14ac:dyDescent="0.2">
      <c r="A42" s="200" t="s">
        <v>45</v>
      </c>
      <c r="B42" s="178"/>
      <c r="C42" s="179"/>
      <c r="D42" s="181"/>
      <c r="E42" s="181"/>
      <c r="F42" s="181"/>
      <c r="G42" s="181"/>
      <c r="H42" s="181"/>
      <c r="I42" s="181"/>
      <c r="J42" s="181"/>
      <c r="K42" s="183"/>
      <c r="L42" s="217" t="str">
        <f t="shared" si="29"/>
        <v/>
      </c>
      <c r="M42" s="218" t="str">
        <f>'HKG vs. BK'!M42</f>
        <v/>
      </c>
      <c r="N42" s="218" t="str">
        <f>'HKG vs. BK'!N42</f>
        <v/>
      </c>
      <c r="O42" s="218" t="str">
        <f>'HKG vs. BK'!O42</f>
        <v/>
      </c>
      <c r="P42" s="218" t="str">
        <f>'HKG vs. BK'!P42</f>
        <v/>
      </c>
      <c r="Q42" s="219" t="str">
        <f t="shared" si="203"/>
        <v/>
      </c>
      <c r="R42" s="220" t="str">
        <f t="shared" si="0"/>
        <v/>
      </c>
      <c r="S42" s="220" t="str">
        <f t="shared" si="1"/>
        <v/>
      </c>
      <c r="T42" s="219" t="str">
        <f t="shared" si="2"/>
        <v/>
      </c>
      <c r="U42" s="220" t="str">
        <f t="shared" si="3"/>
        <v/>
      </c>
      <c r="V42" s="220" t="str">
        <f t="shared" si="4"/>
        <v/>
      </c>
      <c r="W42" s="219" t="str">
        <f t="shared" si="5"/>
        <v/>
      </c>
      <c r="X42" s="220" t="str">
        <f t="shared" si="6"/>
        <v/>
      </c>
      <c r="Y42" s="220" t="str">
        <f t="shared" si="7"/>
        <v/>
      </c>
      <c r="Z42" s="219" t="str">
        <f t="shared" si="8"/>
        <v/>
      </c>
      <c r="AA42" s="220" t="str">
        <f t="shared" si="9"/>
        <v/>
      </c>
      <c r="AB42" s="220" t="str">
        <f t="shared" si="10"/>
        <v/>
      </c>
      <c r="AC42" s="219" t="str">
        <f t="shared" si="11"/>
        <v/>
      </c>
      <c r="AD42" s="220" t="str">
        <f t="shared" si="12"/>
        <v/>
      </c>
      <c r="AE42" s="220" t="str">
        <f t="shared" si="13"/>
        <v/>
      </c>
      <c r="AF42" s="219" t="str">
        <f t="shared" si="14"/>
        <v/>
      </c>
      <c r="AG42" s="220" t="str">
        <f t="shared" si="15"/>
        <v/>
      </c>
      <c r="AH42" s="220" t="str">
        <f t="shared" si="16"/>
        <v/>
      </c>
      <c r="AI42" s="219" t="str">
        <f t="shared" si="17"/>
        <v/>
      </c>
      <c r="AJ42" s="220" t="str">
        <f t="shared" si="18"/>
        <v/>
      </c>
      <c r="AK42" s="220" t="str">
        <f t="shared" si="19"/>
        <v/>
      </c>
      <c r="AL42" s="219" t="str">
        <f t="shared" si="20"/>
        <v/>
      </c>
      <c r="AM42" s="220" t="str">
        <f t="shared" si="21"/>
        <v/>
      </c>
      <c r="AN42" s="220" t="str">
        <f t="shared" si="22"/>
        <v/>
      </c>
      <c r="AO42" s="219" t="str">
        <f t="shared" si="23"/>
        <v/>
      </c>
      <c r="AP42" s="220" t="str">
        <f t="shared" si="24"/>
        <v/>
      </c>
      <c r="AQ42" s="220" t="str">
        <f t="shared" si="25"/>
        <v/>
      </c>
      <c r="AR42" s="219" t="str">
        <f t="shared" si="26"/>
        <v/>
      </c>
      <c r="AS42" s="220" t="str">
        <f t="shared" si="27"/>
        <v/>
      </c>
      <c r="AT42" s="220" t="str">
        <f t="shared" si="28"/>
        <v/>
      </c>
      <c r="AU42" s="221"/>
      <c r="AV42" s="221"/>
      <c r="AW42" s="221"/>
      <c r="AY42" s="218" t="str">
        <f t="shared" si="204"/>
        <v/>
      </c>
      <c r="AZ42" s="218" t="str">
        <f t="shared" si="205"/>
        <v/>
      </c>
      <c r="BA42" s="218" t="str">
        <f t="shared" si="30"/>
        <v/>
      </c>
      <c r="BB42" s="218" t="str">
        <f t="shared" si="206"/>
        <v/>
      </c>
      <c r="BC42" s="218" t="str">
        <f t="shared" si="207"/>
        <v/>
      </c>
      <c r="BD42" s="218" t="str">
        <f t="shared" si="31"/>
        <v/>
      </c>
      <c r="BE42" s="218" t="str">
        <f t="shared" si="208"/>
        <v/>
      </c>
      <c r="BF42" s="218" t="str">
        <f t="shared" si="209"/>
        <v/>
      </c>
      <c r="BG42" s="218" t="str">
        <f t="shared" si="32"/>
        <v/>
      </c>
      <c r="BH42" s="218" t="str">
        <f t="shared" si="210"/>
        <v/>
      </c>
      <c r="BI42" s="218" t="str">
        <f t="shared" si="211"/>
        <v/>
      </c>
      <c r="BJ42" s="218" t="str">
        <f t="shared" si="33"/>
        <v/>
      </c>
      <c r="BK42" s="218" t="str">
        <f t="shared" si="212"/>
        <v/>
      </c>
      <c r="BL42" s="218" t="str">
        <f t="shared" si="213"/>
        <v/>
      </c>
      <c r="BM42" s="218" t="str">
        <f t="shared" si="34"/>
        <v/>
      </c>
      <c r="BN42" s="218" t="str">
        <f t="shared" si="214"/>
        <v/>
      </c>
      <c r="BO42" s="218" t="str">
        <f t="shared" si="215"/>
        <v/>
      </c>
      <c r="BP42" s="218" t="str">
        <f t="shared" si="35"/>
        <v/>
      </c>
      <c r="BQ42" s="218" t="str">
        <f t="shared" si="216"/>
        <v/>
      </c>
      <c r="BR42" s="218" t="str">
        <f t="shared" si="217"/>
        <v/>
      </c>
      <c r="BS42" s="218" t="str">
        <f t="shared" si="36"/>
        <v/>
      </c>
      <c r="BT42" s="218" t="str">
        <f t="shared" si="218"/>
        <v/>
      </c>
      <c r="BU42" s="218" t="str">
        <f t="shared" si="219"/>
        <v/>
      </c>
      <c r="BV42" s="218" t="str">
        <f t="shared" si="37"/>
        <v/>
      </c>
      <c r="BW42" s="218" t="str">
        <f t="shared" si="220"/>
        <v/>
      </c>
      <c r="BX42" s="218" t="str">
        <f t="shared" si="221"/>
        <v/>
      </c>
      <c r="BY42" s="218" t="str">
        <f t="shared" si="38"/>
        <v/>
      </c>
      <c r="BZ42" s="218" t="str">
        <f t="shared" si="222"/>
        <v/>
      </c>
      <c r="CA42" s="218" t="str">
        <f t="shared" si="223"/>
        <v/>
      </c>
      <c r="CB42" s="218" t="str">
        <f t="shared" si="39"/>
        <v/>
      </c>
      <c r="CD42" s="218" t="str">
        <f t="shared" si="40"/>
        <v/>
      </c>
      <c r="CE42" s="218" t="str">
        <f t="shared" si="41"/>
        <v/>
      </c>
      <c r="CF42" s="218" t="str">
        <f t="shared" si="42"/>
        <v/>
      </c>
      <c r="CG42" s="218" t="str">
        <f t="shared" si="43"/>
        <v/>
      </c>
      <c r="CH42" s="218" t="str">
        <f t="shared" si="44"/>
        <v/>
      </c>
      <c r="CI42" s="218" t="str">
        <f t="shared" si="45"/>
        <v/>
      </c>
      <c r="CJ42" s="218" t="str">
        <f t="shared" si="46"/>
        <v/>
      </c>
      <c r="CK42" s="218" t="str">
        <f t="shared" si="47"/>
        <v/>
      </c>
      <c r="CL42" s="218" t="str">
        <f t="shared" si="48"/>
        <v/>
      </c>
      <c r="CM42" s="218" t="str">
        <f t="shared" si="49"/>
        <v/>
      </c>
      <c r="CN42" s="218" t="str">
        <f t="shared" si="50"/>
        <v/>
      </c>
      <c r="CO42" s="218" t="str">
        <f t="shared" si="51"/>
        <v/>
      </c>
      <c r="CP42" s="218" t="str">
        <f t="shared" si="52"/>
        <v/>
      </c>
      <c r="CQ42" s="218" t="str">
        <f t="shared" si="53"/>
        <v/>
      </c>
      <c r="CR42" s="218" t="str">
        <f t="shared" si="54"/>
        <v/>
      </c>
      <c r="CS42" s="218" t="str">
        <f t="shared" si="55"/>
        <v/>
      </c>
      <c r="CT42" s="218" t="str">
        <f t="shared" si="56"/>
        <v/>
      </c>
      <c r="CU42" s="218" t="str">
        <f t="shared" si="57"/>
        <v/>
      </c>
      <c r="CV42" s="218" t="str">
        <f t="shared" si="58"/>
        <v/>
      </c>
      <c r="CW42" s="218" t="str">
        <f t="shared" si="59"/>
        <v/>
      </c>
      <c r="CX42" s="218" t="str">
        <f t="shared" si="60"/>
        <v/>
      </c>
      <c r="CY42" s="218" t="str">
        <f t="shared" si="61"/>
        <v/>
      </c>
      <c r="CZ42" s="218" t="str">
        <f t="shared" si="62"/>
        <v/>
      </c>
      <c r="DA42" s="218" t="str">
        <f t="shared" si="63"/>
        <v/>
      </c>
      <c r="DB42" s="218" t="str">
        <f t="shared" si="64"/>
        <v/>
      </c>
      <c r="DC42" s="218" t="str">
        <f t="shared" si="65"/>
        <v/>
      </c>
      <c r="DD42" s="218" t="str">
        <f t="shared" si="66"/>
        <v/>
      </c>
      <c r="DF42" s="218" t="str">
        <f t="shared" si="67"/>
        <v/>
      </c>
      <c r="DG42" s="218" t="str">
        <f t="shared" si="68"/>
        <v/>
      </c>
      <c r="DH42" s="218" t="str">
        <f t="shared" si="69"/>
        <v/>
      </c>
      <c r="DI42" s="218" t="str">
        <f t="shared" si="70"/>
        <v/>
      </c>
      <c r="DJ42" s="218" t="str">
        <f t="shared" si="71"/>
        <v/>
      </c>
      <c r="DK42" s="218" t="str">
        <f t="shared" si="72"/>
        <v/>
      </c>
      <c r="DL42" s="218" t="str">
        <f t="shared" si="73"/>
        <v/>
      </c>
      <c r="DM42" s="218" t="str">
        <f t="shared" si="74"/>
        <v/>
      </c>
      <c r="DN42" s="218" t="str">
        <f t="shared" si="75"/>
        <v/>
      </c>
      <c r="DO42" s="218" t="str">
        <f t="shared" si="76"/>
        <v/>
      </c>
      <c r="DP42" s="218" t="str">
        <f t="shared" si="77"/>
        <v/>
      </c>
      <c r="DQ42" s="218" t="str">
        <f t="shared" si="78"/>
        <v/>
      </c>
      <c r="DR42" s="218" t="str">
        <f t="shared" si="79"/>
        <v/>
      </c>
      <c r="DS42" s="218" t="str">
        <f t="shared" si="80"/>
        <v/>
      </c>
      <c r="DT42" s="218" t="str">
        <f t="shared" si="81"/>
        <v/>
      </c>
      <c r="DU42" s="218" t="str">
        <f t="shared" si="82"/>
        <v/>
      </c>
      <c r="DV42" s="218" t="str">
        <f t="shared" si="83"/>
        <v/>
      </c>
      <c r="DW42" s="218" t="str">
        <f t="shared" si="84"/>
        <v/>
      </c>
      <c r="DX42" s="218" t="str">
        <f t="shared" si="85"/>
        <v/>
      </c>
      <c r="DY42" s="218" t="str">
        <f t="shared" si="86"/>
        <v/>
      </c>
      <c r="DZ42" s="218" t="str">
        <f t="shared" si="87"/>
        <v/>
      </c>
      <c r="EA42" s="218" t="str">
        <f t="shared" si="88"/>
        <v/>
      </c>
      <c r="EB42" s="218" t="str">
        <f t="shared" si="89"/>
        <v/>
      </c>
      <c r="EC42" s="218" t="str">
        <f t="shared" si="90"/>
        <v/>
      </c>
      <c r="EE42" s="218" t="str">
        <f t="shared" si="91"/>
        <v/>
      </c>
      <c r="EF42" s="218" t="str">
        <f t="shared" si="92"/>
        <v/>
      </c>
      <c r="EG42" s="218" t="str">
        <f t="shared" si="93"/>
        <v/>
      </c>
      <c r="EH42" s="218" t="str">
        <f t="shared" si="94"/>
        <v/>
      </c>
      <c r="EI42" s="218" t="str">
        <f t="shared" si="95"/>
        <v/>
      </c>
      <c r="EJ42" s="218" t="str">
        <f t="shared" si="96"/>
        <v/>
      </c>
      <c r="EK42" s="218" t="str">
        <f t="shared" si="97"/>
        <v/>
      </c>
      <c r="EL42" s="218" t="str">
        <f t="shared" si="98"/>
        <v/>
      </c>
      <c r="EM42" s="218" t="str">
        <f t="shared" si="99"/>
        <v/>
      </c>
      <c r="EN42" s="218" t="str">
        <f t="shared" si="100"/>
        <v/>
      </c>
      <c r="EO42" s="218" t="str">
        <f t="shared" si="101"/>
        <v/>
      </c>
      <c r="EP42" s="218" t="str">
        <f t="shared" si="102"/>
        <v/>
      </c>
      <c r="EQ42" s="218" t="str">
        <f t="shared" si="103"/>
        <v/>
      </c>
      <c r="ER42" s="218" t="str">
        <f t="shared" si="104"/>
        <v/>
      </c>
      <c r="ES42" s="218" t="str">
        <f t="shared" si="105"/>
        <v/>
      </c>
      <c r="ET42" s="218" t="str">
        <f t="shared" si="106"/>
        <v/>
      </c>
      <c r="EU42" s="218" t="str">
        <f t="shared" si="107"/>
        <v/>
      </c>
      <c r="EV42" s="218" t="str">
        <f t="shared" si="108"/>
        <v/>
      </c>
      <c r="EW42" s="218" t="str">
        <f t="shared" si="109"/>
        <v/>
      </c>
      <c r="EX42" s="218" t="str">
        <f t="shared" si="110"/>
        <v/>
      </c>
      <c r="EY42" s="218" t="str">
        <f t="shared" si="111"/>
        <v/>
      </c>
      <c r="FA42" s="218" t="str">
        <f t="shared" si="112"/>
        <v/>
      </c>
      <c r="FB42" s="218" t="str">
        <f t="shared" si="113"/>
        <v/>
      </c>
      <c r="FC42" s="218" t="str">
        <f t="shared" si="114"/>
        <v/>
      </c>
      <c r="FD42" s="218" t="str">
        <f t="shared" si="115"/>
        <v/>
      </c>
      <c r="FE42" s="218" t="str">
        <f t="shared" si="116"/>
        <v/>
      </c>
      <c r="FF42" s="218" t="str">
        <f t="shared" si="117"/>
        <v/>
      </c>
      <c r="FG42" s="218" t="str">
        <f t="shared" si="118"/>
        <v/>
      </c>
      <c r="FH42" s="218" t="str">
        <f t="shared" si="119"/>
        <v/>
      </c>
      <c r="FI42" s="218" t="str">
        <f t="shared" si="120"/>
        <v/>
      </c>
      <c r="FJ42" s="218" t="str">
        <f t="shared" si="121"/>
        <v/>
      </c>
      <c r="FK42" s="218" t="str">
        <f t="shared" si="122"/>
        <v/>
      </c>
      <c r="FL42" s="218" t="str">
        <f t="shared" si="123"/>
        <v/>
      </c>
      <c r="FM42" s="218" t="str">
        <f t="shared" si="124"/>
        <v/>
      </c>
      <c r="FN42" s="218" t="str">
        <f t="shared" si="125"/>
        <v/>
      </c>
      <c r="FO42" s="218" t="str">
        <f t="shared" si="126"/>
        <v/>
      </c>
      <c r="FP42" s="218" t="str">
        <f t="shared" si="127"/>
        <v/>
      </c>
      <c r="FQ42" s="218" t="str">
        <f t="shared" si="128"/>
        <v/>
      </c>
      <c r="FR42" s="218" t="str">
        <f t="shared" si="129"/>
        <v/>
      </c>
      <c r="FT42" s="218" t="str">
        <f t="shared" si="130"/>
        <v/>
      </c>
      <c r="FU42" s="218" t="str">
        <f t="shared" si="131"/>
        <v/>
      </c>
      <c r="FV42" s="218" t="str">
        <f t="shared" si="132"/>
        <v/>
      </c>
      <c r="FW42" s="218" t="str">
        <f t="shared" si="133"/>
        <v/>
      </c>
      <c r="FX42" s="218" t="str">
        <f t="shared" si="134"/>
        <v/>
      </c>
      <c r="FY42" s="218" t="str">
        <f t="shared" si="135"/>
        <v/>
      </c>
      <c r="FZ42" s="218" t="str">
        <f t="shared" si="136"/>
        <v/>
      </c>
      <c r="GA42" s="218" t="str">
        <f t="shared" si="137"/>
        <v/>
      </c>
      <c r="GB42" s="218" t="str">
        <f t="shared" si="138"/>
        <v/>
      </c>
      <c r="GC42" s="218" t="str">
        <f t="shared" si="139"/>
        <v/>
      </c>
      <c r="GD42" s="218" t="str">
        <f t="shared" si="140"/>
        <v/>
      </c>
      <c r="GE42" s="218" t="str">
        <f t="shared" si="141"/>
        <v/>
      </c>
      <c r="GF42" s="218" t="str">
        <f t="shared" si="142"/>
        <v/>
      </c>
      <c r="GG42" s="218" t="str">
        <f t="shared" si="143"/>
        <v/>
      </c>
      <c r="GH42" s="218" t="str">
        <f t="shared" si="144"/>
        <v/>
      </c>
      <c r="GJ42" s="218" t="str">
        <f t="shared" si="145"/>
        <v/>
      </c>
      <c r="GK42" s="218" t="str">
        <f t="shared" si="146"/>
        <v/>
      </c>
      <c r="GL42" s="218" t="str">
        <f t="shared" si="147"/>
        <v/>
      </c>
      <c r="GM42" s="218" t="str">
        <f t="shared" si="148"/>
        <v/>
      </c>
      <c r="GN42" s="218" t="str">
        <f t="shared" si="149"/>
        <v/>
      </c>
      <c r="GO42" s="218" t="str">
        <f t="shared" si="150"/>
        <v/>
      </c>
      <c r="GP42" s="218" t="str">
        <f t="shared" si="151"/>
        <v/>
      </c>
      <c r="GQ42" s="218" t="str">
        <f t="shared" si="152"/>
        <v/>
      </c>
      <c r="GR42" s="218" t="str">
        <f t="shared" si="153"/>
        <v/>
      </c>
      <c r="GS42" s="218" t="str">
        <f t="shared" si="154"/>
        <v/>
      </c>
      <c r="GT42" s="218" t="str">
        <f t="shared" si="155"/>
        <v/>
      </c>
      <c r="GU42" s="218" t="str">
        <f t="shared" si="156"/>
        <v/>
      </c>
      <c r="GW42" s="218" t="str">
        <f t="shared" si="157"/>
        <v/>
      </c>
      <c r="GX42" s="218" t="str">
        <f t="shared" si="158"/>
        <v/>
      </c>
      <c r="GY42" s="218" t="str">
        <f t="shared" si="159"/>
        <v/>
      </c>
      <c r="GZ42" s="218" t="str">
        <f t="shared" si="160"/>
        <v/>
      </c>
      <c r="HA42" s="218" t="str">
        <f t="shared" si="161"/>
        <v/>
      </c>
      <c r="HB42" s="218" t="str">
        <f t="shared" si="162"/>
        <v/>
      </c>
      <c r="HC42" s="218" t="str">
        <f t="shared" si="163"/>
        <v/>
      </c>
      <c r="HD42" s="218" t="str">
        <f t="shared" si="164"/>
        <v/>
      </c>
      <c r="HE42" s="218" t="str">
        <f t="shared" si="165"/>
        <v/>
      </c>
      <c r="HG42" s="218" t="str">
        <f t="shared" si="166"/>
        <v/>
      </c>
      <c r="HH42" s="218" t="str">
        <f t="shared" si="167"/>
        <v/>
      </c>
      <c r="HI42" s="218" t="str">
        <f t="shared" si="168"/>
        <v/>
      </c>
      <c r="HJ42" s="218" t="str">
        <f t="shared" si="169"/>
        <v/>
      </c>
      <c r="HK42" s="218" t="str">
        <f t="shared" si="170"/>
        <v/>
      </c>
      <c r="HL42" s="218" t="str">
        <f t="shared" si="171"/>
        <v/>
      </c>
      <c r="HN42" s="218" t="str">
        <f t="shared" si="172"/>
        <v/>
      </c>
      <c r="HO42" s="218" t="str">
        <f t="shared" si="173"/>
        <v/>
      </c>
      <c r="HP42" s="218" t="str">
        <f t="shared" si="174"/>
        <v/>
      </c>
      <c r="HR42" s="218" t="str">
        <f t="shared" si="224"/>
        <v/>
      </c>
      <c r="HS42" s="218" t="str">
        <f t="shared" si="225"/>
        <v/>
      </c>
      <c r="HT42" s="218" t="str">
        <f t="shared" si="175"/>
        <v/>
      </c>
      <c r="HU42" s="218" t="str">
        <f t="shared" si="176"/>
        <v/>
      </c>
      <c r="HV42" s="218" t="str">
        <f t="shared" si="177"/>
        <v/>
      </c>
      <c r="HW42" s="218" t="str">
        <f t="shared" si="178"/>
        <v/>
      </c>
      <c r="HX42" s="218" t="str">
        <f t="shared" si="179"/>
        <v/>
      </c>
      <c r="HY42" s="218" t="str">
        <f t="shared" si="180"/>
        <v/>
      </c>
      <c r="HZ42" s="218" t="str">
        <f t="shared" si="181"/>
        <v/>
      </c>
      <c r="IA42" s="218" t="str">
        <f t="shared" si="182"/>
        <v/>
      </c>
      <c r="IB42" s="218" t="str">
        <f t="shared" si="183"/>
        <v/>
      </c>
      <c r="IC42" s="218" t="str">
        <f t="shared" si="184"/>
        <v/>
      </c>
      <c r="ID42" s="218" t="str">
        <f t="shared" si="185"/>
        <v/>
      </c>
      <c r="IE42" s="218" t="str">
        <f t="shared" si="186"/>
        <v/>
      </c>
      <c r="IF42" s="218" t="str">
        <f t="shared" si="187"/>
        <v/>
      </c>
      <c r="IG42" s="218" t="str">
        <f t="shared" si="188"/>
        <v/>
      </c>
      <c r="IH42" s="218" t="str">
        <f t="shared" si="189"/>
        <v/>
      </c>
      <c r="II42" s="218" t="str">
        <f t="shared" si="190"/>
        <v/>
      </c>
      <c r="IJ42" s="218" t="str">
        <f t="shared" si="191"/>
        <v/>
      </c>
      <c r="IK42" s="218" t="str">
        <f t="shared" si="192"/>
        <v/>
      </c>
      <c r="IL42" s="218" t="str">
        <f t="shared" si="193"/>
        <v/>
      </c>
      <c r="IM42" s="218" t="str">
        <f t="shared" si="194"/>
        <v/>
      </c>
      <c r="IN42" s="218" t="str">
        <f t="shared" si="195"/>
        <v/>
      </c>
      <c r="IO42" s="218" t="str">
        <f t="shared" si="196"/>
        <v/>
      </c>
      <c r="IP42" s="218" t="str">
        <f t="shared" si="197"/>
        <v/>
      </c>
      <c r="IQ42" s="218" t="str">
        <f t="shared" si="198"/>
        <v/>
      </c>
      <c r="IR42" s="218" t="str">
        <f t="shared" si="199"/>
        <v/>
      </c>
      <c r="IS42" s="218" t="str">
        <f t="shared" si="200"/>
        <v/>
      </c>
      <c r="IT42" s="218" t="str">
        <f t="shared" si="201"/>
        <v/>
      </c>
      <c r="IU42" s="218" t="str">
        <f t="shared" si="202"/>
        <v/>
      </c>
    </row>
    <row r="43" spans="1:255" x14ac:dyDescent="0.2">
      <c r="A43" s="200" t="s">
        <v>46</v>
      </c>
      <c r="B43" s="178"/>
      <c r="C43" s="179"/>
      <c r="D43" s="181"/>
      <c r="E43" s="181"/>
      <c r="F43" s="181"/>
      <c r="G43" s="181"/>
      <c r="H43" s="181"/>
      <c r="I43" s="181"/>
      <c r="J43" s="181"/>
      <c r="K43" s="183"/>
      <c r="L43" s="217" t="str">
        <f t="shared" si="29"/>
        <v/>
      </c>
      <c r="M43" s="218" t="str">
        <f>'HKG vs. BK'!M43</f>
        <v/>
      </c>
      <c r="N43" s="218" t="str">
        <f>'HKG vs. BK'!N43</f>
        <v/>
      </c>
      <c r="O43" s="218" t="str">
        <f>'HKG vs. BK'!O43</f>
        <v/>
      </c>
      <c r="P43" s="218" t="str">
        <f>'HKG vs. BK'!P43</f>
        <v/>
      </c>
      <c r="Q43" s="219" t="str">
        <f t="shared" si="203"/>
        <v/>
      </c>
      <c r="R43" s="220" t="str">
        <f t="shared" si="0"/>
        <v/>
      </c>
      <c r="S43" s="220" t="str">
        <f t="shared" si="1"/>
        <v/>
      </c>
      <c r="T43" s="219" t="str">
        <f t="shared" si="2"/>
        <v/>
      </c>
      <c r="U43" s="220" t="str">
        <f t="shared" si="3"/>
        <v/>
      </c>
      <c r="V43" s="220" t="str">
        <f t="shared" si="4"/>
        <v/>
      </c>
      <c r="W43" s="219" t="str">
        <f t="shared" si="5"/>
        <v/>
      </c>
      <c r="X43" s="220" t="str">
        <f t="shared" si="6"/>
        <v/>
      </c>
      <c r="Y43" s="220" t="str">
        <f t="shared" si="7"/>
        <v/>
      </c>
      <c r="Z43" s="219" t="str">
        <f t="shared" si="8"/>
        <v/>
      </c>
      <c r="AA43" s="220" t="str">
        <f t="shared" si="9"/>
        <v/>
      </c>
      <c r="AB43" s="220" t="str">
        <f t="shared" si="10"/>
        <v/>
      </c>
      <c r="AC43" s="219" t="str">
        <f t="shared" si="11"/>
        <v/>
      </c>
      <c r="AD43" s="220" t="str">
        <f t="shared" si="12"/>
        <v/>
      </c>
      <c r="AE43" s="220" t="str">
        <f t="shared" si="13"/>
        <v/>
      </c>
      <c r="AF43" s="219" t="str">
        <f t="shared" si="14"/>
        <v/>
      </c>
      <c r="AG43" s="220" t="str">
        <f t="shared" si="15"/>
        <v/>
      </c>
      <c r="AH43" s="220" t="str">
        <f t="shared" si="16"/>
        <v/>
      </c>
      <c r="AI43" s="219" t="str">
        <f t="shared" si="17"/>
        <v/>
      </c>
      <c r="AJ43" s="220" t="str">
        <f t="shared" si="18"/>
        <v/>
      </c>
      <c r="AK43" s="220" t="str">
        <f t="shared" si="19"/>
        <v/>
      </c>
      <c r="AL43" s="219" t="str">
        <f t="shared" si="20"/>
        <v/>
      </c>
      <c r="AM43" s="220" t="str">
        <f t="shared" si="21"/>
        <v/>
      </c>
      <c r="AN43" s="220" t="str">
        <f t="shared" si="22"/>
        <v/>
      </c>
      <c r="AO43" s="219" t="str">
        <f t="shared" si="23"/>
        <v/>
      </c>
      <c r="AP43" s="220" t="str">
        <f t="shared" si="24"/>
        <v/>
      </c>
      <c r="AQ43" s="220" t="str">
        <f t="shared" si="25"/>
        <v/>
      </c>
      <c r="AR43" s="219" t="str">
        <f t="shared" si="26"/>
        <v/>
      </c>
      <c r="AS43" s="220" t="str">
        <f t="shared" si="27"/>
        <v/>
      </c>
      <c r="AT43" s="220" t="str">
        <f t="shared" si="28"/>
        <v/>
      </c>
      <c r="AU43" s="221"/>
      <c r="AV43" s="221"/>
      <c r="AW43" s="221"/>
      <c r="AY43" s="218" t="str">
        <f t="shared" si="204"/>
        <v/>
      </c>
      <c r="AZ43" s="218" t="str">
        <f t="shared" si="205"/>
        <v/>
      </c>
      <c r="BA43" s="218" t="str">
        <f t="shared" si="30"/>
        <v/>
      </c>
      <c r="BB43" s="218" t="str">
        <f t="shared" si="206"/>
        <v/>
      </c>
      <c r="BC43" s="218" t="str">
        <f t="shared" si="207"/>
        <v/>
      </c>
      <c r="BD43" s="218" t="str">
        <f t="shared" si="31"/>
        <v/>
      </c>
      <c r="BE43" s="218" t="str">
        <f t="shared" si="208"/>
        <v/>
      </c>
      <c r="BF43" s="218" t="str">
        <f t="shared" si="209"/>
        <v/>
      </c>
      <c r="BG43" s="218" t="str">
        <f t="shared" si="32"/>
        <v/>
      </c>
      <c r="BH43" s="218" t="str">
        <f t="shared" si="210"/>
        <v/>
      </c>
      <c r="BI43" s="218" t="str">
        <f t="shared" si="211"/>
        <v/>
      </c>
      <c r="BJ43" s="218" t="str">
        <f t="shared" si="33"/>
        <v/>
      </c>
      <c r="BK43" s="218" t="str">
        <f t="shared" si="212"/>
        <v/>
      </c>
      <c r="BL43" s="218" t="str">
        <f t="shared" si="213"/>
        <v/>
      </c>
      <c r="BM43" s="218" t="str">
        <f t="shared" si="34"/>
        <v/>
      </c>
      <c r="BN43" s="218" t="str">
        <f t="shared" si="214"/>
        <v/>
      </c>
      <c r="BO43" s="218" t="str">
        <f t="shared" si="215"/>
        <v/>
      </c>
      <c r="BP43" s="218" t="str">
        <f t="shared" si="35"/>
        <v/>
      </c>
      <c r="BQ43" s="218" t="str">
        <f t="shared" si="216"/>
        <v/>
      </c>
      <c r="BR43" s="218" t="str">
        <f t="shared" si="217"/>
        <v/>
      </c>
      <c r="BS43" s="218" t="str">
        <f t="shared" si="36"/>
        <v/>
      </c>
      <c r="BT43" s="218" t="str">
        <f t="shared" si="218"/>
        <v/>
      </c>
      <c r="BU43" s="218" t="str">
        <f t="shared" si="219"/>
        <v/>
      </c>
      <c r="BV43" s="218" t="str">
        <f t="shared" si="37"/>
        <v/>
      </c>
      <c r="BW43" s="218" t="str">
        <f t="shared" si="220"/>
        <v/>
      </c>
      <c r="BX43" s="218" t="str">
        <f t="shared" si="221"/>
        <v/>
      </c>
      <c r="BY43" s="218" t="str">
        <f t="shared" si="38"/>
        <v/>
      </c>
      <c r="BZ43" s="218" t="str">
        <f t="shared" si="222"/>
        <v/>
      </c>
      <c r="CA43" s="218" t="str">
        <f t="shared" si="223"/>
        <v/>
      </c>
      <c r="CB43" s="218" t="str">
        <f t="shared" si="39"/>
        <v/>
      </c>
      <c r="CD43" s="218" t="str">
        <f t="shared" si="40"/>
        <v/>
      </c>
      <c r="CE43" s="218" t="str">
        <f t="shared" si="41"/>
        <v/>
      </c>
      <c r="CF43" s="218" t="str">
        <f t="shared" si="42"/>
        <v/>
      </c>
      <c r="CG43" s="218" t="str">
        <f t="shared" si="43"/>
        <v/>
      </c>
      <c r="CH43" s="218" t="str">
        <f t="shared" si="44"/>
        <v/>
      </c>
      <c r="CI43" s="218" t="str">
        <f t="shared" si="45"/>
        <v/>
      </c>
      <c r="CJ43" s="218" t="str">
        <f t="shared" si="46"/>
        <v/>
      </c>
      <c r="CK43" s="218" t="str">
        <f t="shared" si="47"/>
        <v/>
      </c>
      <c r="CL43" s="218" t="str">
        <f t="shared" si="48"/>
        <v/>
      </c>
      <c r="CM43" s="218" t="str">
        <f t="shared" si="49"/>
        <v/>
      </c>
      <c r="CN43" s="218" t="str">
        <f t="shared" si="50"/>
        <v/>
      </c>
      <c r="CO43" s="218" t="str">
        <f t="shared" si="51"/>
        <v/>
      </c>
      <c r="CP43" s="218" t="str">
        <f t="shared" si="52"/>
        <v/>
      </c>
      <c r="CQ43" s="218" t="str">
        <f t="shared" si="53"/>
        <v/>
      </c>
      <c r="CR43" s="218" t="str">
        <f t="shared" si="54"/>
        <v/>
      </c>
      <c r="CS43" s="218" t="str">
        <f t="shared" si="55"/>
        <v/>
      </c>
      <c r="CT43" s="218" t="str">
        <f t="shared" si="56"/>
        <v/>
      </c>
      <c r="CU43" s="218" t="str">
        <f t="shared" si="57"/>
        <v/>
      </c>
      <c r="CV43" s="218" t="str">
        <f t="shared" si="58"/>
        <v/>
      </c>
      <c r="CW43" s="218" t="str">
        <f t="shared" si="59"/>
        <v/>
      </c>
      <c r="CX43" s="218" t="str">
        <f t="shared" si="60"/>
        <v/>
      </c>
      <c r="CY43" s="218" t="str">
        <f t="shared" si="61"/>
        <v/>
      </c>
      <c r="CZ43" s="218" t="str">
        <f t="shared" si="62"/>
        <v/>
      </c>
      <c r="DA43" s="218" t="str">
        <f t="shared" si="63"/>
        <v/>
      </c>
      <c r="DB43" s="218" t="str">
        <f t="shared" si="64"/>
        <v/>
      </c>
      <c r="DC43" s="218" t="str">
        <f t="shared" si="65"/>
        <v/>
      </c>
      <c r="DD43" s="218" t="str">
        <f t="shared" si="66"/>
        <v/>
      </c>
      <c r="DF43" s="218" t="str">
        <f t="shared" si="67"/>
        <v/>
      </c>
      <c r="DG43" s="218" t="str">
        <f t="shared" si="68"/>
        <v/>
      </c>
      <c r="DH43" s="218" t="str">
        <f t="shared" si="69"/>
        <v/>
      </c>
      <c r="DI43" s="218" t="str">
        <f t="shared" si="70"/>
        <v/>
      </c>
      <c r="DJ43" s="218" t="str">
        <f t="shared" si="71"/>
        <v/>
      </c>
      <c r="DK43" s="218" t="str">
        <f t="shared" si="72"/>
        <v/>
      </c>
      <c r="DL43" s="218" t="str">
        <f t="shared" si="73"/>
        <v/>
      </c>
      <c r="DM43" s="218" t="str">
        <f t="shared" si="74"/>
        <v/>
      </c>
      <c r="DN43" s="218" t="str">
        <f t="shared" si="75"/>
        <v/>
      </c>
      <c r="DO43" s="218" t="str">
        <f t="shared" si="76"/>
        <v/>
      </c>
      <c r="DP43" s="218" t="str">
        <f t="shared" si="77"/>
        <v/>
      </c>
      <c r="DQ43" s="218" t="str">
        <f t="shared" si="78"/>
        <v/>
      </c>
      <c r="DR43" s="218" t="str">
        <f t="shared" si="79"/>
        <v/>
      </c>
      <c r="DS43" s="218" t="str">
        <f t="shared" si="80"/>
        <v/>
      </c>
      <c r="DT43" s="218" t="str">
        <f t="shared" si="81"/>
        <v/>
      </c>
      <c r="DU43" s="218" t="str">
        <f t="shared" si="82"/>
        <v/>
      </c>
      <c r="DV43" s="218" t="str">
        <f t="shared" si="83"/>
        <v/>
      </c>
      <c r="DW43" s="218" t="str">
        <f t="shared" si="84"/>
        <v/>
      </c>
      <c r="DX43" s="218" t="str">
        <f t="shared" si="85"/>
        <v/>
      </c>
      <c r="DY43" s="218" t="str">
        <f t="shared" si="86"/>
        <v/>
      </c>
      <c r="DZ43" s="218" t="str">
        <f t="shared" si="87"/>
        <v/>
      </c>
      <c r="EA43" s="218" t="str">
        <f t="shared" si="88"/>
        <v/>
      </c>
      <c r="EB43" s="218" t="str">
        <f t="shared" si="89"/>
        <v/>
      </c>
      <c r="EC43" s="218" t="str">
        <f t="shared" si="90"/>
        <v/>
      </c>
      <c r="EE43" s="218" t="str">
        <f t="shared" si="91"/>
        <v/>
      </c>
      <c r="EF43" s="218" t="str">
        <f t="shared" si="92"/>
        <v/>
      </c>
      <c r="EG43" s="218" t="str">
        <f t="shared" si="93"/>
        <v/>
      </c>
      <c r="EH43" s="218" t="str">
        <f t="shared" si="94"/>
        <v/>
      </c>
      <c r="EI43" s="218" t="str">
        <f t="shared" si="95"/>
        <v/>
      </c>
      <c r="EJ43" s="218" t="str">
        <f t="shared" si="96"/>
        <v/>
      </c>
      <c r="EK43" s="218" t="str">
        <f t="shared" si="97"/>
        <v/>
      </c>
      <c r="EL43" s="218" t="str">
        <f t="shared" si="98"/>
        <v/>
      </c>
      <c r="EM43" s="218" t="str">
        <f t="shared" si="99"/>
        <v/>
      </c>
      <c r="EN43" s="218" t="str">
        <f t="shared" si="100"/>
        <v/>
      </c>
      <c r="EO43" s="218" t="str">
        <f t="shared" si="101"/>
        <v/>
      </c>
      <c r="EP43" s="218" t="str">
        <f t="shared" si="102"/>
        <v/>
      </c>
      <c r="EQ43" s="218" t="str">
        <f t="shared" si="103"/>
        <v/>
      </c>
      <c r="ER43" s="218" t="str">
        <f t="shared" si="104"/>
        <v/>
      </c>
      <c r="ES43" s="218" t="str">
        <f t="shared" si="105"/>
        <v/>
      </c>
      <c r="ET43" s="218" t="str">
        <f t="shared" si="106"/>
        <v/>
      </c>
      <c r="EU43" s="218" t="str">
        <f t="shared" si="107"/>
        <v/>
      </c>
      <c r="EV43" s="218" t="str">
        <f t="shared" si="108"/>
        <v/>
      </c>
      <c r="EW43" s="218" t="str">
        <f t="shared" si="109"/>
        <v/>
      </c>
      <c r="EX43" s="218" t="str">
        <f t="shared" si="110"/>
        <v/>
      </c>
      <c r="EY43" s="218" t="str">
        <f t="shared" si="111"/>
        <v/>
      </c>
      <c r="FA43" s="218" t="str">
        <f t="shared" si="112"/>
        <v/>
      </c>
      <c r="FB43" s="218" t="str">
        <f t="shared" si="113"/>
        <v/>
      </c>
      <c r="FC43" s="218" t="str">
        <f t="shared" si="114"/>
        <v/>
      </c>
      <c r="FD43" s="218" t="str">
        <f t="shared" si="115"/>
        <v/>
      </c>
      <c r="FE43" s="218" t="str">
        <f t="shared" si="116"/>
        <v/>
      </c>
      <c r="FF43" s="218" t="str">
        <f t="shared" si="117"/>
        <v/>
      </c>
      <c r="FG43" s="218" t="str">
        <f t="shared" si="118"/>
        <v/>
      </c>
      <c r="FH43" s="218" t="str">
        <f t="shared" si="119"/>
        <v/>
      </c>
      <c r="FI43" s="218" t="str">
        <f t="shared" si="120"/>
        <v/>
      </c>
      <c r="FJ43" s="218" t="str">
        <f t="shared" si="121"/>
        <v/>
      </c>
      <c r="FK43" s="218" t="str">
        <f t="shared" si="122"/>
        <v/>
      </c>
      <c r="FL43" s="218" t="str">
        <f t="shared" si="123"/>
        <v/>
      </c>
      <c r="FM43" s="218" t="str">
        <f t="shared" si="124"/>
        <v/>
      </c>
      <c r="FN43" s="218" t="str">
        <f t="shared" si="125"/>
        <v/>
      </c>
      <c r="FO43" s="218" t="str">
        <f t="shared" si="126"/>
        <v/>
      </c>
      <c r="FP43" s="218" t="str">
        <f t="shared" si="127"/>
        <v/>
      </c>
      <c r="FQ43" s="218" t="str">
        <f t="shared" si="128"/>
        <v/>
      </c>
      <c r="FR43" s="218" t="str">
        <f t="shared" si="129"/>
        <v/>
      </c>
      <c r="FT43" s="218" t="str">
        <f t="shared" si="130"/>
        <v/>
      </c>
      <c r="FU43" s="218" t="str">
        <f t="shared" si="131"/>
        <v/>
      </c>
      <c r="FV43" s="218" t="str">
        <f t="shared" si="132"/>
        <v/>
      </c>
      <c r="FW43" s="218" t="str">
        <f t="shared" si="133"/>
        <v/>
      </c>
      <c r="FX43" s="218" t="str">
        <f t="shared" si="134"/>
        <v/>
      </c>
      <c r="FY43" s="218" t="str">
        <f t="shared" si="135"/>
        <v/>
      </c>
      <c r="FZ43" s="218" t="str">
        <f t="shared" si="136"/>
        <v/>
      </c>
      <c r="GA43" s="218" t="str">
        <f t="shared" si="137"/>
        <v/>
      </c>
      <c r="GB43" s="218" t="str">
        <f t="shared" si="138"/>
        <v/>
      </c>
      <c r="GC43" s="218" t="str">
        <f t="shared" si="139"/>
        <v/>
      </c>
      <c r="GD43" s="218" t="str">
        <f t="shared" si="140"/>
        <v/>
      </c>
      <c r="GE43" s="218" t="str">
        <f t="shared" si="141"/>
        <v/>
      </c>
      <c r="GF43" s="218" t="str">
        <f t="shared" si="142"/>
        <v/>
      </c>
      <c r="GG43" s="218" t="str">
        <f t="shared" si="143"/>
        <v/>
      </c>
      <c r="GH43" s="218" t="str">
        <f t="shared" si="144"/>
        <v/>
      </c>
      <c r="GJ43" s="218" t="str">
        <f t="shared" si="145"/>
        <v/>
      </c>
      <c r="GK43" s="218" t="str">
        <f t="shared" si="146"/>
        <v/>
      </c>
      <c r="GL43" s="218" t="str">
        <f t="shared" si="147"/>
        <v/>
      </c>
      <c r="GM43" s="218" t="str">
        <f t="shared" si="148"/>
        <v/>
      </c>
      <c r="GN43" s="218" t="str">
        <f t="shared" si="149"/>
        <v/>
      </c>
      <c r="GO43" s="218" t="str">
        <f t="shared" si="150"/>
        <v/>
      </c>
      <c r="GP43" s="218" t="str">
        <f t="shared" si="151"/>
        <v/>
      </c>
      <c r="GQ43" s="218" t="str">
        <f t="shared" si="152"/>
        <v/>
      </c>
      <c r="GR43" s="218" t="str">
        <f t="shared" si="153"/>
        <v/>
      </c>
      <c r="GS43" s="218" t="str">
        <f t="shared" si="154"/>
        <v/>
      </c>
      <c r="GT43" s="218" t="str">
        <f t="shared" si="155"/>
        <v/>
      </c>
      <c r="GU43" s="218" t="str">
        <f t="shared" si="156"/>
        <v/>
      </c>
      <c r="GW43" s="218" t="str">
        <f t="shared" si="157"/>
        <v/>
      </c>
      <c r="GX43" s="218" t="str">
        <f t="shared" si="158"/>
        <v/>
      </c>
      <c r="GY43" s="218" t="str">
        <f t="shared" si="159"/>
        <v/>
      </c>
      <c r="GZ43" s="218" t="str">
        <f t="shared" si="160"/>
        <v/>
      </c>
      <c r="HA43" s="218" t="str">
        <f t="shared" si="161"/>
        <v/>
      </c>
      <c r="HB43" s="218" t="str">
        <f t="shared" si="162"/>
        <v/>
      </c>
      <c r="HC43" s="218" t="str">
        <f t="shared" si="163"/>
        <v/>
      </c>
      <c r="HD43" s="218" t="str">
        <f t="shared" si="164"/>
        <v/>
      </c>
      <c r="HE43" s="218" t="str">
        <f t="shared" si="165"/>
        <v/>
      </c>
      <c r="HG43" s="218" t="str">
        <f t="shared" si="166"/>
        <v/>
      </c>
      <c r="HH43" s="218" t="str">
        <f t="shared" si="167"/>
        <v/>
      </c>
      <c r="HI43" s="218" t="str">
        <f t="shared" si="168"/>
        <v/>
      </c>
      <c r="HJ43" s="218" t="str">
        <f t="shared" si="169"/>
        <v/>
      </c>
      <c r="HK43" s="218" t="str">
        <f t="shared" si="170"/>
        <v/>
      </c>
      <c r="HL43" s="218" t="str">
        <f t="shared" si="171"/>
        <v/>
      </c>
      <c r="HN43" s="218" t="str">
        <f t="shared" si="172"/>
        <v/>
      </c>
      <c r="HO43" s="218" t="str">
        <f t="shared" si="173"/>
        <v/>
      </c>
      <c r="HP43" s="218" t="str">
        <f t="shared" si="174"/>
        <v/>
      </c>
      <c r="HR43" s="218" t="str">
        <f t="shared" si="224"/>
        <v/>
      </c>
      <c r="HS43" s="218" t="str">
        <f t="shared" si="225"/>
        <v/>
      </c>
      <c r="HT43" s="218" t="str">
        <f t="shared" si="175"/>
        <v/>
      </c>
      <c r="HU43" s="218" t="str">
        <f t="shared" si="176"/>
        <v/>
      </c>
      <c r="HV43" s="218" t="str">
        <f t="shared" si="177"/>
        <v/>
      </c>
      <c r="HW43" s="218" t="str">
        <f t="shared" si="178"/>
        <v/>
      </c>
      <c r="HX43" s="218" t="str">
        <f t="shared" si="179"/>
        <v/>
      </c>
      <c r="HY43" s="218" t="str">
        <f t="shared" si="180"/>
        <v/>
      </c>
      <c r="HZ43" s="218" t="str">
        <f t="shared" si="181"/>
        <v/>
      </c>
      <c r="IA43" s="218" t="str">
        <f t="shared" si="182"/>
        <v/>
      </c>
      <c r="IB43" s="218" t="str">
        <f t="shared" si="183"/>
        <v/>
      </c>
      <c r="IC43" s="218" t="str">
        <f t="shared" si="184"/>
        <v/>
      </c>
      <c r="ID43" s="218" t="str">
        <f t="shared" si="185"/>
        <v/>
      </c>
      <c r="IE43" s="218" t="str">
        <f t="shared" si="186"/>
        <v/>
      </c>
      <c r="IF43" s="218" t="str">
        <f t="shared" si="187"/>
        <v/>
      </c>
      <c r="IG43" s="218" t="str">
        <f t="shared" si="188"/>
        <v/>
      </c>
      <c r="IH43" s="218" t="str">
        <f t="shared" si="189"/>
        <v/>
      </c>
      <c r="II43" s="218" t="str">
        <f t="shared" si="190"/>
        <v/>
      </c>
      <c r="IJ43" s="218" t="str">
        <f t="shared" si="191"/>
        <v/>
      </c>
      <c r="IK43" s="218" t="str">
        <f t="shared" si="192"/>
        <v/>
      </c>
      <c r="IL43" s="218" t="str">
        <f t="shared" si="193"/>
        <v/>
      </c>
      <c r="IM43" s="218" t="str">
        <f t="shared" si="194"/>
        <v/>
      </c>
      <c r="IN43" s="218" t="str">
        <f t="shared" si="195"/>
        <v/>
      </c>
      <c r="IO43" s="218" t="str">
        <f t="shared" si="196"/>
        <v/>
      </c>
      <c r="IP43" s="218" t="str">
        <f t="shared" si="197"/>
        <v/>
      </c>
      <c r="IQ43" s="218" t="str">
        <f t="shared" si="198"/>
        <v/>
      </c>
      <c r="IR43" s="218" t="str">
        <f t="shared" si="199"/>
        <v/>
      </c>
      <c r="IS43" s="218" t="str">
        <f t="shared" si="200"/>
        <v/>
      </c>
      <c r="IT43" s="218" t="str">
        <f t="shared" si="201"/>
        <v/>
      </c>
      <c r="IU43" s="218" t="str">
        <f t="shared" si="202"/>
        <v/>
      </c>
    </row>
    <row r="44" spans="1:255" x14ac:dyDescent="0.2">
      <c r="A44" s="200" t="s">
        <v>47</v>
      </c>
      <c r="B44" s="178"/>
      <c r="C44" s="179"/>
      <c r="D44" s="181"/>
      <c r="E44" s="181"/>
      <c r="F44" s="181"/>
      <c r="G44" s="181"/>
      <c r="H44" s="181"/>
      <c r="I44" s="181"/>
      <c r="J44" s="181"/>
      <c r="K44" s="183"/>
      <c r="L44" s="217" t="str">
        <f t="shared" si="29"/>
        <v/>
      </c>
      <c r="M44" s="218" t="str">
        <f>'HKG vs. BK'!M44</f>
        <v/>
      </c>
      <c r="N44" s="218" t="str">
        <f>'HKG vs. BK'!N44</f>
        <v/>
      </c>
      <c r="O44" s="218" t="str">
        <f>'HKG vs. BK'!O44</f>
        <v/>
      </c>
      <c r="P44" s="218" t="str">
        <f>'HKG vs. BK'!P44</f>
        <v/>
      </c>
      <c r="Q44" s="219" t="str">
        <f t="shared" si="203"/>
        <v/>
      </c>
      <c r="R44" s="220" t="str">
        <f t="shared" si="0"/>
        <v/>
      </c>
      <c r="S44" s="220" t="str">
        <f t="shared" si="1"/>
        <v/>
      </c>
      <c r="T44" s="219" t="str">
        <f t="shared" si="2"/>
        <v/>
      </c>
      <c r="U44" s="220" t="str">
        <f t="shared" si="3"/>
        <v/>
      </c>
      <c r="V44" s="220" t="str">
        <f t="shared" si="4"/>
        <v/>
      </c>
      <c r="W44" s="219" t="str">
        <f t="shared" si="5"/>
        <v/>
      </c>
      <c r="X44" s="220" t="str">
        <f t="shared" si="6"/>
        <v/>
      </c>
      <c r="Y44" s="220" t="str">
        <f t="shared" si="7"/>
        <v/>
      </c>
      <c r="Z44" s="219" t="str">
        <f t="shared" si="8"/>
        <v/>
      </c>
      <c r="AA44" s="220" t="str">
        <f t="shared" si="9"/>
        <v/>
      </c>
      <c r="AB44" s="220" t="str">
        <f t="shared" si="10"/>
        <v/>
      </c>
      <c r="AC44" s="219" t="str">
        <f t="shared" si="11"/>
        <v/>
      </c>
      <c r="AD44" s="220" t="str">
        <f t="shared" si="12"/>
        <v/>
      </c>
      <c r="AE44" s="220" t="str">
        <f t="shared" si="13"/>
        <v/>
      </c>
      <c r="AF44" s="219" t="str">
        <f t="shared" si="14"/>
        <v/>
      </c>
      <c r="AG44" s="220" t="str">
        <f t="shared" si="15"/>
        <v/>
      </c>
      <c r="AH44" s="220" t="str">
        <f t="shared" si="16"/>
        <v/>
      </c>
      <c r="AI44" s="219" t="str">
        <f t="shared" si="17"/>
        <v/>
      </c>
      <c r="AJ44" s="220" t="str">
        <f t="shared" si="18"/>
        <v/>
      </c>
      <c r="AK44" s="220" t="str">
        <f t="shared" si="19"/>
        <v/>
      </c>
      <c r="AL44" s="219" t="str">
        <f t="shared" si="20"/>
        <v/>
      </c>
      <c r="AM44" s="220" t="str">
        <f t="shared" si="21"/>
        <v/>
      </c>
      <c r="AN44" s="220" t="str">
        <f t="shared" si="22"/>
        <v/>
      </c>
      <c r="AO44" s="219" t="str">
        <f t="shared" si="23"/>
        <v/>
      </c>
      <c r="AP44" s="220" t="str">
        <f t="shared" si="24"/>
        <v/>
      </c>
      <c r="AQ44" s="220" t="str">
        <f t="shared" si="25"/>
        <v/>
      </c>
      <c r="AR44" s="219" t="str">
        <f t="shared" si="26"/>
        <v/>
      </c>
      <c r="AS44" s="220" t="str">
        <f t="shared" si="27"/>
        <v/>
      </c>
      <c r="AT44" s="220" t="str">
        <f t="shared" si="28"/>
        <v/>
      </c>
      <c r="AU44" s="221"/>
      <c r="AV44" s="221"/>
      <c r="AW44" s="221"/>
      <c r="AY44" s="218" t="str">
        <f t="shared" si="204"/>
        <v/>
      </c>
      <c r="AZ44" s="218" t="str">
        <f t="shared" si="205"/>
        <v/>
      </c>
      <c r="BA44" s="218" t="str">
        <f t="shared" si="30"/>
        <v/>
      </c>
      <c r="BB44" s="218" t="str">
        <f t="shared" si="206"/>
        <v/>
      </c>
      <c r="BC44" s="218" t="str">
        <f t="shared" si="207"/>
        <v/>
      </c>
      <c r="BD44" s="218" t="str">
        <f t="shared" si="31"/>
        <v/>
      </c>
      <c r="BE44" s="218" t="str">
        <f t="shared" si="208"/>
        <v/>
      </c>
      <c r="BF44" s="218" t="str">
        <f t="shared" si="209"/>
        <v/>
      </c>
      <c r="BG44" s="218" t="str">
        <f t="shared" si="32"/>
        <v/>
      </c>
      <c r="BH44" s="218" t="str">
        <f t="shared" si="210"/>
        <v/>
      </c>
      <c r="BI44" s="218" t="str">
        <f t="shared" si="211"/>
        <v/>
      </c>
      <c r="BJ44" s="218" t="str">
        <f t="shared" si="33"/>
        <v/>
      </c>
      <c r="BK44" s="218" t="str">
        <f t="shared" si="212"/>
        <v/>
      </c>
      <c r="BL44" s="218" t="str">
        <f t="shared" si="213"/>
        <v/>
      </c>
      <c r="BM44" s="218" t="str">
        <f t="shared" si="34"/>
        <v/>
      </c>
      <c r="BN44" s="218" t="str">
        <f t="shared" si="214"/>
        <v/>
      </c>
      <c r="BO44" s="218" t="str">
        <f t="shared" si="215"/>
        <v/>
      </c>
      <c r="BP44" s="218" t="str">
        <f t="shared" si="35"/>
        <v/>
      </c>
      <c r="BQ44" s="218" t="str">
        <f t="shared" si="216"/>
        <v/>
      </c>
      <c r="BR44" s="218" t="str">
        <f t="shared" si="217"/>
        <v/>
      </c>
      <c r="BS44" s="218" t="str">
        <f t="shared" si="36"/>
        <v/>
      </c>
      <c r="BT44" s="218" t="str">
        <f t="shared" si="218"/>
        <v/>
      </c>
      <c r="BU44" s="218" t="str">
        <f t="shared" si="219"/>
        <v/>
      </c>
      <c r="BV44" s="218" t="str">
        <f t="shared" si="37"/>
        <v/>
      </c>
      <c r="BW44" s="218" t="str">
        <f t="shared" si="220"/>
        <v/>
      </c>
      <c r="BX44" s="218" t="str">
        <f t="shared" si="221"/>
        <v/>
      </c>
      <c r="BY44" s="218" t="str">
        <f t="shared" si="38"/>
        <v/>
      </c>
      <c r="BZ44" s="218" t="str">
        <f t="shared" si="222"/>
        <v/>
      </c>
      <c r="CA44" s="218" t="str">
        <f t="shared" si="223"/>
        <v/>
      </c>
      <c r="CB44" s="218" t="str">
        <f t="shared" si="39"/>
        <v/>
      </c>
      <c r="CD44" s="218" t="str">
        <f t="shared" si="40"/>
        <v/>
      </c>
      <c r="CE44" s="218" t="str">
        <f t="shared" si="41"/>
        <v/>
      </c>
      <c r="CF44" s="218" t="str">
        <f t="shared" si="42"/>
        <v/>
      </c>
      <c r="CG44" s="218" t="str">
        <f t="shared" si="43"/>
        <v/>
      </c>
      <c r="CH44" s="218" t="str">
        <f t="shared" si="44"/>
        <v/>
      </c>
      <c r="CI44" s="218" t="str">
        <f t="shared" si="45"/>
        <v/>
      </c>
      <c r="CJ44" s="218" t="str">
        <f t="shared" si="46"/>
        <v/>
      </c>
      <c r="CK44" s="218" t="str">
        <f t="shared" si="47"/>
        <v/>
      </c>
      <c r="CL44" s="218" t="str">
        <f t="shared" si="48"/>
        <v/>
      </c>
      <c r="CM44" s="218" t="str">
        <f t="shared" si="49"/>
        <v/>
      </c>
      <c r="CN44" s="218" t="str">
        <f t="shared" si="50"/>
        <v/>
      </c>
      <c r="CO44" s="218" t="str">
        <f t="shared" si="51"/>
        <v/>
      </c>
      <c r="CP44" s="218" t="str">
        <f t="shared" si="52"/>
        <v/>
      </c>
      <c r="CQ44" s="218" t="str">
        <f t="shared" si="53"/>
        <v/>
      </c>
      <c r="CR44" s="218" t="str">
        <f t="shared" si="54"/>
        <v/>
      </c>
      <c r="CS44" s="218" t="str">
        <f t="shared" si="55"/>
        <v/>
      </c>
      <c r="CT44" s="218" t="str">
        <f t="shared" si="56"/>
        <v/>
      </c>
      <c r="CU44" s="218" t="str">
        <f t="shared" si="57"/>
        <v/>
      </c>
      <c r="CV44" s="218" t="str">
        <f t="shared" si="58"/>
        <v/>
      </c>
      <c r="CW44" s="218" t="str">
        <f t="shared" si="59"/>
        <v/>
      </c>
      <c r="CX44" s="218" t="str">
        <f t="shared" si="60"/>
        <v/>
      </c>
      <c r="CY44" s="218" t="str">
        <f t="shared" si="61"/>
        <v/>
      </c>
      <c r="CZ44" s="218" t="str">
        <f t="shared" si="62"/>
        <v/>
      </c>
      <c r="DA44" s="218" t="str">
        <f t="shared" si="63"/>
        <v/>
      </c>
      <c r="DB44" s="218" t="str">
        <f t="shared" si="64"/>
        <v/>
      </c>
      <c r="DC44" s="218" t="str">
        <f t="shared" si="65"/>
        <v/>
      </c>
      <c r="DD44" s="218" t="str">
        <f t="shared" si="66"/>
        <v/>
      </c>
      <c r="DF44" s="218" t="str">
        <f t="shared" si="67"/>
        <v/>
      </c>
      <c r="DG44" s="218" t="str">
        <f t="shared" si="68"/>
        <v/>
      </c>
      <c r="DH44" s="218" t="str">
        <f t="shared" si="69"/>
        <v/>
      </c>
      <c r="DI44" s="218" t="str">
        <f t="shared" si="70"/>
        <v/>
      </c>
      <c r="DJ44" s="218" t="str">
        <f t="shared" si="71"/>
        <v/>
      </c>
      <c r="DK44" s="218" t="str">
        <f t="shared" si="72"/>
        <v/>
      </c>
      <c r="DL44" s="218" t="str">
        <f t="shared" si="73"/>
        <v/>
      </c>
      <c r="DM44" s="218" t="str">
        <f t="shared" si="74"/>
        <v/>
      </c>
      <c r="DN44" s="218" t="str">
        <f t="shared" si="75"/>
        <v/>
      </c>
      <c r="DO44" s="218" t="str">
        <f t="shared" si="76"/>
        <v/>
      </c>
      <c r="DP44" s="218" t="str">
        <f t="shared" si="77"/>
        <v/>
      </c>
      <c r="DQ44" s="218" t="str">
        <f t="shared" si="78"/>
        <v/>
      </c>
      <c r="DR44" s="218" t="str">
        <f t="shared" si="79"/>
        <v/>
      </c>
      <c r="DS44" s="218" t="str">
        <f t="shared" si="80"/>
        <v/>
      </c>
      <c r="DT44" s="218" t="str">
        <f t="shared" si="81"/>
        <v/>
      </c>
      <c r="DU44" s="218" t="str">
        <f t="shared" si="82"/>
        <v/>
      </c>
      <c r="DV44" s="218" t="str">
        <f t="shared" si="83"/>
        <v/>
      </c>
      <c r="DW44" s="218" t="str">
        <f t="shared" si="84"/>
        <v/>
      </c>
      <c r="DX44" s="218" t="str">
        <f t="shared" si="85"/>
        <v/>
      </c>
      <c r="DY44" s="218" t="str">
        <f t="shared" si="86"/>
        <v/>
      </c>
      <c r="DZ44" s="218" t="str">
        <f t="shared" si="87"/>
        <v/>
      </c>
      <c r="EA44" s="218" t="str">
        <f t="shared" si="88"/>
        <v/>
      </c>
      <c r="EB44" s="218" t="str">
        <f t="shared" si="89"/>
        <v/>
      </c>
      <c r="EC44" s="218" t="str">
        <f t="shared" si="90"/>
        <v/>
      </c>
      <c r="EE44" s="218" t="str">
        <f t="shared" si="91"/>
        <v/>
      </c>
      <c r="EF44" s="218" t="str">
        <f t="shared" si="92"/>
        <v/>
      </c>
      <c r="EG44" s="218" t="str">
        <f t="shared" si="93"/>
        <v/>
      </c>
      <c r="EH44" s="218" t="str">
        <f t="shared" si="94"/>
        <v/>
      </c>
      <c r="EI44" s="218" t="str">
        <f t="shared" si="95"/>
        <v/>
      </c>
      <c r="EJ44" s="218" t="str">
        <f t="shared" si="96"/>
        <v/>
      </c>
      <c r="EK44" s="218" t="str">
        <f t="shared" si="97"/>
        <v/>
      </c>
      <c r="EL44" s="218" t="str">
        <f t="shared" si="98"/>
        <v/>
      </c>
      <c r="EM44" s="218" t="str">
        <f t="shared" si="99"/>
        <v/>
      </c>
      <c r="EN44" s="218" t="str">
        <f t="shared" si="100"/>
        <v/>
      </c>
      <c r="EO44" s="218" t="str">
        <f t="shared" si="101"/>
        <v/>
      </c>
      <c r="EP44" s="218" t="str">
        <f t="shared" si="102"/>
        <v/>
      </c>
      <c r="EQ44" s="218" t="str">
        <f t="shared" si="103"/>
        <v/>
      </c>
      <c r="ER44" s="218" t="str">
        <f t="shared" si="104"/>
        <v/>
      </c>
      <c r="ES44" s="218" t="str">
        <f t="shared" si="105"/>
        <v/>
      </c>
      <c r="ET44" s="218" t="str">
        <f t="shared" si="106"/>
        <v/>
      </c>
      <c r="EU44" s="218" t="str">
        <f t="shared" si="107"/>
        <v/>
      </c>
      <c r="EV44" s="218" t="str">
        <f t="shared" si="108"/>
        <v/>
      </c>
      <c r="EW44" s="218" t="str">
        <f t="shared" si="109"/>
        <v/>
      </c>
      <c r="EX44" s="218" t="str">
        <f t="shared" si="110"/>
        <v/>
      </c>
      <c r="EY44" s="218" t="str">
        <f t="shared" si="111"/>
        <v/>
      </c>
      <c r="FA44" s="218" t="str">
        <f t="shared" si="112"/>
        <v/>
      </c>
      <c r="FB44" s="218" t="str">
        <f t="shared" si="113"/>
        <v/>
      </c>
      <c r="FC44" s="218" t="str">
        <f t="shared" si="114"/>
        <v/>
      </c>
      <c r="FD44" s="218" t="str">
        <f t="shared" si="115"/>
        <v/>
      </c>
      <c r="FE44" s="218" t="str">
        <f t="shared" si="116"/>
        <v/>
      </c>
      <c r="FF44" s="218" t="str">
        <f t="shared" si="117"/>
        <v/>
      </c>
      <c r="FG44" s="218" t="str">
        <f t="shared" si="118"/>
        <v/>
      </c>
      <c r="FH44" s="218" t="str">
        <f t="shared" si="119"/>
        <v/>
      </c>
      <c r="FI44" s="218" t="str">
        <f t="shared" si="120"/>
        <v/>
      </c>
      <c r="FJ44" s="218" t="str">
        <f t="shared" si="121"/>
        <v/>
      </c>
      <c r="FK44" s="218" t="str">
        <f t="shared" si="122"/>
        <v/>
      </c>
      <c r="FL44" s="218" t="str">
        <f t="shared" si="123"/>
        <v/>
      </c>
      <c r="FM44" s="218" t="str">
        <f t="shared" si="124"/>
        <v/>
      </c>
      <c r="FN44" s="218" t="str">
        <f t="shared" si="125"/>
        <v/>
      </c>
      <c r="FO44" s="218" t="str">
        <f t="shared" si="126"/>
        <v/>
      </c>
      <c r="FP44" s="218" t="str">
        <f t="shared" si="127"/>
        <v/>
      </c>
      <c r="FQ44" s="218" t="str">
        <f t="shared" si="128"/>
        <v/>
      </c>
      <c r="FR44" s="218" t="str">
        <f t="shared" si="129"/>
        <v/>
      </c>
      <c r="FT44" s="218" t="str">
        <f t="shared" si="130"/>
        <v/>
      </c>
      <c r="FU44" s="218" t="str">
        <f t="shared" si="131"/>
        <v/>
      </c>
      <c r="FV44" s="218" t="str">
        <f t="shared" si="132"/>
        <v/>
      </c>
      <c r="FW44" s="218" t="str">
        <f t="shared" si="133"/>
        <v/>
      </c>
      <c r="FX44" s="218" t="str">
        <f t="shared" si="134"/>
        <v/>
      </c>
      <c r="FY44" s="218" t="str">
        <f t="shared" si="135"/>
        <v/>
      </c>
      <c r="FZ44" s="218" t="str">
        <f t="shared" si="136"/>
        <v/>
      </c>
      <c r="GA44" s="218" t="str">
        <f t="shared" si="137"/>
        <v/>
      </c>
      <c r="GB44" s="218" t="str">
        <f t="shared" si="138"/>
        <v/>
      </c>
      <c r="GC44" s="218" t="str">
        <f t="shared" si="139"/>
        <v/>
      </c>
      <c r="GD44" s="218" t="str">
        <f t="shared" si="140"/>
        <v/>
      </c>
      <c r="GE44" s="218" t="str">
        <f t="shared" si="141"/>
        <v/>
      </c>
      <c r="GF44" s="218" t="str">
        <f t="shared" si="142"/>
        <v/>
      </c>
      <c r="GG44" s="218" t="str">
        <f t="shared" si="143"/>
        <v/>
      </c>
      <c r="GH44" s="218" t="str">
        <f t="shared" si="144"/>
        <v/>
      </c>
      <c r="GJ44" s="218" t="str">
        <f t="shared" si="145"/>
        <v/>
      </c>
      <c r="GK44" s="218" t="str">
        <f t="shared" si="146"/>
        <v/>
      </c>
      <c r="GL44" s="218" t="str">
        <f t="shared" si="147"/>
        <v/>
      </c>
      <c r="GM44" s="218" t="str">
        <f t="shared" si="148"/>
        <v/>
      </c>
      <c r="GN44" s="218" t="str">
        <f t="shared" si="149"/>
        <v/>
      </c>
      <c r="GO44" s="218" t="str">
        <f t="shared" si="150"/>
        <v/>
      </c>
      <c r="GP44" s="218" t="str">
        <f t="shared" si="151"/>
        <v/>
      </c>
      <c r="GQ44" s="218" t="str">
        <f t="shared" si="152"/>
        <v/>
      </c>
      <c r="GR44" s="218" t="str">
        <f t="shared" si="153"/>
        <v/>
      </c>
      <c r="GS44" s="218" t="str">
        <f t="shared" si="154"/>
        <v/>
      </c>
      <c r="GT44" s="218" t="str">
        <f t="shared" si="155"/>
        <v/>
      </c>
      <c r="GU44" s="218" t="str">
        <f t="shared" si="156"/>
        <v/>
      </c>
      <c r="GW44" s="218" t="str">
        <f t="shared" si="157"/>
        <v/>
      </c>
      <c r="GX44" s="218" t="str">
        <f t="shared" si="158"/>
        <v/>
      </c>
      <c r="GY44" s="218" t="str">
        <f t="shared" si="159"/>
        <v/>
      </c>
      <c r="GZ44" s="218" t="str">
        <f t="shared" si="160"/>
        <v/>
      </c>
      <c r="HA44" s="218" t="str">
        <f t="shared" si="161"/>
        <v/>
      </c>
      <c r="HB44" s="218" t="str">
        <f t="shared" si="162"/>
        <v/>
      </c>
      <c r="HC44" s="218" t="str">
        <f t="shared" si="163"/>
        <v/>
      </c>
      <c r="HD44" s="218" t="str">
        <f t="shared" si="164"/>
        <v/>
      </c>
      <c r="HE44" s="218" t="str">
        <f t="shared" si="165"/>
        <v/>
      </c>
      <c r="HG44" s="218" t="str">
        <f t="shared" si="166"/>
        <v/>
      </c>
      <c r="HH44" s="218" t="str">
        <f t="shared" si="167"/>
        <v/>
      </c>
      <c r="HI44" s="218" t="str">
        <f t="shared" si="168"/>
        <v/>
      </c>
      <c r="HJ44" s="218" t="str">
        <f t="shared" si="169"/>
        <v/>
      </c>
      <c r="HK44" s="218" t="str">
        <f t="shared" si="170"/>
        <v/>
      </c>
      <c r="HL44" s="218" t="str">
        <f t="shared" si="171"/>
        <v/>
      </c>
      <c r="HN44" s="218" t="str">
        <f t="shared" si="172"/>
        <v/>
      </c>
      <c r="HO44" s="218" t="str">
        <f t="shared" si="173"/>
        <v/>
      </c>
      <c r="HP44" s="218" t="str">
        <f t="shared" si="174"/>
        <v/>
      </c>
      <c r="HR44" s="218" t="str">
        <f t="shared" si="224"/>
        <v/>
      </c>
      <c r="HS44" s="218" t="str">
        <f t="shared" si="225"/>
        <v/>
      </c>
      <c r="HT44" s="218" t="str">
        <f t="shared" si="175"/>
        <v/>
      </c>
      <c r="HU44" s="218" t="str">
        <f t="shared" si="176"/>
        <v/>
      </c>
      <c r="HV44" s="218" t="str">
        <f t="shared" si="177"/>
        <v/>
      </c>
      <c r="HW44" s="218" t="str">
        <f t="shared" si="178"/>
        <v/>
      </c>
      <c r="HX44" s="218" t="str">
        <f t="shared" si="179"/>
        <v/>
      </c>
      <c r="HY44" s="218" t="str">
        <f t="shared" si="180"/>
        <v/>
      </c>
      <c r="HZ44" s="218" t="str">
        <f t="shared" si="181"/>
        <v/>
      </c>
      <c r="IA44" s="218" t="str">
        <f t="shared" si="182"/>
        <v/>
      </c>
      <c r="IB44" s="218" t="str">
        <f t="shared" si="183"/>
        <v/>
      </c>
      <c r="IC44" s="218" t="str">
        <f t="shared" si="184"/>
        <v/>
      </c>
      <c r="ID44" s="218" t="str">
        <f t="shared" si="185"/>
        <v/>
      </c>
      <c r="IE44" s="218" t="str">
        <f t="shared" si="186"/>
        <v/>
      </c>
      <c r="IF44" s="218" t="str">
        <f t="shared" si="187"/>
        <v/>
      </c>
      <c r="IG44" s="218" t="str">
        <f t="shared" si="188"/>
        <v/>
      </c>
      <c r="IH44" s="218" t="str">
        <f t="shared" si="189"/>
        <v/>
      </c>
      <c r="II44" s="218" t="str">
        <f t="shared" si="190"/>
        <v/>
      </c>
      <c r="IJ44" s="218" t="str">
        <f t="shared" si="191"/>
        <v/>
      </c>
      <c r="IK44" s="218" t="str">
        <f t="shared" si="192"/>
        <v/>
      </c>
      <c r="IL44" s="218" t="str">
        <f t="shared" si="193"/>
        <v/>
      </c>
      <c r="IM44" s="218" t="str">
        <f t="shared" si="194"/>
        <v/>
      </c>
      <c r="IN44" s="218" t="str">
        <f t="shared" si="195"/>
        <v/>
      </c>
      <c r="IO44" s="218" t="str">
        <f t="shared" si="196"/>
        <v/>
      </c>
      <c r="IP44" s="218" t="str">
        <f t="shared" si="197"/>
        <v/>
      </c>
      <c r="IQ44" s="218" t="str">
        <f t="shared" si="198"/>
        <v/>
      </c>
      <c r="IR44" s="218" t="str">
        <f t="shared" si="199"/>
        <v/>
      </c>
      <c r="IS44" s="218" t="str">
        <f t="shared" si="200"/>
        <v/>
      </c>
      <c r="IT44" s="218" t="str">
        <f t="shared" si="201"/>
        <v/>
      </c>
      <c r="IU44" s="218" t="str">
        <f t="shared" si="202"/>
        <v/>
      </c>
    </row>
    <row r="45" spans="1:255" x14ac:dyDescent="0.2">
      <c r="A45" s="200" t="s">
        <v>48</v>
      </c>
      <c r="B45" s="184"/>
      <c r="C45" s="179"/>
      <c r="D45" s="181"/>
      <c r="E45" s="181"/>
      <c r="F45" s="181"/>
      <c r="G45" s="181"/>
      <c r="H45" s="181"/>
      <c r="I45" s="181"/>
      <c r="J45" s="181"/>
      <c r="K45" s="185"/>
      <c r="L45" s="217" t="str">
        <f t="shared" si="29"/>
        <v/>
      </c>
      <c r="M45" s="218" t="str">
        <f>'HKG vs. BK'!M45</f>
        <v/>
      </c>
      <c r="N45" s="218" t="str">
        <f>'HKG vs. BK'!N45</f>
        <v/>
      </c>
      <c r="O45" s="218" t="str">
        <f>'HKG vs. BK'!O45</f>
        <v/>
      </c>
      <c r="P45" s="218" t="str">
        <f>'HKG vs. BK'!P45</f>
        <v/>
      </c>
      <c r="Q45" s="219" t="str">
        <f t="shared" si="203"/>
        <v/>
      </c>
      <c r="R45" s="220" t="str">
        <f t="shared" si="0"/>
        <v/>
      </c>
      <c r="S45" s="220" t="str">
        <f t="shared" si="1"/>
        <v/>
      </c>
      <c r="T45" s="219" t="str">
        <f t="shared" si="2"/>
        <v/>
      </c>
      <c r="U45" s="220" t="str">
        <f t="shared" si="3"/>
        <v/>
      </c>
      <c r="V45" s="220" t="str">
        <f t="shared" si="4"/>
        <v/>
      </c>
      <c r="W45" s="219" t="str">
        <f t="shared" si="5"/>
        <v/>
      </c>
      <c r="X45" s="220" t="str">
        <f t="shared" si="6"/>
        <v/>
      </c>
      <c r="Y45" s="220" t="str">
        <f t="shared" si="7"/>
        <v/>
      </c>
      <c r="Z45" s="219" t="str">
        <f t="shared" si="8"/>
        <v/>
      </c>
      <c r="AA45" s="220" t="str">
        <f t="shared" si="9"/>
        <v/>
      </c>
      <c r="AB45" s="220" t="str">
        <f t="shared" si="10"/>
        <v/>
      </c>
      <c r="AC45" s="219" t="str">
        <f t="shared" si="11"/>
        <v/>
      </c>
      <c r="AD45" s="220" t="str">
        <f t="shared" si="12"/>
        <v/>
      </c>
      <c r="AE45" s="220" t="str">
        <f t="shared" si="13"/>
        <v/>
      </c>
      <c r="AF45" s="219" t="str">
        <f t="shared" si="14"/>
        <v/>
      </c>
      <c r="AG45" s="220" t="str">
        <f t="shared" si="15"/>
        <v/>
      </c>
      <c r="AH45" s="220" t="str">
        <f t="shared" si="16"/>
        <v/>
      </c>
      <c r="AI45" s="219" t="str">
        <f t="shared" si="17"/>
        <v/>
      </c>
      <c r="AJ45" s="220" t="str">
        <f t="shared" si="18"/>
        <v/>
      </c>
      <c r="AK45" s="220" t="str">
        <f t="shared" si="19"/>
        <v/>
      </c>
      <c r="AL45" s="219" t="str">
        <f t="shared" si="20"/>
        <v/>
      </c>
      <c r="AM45" s="220" t="str">
        <f t="shared" si="21"/>
        <v/>
      </c>
      <c r="AN45" s="220" t="str">
        <f t="shared" si="22"/>
        <v/>
      </c>
      <c r="AO45" s="219" t="str">
        <f t="shared" si="23"/>
        <v/>
      </c>
      <c r="AP45" s="220" t="str">
        <f t="shared" si="24"/>
        <v/>
      </c>
      <c r="AQ45" s="220" t="str">
        <f t="shared" si="25"/>
        <v/>
      </c>
      <c r="AR45" s="219" t="str">
        <f t="shared" si="26"/>
        <v/>
      </c>
      <c r="AS45" s="220" t="str">
        <f t="shared" si="27"/>
        <v/>
      </c>
      <c r="AT45" s="220" t="str">
        <f t="shared" si="28"/>
        <v/>
      </c>
      <c r="AU45" s="221"/>
      <c r="AV45" s="221"/>
      <c r="AW45" s="221"/>
      <c r="AY45" s="218" t="str">
        <f t="shared" si="204"/>
        <v/>
      </c>
      <c r="AZ45" s="218" t="str">
        <f t="shared" si="205"/>
        <v/>
      </c>
      <c r="BA45" s="218" t="str">
        <f t="shared" si="30"/>
        <v/>
      </c>
      <c r="BB45" s="218" t="str">
        <f t="shared" si="206"/>
        <v/>
      </c>
      <c r="BC45" s="218" t="str">
        <f t="shared" si="207"/>
        <v/>
      </c>
      <c r="BD45" s="218" t="str">
        <f t="shared" si="31"/>
        <v/>
      </c>
      <c r="BE45" s="218" t="str">
        <f t="shared" si="208"/>
        <v/>
      </c>
      <c r="BF45" s="218" t="str">
        <f t="shared" si="209"/>
        <v/>
      </c>
      <c r="BG45" s="218" t="str">
        <f t="shared" si="32"/>
        <v/>
      </c>
      <c r="BH45" s="218" t="str">
        <f t="shared" si="210"/>
        <v/>
      </c>
      <c r="BI45" s="218" t="str">
        <f t="shared" si="211"/>
        <v/>
      </c>
      <c r="BJ45" s="218" t="str">
        <f t="shared" si="33"/>
        <v/>
      </c>
      <c r="BK45" s="218" t="str">
        <f t="shared" si="212"/>
        <v/>
      </c>
      <c r="BL45" s="218" t="str">
        <f t="shared" si="213"/>
        <v/>
      </c>
      <c r="BM45" s="218" t="str">
        <f t="shared" si="34"/>
        <v/>
      </c>
      <c r="BN45" s="218" t="str">
        <f t="shared" si="214"/>
        <v/>
      </c>
      <c r="BO45" s="218" t="str">
        <f t="shared" si="215"/>
        <v/>
      </c>
      <c r="BP45" s="218" t="str">
        <f t="shared" si="35"/>
        <v/>
      </c>
      <c r="BQ45" s="218" t="str">
        <f t="shared" si="216"/>
        <v/>
      </c>
      <c r="BR45" s="218" t="str">
        <f t="shared" si="217"/>
        <v/>
      </c>
      <c r="BS45" s="218" t="str">
        <f t="shared" si="36"/>
        <v/>
      </c>
      <c r="BT45" s="218" t="str">
        <f t="shared" si="218"/>
        <v/>
      </c>
      <c r="BU45" s="218" t="str">
        <f t="shared" si="219"/>
        <v/>
      </c>
      <c r="BV45" s="218" t="str">
        <f t="shared" si="37"/>
        <v/>
      </c>
      <c r="BW45" s="218" t="str">
        <f t="shared" si="220"/>
        <v/>
      </c>
      <c r="BX45" s="218" t="str">
        <f t="shared" si="221"/>
        <v/>
      </c>
      <c r="BY45" s="218" t="str">
        <f t="shared" si="38"/>
        <v/>
      </c>
      <c r="BZ45" s="218" t="str">
        <f t="shared" si="222"/>
        <v/>
      </c>
      <c r="CA45" s="218" t="str">
        <f t="shared" si="223"/>
        <v/>
      </c>
      <c r="CB45" s="218" t="str">
        <f t="shared" si="39"/>
        <v/>
      </c>
      <c r="CD45" s="218" t="str">
        <f t="shared" si="40"/>
        <v/>
      </c>
      <c r="CE45" s="218" t="str">
        <f t="shared" si="41"/>
        <v/>
      </c>
      <c r="CF45" s="218" t="str">
        <f t="shared" si="42"/>
        <v/>
      </c>
      <c r="CG45" s="218" t="str">
        <f t="shared" si="43"/>
        <v/>
      </c>
      <c r="CH45" s="218" t="str">
        <f t="shared" si="44"/>
        <v/>
      </c>
      <c r="CI45" s="218" t="str">
        <f t="shared" si="45"/>
        <v/>
      </c>
      <c r="CJ45" s="218" t="str">
        <f t="shared" si="46"/>
        <v/>
      </c>
      <c r="CK45" s="218" t="str">
        <f t="shared" si="47"/>
        <v/>
      </c>
      <c r="CL45" s="218" t="str">
        <f t="shared" si="48"/>
        <v/>
      </c>
      <c r="CM45" s="218" t="str">
        <f t="shared" si="49"/>
        <v/>
      </c>
      <c r="CN45" s="218" t="str">
        <f t="shared" si="50"/>
        <v/>
      </c>
      <c r="CO45" s="218" t="str">
        <f t="shared" si="51"/>
        <v/>
      </c>
      <c r="CP45" s="218" t="str">
        <f t="shared" si="52"/>
        <v/>
      </c>
      <c r="CQ45" s="218" t="str">
        <f t="shared" si="53"/>
        <v/>
      </c>
      <c r="CR45" s="218" t="str">
        <f t="shared" si="54"/>
        <v/>
      </c>
      <c r="CS45" s="218" t="str">
        <f t="shared" si="55"/>
        <v/>
      </c>
      <c r="CT45" s="218" t="str">
        <f t="shared" si="56"/>
        <v/>
      </c>
      <c r="CU45" s="218" t="str">
        <f t="shared" si="57"/>
        <v/>
      </c>
      <c r="CV45" s="218" t="str">
        <f t="shared" si="58"/>
        <v/>
      </c>
      <c r="CW45" s="218" t="str">
        <f t="shared" si="59"/>
        <v/>
      </c>
      <c r="CX45" s="218" t="str">
        <f t="shared" si="60"/>
        <v/>
      </c>
      <c r="CY45" s="218" t="str">
        <f t="shared" si="61"/>
        <v/>
      </c>
      <c r="CZ45" s="218" t="str">
        <f t="shared" si="62"/>
        <v/>
      </c>
      <c r="DA45" s="218" t="str">
        <f t="shared" si="63"/>
        <v/>
      </c>
      <c r="DB45" s="218" t="str">
        <f t="shared" si="64"/>
        <v/>
      </c>
      <c r="DC45" s="218" t="str">
        <f t="shared" si="65"/>
        <v/>
      </c>
      <c r="DD45" s="218" t="str">
        <f t="shared" si="66"/>
        <v/>
      </c>
      <c r="DF45" s="218" t="str">
        <f t="shared" si="67"/>
        <v/>
      </c>
      <c r="DG45" s="218" t="str">
        <f t="shared" si="68"/>
        <v/>
      </c>
      <c r="DH45" s="218" t="str">
        <f t="shared" si="69"/>
        <v/>
      </c>
      <c r="DI45" s="218" t="str">
        <f t="shared" si="70"/>
        <v/>
      </c>
      <c r="DJ45" s="218" t="str">
        <f t="shared" si="71"/>
        <v/>
      </c>
      <c r="DK45" s="218" t="str">
        <f t="shared" si="72"/>
        <v/>
      </c>
      <c r="DL45" s="218" t="str">
        <f t="shared" si="73"/>
        <v/>
      </c>
      <c r="DM45" s="218" t="str">
        <f t="shared" si="74"/>
        <v/>
      </c>
      <c r="DN45" s="218" t="str">
        <f t="shared" si="75"/>
        <v/>
      </c>
      <c r="DO45" s="218" t="str">
        <f t="shared" si="76"/>
        <v/>
      </c>
      <c r="DP45" s="218" t="str">
        <f t="shared" si="77"/>
        <v/>
      </c>
      <c r="DQ45" s="218" t="str">
        <f t="shared" si="78"/>
        <v/>
      </c>
      <c r="DR45" s="218" t="str">
        <f t="shared" si="79"/>
        <v/>
      </c>
      <c r="DS45" s="218" t="str">
        <f t="shared" si="80"/>
        <v/>
      </c>
      <c r="DT45" s="218" t="str">
        <f t="shared" si="81"/>
        <v/>
      </c>
      <c r="DU45" s="218" t="str">
        <f t="shared" si="82"/>
        <v/>
      </c>
      <c r="DV45" s="218" t="str">
        <f t="shared" si="83"/>
        <v/>
      </c>
      <c r="DW45" s="218" t="str">
        <f t="shared" si="84"/>
        <v/>
      </c>
      <c r="DX45" s="218" t="str">
        <f t="shared" si="85"/>
        <v/>
      </c>
      <c r="DY45" s="218" t="str">
        <f t="shared" si="86"/>
        <v/>
      </c>
      <c r="DZ45" s="218" t="str">
        <f t="shared" si="87"/>
        <v/>
      </c>
      <c r="EA45" s="218" t="str">
        <f t="shared" si="88"/>
        <v/>
      </c>
      <c r="EB45" s="218" t="str">
        <f t="shared" si="89"/>
        <v/>
      </c>
      <c r="EC45" s="218" t="str">
        <f t="shared" si="90"/>
        <v/>
      </c>
      <c r="EE45" s="218" t="str">
        <f t="shared" si="91"/>
        <v/>
      </c>
      <c r="EF45" s="218" t="str">
        <f t="shared" si="92"/>
        <v/>
      </c>
      <c r="EG45" s="218" t="str">
        <f t="shared" si="93"/>
        <v/>
      </c>
      <c r="EH45" s="218" t="str">
        <f t="shared" si="94"/>
        <v/>
      </c>
      <c r="EI45" s="218" t="str">
        <f t="shared" si="95"/>
        <v/>
      </c>
      <c r="EJ45" s="218" t="str">
        <f t="shared" si="96"/>
        <v/>
      </c>
      <c r="EK45" s="218" t="str">
        <f t="shared" si="97"/>
        <v/>
      </c>
      <c r="EL45" s="218" t="str">
        <f t="shared" si="98"/>
        <v/>
      </c>
      <c r="EM45" s="218" t="str">
        <f t="shared" si="99"/>
        <v/>
      </c>
      <c r="EN45" s="218" t="str">
        <f t="shared" si="100"/>
        <v/>
      </c>
      <c r="EO45" s="218" t="str">
        <f t="shared" si="101"/>
        <v/>
      </c>
      <c r="EP45" s="218" t="str">
        <f t="shared" si="102"/>
        <v/>
      </c>
      <c r="EQ45" s="218" t="str">
        <f t="shared" si="103"/>
        <v/>
      </c>
      <c r="ER45" s="218" t="str">
        <f t="shared" si="104"/>
        <v/>
      </c>
      <c r="ES45" s="218" t="str">
        <f t="shared" si="105"/>
        <v/>
      </c>
      <c r="ET45" s="218" t="str">
        <f t="shared" si="106"/>
        <v/>
      </c>
      <c r="EU45" s="218" t="str">
        <f t="shared" si="107"/>
        <v/>
      </c>
      <c r="EV45" s="218" t="str">
        <f t="shared" si="108"/>
        <v/>
      </c>
      <c r="EW45" s="218" t="str">
        <f t="shared" si="109"/>
        <v/>
      </c>
      <c r="EX45" s="218" t="str">
        <f t="shared" si="110"/>
        <v/>
      </c>
      <c r="EY45" s="218" t="str">
        <f t="shared" si="111"/>
        <v/>
      </c>
      <c r="FA45" s="218" t="str">
        <f t="shared" si="112"/>
        <v/>
      </c>
      <c r="FB45" s="218" t="str">
        <f t="shared" si="113"/>
        <v/>
      </c>
      <c r="FC45" s="218" t="str">
        <f t="shared" si="114"/>
        <v/>
      </c>
      <c r="FD45" s="218" t="str">
        <f t="shared" si="115"/>
        <v/>
      </c>
      <c r="FE45" s="218" t="str">
        <f t="shared" si="116"/>
        <v/>
      </c>
      <c r="FF45" s="218" t="str">
        <f t="shared" si="117"/>
        <v/>
      </c>
      <c r="FG45" s="218" t="str">
        <f t="shared" si="118"/>
        <v/>
      </c>
      <c r="FH45" s="218" t="str">
        <f t="shared" si="119"/>
        <v/>
      </c>
      <c r="FI45" s="218" t="str">
        <f t="shared" si="120"/>
        <v/>
      </c>
      <c r="FJ45" s="218" t="str">
        <f t="shared" si="121"/>
        <v/>
      </c>
      <c r="FK45" s="218" t="str">
        <f t="shared" si="122"/>
        <v/>
      </c>
      <c r="FL45" s="218" t="str">
        <f t="shared" si="123"/>
        <v/>
      </c>
      <c r="FM45" s="218" t="str">
        <f t="shared" si="124"/>
        <v/>
      </c>
      <c r="FN45" s="218" t="str">
        <f t="shared" si="125"/>
        <v/>
      </c>
      <c r="FO45" s="218" t="str">
        <f t="shared" si="126"/>
        <v/>
      </c>
      <c r="FP45" s="218" t="str">
        <f t="shared" si="127"/>
        <v/>
      </c>
      <c r="FQ45" s="218" t="str">
        <f t="shared" si="128"/>
        <v/>
      </c>
      <c r="FR45" s="218" t="str">
        <f t="shared" si="129"/>
        <v/>
      </c>
      <c r="FT45" s="218" t="str">
        <f t="shared" si="130"/>
        <v/>
      </c>
      <c r="FU45" s="218" t="str">
        <f t="shared" si="131"/>
        <v/>
      </c>
      <c r="FV45" s="218" t="str">
        <f t="shared" si="132"/>
        <v/>
      </c>
      <c r="FW45" s="218" t="str">
        <f t="shared" si="133"/>
        <v/>
      </c>
      <c r="FX45" s="218" t="str">
        <f t="shared" si="134"/>
        <v/>
      </c>
      <c r="FY45" s="218" t="str">
        <f t="shared" si="135"/>
        <v/>
      </c>
      <c r="FZ45" s="218" t="str">
        <f t="shared" si="136"/>
        <v/>
      </c>
      <c r="GA45" s="218" t="str">
        <f t="shared" si="137"/>
        <v/>
      </c>
      <c r="GB45" s="218" t="str">
        <f t="shared" si="138"/>
        <v/>
      </c>
      <c r="GC45" s="218" t="str">
        <f t="shared" si="139"/>
        <v/>
      </c>
      <c r="GD45" s="218" t="str">
        <f t="shared" si="140"/>
        <v/>
      </c>
      <c r="GE45" s="218" t="str">
        <f t="shared" si="141"/>
        <v/>
      </c>
      <c r="GF45" s="218" t="str">
        <f t="shared" si="142"/>
        <v/>
      </c>
      <c r="GG45" s="218" t="str">
        <f t="shared" si="143"/>
        <v/>
      </c>
      <c r="GH45" s="218" t="str">
        <f t="shared" si="144"/>
        <v/>
      </c>
      <c r="GJ45" s="218" t="str">
        <f t="shared" si="145"/>
        <v/>
      </c>
      <c r="GK45" s="218" t="str">
        <f t="shared" si="146"/>
        <v/>
      </c>
      <c r="GL45" s="218" t="str">
        <f t="shared" si="147"/>
        <v/>
      </c>
      <c r="GM45" s="218" t="str">
        <f t="shared" si="148"/>
        <v/>
      </c>
      <c r="GN45" s="218" t="str">
        <f t="shared" si="149"/>
        <v/>
      </c>
      <c r="GO45" s="218" t="str">
        <f t="shared" si="150"/>
        <v/>
      </c>
      <c r="GP45" s="218" t="str">
        <f t="shared" si="151"/>
        <v/>
      </c>
      <c r="GQ45" s="218" t="str">
        <f t="shared" si="152"/>
        <v/>
      </c>
      <c r="GR45" s="218" t="str">
        <f t="shared" si="153"/>
        <v/>
      </c>
      <c r="GS45" s="218" t="str">
        <f t="shared" si="154"/>
        <v/>
      </c>
      <c r="GT45" s="218" t="str">
        <f t="shared" si="155"/>
        <v/>
      </c>
      <c r="GU45" s="218" t="str">
        <f t="shared" si="156"/>
        <v/>
      </c>
      <c r="GW45" s="218" t="str">
        <f t="shared" si="157"/>
        <v/>
      </c>
      <c r="GX45" s="218" t="str">
        <f t="shared" si="158"/>
        <v/>
      </c>
      <c r="GY45" s="218" t="str">
        <f t="shared" si="159"/>
        <v/>
      </c>
      <c r="GZ45" s="218" t="str">
        <f t="shared" si="160"/>
        <v/>
      </c>
      <c r="HA45" s="218" t="str">
        <f t="shared" si="161"/>
        <v/>
      </c>
      <c r="HB45" s="218" t="str">
        <f t="shared" si="162"/>
        <v/>
      </c>
      <c r="HC45" s="218" t="str">
        <f t="shared" si="163"/>
        <v/>
      </c>
      <c r="HD45" s="218" t="str">
        <f t="shared" si="164"/>
        <v/>
      </c>
      <c r="HE45" s="218" t="str">
        <f t="shared" si="165"/>
        <v/>
      </c>
      <c r="HG45" s="218" t="str">
        <f t="shared" si="166"/>
        <v/>
      </c>
      <c r="HH45" s="218" t="str">
        <f t="shared" si="167"/>
        <v/>
      </c>
      <c r="HI45" s="218" t="str">
        <f t="shared" si="168"/>
        <v/>
      </c>
      <c r="HJ45" s="218" t="str">
        <f t="shared" si="169"/>
        <v/>
      </c>
      <c r="HK45" s="218" t="str">
        <f t="shared" si="170"/>
        <v/>
      </c>
      <c r="HL45" s="218" t="str">
        <f t="shared" si="171"/>
        <v/>
      </c>
      <c r="HN45" s="218" t="str">
        <f t="shared" si="172"/>
        <v/>
      </c>
      <c r="HO45" s="218" t="str">
        <f t="shared" si="173"/>
        <v/>
      </c>
      <c r="HP45" s="218" t="str">
        <f t="shared" si="174"/>
        <v/>
      </c>
      <c r="HR45" s="218" t="str">
        <f t="shared" si="224"/>
        <v/>
      </c>
      <c r="HS45" s="218" t="str">
        <f t="shared" si="225"/>
        <v/>
      </c>
      <c r="HT45" s="218" t="str">
        <f t="shared" si="175"/>
        <v/>
      </c>
      <c r="HU45" s="218" t="str">
        <f t="shared" si="176"/>
        <v/>
      </c>
      <c r="HV45" s="218" t="str">
        <f t="shared" si="177"/>
        <v/>
      </c>
      <c r="HW45" s="218" t="str">
        <f t="shared" si="178"/>
        <v/>
      </c>
      <c r="HX45" s="218" t="str">
        <f t="shared" si="179"/>
        <v/>
      </c>
      <c r="HY45" s="218" t="str">
        <f t="shared" si="180"/>
        <v/>
      </c>
      <c r="HZ45" s="218" t="str">
        <f t="shared" si="181"/>
        <v/>
      </c>
      <c r="IA45" s="218" t="str">
        <f t="shared" si="182"/>
        <v/>
      </c>
      <c r="IB45" s="218" t="str">
        <f t="shared" si="183"/>
        <v/>
      </c>
      <c r="IC45" s="218" t="str">
        <f t="shared" si="184"/>
        <v/>
      </c>
      <c r="ID45" s="218" t="str">
        <f t="shared" si="185"/>
        <v/>
      </c>
      <c r="IE45" s="218" t="str">
        <f t="shared" si="186"/>
        <v/>
      </c>
      <c r="IF45" s="218" t="str">
        <f t="shared" si="187"/>
        <v/>
      </c>
      <c r="IG45" s="218" t="str">
        <f t="shared" si="188"/>
        <v/>
      </c>
      <c r="IH45" s="218" t="str">
        <f t="shared" si="189"/>
        <v/>
      </c>
      <c r="II45" s="218" t="str">
        <f t="shared" si="190"/>
        <v/>
      </c>
      <c r="IJ45" s="218" t="str">
        <f t="shared" si="191"/>
        <v/>
      </c>
      <c r="IK45" s="218" t="str">
        <f t="shared" si="192"/>
        <v/>
      </c>
      <c r="IL45" s="218" t="str">
        <f t="shared" si="193"/>
        <v/>
      </c>
      <c r="IM45" s="218" t="str">
        <f t="shared" si="194"/>
        <v/>
      </c>
      <c r="IN45" s="218" t="str">
        <f t="shared" si="195"/>
        <v/>
      </c>
      <c r="IO45" s="218" t="str">
        <f t="shared" si="196"/>
        <v/>
      </c>
      <c r="IP45" s="218" t="str">
        <f t="shared" si="197"/>
        <v/>
      </c>
      <c r="IQ45" s="218" t="str">
        <f t="shared" si="198"/>
        <v/>
      </c>
      <c r="IR45" s="218" t="str">
        <f t="shared" si="199"/>
        <v/>
      </c>
      <c r="IS45" s="218" t="str">
        <f t="shared" si="200"/>
        <v/>
      </c>
      <c r="IT45" s="218" t="str">
        <f t="shared" si="201"/>
        <v/>
      </c>
      <c r="IU45" s="218" t="str">
        <f t="shared" si="202"/>
        <v/>
      </c>
    </row>
    <row r="46" spans="1:255" x14ac:dyDescent="0.2">
      <c r="A46" s="200" t="s">
        <v>49</v>
      </c>
      <c r="B46" s="184"/>
      <c r="C46" s="179"/>
      <c r="D46" s="180"/>
      <c r="E46" s="180"/>
      <c r="F46" s="180"/>
      <c r="G46" s="180"/>
      <c r="H46" s="180"/>
      <c r="I46" s="180"/>
      <c r="J46" s="180"/>
      <c r="K46" s="185"/>
      <c r="L46" s="217" t="str">
        <f t="shared" si="29"/>
        <v/>
      </c>
      <c r="M46" s="218" t="str">
        <f>'HKG vs. BK'!M46</f>
        <v/>
      </c>
      <c r="N46" s="218" t="str">
        <f>'HKG vs. BK'!N46</f>
        <v/>
      </c>
      <c r="O46" s="218" t="str">
        <f>'HKG vs. BK'!O46</f>
        <v/>
      </c>
      <c r="P46" s="218" t="str">
        <f>'HKG vs. BK'!P46</f>
        <v/>
      </c>
      <c r="Q46" s="219" t="str">
        <f t="shared" si="203"/>
        <v/>
      </c>
      <c r="R46" s="220" t="str">
        <f t="shared" si="0"/>
        <v/>
      </c>
      <c r="S46" s="220" t="str">
        <f t="shared" si="1"/>
        <v/>
      </c>
      <c r="T46" s="219" t="str">
        <f t="shared" si="2"/>
        <v/>
      </c>
      <c r="U46" s="220" t="str">
        <f t="shared" si="3"/>
        <v/>
      </c>
      <c r="V46" s="220" t="str">
        <f t="shared" si="4"/>
        <v/>
      </c>
      <c r="W46" s="219" t="str">
        <f t="shared" si="5"/>
        <v/>
      </c>
      <c r="X46" s="220" t="str">
        <f t="shared" si="6"/>
        <v/>
      </c>
      <c r="Y46" s="220" t="str">
        <f t="shared" si="7"/>
        <v/>
      </c>
      <c r="Z46" s="219" t="str">
        <f t="shared" si="8"/>
        <v/>
      </c>
      <c r="AA46" s="220" t="str">
        <f t="shared" si="9"/>
        <v/>
      </c>
      <c r="AB46" s="220" t="str">
        <f t="shared" si="10"/>
        <v/>
      </c>
      <c r="AC46" s="219" t="str">
        <f t="shared" si="11"/>
        <v/>
      </c>
      <c r="AD46" s="220" t="str">
        <f t="shared" si="12"/>
        <v/>
      </c>
      <c r="AE46" s="220" t="str">
        <f t="shared" si="13"/>
        <v/>
      </c>
      <c r="AF46" s="219" t="str">
        <f t="shared" si="14"/>
        <v/>
      </c>
      <c r="AG46" s="220" t="str">
        <f t="shared" si="15"/>
        <v/>
      </c>
      <c r="AH46" s="220" t="str">
        <f t="shared" si="16"/>
        <v/>
      </c>
      <c r="AI46" s="219" t="str">
        <f t="shared" si="17"/>
        <v/>
      </c>
      <c r="AJ46" s="220" t="str">
        <f t="shared" si="18"/>
        <v/>
      </c>
      <c r="AK46" s="220" t="str">
        <f t="shared" si="19"/>
        <v/>
      </c>
      <c r="AL46" s="219" t="str">
        <f t="shared" si="20"/>
        <v/>
      </c>
      <c r="AM46" s="220" t="str">
        <f t="shared" si="21"/>
        <v/>
      </c>
      <c r="AN46" s="220" t="str">
        <f t="shared" si="22"/>
        <v/>
      </c>
      <c r="AO46" s="219" t="str">
        <f t="shared" si="23"/>
        <v/>
      </c>
      <c r="AP46" s="220" t="str">
        <f t="shared" si="24"/>
        <v/>
      </c>
      <c r="AQ46" s="220" t="str">
        <f t="shared" si="25"/>
        <v/>
      </c>
      <c r="AR46" s="219" t="str">
        <f t="shared" si="26"/>
        <v/>
      </c>
      <c r="AS46" s="220" t="str">
        <f t="shared" si="27"/>
        <v/>
      </c>
      <c r="AT46" s="220" t="str">
        <f t="shared" si="28"/>
        <v/>
      </c>
      <c r="AU46" s="221"/>
      <c r="AV46" s="221"/>
      <c r="AW46" s="221"/>
      <c r="AY46" s="218" t="str">
        <f t="shared" si="204"/>
        <v/>
      </c>
      <c r="AZ46" s="218" t="str">
        <f t="shared" si="205"/>
        <v/>
      </c>
      <c r="BA46" s="218" t="str">
        <f t="shared" si="30"/>
        <v/>
      </c>
      <c r="BB46" s="218" t="str">
        <f t="shared" si="206"/>
        <v/>
      </c>
      <c r="BC46" s="218" t="str">
        <f t="shared" si="207"/>
        <v/>
      </c>
      <c r="BD46" s="218" t="str">
        <f t="shared" si="31"/>
        <v/>
      </c>
      <c r="BE46" s="218" t="str">
        <f t="shared" si="208"/>
        <v/>
      </c>
      <c r="BF46" s="218" t="str">
        <f t="shared" si="209"/>
        <v/>
      </c>
      <c r="BG46" s="218" t="str">
        <f t="shared" si="32"/>
        <v/>
      </c>
      <c r="BH46" s="218" t="str">
        <f t="shared" si="210"/>
        <v/>
      </c>
      <c r="BI46" s="218" t="str">
        <f t="shared" si="211"/>
        <v/>
      </c>
      <c r="BJ46" s="218" t="str">
        <f t="shared" si="33"/>
        <v/>
      </c>
      <c r="BK46" s="218" t="str">
        <f t="shared" si="212"/>
        <v/>
      </c>
      <c r="BL46" s="218" t="str">
        <f t="shared" si="213"/>
        <v/>
      </c>
      <c r="BM46" s="218" t="str">
        <f t="shared" si="34"/>
        <v/>
      </c>
      <c r="BN46" s="218" t="str">
        <f t="shared" si="214"/>
        <v/>
      </c>
      <c r="BO46" s="218" t="str">
        <f t="shared" si="215"/>
        <v/>
      </c>
      <c r="BP46" s="218" t="str">
        <f t="shared" si="35"/>
        <v/>
      </c>
      <c r="BQ46" s="218" t="str">
        <f t="shared" si="216"/>
        <v/>
      </c>
      <c r="BR46" s="218" t="str">
        <f t="shared" si="217"/>
        <v/>
      </c>
      <c r="BS46" s="218" t="str">
        <f t="shared" si="36"/>
        <v/>
      </c>
      <c r="BT46" s="218" t="str">
        <f t="shared" si="218"/>
        <v/>
      </c>
      <c r="BU46" s="218" t="str">
        <f t="shared" si="219"/>
        <v/>
      </c>
      <c r="BV46" s="218" t="str">
        <f t="shared" si="37"/>
        <v/>
      </c>
      <c r="BW46" s="218" t="str">
        <f t="shared" si="220"/>
        <v/>
      </c>
      <c r="BX46" s="218" t="str">
        <f t="shared" si="221"/>
        <v/>
      </c>
      <c r="BY46" s="218" t="str">
        <f t="shared" si="38"/>
        <v/>
      </c>
      <c r="BZ46" s="218" t="str">
        <f t="shared" si="222"/>
        <v/>
      </c>
      <c r="CA46" s="218" t="str">
        <f t="shared" si="223"/>
        <v/>
      </c>
      <c r="CB46" s="218" t="str">
        <f t="shared" si="39"/>
        <v/>
      </c>
      <c r="CD46" s="218" t="str">
        <f t="shared" si="40"/>
        <v/>
      </c>
      <c r="CE46" s="218" t="str">
        <f t="shared" si="41"/>
        <v/>
      </c>
      <c r="CF46" s="218" t="str">
        <f t="shared" si="42"/>
        <v/>
      </c>
      <c r="CG46" s="218" t="str">
        <f t="shared" si="43"/>
        <v/>
      </c>
      <c r="CH46" s="218" t="str">
        <f t="shared" si="44"/>
        <v/>
      </c>
      <c r="CI46" s="218" t="str">
        <f t="shared" si="45"/>
        <v/>
      </c>
      <c r="CJ46" s="218" t="str">
        <f t="shared" si="46"/>
        <v/>
      </c>
      <c r="CK46" s="218" t="str">
        <f t="shared" si="47"/>
        <v/>
      </c>
      <c r="CL46" s="218" t="str">
        <f t="shared" si="48"/>
        <v/>
      </c>
      <c r="CM46" s="218" t="str">
        <f t="shared" si="49"/>
        <v/>
      </c>
      <c r="CN46" s="218" t="str">
        <f t="shared" si="50"/>
        <v/>
      </c>
      <c r="CO46" s="218" t="str">
        <f t="shared" si="51"/>
        <v/>
      </c>
      <c r="CP46" s="218" t="str">
        <f t="shared" si="52"/>
        <v/>
      </c>
      <c r="CQ46" s="218" t="str">
        <f t="shared" si="53"/>
        <v/>
      </c>
      <c r="CR46" s="218" t="str">
        <f t="shared" si="54"/>
        <v/>
      </c>
      <c r="CS46" s="218" t="str">
        <f t="shared" si="55"/>
        <v/>
      </c>
      <c r="CT46" s="218" t="str">
        <f t="shared" si="56"/>
        <v/>
      </c>
      <c r="CU46" s="218" t="str">
        <f t="shared" si="57"/>
        <v/>
      </c>
      <c r="CV46" s="218" t="str">
        <f t="shared" si="58"/>
        <v/>
      </c>
      <c r="CW46" s="218" t="str">
        <f t="shared" si="59"/>
        <v/>
      </c>
      <c r="CX46" s="218" t="str">
        <f t="shared" si="60"/>
        <v/>
      </c>
      <c r="CY46" s="218" t="str">
        <f t="shared" si="61"/>
        <v/>
      </c>
      <c r="CZ46" s="218" t="str">
        <f t="shared" si="62"/>
        <v/>
      </c>
      <c r="DA46" s="218" t="str">
        <f t="shared" si="63"/>
        <v/>
      </c>
      <c r="DB46" s="218" t="str">
        <f t="shared" si="64"/>
        <v/>
      </c>
      <c r="DC46" s="218" t="str">
        <f t="shared" si="65"/>
        <v/>
      </c>
      <c r="DD46" s="218" t="str">
        <f t="shared" si="66"/>
        <v/>
      </c>
      <c r="DF46" s="218" t="str">
        <f t="shared" si="67"/>
        <v/>
      </c>
      <c r="DG46" s="218" t="str">
        <f t="shared" si="68"/>
        <v/>
      </c>
      <c r="DH46" s="218" t="str">
        <f t="shared" si="69"/>
        <v/>
      </c>
      <c r="DI46" s="218" t="str">
        <f t="shared" si="70"/>
        <v/>
      </c>
      <c r="DJ46" s="218" t="str">
        <f t="shared" si="71"/>
        <v/>
      </c>
      <c r="DK46" s="218" t="str">
        <f t="shared" si="72"/>
        <v/>
      </c>
      <c r="DL46" s="218" t="str">
        <f t="shared" si="73"/>
        <v/>
      </c>
      <c r="DM46" s="218" t="str">
        <f t="shared" si="74"/>
        <v/>
      </c>
      <c r="DN46" s="218" t="str">
        <f t="shared" si="75"/>
        <v/>
      </c>
      <c r="DO46" s="218" t="str">
        <f t="shared" si="76"/>
        <v/>
      </c>
      <c r="DP46" s="218" t="str">
        <f t="shared" si="77"/>
        <v/>
      </c>
      <c r="DQ46" s="218" t="str">
        <f t="shared" si="78"/>
        <v/>
      </c>
      <c r="DR46" s="218" t="str">
        <f t="shared" si="79"/>
        <v/>
      </c>
      <c r="DS46" s="218" t="str">
        <f t="shared" si="80"/>
        <v/>
      </c>
      <c r="DT46" s="218" t="str">
        <f t="shared" si="81"/>
        <v/>
      </c>
      <c r="DU46" s="218" t="str">
        <f t="shared" si="82"/>
        <v/>
      </c>
      <c r="DV46" s="218" t="str">
        <f t="shared" si="83"/>
        <v/>
      </c>
      <c r="DW46" s="218" t="str">
        <f t="shared" si="84"/>
        <v/>
      </c>
      <c r="DX46" s="218" t="str">
        <f t="shared" si="85"/>
        <v/>
      </c>
      <c r="DY46" s="218" t="str">
        <f t="shared" si="86"/>
        <v/>
      </c>
      <c r="DZ46" s="218" t="str">
        <f t="shared" si="87"/>
        <v/>
      </c>
      <c r="EA46" s="218" t="str">
        <f t="shared" si="88"/>
        <v/>
      </c>
      <c r="EB46" s="218" t="str">
        <f t="shared" si="89"/>
        <v/>
      </c>
      <c r="EC46" s="218" t="str">
        <f t="shared" si="90"/>
        <v/>
      </c>
      <c r="EE46" s="218" t="str">
        <f t="shared" si="91"/>
        <v/>
      </c>
      <c r="EF46" s="218" t="str">
        <f t="shared" si="92"/>
        <v/>
      </c>
      <c r="EG46" s="218" t="str">
        <f t="shared" si="93"/>
        <v/>
      </c>
      <c r="EH46" s="218" t="str">
        <f t="shared" si="94"/>
        <v/>
      </c>
      <c r="EI46" s="218" t="str">
        <f t="shared" si="95"/>
        <v/>
      </c>
      <c r="EJ46" s="218" t="str">
        <f t="shared" si="96"/>
        <v/>
      </c>
      <c r="EK46" s="218" t="str">
        <f t="shared" si="97"/>
        <v/>
      </c>
      <c r="EL46" s="218" t="str">
        <f t="shared" si="98"/>
        <v/>
      </c>
      <c r="EM46" s="218" t="str">
        <f t="shared" si="99"/>
        <v/>
      </c>
      <c r="EN46" s="218" t="str">
        <f t="shared" si="100"/>
        <v/>
      </c>
      <c r="EO46" s="218" t="str">
        <f t="shared" si="101"/>
        <v/>
      </c>
      <c r="EP46" s="218" t="str">
        <f t="shared" si="102"/>
        <v/>
      </c>
      <c r="EQ46" s="218" t="str">
        <f t="shared" si="103"/>
        <v/>
      </c>
      <c r="ER46" s="218" t="str">
        <f t="shared" si="104"/>
        <v/>
      </c>
      <c r="ES46" s="218" t="str">
        <f t="shared" si="105"/>
        <v/>
      </c>
      <c r="ET46" s="218" t="str">
        <f t="shared" si="106"/>
        <v/>
      </c>
      <c r="EU46" s="218" t="str">
        <f t="shared" si="107"/>
        <v/>
      </c>
      <c r="EV46" s="218" t="str">
        <f t="shared" si="108"/>
        <v/>
      </c>
      <c r="EW46" s="218" t="str">
        <f t="shared" si="109"/>
        <v/>
      </c>
      <c r="EX46" s="218" t="str">
        <f t="shared" si="110"/>
        <v/>
      </c>
      <c r="EY46" s="218" t="str">
        <f t="shared" si="111"/>
        <v/>
      </c>
      <c r="FA46" s="218" t="str">
        <f t="shared" si="112"/>
        <v/>
      </c>
      <c r="FB46" s="218" t="str">
        <f t="shared" si="113"/>
        <v/>
      </c>
      <c r="FC46" s="218" t="str">
        <f t="shared" si="114"/>
        <v/>
      </c>
      <c r="FD46" s="218" t="str">
        <f t="shared" si="115"/>
        <v/>
      </c>
      <c r="FE46" s="218" t="str">
        <f t="shared" si="116"/>
        <v/>
      </c>
      <c r="FF46" s="218" t="str">
        <f t="shared" si="117"/>
        <v/>
      </c>
      <c r="FG46" s="218" t="str">
        <f t="shared" si="118"/>
        <v/>
      </c>
      <c r="FH46" s="218" t="str">
        <f t="shared" si="119"/>
        <v/>
      </c>
      <c r="FI46" s="218" t="str">
        <f t="shared" si="120"/>
        <v/>
      </c>
      <c r="FJ46" s="218" t="str">
        <f t="shared" si="121"/>
        <v/>
      </c>
      <c r="FK46" s="218" t="str">
        <f t="shared" si="122"/>
        <v/>
      </c>
      <c r="FL46" s="218" t="str">
        <f t="shared" si="123"/>
        <v/>
      </c>
      <c r="FM46" s="218" t="str">
        <f t="shared" si="124"/>
        <v/>
      </c>
      <c r="FN46" s="218" t="str">
        <f t="shared" si="125"/>
        <v/>
      </c>
      <c r="FO46" s="218" t="str">
        <f t="shared" si="126"/>
        <v/>
      </c>
      <c r="FP46" s="218" t="str">
        <f t="shared" si="127"/>
        <v/>
      </c>
      <c r="FQ46" s="218" t="str">
        <f t="shared" si="128"/>
        <v/>
      </c>
      <c r="FR46" s="218" t="str">
        <f t="shared" si="129"/>
        <v/>
      </c>
      <c r="FT46" s="218" t="str">
        <f t="shared" si="130"/>
        <v/>
      </c>
      <c r="FU46" s="218" t="str">
        <f t="shared" si="131"/>
        <v/>
      </c>
      <c r="FV46" s="218" t="str">
        <f t="shared" si="132"/>
        <v/>
      </c>
      <c r="FW46" s="218" t="str">
        <f t="shared" si="133"/>
        <v/>
      </c>
      <c r="FX46" s="218" t="str">
        <f t="shared" si="134"/>
        <v/>
      </c>
      <c r="FY46" s="218" t="str">
        <f t="shared" si="135"/>
        <v/>
      </c>
      <c r="FZ46" s="218" t="str">
        <f t="shared" si="136"/>
        <v/>
      </c>
      <c r="GA46" s="218" t="str">
        <f t="shared" si="137"/>
        <v/>
      </c>
      <c r="GB46" s="218" t="str">
        <f t="shared" si="138"/>
        <v/>
      </c>
      <c r="GC46" s="218" t="str">
        <f t="shared" si="139"/>
        <v/>
      </c>
      <c r="GD46" s="218" t="str">
        <f t="shared" si="140"/>
        <v/>
      </c>
      <c r="GE46" s="218" t="str">
        <f t="shared" si="141"/>
        <v/>
      </c>
      <c r="GF46" s="218" t="str">
        <f t="shared" si="142"/>
        <v/>
      </c>
      <c r="GG46" s="218" t="str">
        <f t="shared" si="143"/>
        <v/>
      </c>
      <c r="GH46" s="218" t="str">
        <f t="shared" si="144"/>
        <v/>
      </c>
      <c r="GJ46" s="218" t="str">
        <f t="shared" si="145"/>
        <v/>
      </c>
      <c r="GK46" s="218" t="str">
        <f t="shared" si="146"/>
        <v/>
      </c>
      <c r="GL46" s="218" t="str">
        <f t="shared" si="147"/>
        <v/>
      </c>
      <c r="GM46" s="218" t="str">
        <f t="shared" si="148"/>
        <v/>
      </c>
      <c r="GN46" s="218" t="str">
        <f t="shared" si="149"/>
        <v/>
      </c>
      <c r="GO46" s="218" t="str">
        <f t="shared" si="150"/>
        <v/>
      </c>
      <c r="GP46" s="218" t="str">
        <f t="shared" si="151"/>
        <v/>
      </c>
      <c r="GQ46" s="218" t="str">
        <f t="shared" si="152"/>
        <v/>
      </c>
      <c r="GR46" s="218" t="str">
        <f t="shared" si="153"/>
        <v/>
      </c>
      <c r="GS46" s="218" t="str">
        <f t="shared" si="154"/>
        <v/>
      </c>
      <c r="GT46" s="218" t="str">
        <f t="shared" si="155"/>
        <v/>
      </c>
      <c r="GU46" s="218" t="str">
        <f t="shared" si="156"/>
        <v/>
      </c>
      <c r="GW46" s="218" t="str">
        <f t="shared" si="157"/>
        <v/>
      </c>
      <c r="GX46" s="218" t="str">
        <f t="shared" si="158"/>
        <v/>
      </c>
      <c r="GY46" s="218" t="str">
        <f t="shared" si="159"/>
        <v/>
      </c>
      <c r="GZ46" s="218" t="str">
        <f t="shared" si="160"/>
        <v/>
      </c>
      <c r="HA46" s="218" t="str">
        <f t="shared" si="161"/>
        <v/>
      </c>
      <c r="HB46" s="218" t="str">
        <f t="shared" si="162"/>
        <v/>
      </c>
      <c r="HC46" s="218" t="str">
        <f t="shared" si="163"/>
        <v/>
      </c>
      <c r="HD46" s="218" t="str">
        <f t="shared" si="164"/>
        <v/>
      </c>
      <c r="HE46" s="218" t="str">
        <f t="shared" si="165"/>
        <v/>
      </c>
      <c r="HG46" s="218" t="str">
        <f t="shared" si="166"/>
        <v/>
      </c>
      <c r="HH46" s="218" t="str">
        <f t="shared" si="167"/>
        <v/>
      </c>
      <c r="HI46" s="218" t="str">
        <f t="shared" si="168"/>
        <v/>
      </c>
      <c r="HJ46" s="218" t="str">
        <f t="shared" si="169"/>
        <v/>
      </c>
      <c r="HK46" s="218" t="str">
        <f t="shared" si="170"/>
        <v/>
      </c>
      <c r="HL46" s="218" t="str">
        <f t="shared" si="171"/>
        <v/>
      </c>
      <c r="HN46" s="218" t="str">
        <f t="shared" si="172"/>
        <v/>
      </c>
      <c r="HO46" s="218" t="str">
        <f t="shared" si="173"/>
        <v/>
      </c>
      <c r="HP46" s="218" t="str">
        <f t="shared" si="174"/>
        <v/>
      </c>
      <c r="HR46" s="218" t="str">
        <f t="shared" si="224"/>
        <v/>
      </c>
      <c r="HS46" s="218" t="str">
        <f t="shared" si="225"/>
        <v/>
      </c>
      <c r="HT46" s="218" t="str">
        <f t="shared" si="175"/>
        <v/>
      </c>
      <c r="HU46" s="218" t="str">
        <f t="shared" si="176"/>
        <v/>
      </c>
      <c r="HV46" s="218" t="str">
        <f t="shared" si="177"/>
        <v/>
      </c>
      <c r="HW46" s="218" t="str">
        <f t="shared" si="178"/>
        <v/>
      </c>
      <c r="HX46" s="218" t="str">
        <f t="shared" si="179"/>
        <v/>
      </c>
      <c r="HY46" s="218" t="str">
        <f t="shared" si="180"/>
        <v/>
      </c>
      <c r="HZ46" s="218" t="str">
        <f t="shared" si="181"/>
        <v/>
      </c>
      <c r="IA46" s="218" t="str">
        <f t="shared" si="182"/>
        <v/>
      </c>
      <c r="IB46" s="218" t="str">
        <f t="shared" si="183"/>
        <v/>
      </c>
      <c r="IC46" s="218" t="str">
        <f t="shared" si="184"/>
        <v/>
      </c>
      <c r="ID46" s="218" t="str">
        <f t="shared" si="185"/>
        <v/>
      </c>
      <c r="IE46" s="218" t="str">
        <f t="shared" si="186"/>
        <v/>
      </c>
      <c r="IF46" s="218" t="str">
        <f t="shared" si="187"/>
        <v/>
      </c>
      <c r="IG46" s="218" t="str">
        <f t="shared" si="188"/>
        <v/>
      </c>
      <c r="IH46" s="218" t="str">
        <f t="shared" si="189"/>
        <v/>
      </c>
      <c r="II46" s="218" t="str">
        <f t="shared" si="190"/>
        <v/>
      </c>
      <c r="IJ46" s="218" t="str">
        <f t="shared" si="191"/>
        <v/>
      </c>
      <c r="IK46" s="218" t="str">
        <f t="shared" si="192"/>
        <v/>
      </c>
      <c r="IL46" s="218" t="str">
        <f t="shared" si="193"/>
        <v/>
      </c>
      <c r="IM46" s="218" t="str">
        <f t="shared" si="194"/>
        <v/>
      </c>
      <c r="IN46" s="218" t="str">
        <f t="shared" si="195"/>
        <v/>
      </c>
      <c r="IO46" s="218" t="str">
        <f t="shared" si="196"/>
        <v/>
      </c>
      <c r="IP46" s="218" t="str">
        <f t="shared" si="197"/>
        <v/>
      </c>
      <c r="IQ46" s="218" t="str">
        <f t="shared" si="198"/>
        <v/>
      </c>
      <c r="IR46" s="218" t="str">
        <f t="shared" si="199"/>
        <v/>
      </c>
      <c r="IS46" s="218" t="str">
        <f t="shared" si="200"/>
        <v/>
      </c>
      <c r="IT46" s="218" t="str">
        <f t="shared" si="201"/>
        <v/>
      </c>
      <c r="IU46" s="218" t="str">
        <f t="shared" si="202"/>
        <v/>
      </c>
    </row>
    <row r="47" spans="1:255" x14ac:dyDescent="0.2">
      <c r="A47" s="200" t="s">
        <v>50</v>
      </c>
      <c r="B47" s="184"/>
      <c r="C47" s="179"/>
      <c r="D47" s="181"/>
      <c r="E47" s="181"/>
      <c r="F47" s="181"/>
      <c r="G47" s="181"/>
      <c r="H47" s="181"/>
      <c r="I47" s="181"/>
      <c r="J47" s="181"/>
      <c r="K47" s="185"/>
      <c r="L47" s="217" t="str">
        <f t="shared" si="29"/>
        <v/>
      </c>
      <c r="M47" s="218" t="str">
        <f>'HKG vs. BK'!M47</f>
        <v/>
      </c>
      <c r="N47" s="218" t="str">
        <f>'HKG vs. BK'!N47</f>
        <v/>
      </c>
      <c r="O47" s="218" t="str">
        <f>'HKG vs. BK'!O47</f>
        <v/>
      </c>
      <c r="P47" s="218" t="str">
        <f>'HKG vs. BK'!P47</f>
        <v/>
      </c>
      <c r="Q47" s="219" t="str">
        <f t="shared" si="203"/>
        <v/>
      </c>
      <c r="R47" s="220" t="str">
        <f t="shared" si="0"/>
        <v/>
      </c>
      <c r="S47" s="220" t="str">
        <f t="shared" si="1"/>
        <v/>
      </c>
      <c r="T47" s="219" t="str">
        <f t="shared" si="2"/>
        <v/>
      </c>
      <c r="U47" s="220" t="str">
        <f t="shared" si="3"/>
        <v/>
      </c>
      <c r="V47" s="220" t="str">
        <f t="shared" si="4"/>
        <v/>
      </c>
      <c r="W47" s="219" t="str">
        <f t="shared" si="5"/>
        <v/>
      </c>
      <c r="X47" s="220" t="str">
        <f t="shared" si="6"/>
        <v/>
      </c>
      <c r="Y47" s="220" t="str">
        <f t="shared" si="7"/>
        <v/>
      </c>
      <c r="Z47" s="219" t="str">
        <f t="shared" si="8"/>
        <v/>
      </c>
      <c r="AA47" s="220" t="str">
        <f t="shared" si="9"/>
        <v/>
      </c>
      <c r="AB47" s="220" t="str">
        <f t="shared" si="10"/>
        <v/>
      </c>
      <c r="AC47" s="219" t="str">
        <f t="shared" si="11"/>
        <v/>
      </c>
      <c r="AD47" s="220" t="str">
        <f t="shared" si="12"/>
        <v/>
      </c>
      <c r="AE47" s="220" t="str">
        <f t="shared" si="13"/>
        <v/>
      </c>
      <c r="AF47" s="219" t="str">
        <f t="shared" si="14"/>
        <v/>
      </c>
      <c r="AG47" s="220" t="str">
        <f t="shared" si="15"/>
        <v/>
      </c>
      <c r="AH47" s="220" t="str">
        <f t="shared" si="16"/>
        <v/>
      </c>
      <c r="AI47" s="219" t="str">
        <f t="shared" si="17"/>
        <v/>
      </c>
      <c r="AJ47" s="220" t="str">
        <f t="shared" si="18"/>
        <v/>
      </c>
      <c r="AK47" s="220" t="str">
        <f t="shared" si="19"/>
        <v/>
      </c>
      <c r="AL47" s="219" t="str">
        <f t="shared" si="20"/>
        <v/>
      </c>
      <c r="AM47" s="220" t="str">
        <f t="shared" si="21"/>
        <v/>
      </c>
      <c r="AN47" s="220" t="str">
        <f t="shared" si="22"/>
        <v/>
      </c>
      <c r="AO47" s="219" t="str">
        <f t="shared" si="23"/>
        <v/>
      </c>
      <c r="AP47" s="220" t="str">
        <f t="shared" si="24"/>
        <v/>
      </c>
      <c r="AQ47" s="220" t="str">
        <f t="shared" si="25"/>
        <v/>
      </c>
      <c r="AR47" s="219" t="str">
        <f t="shared" si="26"/>
        <v/>
      </c>
      <c r="AS47" s="220" t="str">
        <f t="shared" si="27"/>
        <v/>
      </c>
      <c r="AT47" s="220" t="str">
        <f t="shared" si="28"/>
        <v/>
      </c>
      <c r="AU47" s="221"/>
      <c r="AV47" s="221"/>
      <c r="AW47" s="221"/>
      <c r="AY47" s="218" t="str">
        <f t="shared" si="204"/>
        <v/>
      </c>
      <c r="AZ47" s="218" t="str">
        <f t="shared" si="205"/>
        <v/>
      </c>
      <c r="BA47" s="218" t="str">
        <f t="shared" si="30"/>
        <v/>
      </c>
      <c r="BB47" s="218" t="str">
        <f t="shared" si="206"/>
        <v/>
      </c>
      <c r="BC47" s="218" t="str">
        <f t="shared" si="207"/>
        <v/>
      </c>
      <c r="BD47" s="218" t="str">
        <f t="shared" si="31"/>
        <v/>
      </c>
      <c r="BE47" s="218" t="str">
        <f t="shared" si="208"/>
        <v/>
      </c>
      <c r="BF47" s="218" t="str">
        <f t="shared" si="209"/>
        <v/>
      </c>
      <c r="BG47" s="218" t="str">
        <f t="shared" si="32"/>
        <v/>
      </c>
      <c r="BH47" s="218" t="str">
        <f t="shared" si="210"/>
        <v/>
      </c>
      <c r="BI47" s="218" t="str">
        <f t="shared" si="211"/>
        <v/>
      </c>
      <c r="BJ47" s="218" t="str">
        <f t="shared" si="33"/>
        <v/>
      </c>
      <c r="BK47" s="218" t="str">
        <f t="shared" si="212"/>
        <v/>
      </c>
      <c r="BL47" s="218" t="str">
        <f t="shared" si="213"/>
        <v/>
      </c>
      <c r="BM47" s="218" t="str">
        <f t="shared" si="34"/>
        <v/>
      </c>
      <c r="BN47" s="218" t="str">
        <f t="shared" si="214"/>
        <v/>
      </c>
      <c r="BO47" s="218" t="str">
        <f t="shared" si="215"/>
        <v/>
      </c>
      <c r="BP47" s="218" t="str">
        <f t="shared" si="35"/>
        <v/>
      </c>
      <c r="BQ47" s="218" t="str">
        <f t="shared" si="216"/>
        <v/>
      </c>
      <c r="BR47" s="218" t="str">
        <f t="shared" si="217"/>
        <v/>
      </c>
      <c r="BS47" s="218" t="str">
        <f t="shared" si="36"/>
        <v/>
      </c>
      <c r="BT47" s="218" t="str">
        <f t="shared" si="218"/>
        <v/>
      </c>
      <c r="BU47" s="218" t="str">
        <f t="shared" si="219"/>
        <v/>
      </c>
      <c r="BV47" s="218" t="str">
        <f t="shared" si="37"/>
        <v/>
      </c>
      <c r="BW47" s="218" t="str">
        <f t="shared" si="220"/>
        <v/>
      </c>
      <c r="BX47" s="218" t="str">
        <f t="shared" si="221"/>
        <v/>
      </c>
      <c r="BY47" s="218" t="str">
        <f t="shared" si="38"/>
        <v/>
      </c>
      <c r="BZ47" s="218" t="str">
        <f t="shared" si="222"/>
        <v/>
      </c>
      <c r="CA47" s="218" t="str">
        <f t="shared" si="223"/>
        <v/>
      </c>
      <c r="CB47" s="218" t="str">
        <f t="shared" si="39"/>
        <v/>
      </c>
      <c r="CD47" s="218" t="str">
        <f t="shared" si="40"/>
        <v/>
      </c>
      <c r="CE47" s="218" t="str">
        <f t="shared" si="41"/>
        <v/>
      </c>
      <c r="CF47" s="218" t="str">
        <f t="shared" si="42"/>
        <v/>
      </c>
      <c r="CG47" s="218" t="str">
        <f t="shared" si="43"/>
        <v/>
      </c>
      <c r="CH47" s="218" t="str">
        <f t="shared" si="44"/>
        <v/>
      </c>
      <c r="CI47" s="218" t="str">
        <f t="shared" si="45"/>
        <v/>
      </c>
      <c r="CJ47" s="218" t="str">
        <f t="shared" si="46"/>
        <v/>
      </c>
      <c r="CK47" s="218" t="str">
        <f t="shared" si="47"/>
        <v/>
      </c>
      <c r="CL47" s="218" t="str">
        <f t="shared" si="48"/>
        <v/>
      </c>
      <c r="CM47" s="218" t="str">
        <f t="shared" si="49"/>
        <v/>
      </c>
      <c r="CN47" s="218" t="str">
        <f t="shared" si="50"/>
        <v/>
      </c>
      <c r="CO47" s="218" t="str">
        <f t="shared" si="51"/>
        <v/>
      </c>
      <c r="CP47" s="218" t="str">
        <f t="shared" si="52"/>
        <v/>
      </c>
      <c r="CQ47" s="218" t="str">
        <f t="shared" si="53"/>
        <v/>
      </c>
      <c r="CR47" s="218" t="str">
        <f t="shared" si="54"/>
        <v/>
      </c>
      <c r="CS47" s="218" t="str">
        <f t="shared" si="55"/>
        <v/>
      </c>
      <c r="CT47" s="218" t="str">
        <f t="shared" si="56"/>
        <v/>
      </c>
      <c r="CU47" s="218" t="str">
        <f t="shared" si="57"/>
        <v/>
      </c>
      <c r="CV47" s="218" t="str">
        <f t="shared" si="58"/>
        <v/>
      </c>
      <c r="CW47" s="218" t="str">
        <f t="shared" si="59"/>
        <v/>
      </c>
      <c r="CX47" s="218" t="str">
        <f t="shared" si="60"/>
        <v/>
      </c>
      <c r="CY47" s="218" t="str">
        <f t="shared" si="61"/>
        <v/>
      </c>
      <c r="CZ47" s="218" t="str">
        <f t="shared" si="62"/>
        <v/>
      </c>
      <c r="DA47" s="218" t="str">
        <f t="shared" si="63"/>
        <v/>
      </c>
      <c r="DB47" s="218" t="str">
        <f t="shared" si="64"/>
        <v/>
      </c>
      <c r="DC47" s="218" t="str">
        <f t="shared" si="65"/>
        <v/>
      </c>
      <c r="DD47" s="218" t="str">
        <f t="shared" si="66"/>
        <v/>
      </c>
      <c r="DF47" s="218" t="str">
        <f t="shared" si="67"/>
        <v/>
      </c>
      <c r="DG47" s="218" t="str">
        <f t="shared" si="68"/>
        <v/>
      </c>
      <c r="DH47" s="218" t="str">
        <f t="shared" si="69"/>
        <v/>
      </c>
      <c r="DI47" s="218" t="str">
        <f t="shared" si="70"/>
        <v/>
      </c>
      <c r="DJ47" s="218" t="str">
        <f t="shared" si="71"/>
        <v/>
      </c>
      <c r="DK47" s="218" t="str">
        <f t="shared" si="72"/>
        <v/>
      </c>
      <c r="DL47" s="218" t="str">
        <f t="shared" si="73"/>
        <v/>
      </c>
      <c r="DM47" s="218" t="str">
        <f t="shared" si="74"/>
        <v/>
      </c>
      <c r="DN47" s="218" t="str">
        <f t="shared" si="75"/>
        <v/>
      </c>
      <c r="DO47" s="218" t="str">
        <f t="shared" si="76"/>
        <v/>
      </c>
      <c r="DP47" s="218" t="str">
        <f t="shared" si="77"/>
        <v/>
      </c>
      <c r="DQ47" s="218" t="str">
        <f t="shared" si="78"/>
        <v/>
      </c>
      <c r="DR47" s="218" t="str">
        <f t="shared" si="79"/>
        <v/>
      </c>
      <c r="DS47" s="218" t="str">
        <f t="shared" si="80"/>
        <v/>
      </c>
      <c r="DT47" s="218" t="str">
        <f t="shared" si="81"/>
        <v/>
      </c>
      <c r="DU47" s="218" t="str">
        <f t="shared" si="82"/>
        <v/>
      </c>
      <c r="DV47" s="218" t="str">
        <f t="shared" si="83"/>
        <v/>
      </c>
      <c r="DW47" s="218" t="str">
        <f t="shared" si="84"/>
        <v/>
      </c>
      <c r="DX47" s="218" t="str">
        <f t="shared" si="85"/>
        <v/>
      </c>
      <c r="DY47" s="218" t="str">
        <f t="shared" si="86"/>
        <v/>
      </c>
      <c r="DZ47" s="218" t="str">
        <f t="shared" si="87"/>
        <v/>
      </c>
      <c r="EA47" s="218" t="str">
        <f t="shared" si="88"/>
        <v/>
      </c>
      <c r="EB47" s="218" t="str">
        <f t="shared" si="89"/>
        <v/>
      </c>
      <c r="EC47" s="218" t="str">
        <f t="shared" si="90"/>
        <v/>
      </c>
      <c r="EE47" s="218" t="str">
        <f t="shared" si="91"/>
        <v/>
      </c>
      <c r="EF47" s="218" t="str">
        <f t="shared" si="92"/>
        <v/>
      </c>
      <c r="EG47" s="218" t="str">
        <f t="shared" si="93"/>
        <v/>
      </c>
      <c r="EH47" s="218" t="str">
        <f t="shared" si="94"/>
        <v/>
      </c>
      <c r="EI47" s="218" t="str">
        <f t="shared" si="95"/>
        <v/>
      </c>
      <c r="EJ47" s="218" t="str">
        <f t="shared" si="96"/>
        <v/>
      </c>
      <c r="EK47" s="218" t="str">
        <f t="shared" si="97"/>
        <v/>
      </c>
      <c r="EL47" s="218" t="str">
        <f t="shared" si="98"/>
        <v/>
      </c>
      <c r="EM47" s="218" t="str">
        <f t="shared" si="99"/>
        <v/>
      </c>
      <c r="EN47" s="218" t="str">
        <f t="shared" si="100"/>
        <v/>
      </c>
      <c r="EO47" s="218" t="str">
        <f t="shared" si="101"/>
        <v/>
      </c>
      <c r="EP47" s="218" t="str">
        <f t="shared" si="102"/>
        <v/>
      </c>
      <c r="EQ47" s="218" t="str">
        <f t="shared" si="103"/>
        <v/>
      </c>
      <c r="ER47" s="218" t="str">
        <f t="shared" si="104"/>
        <v/>
      </c>
      <c r="ES47" s="218" t="str">
        <f t="shared" si="105"/>
        <v/>
      </c>
      <c r="ET47" s="218" t="str">
        <f t="shared" si="106"/>
        <v/>
      </c>
      <c r="EU47" s="218" t="str">
        <f t="shared" si="107"/>
        <v/>
      </c>
      <c r="EV47" s="218" t="str">
        <f t="shared" si="108"/>
        <v/>
      </c>
      <c r="EW47" s="218" t="str">
        <f t="shared" si="109"/>
        <v/>
      </c>
      <c r="EX47" s="218" t="str">
        <f t="shared" si="110"/>
        <v/>
      </c>
      <c r="EY47" s="218" t="str">
        <f t="shared" si="111"/>
        <v/>
      </c>
      <c r="FA47" s="218" t="str">
        <f t="shared" si="112"/>
        <v/>
      </c>
      <c r="FB47" s="218" t="str">
        <f t="shared" si="113"/>
        <v/>
      </c>
      <c r="FC47" s="218" t="str">
        <f t="shared" si="114"/>
        <v/>
      </c>
      <c r="FD47" s="218" t="str">
        <f t="shared" si="115"/>
        <v/>
      </c>
      <c r="FE47" s="218" t="str">
        <f t="shared" si="116"/>
        <v/>
      </c>
      <c r="FF47" s="218" t="str">
        <f t="shared" si="117"/>
        <v/>
      </c>
      <c r="FG47" s="218" t="str">
        <f t="shared" si="118"/>
        <v/>
      </c>
      <c r="FH47" s="218" t="str">
        <f t="shared" si="119"/>
        <v/>
      </c>
      <c r="FI47" s="218" t="str">
        <f t="shared" si="120"/>
        <v/>
      </c>
      <c r="FJ47" s="218" t="str">
        <f t="shared" si="121"/>
        <v/>
      </c>
      <c r="FK47" s="218" t="str">
        <f t="shared" si="122"/>
        <v/>
      </c>
      <c r="FL47" s="218" t="str">
        <f t="shared" si="123"/>
        <v/>
      </c>
      <c r="FM47" s="218" t="str">
        <f t="shared" si="124"/>
        <v/>
      </c>
      <c r="FN47" s="218" t="str">
        <f t="shared" si="125"/>
        <v/>
      </c>
      <c r="FO47" s="218" t="str">
        <f t="shared" si="126"/>
        <v/>
      </c>
      <c r="FP47" s="218" t="str">
        <f t="shared" si="127"/>
        <v/>
      </c>
      <c r="FQ47" s="218" t="str">
        <f t="shared" si="128"/>
        <v/>
      </c>
      <c r="FR47" s="218" t="str">
        <f t="shared" si="129"/>
        <v/>
      </c>
      <c r="FT47" s="218" t="str">
        <f t="shared" si="130"/>
        <v/>
      </c>
      <c r="FU47" s="218" t="str">
        <f t="shared" si="131"/>
        <v/>
      </c>
      <c r="FV47" s="218" t="str">
        <f t="shared" si="132"/>
        <v/>
      </c>
      <c r="FW47" s="218" t="str">
        <f t="shared" si="133"/>
        <v/>
      </c>
      <c r="FX47" s="218" t="str">
        <f t="shared" si="134"/>
        <v/>
      </c>
      <c r="FY47" s="218" t="str">
        <f t="shared" si="135"/>
        <v/>
      </c>
      <c r="FZ47" s="218" t="str">
        <f t="shared" si="136"/>
        <v/>
      </c>
      <c r="GA47" s="218" t="str">
        <f t="shared" si="137"/>
        <v/>
      </c>
      <c r="GB47" s="218" t="str">
        <f t="shared" si="138"/>
        <v/>
      </c>
      <c r="GC47" s="218" t="str">
        <f t="shared" si="139"/>
        <v/>
      </c>
      <c r="GD47" s="218" t="str">
        <f t="shared" si="140"/>
        <v/>
      </c>
      <c r="GE47" s="218" t="str">
        <f t="shared" si="141"/>
        <v/>
      </c>
      <c r="GF47" s="218" t="str">
        <f t="shared" si="142"/>
        <v/>
      </c>
      <c r="GG47" s="218" t="str">
        <f t="shared" si="143"/>
        <v/>
      </c>
      <c r="GH47" s="218" t="str">
        <f t="shared" si="144"/>
        <v/>
      </c>
      <c r="GJ47" s="218" t="str">
        <f t="shared" si="145"/>
        <v/>
      </c>
      <c r="GK47" s="218" t="str">
        <f t="shared" si="146"/>
        <v/>
      </c>
      <c r="GL47" s="218" t="str">
        <f t="shared" si="147"/>
        <v/>
      </c>
      <c r="GM47" s="218" t="str">
        <f t="shared" si="148"/>
        <v/>
      </c>
      <c r="GN47" s="218" t="str">
        <f t="shared" si="149"/>
        <v/>
      </c>
      <c r="GO47" s="218" t="str">
        <f t="shared" si="150"/>
        <v/>
      </c>
      <c r="GP47" s="218" t="str">
        <f t="shared" si="151"/>
        <v/>
      </c>
      <c r="GQ47" s="218" t="str">
        <f t="shared" si="152"/>
        <v/>
      </c>
      <c r="GR47" s="218" t="str">
        <f t="shared" si="153"/>
        <v/>
      </c>
      <c r="GS47" s="218" t="str">
        <f t="shared" si="154"/>
        <v/>
      </c>
      <c r="GT47" s="218" t="str">
        <f t="shared" si="155"/>
        <v/>
      </c>
      <c r="GU47" s="218" t="str">
        <f t="shared" si="156"/>
        <v/>
      </c>
      <c r="GW47" s="218" t="str">
        <f t="shared" si="157"/>
        <v/>
      </c>
      <c r="GX47" s="218" t="str">
        <f t="shared" si="158"/>
        <v/>
      </c>
      <c r="GY47" s="218" t="str">
        <f t="shared" si="159"/>
        <v/>
      </c>
      <c r="GZ47" s="218" t="str">
        <f t="shared" si="160"/>
        <v/>
      </c>
      <c r="HA47" s="218" t="str">
        <f t="shared" si="161"/>
        <v/>
      </c>
      <c r="HB47" s="218" t="str">
        <f t="shared" si="162"/>
        <v/>
      </c>
      <c r="HC47" s="218" t="str">
        <f t="shared" si="163"/>
        <v/>
      </c>
      <c r="HD47" s="218" t="str">
        <f t="shared" si="164"/>
        <v/>
      </c>
      <c r="HE47" s="218" t="str">
        <f t="shared" si="165"/>
        <v/>
      </c>
      <c r="HG47" s="218" t="str">
        <f t="shared" si="166"/>
        <v/>
      </c>
      <c r="HH47" s="218" t="str">
        <f t="shared" si="167"/>
        <v/>
      </c>
      <c r="HI47" s="218" t="str">
        <f t="shared" si="168"/>
        <v/>
      </c>
      <c r="HJ47" s="218" t="str">
        <f t="shared" si="169"/>
        <v/>
      </c>
      <c r="HK47" s="218" t="str">
        <f t="shared" si="170"/>
        <v/>
      </c>
      <c r="HL47" s="218" t="str">
        <f t="shared" si="171"/>
        <v/>
      </c>
      <c r="HN47" s="218" t="str">
        <f t="shared" si="172"/>
        <v/>
      </c>
      <c r="HO47" s="218" t="str">
        <f t="shared" si="173"/>
        <v/>
      </c>
      <c r="HP47" s="218" t="str">
        <f t="shared" si="174"/>
        <v/>
      </c>
      <c r="HR47" s="218" t="str">
        <f t="shared" si="224"/>
        <v/>
      </c>
      <c r="HS47" s="218" t="str">
        <f t="shared" si="225"/>
        <v/>
      </c>
      <c r="HT47" s="218" t="str">
        <f t="shared" si="175"/>
        <v/>
      </c>
      <c r="HU47" s="218" t="str">
        <f t="shared" si="176"/>
        <v/>
      </c>
      <c r="HV47" s="218" t="str">
        <f t="shared" si="177"/>
        <v/>
      </c>
      <c r="HW47" s="218" t="str">
        <f t="shared" si="178"/>
        <v/>
      </c>
      <c r="HX47" s="218" t="str">
        <f t="shared" si="179"/>
        <v/>
      </c>
      <c r="HY47" s="218" t="str">
        <f t="shared" si="180"/>
        <v/>
      </c>
      <c r="HZ47" s="218" t="str">
        <f t="shared" si="181"/>
        <v/>
      </c>
      <c r="IA47" s="218" t="str">
        <f t="shared" si="182"/>
        <v/>
      </c>
      <c r="IB47" s="218" t="str">
        <f t="shared" si="183"/>
        <v/>
      </c>
      <c r="IC47" s="218" t="str">
        <f t="shared" si="184"/>
        <v/>
      </c>
      <c r="ID47" s="218" t="str">
        <f t="shared" si="185"/>
        <v/>
      </c>
      <c r="IE47" s="218" t="str">
        <f t="shared" si="186"/>
        <v/>
      </c>
      <c r="IF47" s="218" t="str">
        <f t="shared" si="187"/>
        <v/>
      </c>
      <c r="IG47" s="218" t="str">
        <f t="shared" si="188"/>
        <v/>
      </c>
      <c r="IH47" s="218" t="str">
        <f t="shared" si="189"/>
        <v/>
      </c>
      <c r="II47" s="218" t="str">
        <f t="shared" si="190"/>
        <v/>
      </c>
      <c r="IJ47" s="218" t="str">
        <f t="shared" si="191"/>
        <v/>
      </c>
      <c r="IK47" s="218" t="str">
        <f t="shared" si="192"/>
        <v/>
      </c>
      <c r="IL47" s="218" t="str">
        <f t="shared" si="193"/>
        <v/>
      </c>
      <c r="IM47" s="218" t="str">
        <f t="shared" si="194"/>
        <v/>
      </c>
      <c r="IN47" s="218" t="str">
        <f t="shared" si="195"/>
        <v/>
      </c>
      <c r="IO47" s="218" t="str">
        <f t="shared" si="196"/>
        <v/>
      </c>
      <c r="IP47" s="218" t="str">
        <f t="shared" si="197"/>
        <v/>
      </c>
      <c r="IQ47" s="218" t="str">
        <f t="shared" si="198"/>
        <v/>
      </c>
      <c r="IR47" s="218" t="str">
        <f t="shared" si="199"/>
        <v/>
      </c>
      <c r="IS47" s="218" t="str">
        <f t="shared" si="200"/>
        <v/>
      </c>
      <c r="IT47" s="218" t="str">
        <f t="shared" si="201"/>
        <v/>
      </c>
      <c r="IU47" s="218" t="str">
        <f t="shared" si="202"/>
        <v/>
      </c>
    </row>
    <row r="48" spans="1:255" x14ac:dyDescent="0.2">
      <c r="A48" s="200" t="s">
        <v>51</v>
      </c>
      <c r="B48" s="178"/>
      <c r="C48" s="180"/>
      <c r="D48" s="181"/>
      <c r="E48" s="181"/>
      <c r="F48" s="181"/>
      <c r="G48" s="181"/>
      <c r="H48" s="181"/>
      <c r="I48" s="181"/>
      <c r="J48" s="181"/>
      <c r="K48" s="185"/>
      <c r="L48" s="217" t="str">
        <f t="shared" ref="L48:L59" si="226">IF(COUNT(B48:K48)&gt;0,COUNT(B48:K48),"")</f>
        <v/>
      </c>
      <c r="M48" s="218" t="str">
        <f>'HKG vs. BK'!M48</f>
        <v/>
      </c>
      <c r="N48" s="218" t="str">
        <f>'HKG vs. BK'!N48</f>
        <v/>
      </c>
      <c r="O48" s="218" t="str">
        <f>'HKG vs. BK'!O48</f>
        <v/>
      </c>
      <c r="P48" s="218" t="str">
        <f>'HKG vs. BK'!P48</f>
        <v/>
      </c>
      <c r="Q48" s="219" t="str">
        <f t="shared" ref="Q48:Q84" si="227">IF((L48&gt;0)*AND(B$109&gt;0),B48,"")</f>
        <v/>
      </c>
      <c r="R48" s="220" t="str">
        <f t="shared" ref="R48:R84" si="228">IF(($L48&gt;0)*AND(B$109&gt;0),(Q48-B$110),"")</f>
        <v/>
      </c>
      <c r="S48" s="220" t="str">
        <f t="shared" ref="S48:S84" si="229">IF(($L48&gt;0)*AND(B$109&gt;0),(Q48/B$110-1)*100,"")</f>
        <v/>
      </c>
      <c r="T48" s="219" t="str">
        <f t="shared" ref="T48:T84" si="230">IF((L48&gt;0)*AND(C$109&gt;0),C48,"")</f>
        <v/>
      </c>
      <c r="U48" s="220" t="str">
        <f t="shared" ref="U48:U84" si="231">IF((L48&gt;0)*AND(C$109&gt;0),(T48-C$110),"")</f>
        <v/>
      </c>
      <c r="V48" s="220" t="str">
        <f t="shared" ref="V48:V84" si="232">IF((L48&gt;0)*AND(C$109&gt;0),(T48/C$110-1)*100,"")</f>
        <v/>
      </c>
      <c r="W48" s="219" t="str">
        <f t="shared" ref="W48:W84" si="233">IF((L48&gt;0)*AND(D$109&gt;0),D48,"")</f>
        <v/>
      </c>
      <c r="X48" s="220" t="str">
        <f t="shared" ref="X48:X84" si="234">IF((L48&gt;0)*AND(D$109&gt;0),(W48-D$110),"")</f>
        <v/>
      </c>
      <c r="Y48" s="220" t="str">
        <f t="shared" ref="Y48:Y84" si="235">IF((L48&gt;0)*AND(D$109&gt;0),(W48/D$110-1)*100,"")</f>
        <v/>
      </c>
      <c r="Z48" s="219" t="str">
        <f t="shared" ref="Z48:Z84" si="236">IF((L48&gt;0)*AND(E$109&gt;0),E48,"")</f>
        <v/>
      </c>
      <c r="AA48" s="220" t="str">
        <f t="shared" ref="AA48:AA84" si="237">IF((L48&gt;0)*AND(E$109&gt;0),(Z48-E$110),"")</f>
        <v/>
      </c>
      <c r="AB48" s="220" t="str">
        <f t="shared" ref="AB48:AB84" si="238">IF((L48&gt;0)*AND(E$109&gt;0),(Z48/E$110-1)*100,"")</f>
        <v/>
      </c>
      <c r="AC48" s="219" t="str">
        <f t="shared" ref="AC48:AC84" si="239">IF((L48&gt;0)*AND(F$109&gt;0),F48,"")</f>
        <v/>
      </c>
      <c r="AD48" s="220" t="str">
        <f t="shared" ref="AD48:AD84" si="240">IF((L48&gt;0)*AND(F$109&gt;0),(AC48-F$110),"")</f>
        <v/>
      </c>
      <c r="AE48" s="220" t="str">
        <f t="shared" ref="AE48:AE84" si="241">IF((L48&gt;0)*AND(F$109&gt;0),(AC48/F$110-1)*100,"")</f>
        <v/>
      </c>
      <c r="AF48" s="219" t="str">
        <f t="shared" ref="AF48:AF84" si="242">IF((L48&gt;0)*AND(G$109&gt;0),G48,"")</f>
        <v/>
      </c>
      <c r="AG48" s="220" t="str">
        <f t="shared" ref="AG48:AG84" si="243">IF(($L48&gt;0)*AND(G$109&gt;0),(AF48-G$110),"")</f>
        <v/>
      </c>
      <c r="AH48" s="220" t="str">
        <f t="shared" ref="AH48:AH84" si="244">IF(($L48&gt;0)*AND(G$109&gt;0),(AF48/G$110-1)*100,"")</f>
        <v/>
      </c>
      <c r="AI48" s="219" t="str">
        <f t="shared" ref="AI48:AI84" si="245">IF((L48&gt;0)*AND(H$109&gt;0),H48,"")</f>
        <v/>
      </c>
      <c r="AJ48" s="220" t="str">
        <f t="shared" ref="AJ48:AJ84" si="246">IF(($L48&gt;0)*AND(H$109&gt;0),(AI48-H$110),"")</f>
        <v/>
      </c>
      <c r="AK48" s="220" t="str">
        <f t="shared" ref="AK48:AK84" si="247">IF(($L48&gt;0)*AND(H$109&gt;0),(AI48/H$110-1)*100,"")</f>
        <v/>
      </c>
      <c r="AL48" s="219" t="str">
        <f t="shared" ref="AL48:AL84" si="248">IF((L48&gt;0)*AND(I$109&gt;0),I48,"")</f>
        <v/>
      </c>
      <c r="AM48" s="220" t="str">
        <f t="shared" ref="AM48:AM84" si="249">IF(($L48&gt;0)*AND(I$109&gt;0),(AL48-I$110),"")</f>
        <v/>
      </c>
      <c r="AN48" s="220" t="str">
        <f t="shared" ref="AN48:AN84" si="250">IF(($L48&gt;0)*AND(I$109&gt;0),(AL48/I$110-1)*100,"")</f>
        <v/>
      </c>
      <c r="AO48" s="219" t="str">
        <f t="shared" ref="AO48:AO84" si="251">IF((L48&gt;0)*AND(J$109&gt;0),J48,"")</f>
        <v/>
      </c>
      <c r="AP48" s="220" t="str">
        <f t="shared" ref="AP48:AP84" si="252">IF(($L48&gt;0)*AND(J$109&gt;0),(AO48-J$110),"")</f>
        <v/>
      </c>
      <c r="AQ48" s="220" t="str">
        <f t="shared" ref="AQ48:AQ84" si="253">IF(($L48&gt;0)*AND(J$109&gt;0),(AO48/J$110-1)*100,"")</f>
        <v/>
      </c>
      <c r="AR48" s="219" t="str">
        <f t="shared" ref="AR48:AR84" si="254">IF((L48&gt;0)*AND(K$109&gt;0),K48,"")</f>
        <v/>
      </c>
      <c r="AS48" s="220" t="str">
        <f t="shared" ref="AS48:AS84" si="255">IF(($L48&gt;0)*AND(K$109&gt;0),(AR48-K$110),"")</f>
        <v/>
      </c>
      <c r="AT48" s="220" t="str">
        <f t="shared" ref="AT48:AT84" si="256">IF(($L48&gt;0)*AND(K$109&gt;0),(AR48/K$110-1)*100,"")</f>
        <v/>
      </c>
      <c r="AU48" s="221"/>
      <c r="AV48" s="221"/>
      <c r="AW48" s="221"/>
      <c r="AY48" s="218" t="str">
        <f t="shared" ref="AY48:AY84" si="257">IF(AND(NOT($B48=""),NOT(C48="")),$B48,"")</f>
        <v/>
      </c>
      <c r="AZ48" s="218" t="str">
        <f t="shared" ref="AZ48:AZ84" si="258">IF(AND(NOT($C48=""),NOT(B48="")),$C48,"")</f>
        <v/>
      </c>
      <c r="BA48" s="218" t="str">
        <f t="shared" ref="BA48:BA84" si="259">IF(AND(NOT(AY48=""),NOT(AZ48="")),AY48*AZ48,"")</f>
        <v/>
      </c>
      <c r="BB48" s="218" t="str">
        <f t="shared" ref="BB48:BB84" si="260">IF(AND(NOT($B48=""),NOT(D48="")),$B48,"")</f>
        <v/>
      </c>
      <c r="BC48" s="218" t="str">
        <f t="shared" ref="BC48:BC84" si="261">IF(AND(NOT($D48=""),NOT(B48="")),$D48,"")</f>
        <v/>
      </c>
      <c r="BD48" s="218" t="str">
        <f t="shared" ref="BD48:BD84" si="262">IF(AND(NOT(BB48=""),NOT(BC48="")),BB48*BC48,"")</f>
        <v/>
      </c>
      <c r="BE48" s="218" t="str">
        <f t="shared" ref="BE48:BE84" si="263">IF(AND(NOT($B48=""),NOT(E48="")),$B48,"")</f>
        <v/>
      </c>
      <c r="BF48" s="218" t="str">
        <f t="shared" ref="BF48:BF84" si="264">IF(AND(NOT($E48=""),NOT(B48="")),$E48,"")</f>
        <v/>
      </c>
      <c r="BG48" s="218" t="str">
        <f t="shared" ref="BG48:BG84" si="265">IF(AND(NOT(BE48=""),NOT(BF48="")),BE48*BF48,"")</f>
        <v/>
      </c>
      <c r="BH48" s="218" t="str">
        <f t="shared" ref="BH48:BH84" si="266">IF(AND(NOT($B48=""),NOT(F48="")),$B48,"")</f>
        <v/>
      </c>
      <c r="BI48" s="218" t="str">
        <f t="shared" ref="BI48:BI84" si="267">IF(AND(NOT($F48=""),NOT(B48="")),$F48,"")</f>
        <v/>
      </c>
      <c r="BJ48" s="218" t="str">
        <f t="shared" ref="BJ48:BJ84" si="268">IF(AND(NOT(BH48=""),NOT(BI48="")),BH48*BI48,"")</f>
        <v/>
      </c>
      <c r="BK48" s="218" t="str">
        <f t="shared" ref="BK48:BK84" si="269">IF(AND(NOT($B48=""),NOT(G48="")),$B48,"")</f>
        <v/>
      </c>
      <c r="BL48" s="218" t="str">
        <f t="shared" ref="BL48:BL84" si="270">IF(AND(NOT($G48=""),NOT(B48="")),$G48,"")</f>
        <v/>
      </c>
      <c r="BM48" s="218" t="str">
        <f t="shared" ref="BM48:BM84" si="271">IF(AND(NOT(BK48=""),NOT(BL48="")),BK48*BL48,"")</f>
        <v/>
      </c>
      <c r="BN48" s="218" t="str">
        <f t="shared" ref="BN48:BN84" si="272">IF(AND(NOT($B48=""),NOT(H48="")),$B48,"")</f>
        <v/>
      </c>
      <c r="BO48" s="218" t="str">
        <f t="shared" ref="BO48:BO84" si="273">IF(AND(NOT($H48=""),NOT(B48="")),$H48,"")</f>
        <v/>
      </c>
      <c r="BP48" s="218" t="str">
        <f t="shared" ref="BP48:BP84" si="274">IF(AND(NOT(BN48=""),NOT(BO48="")),BN48*BO48,"")</f>
        <v/>
      </c>
      <c r="BQ48" s="218" t="str">
        <f t="shared" ref="BQ48:BQ84" si="275">IF(AND(NOT($B48=""),NOT(I48="")),$B48,"")</f>
        <v/>
      </c>
      <c r="BR48" s="218" t="str">
        <f t="shared" ref="BR48:BR84" si="276">IF(AND(NOT($I48=""),NOT(B48="")),$I48,"")</f>
        <v/>
      </c>
      <c r="BS48" s="218" t="str">
        <f t="shared" ref="BS48:BS84" si="277">IF(AND(NOT(BQ48=""),NOT(BR48="")),BQ48*BR48,"")</f>
        <v/>
      </c>
      <c r="BT48" s="218" t="str">
        <f t="shared" ref="BT48:BT84" si="278">IF(AND(NOT($B48=""),NOT(J48="")),$B48,"")</f>
        <v/>
      </c>
      <c r="BU48" s="218" t="str">
        <f t="shared" ref="BU48:BU84" si="279">IF(AND(NOT($J48=""),NOT(B48="")),$J48,"")</f>
        <v/>
      </c>
      <c r="BV48" s="218" t="str">
        <f t="shared" ref="BV48:BV84" si="280">IF(AND(NOT(BT48=""),NOT(BU48="")),BT48*BU48,"")</f>
        <v/>
      </c>
      <c r="BW48" s="218" t="str">
        <f t="shared" ref="BW48:BW84" si="281">IF(AND(NOT($B48=""),NOT(K48="")),$B48,"")</f>
        <v/>
      </c>
      <c r="BX48" s="218" t="str">
        <f t="shared" ref="BX48:BX84" si="282">IF(AND(NOT($K48=""),NOT(B48="")),$K48,"")</f>
        <v/>
      </c>
      <c r="BY48" s="218" t="str">
        <f t="shared" ref="BY48:BY84" si="283">IF(AND(NOT(BW48=""),NOT(BX48="")),BW48*BX48,"")</f>
        <v/>
      </c>
      <c r="BZ48" s="218" t="str">
        <f t="shared" ref="BZ48:BZ84" si="284">IF(AND(NOT($B48=""),NOT(M48="")),$B48,"")</f>
        <v/>
      </c>
      <c r="CA48" s="218" t="str">
        <f t="shared" ref="CA48:CA84" si="285">IF(AND(NOT($M48=""),NOT(B48="")),$M48,"")</f>
        <v/>
      </c>
      <c r="CB48" s="218" t="str">
        <f t="shared" ref="CB48:CB84" si="286">IF(AND(NOT(BZ48=""),NOT(CA48="")),BZ48*CA48,"")</f>
        <v/>
      </c>
      <c r="CD48" s="218" t="str">
        <f t="shared" ref="CD48:CD84" si="287">IF(AND(NOT($C48=""),NOT(D48="")),$C48,"")</f>
        <v/>
      </c>
      <c r="CE48" s="218" t="str">
        <f t="shared" ref="CE48:CE84" si="288">IF(AND(NOT($D48=""),NOT(C48="")),$D48,"")</f>
        <v/>
      </c>
      <c r="CF48" s="218" t="str">
        <f t="shared" ref="CF48:CF84" si="289">IF(AND(NOT(CD48=""),NOT(CE48="")),CD48*CE48,"")</f>
        <v/>
      </c>
      <c r="CG48" s="218" t="str">
        <f t="shared" ref="CG48:CG84" si="290">IF(AND(NOT($C48=""),NOT(E48="")),$C48,"")</f>
        <v/>
      </c>
      <c r="CH48" s="218" t="str">
        <f t="shared" ref="CH48:CH84" si="291">IF(AND(NOT($E48=""),NOT(C48="")),$E48,"")</f>
        <v/>
      </c>
      <c r="CI48" s="218" t="str">
        <f t="shared" ref="CI48:CI84" si="292">IF(AND(NOT(CG48=""),NOT(CH48="")),CG48*CH48,"")</f>
        <v/>
      </c>
      <c r="CJ48" s="218" t="str">
        <f t="shared" ref="CJ48:CJ84" si="293">IF(AND(NOT($C48=""),NOT(F48="")),$C48,"")</f>
        <v/>
      </c>
      <c r="CK48" s="218" t="str">
        <f t="shared" ref="CK48:CK84" si="294">IF(AND(NOT($F48=""),NOT(C48="")),$F48,"")</f>
        <v/>
      </c>
      <c r="CL48" s="218" t="str">
        <f t="shared" ref="CL48:CL84" si="295">IF(AND(NOT(CJ48=""),NOT(CK48="")),CJ48*CK48,"")</f>
        <v/>
      </c>
      <c r="CM48" s="218" t="str">
        <f t="shared" ref="CM48:CM84" si="296">IF(AND(NOT($C48=""),NOT(G48="")),$C48,"")</f>
        <v/>
      </c>
      <c r="CN48" s="218" t="str">
        <f t="shared" ref="CN48:CN84" si="297">IF(AND(NOT($G48=""),NOT(C48="")),$G48,"")</f>
        <v/>
      </c>
      <c r="CO48" s="218" t="str">
        <f t="shared" ref="CO48:CO84" si="298">IF(AND(NOT(CM48=""),NOT(CN48="")),CM48*CN48,"")</f>
        <v/>
      </c>
      <c r="CP48" s="218" t="str">
        <f t="shared" ref="CP48:CP84" si="299">IF(AND(NOT($C48=""),NOT(H48="")),$C48,"")</f>
        <v/>
      </c>
      <c r="CQ48" s="218" t="str">
        <f t="shared" ref="CQ48:CQ84" si="300">IF(AND(NOT($H48=""),NOT(C48="")),$H48,"")</f>
        <v/>
      </c>
      <c r="CR48" s="218" t="str">
        <f t="shared" ref="CR48:CR84" si="301">IF(AND(NOT(CP48=""),NOT(CQ48="")),CP48*CQ48,"")</f>
        <v/>
      </c>
      <c r="CS48" s="218" t="str">
        <f t="shared" ref="CS48:CS84" si="302">IF(AND(NOT($C48=""),NOT(I48="")),$C48,"")</f>
        <v/>
      </c>
      <c r="CT48" s="218" t="str">
        <f t="shared" ref="CT48:CT84" si="303">IF(AND(NOT($I48=""),NOT(C48="")),$I48,"")</f>
        <v/>
      </c>
      <c r="CU48" s="218" t="str">
        <f t="shared" ref="CU48:CU84" si="304">IF(AND(NOT(CS48=""),NOT(CT48="")),CS48*CT48,"")</f>
        <v/>
      </c>
      <c r="CV48" s="218" t="str">
        <f t="shared" ref="CV48:CV84" si="305">IF(AND(NOT($C48=""),NOT(J48="")),$C48,"")</f>
        <v/>
      </c>
      <c r="CW48" s="218" t="str">
        <f t="shared" ref="CW48:CW84" si="306">IF(AND(NOT($J48=""),NOT(C48="")),$J48,"")</f>
        <v/>
      </c>
      <c r="CX48" s="218" t="str">
        <f t="shared" ref="CX48:CX84" si="307">IF(AND(NOT(CV48=""),NOT(CW48="")),CV48*CW48,"")</f>
        <v/>
      </c>
      <c r="CY48" s="218" t="str">
        <f t="shared" ref="CY48:CY84" si="308">IF(AND(NOT($C48=""),NOT(K48="")),$C48,"")</f>
        <v/>
      </c>
      <c r="CZ48" s="218" t="str">
        <f t="shared" ref="CZ48:CZ84" si="309">IF(AND(NOT($K48=""),NOT(C48="")),$K48,"")</f>
        <v/>
      </c>
      <c r="DA48" s="218" t="str">
        <f t="shared" ref="DA48:DA84" si="310">IF(AND(NOT(CY48=""),NOT(CZ48="")),CY48*CZ48,"")</f>
        <v/>
      </c>
      <c r="DB48" s="218" t="str">
        <f t="shared" si="64"/>
        <v/>
      </c>
      <c r="DC48" s="218" t="str">
        <f t="shared" ref="DC48:DC84" si="311">IF(AND(NOT($M48=""),NOT(C48="")),$M48,"")</f>
        <v/>
      </c>
      <c r="DD48" s="218" t="str">
        <f t="shared" ref="DD48:DD84" si="312">IF(AND(NOT(DB48=""),NOT(DC48="")),DB48*DC48,"")</f>
        <v/>
      </c>
      <c r="DF48" s="218" t="str">
        <f t="shared" ref="DF48:DF84" si="313">IF(AND(NOT($D48=""),NOT(E48="")),$D48,"")</f>
        <v/>
      </c>
      <c r="DG48" s="218" t="str">
        <f t="shared" ref="DG48:DG84" si="314">IF(AND(NOT($E48=""),NOT(D48="")),$E48,"")</f>
        <v/>
      </c>
      <c r="DH48" s="218" t="str">
        <f t="shared" ref="DH48:DH84" si="315">IF(AND(NOT(DF48=""),NOT(DG48="")),DF48*DG48,"")</f>
        <v/>
      </c>
      <c r="DI48" s="218" t="str">
        <f t="shared" ref="DI48:DI84" si="316">IF(AND(NOT($D48=""),NOT(F48="")),$D48,"")</f>
        <v/>
      </c>
      <c r="DJ48" s="218" t="str">
        <f t="shared" ref="DJ48:DJ84" si="317">IF(AND(NOT($F48=""),NOT(E48="")),$F48,"")</f>
        <v/>
      </c>
      <c r="DK48" s="218" t="str">
        <f t="shared" ref="DK48:DK84" si="318">IF(AND(NOT(DI48=""),NOT(DJ48="")),DI48*DJ48,"")</f>
        <v/>
      </c>
      <c r="DL48" s="218" t="str">
        <f t="shared" ref="DL48:DL84" si="319">IF(AND(NOT($D48=""),NOT(G48="")),$D48,"")</f>
        <v/>
      </c>
      <c r="DM48" s="218" t="str">
        <f t="shared" ref="DM48:DM84" si="320">IF(AND(NOT($G48=""),NOT(D48="")),$G48,"")</f>
        <v/>
      </c>
      <c r="DN48" s="218" t="str">
        <f t="shared" ref="DN48:DN84" si="321">IF(AND(NOT(DL48=""),NOT(DM48="")),DL48*DM48,"")</f>
        <v/>
      </c>
      <c r="DO48" s="218" t="str">
        <f t="shared" ref="DO48:DO84" si="322">IF(AND(NOT($D48=""),NOT(H48="")),$D48,"")</f>
        <v/>
      </c>
      <c r="DP48" s="218" t="str">
        <f t="shared" ref="DP48:DP84" si="323">IF(AND(NOT($H48=""),NOT(D48="")),$H48,"")</f>
        <v/>
      </c>
      <c r="DQ48" s="218" t="str">
        <f t="shared" ref="DQ48:DQ84" si="324">IF(AND(NOT(DO48=""),NOT(DP48="")),DO48*DP48,"")</f>
        <v/>
      </c>
      <c r="DR48" s="218" t="str">
        <f t="shared" ref="DR48:DR84" si="325">IF(AND(NOT($D48=""),NOT(I48="")),$D48,"")</f>
        <v/>
      </c>
      <c r="DS48" s="218" t="str">
        <f t="shared" ref="DS48:DS84" si="326">IF(AND(NOT($I48=""),NOT(D48="")),$I48,"")</f>
        <v/>
      </c>
      <c r="DT48" s="218" t="str">
        <f t="shared" ref="DT48:DT84" si="327">IF(AND(NOT(DR48=""),NOT(DS48="")),DR48*DS48,"")</f>
        <v/>
      </c>
      <c r="DU48" s="218" t="str">
        <f t="shared" ref="DU48:DU84" si="328">IF(AND(NOT($D48=""),NOT(J48="")),$D48,"")</f>
        <v/>
      </c>
      <c r="DV48" s="218" t="str">
        <f t="shared" ref="DV48:DV84" si="329">IF(AND(NOT($J48=""),NOT(D48="")),$J48,"")</f>
        <v/>
      </c>
      <c r="DW48" s="218" t="str">
        <f t="shared" ref="DW48:DW84" si="330">IF(AND(NOT(DU48=""),NOT(DV48="")),DU48*DV48,"")</f>
        <v/>
      </c>
      <c r="DX48" s="218" t="str">
        <f t="shared" ref="DX48:DX84" si="331">IF(AND(NOT($D48=""),NOT(K48="")),$D48,"")</f>
        <v/>
      </c>
      <c r="DY48" s="218" t="str">
        <f t="shared" ref="DY48:DY84" si="332">IF(AND(NOT($K48=""),NOT(D48="")),$K48,"")</f>
        <v/>
      </c>
      <c r="DZ48" s="218" t="str">
        <f t="shared" ref="DZ48:DZ84" si="333">IF(AND(NOT(DX48=""),NOT(DY48="")),DX48*DY48,"")</f>
        <v/>
      </c>
      <c r="EA48" s="218" t="str">
        <f t="shared" ref="EA48:EA84" si="334">IF(AND(NOT($D48=""),NOT(M48="")),$D48,"")</f>
        <v/>
      </c>
      <c r="EB48" s="218" t="str">
        <f t="shared" ref="EB48:EB84" si="335">IF(AND(NOT($M48=""),NOT(D48="")),$M48,"")</f>
        <v/>
      </c>
      <c r="EC48" s="218" t="str">
        <f t="shared" ref="EC48:EC84" si="336">IF(AND(NOT(EA48=""),NOT(EB48="")),EA48*EB48,"")</f>
        <v/>
      </c>
      <c r="EE48" s="218" t="str">
        <f t="shared" ref="EE48:EE84" si="337">IF(AND(NOT($E48=""),NOT(F48="")),$E48,"")</f>
        <v/>
      </c>
      <c r="EF48" s="218" t="str">
        <f t="shared" ref="EF48:EF84" si="338">IF(AND(NOT($F48=""),NOT(E48="")),$F48,"")</f>
        <v/>
      </c>
      <c r="EG48" s="218" t="str">
        <f t="shared" ref="EG48:EG84" si="339">IF(AND(NOT(EE48=""),NOT(EF48="")),EE48*EF48,"")</f>
        <v/>
      </c>
      <c r="EH48" s="218" t="str">
        <f t="shared" ref="EH48:EH84" si="340">IF(AND(NOT($E48=""),NOT(G48="")),$E48,"")</f>
        <v/>
      </c>
      <c r="EI48" s="218" t="str">
        <f t="shared" ref="EI48:EI84" si="341">IF(AND(NOT($G48=""),NOT(E48="")),$G48,"")</f>
        <v/>
      </c>
      <c r="EJ48" s="218" t="str">
        <f t="shared" ref="EJ48:EJ84" si="342">IF(AND(NOT(EH48=""),NOT(EI48="")),EH48*EI48,"")</f>
        <v/>
      </c>
      <c r="EK48" s="218" t="str">
        <f t="shared" ref="EK48:EK84" si="343">IF(AND(NOT($E48=""),NOT(H48="")),$E48,"")</f>
        <v/>
      </c>
      <c r="EL48" s="218" t="str">
        <f t="shared" ref="EL48:EL84" si="344">IF(AND(NOT($H48=""),NOT(E48="")),$H48,"")</f>
        <v/>
      </c>
      <c r="EM48" s="218" t="str">
        <f t="shared" ref="EM48:EM84" si="345">IF(AND(NOT(EK48=""),NOT(EL48="")),EK48*EL48,"")</f>
        <v/>
      </c>
      <c r="EN48" s="218" t="str">
        <f t="shared" ref="EN48:EN84" si="346">IF(AND(NOT($E48=""),NOT(I48="")),$E48,"")</f>
        <v/>
      </c>
      <c r="EO48" s="218" t="str">
        <f t="shared" ref="EO48:EO84" si="347">IF(AND(NOT($I48=""),NOT(E48="")),$I48,"")</f>
        <v/>
      </c>
      <c r="EP48" s="218" t="str">
        <f t="shared" ref="EP48:EP84" si="348">IF(AND(NOT(EN48=""),NOT(EO48="")),EN48*EO48,"")</f>
        <v/>
      </c>
      <c r="EQ48" s="218" t="str">
        <f t="shared" ref="EQ48:EQ84" si="349">IF(AND(NOT($E48=""),NOT(J48="")),$E48,"")</f>
        <v/>
      </c>
      <c r="ER48" s="218" t="str">
        <f t="shared" ref="ER48:ER84" si="350">IF(AND(NOT($J48=""),NOT(E48="")),$J48,"")</f>
        <v/>
      </c>
      <c r="ES48" s="218" t="str">
        <f t="shared" ref="ES48:ES84" si="351">IF(AND(NOT(EQ48=""),NOT(ER48="")),EQ48*ER48,"")</f>
        <v/>
      </c>
      <c r="ET48" s="218" t="str">
        <f t="shared" ref="ET48:ET84" si="352">IF(AND(NOT($E48=""),NOT(K48="")),$E48,"")</f>
        <v/>
      </c>
      <c r="EU48" s="218" t="str">
        <f t="shared" ref="EU48:EU84" si="353">IF(AND(NOT($K48=""),NOT(E48="")),$K48,"")</f>
        <v/>
      </c>
      <c r="EV48" s="218" t="str">
        <f t="shared" ref="EV48:EV84" si="354">IF(AND(NOT(ET48=""),NOT(EU48="")),ET48*EU48,"")</f>
        <v/>
      </c>
      <c r="EW48" s="218" t="str">
        <f t="shared" ref="EW48:EW84" si="355">IF(AND(NOT($E48=""),NOT(M48="")),$E48,"")</f>
        <v/>
      </c>
      <c r="EX48" s="218" t="str">
        <f t="shared" ref="EX48:EX84" si="356">IF(AND(NOT($M48=""),NOT(E48="")),$M48,"")</f>
        <v/>
      </c>
      <c r="EY48" s="218" t="str">
        <f t="shared" ref="EY48:EY84" si="357">IF(AND(NOT(EW48=""),NOT(EX48="")),EW48*EX48,"")</f>
        <v/>
      </c>
      <c r="FA48" s="218" t="str">
        <f t="shared" ref="FA48:FA84" si="358">IF(AND(NOT($F48=""),NOT(G48="")),$F48,"")</f>
        <v/>
      </c>
      <c r="FB48" s="218" t="str">
        <f t="shared" ref="FB48:FB84" si="359">IF(AND(NOT($G48=""),NOT(F48="")),$G48,"")</f>
        <v/>
      </c>
      <c r="FC48" s="218" t="str">
        <f t="shared" ref="FC48:FC84" si="360">IF(AND(NOT(FA48=""),NOT(FB48="")),FA48*FB48,"")</f>
        <v/>
      </c>
      <c r="FD48" s="218" t="str">
        <f t="shared" ref="FD48:FD84" si="361">IF(AND(NOT($F48=""),NOT(H48="")),$F48,"")</f>
        <v/>
      </c>
      <c r="FE48" s="218" t="str">
        <f t="shared" ref="FE48:FE84" si="362">IF(AND(NOT($H48=""),NOT(F48="")),$H48,"")</f>
        <v/>
      </c>
      <c r="FF48" s="218" t="str">
        <f t="shared" ref="FF48:FF84" si="363">IF(AND(NOT(FD48=""),NOT(FE48="")),FD48*FE48,"")</f>
        <v/>
      </c>
      <c r="FG48" s="218" t="str">
        <f t="shared" ref="FG48:FG84" si="364">IF(AND(NOT($F48=""),NOT(I48="")),$F48,"")</f>
        <v/>
      </c>
      <c r="FH48" s="218" t="str">
        <f t="shared" ref="FH48:FH84" si="365">IF(AND(NOT($I48=""),NOT(F48="")),$I48,"")</f>
        <v/>
      </c>
      <c r="FI48" s="218" t="str">
        <f t="shared" ref="FI48:FI84" si="366">IF(AND(NOT(FG48=""),NOT(FH48="")),FG48*FH48,"")</f>
        <v/>
      </c>
      <c r="FJ48" s="218" t="str">
        <f t="shared" ref="FJ48:FJ84" si="367">IF(AND(NOT($F48=""),NOT(J48="")),$F48,"")</f>
        <v/>
      </c>
      <c r="FK48" s="218" t="str">
        <f t="shared" ref="FK48:FK84" si="368">IF(AND(NOT($J48=""),NOT(F48="")),$J48,"")</f>
        <v/>
      </c>
      <c r="FL48" s="218" t="str">
        <f t="shared" ref="FL48:FL84" si="369">IF(AND(NOT(FJ48=""),NOT(FK48="")),FJ48*FK48,"")</f>
        <v/>
      </c>
      <c r="FM48" s="218" t="str">
        <f t="shared" ref="FM48:FM84" si="370">IF(AND(NOT($F48=""),NOT(K48="")),$F48,"")</f>
        <v/>
      </c>
      <c r="FN48" s="218" t="str">
        <f t="shared" ref="FN48:FN84" si="371">IF(AND(NOT($K48=""),NOT(F48="")),$K48,"")</f>
        <v/>
      </c>
      <c r="FO48" s="218" t="str">
        <f t="shared" ref="FO48:FO84" si="372">IF(AND(NOT(FM48=""),NOT(FN48="")),FM48*FN48,"")</f>
        <v/>
      </c>
      <c r="FP48" s="218" t="str">
        <f t="shared" ref="FP48:FP84" si="373">IF(AND(NOT($F48=""),NOT(M48="")),$F48,"")</f>
        <v/>
      </c>
      <c r="FQ48" s="218" t="str">
        <f t="shared" ref="FQ48:FQ84" si="374">IF(AND(NOT($M48=""),NOT(F48="")),$M48,"")</f>
        <v/>
      </c>
      <c r="FR48" s="218" t="str">
        <f t="shared" ref="FR48:FR84" si="375">IF(AND(NOT(FP48=""),NOT(FQ48="")),FP48*FQ48,"")</f>
        <v/>
      </c>
      <c r="FT48" s="218" t="str">
        <f t="shared" ref="FT48:FT84" si="376">IF(AND(NOT($G48=""),NOT(H48="")),$G48,"")</f>
        <v/>
      </c>
      <c r="FU48" s="218" t="str">
        <f t="shared" ref="FU48:FU84" si="377">IF(AND(NOT($H48=""),NOT(G48="")),$H48,"")</f>
        <v/>
      </c>
      <c r="FV48" s="218" t="str">
        <f t="shared" ref="FV48:FV84" si="378">IF(AND(NOT(FT48=""),NOT(FU48="")),FT48*FU48,"")</f>
        <v/>
      </c>
      <c r="FW48" s="218" t="str">
        <f t="shared" ref="FW48:FW84" si="379">IF(AND(NOT($G48=""),NOT(I48="")),$G48,"")</f>
        <v/>
      </c>
      <c r="FX48" s="218" t="str">
        <f t="shared" ref="FX48:FX84" si="380">IF(AND(NOT($I48=""),NOT(G48="")),$I48,"")</f>
        <v/>
      </c>
      <c r="FY48" s="218" t="str">
        <f t="shared" ref="FY48:FY84" si="381">IF(AND(NOT(FW48=""),NOT(FX48="")),FW48*FX48,"")</f>
        <v/>
      </c>
      <c r="FZ48" s="218" t="str">
        <f t="shared" ref="FZ48:FZ84" si="382">IF(AND(NOT($G48=""),NOT(J48="")),$G48,"")</f>
        <v/>
      </c>
      <c r="GA48" s="218" t="str">
        <f t="shared" ref="GA48:GA84" si="383">IF(AND(NOT($J48=""),NOT(G48="")),$J48,"")</f>
        <v/>
      </c>
      <c r="GB48" s="218" t="str">
        <f t="shared" ref="GB48:GB84" si="384">IF(AND(NOT(FZ48=""),NOT(GA48="")),FZ48*GA48,"")</f>
        <v/>
      </c>
      <c r="GC48" s="218" t="str">
        <f t="shared" ref="GC48:GC84" si="385">IF(AND(NOT($G48=""),NOT(K48="")),$G48,"")</f>
        <v/>
      </c>
      <c r="GD48" s="218" t="str">
        <f t="shared" ref="GD48:GD84" si="386">IF(AND(NOT($K48=""),NOT(G48="")),$K48,"")</f>
        <v/>
      </c>
      <c r="GE48" s="218" t="str">
        <f t="shared" ref="GE48:GE84" si="387">IF(AND(NOT(GC48=""),NOT(GD48="")),GC48*GD48,"")</f>
        <v/>
      </c>
      <c r="GF48" s="218" t="str">
        <f t="shared" ref="GF48:GF84" si="388">IF(AND(NOT($G48=""),NOT(M48="")),$G48,"")</f>
        <v/>
      </c>
      <c r="GG48" s="218" t="str">
        <f t="shared" ref="GG48:GG84" si="389">IF(AND(NOT($M48=""),NOT(G48="")),$M48,"")</f>
        <v/>
      </c>
      <c r="GH48" s="218" t="str">
        <f t="shared" ref="GH48:GH84" si="390">IF(AND(NOT(GF48=""),NOT(GG48="")),GF48*GG48,"")</f>
        <v/>
      </c>
      <c r="GJ48" s="218" t="str">
        <f t="shared" ref="GJ48:GJ84" si="391">IF(AND(NOT($H48=""),NOT(I48="")),$H48,"")</f>
        <v/>
      </c>
      <c r="GK48" s="218" t="str">
        <f t="shared" ref="GK48:GK84" si="392">IF(AND(NOT($I48=""),NOT(H48="")),$I48,"")</f>
        <v/>
      </c>
      <c r="GL48" s="218" t="str">
        <f t="shared" ref="GL48:GL84" si="393">IF(AND(NOT(GJ48=""),NOT(GK48="")),GJ48*GK48,"")</f>
        <v/>
      </c>
      <c r="GM48" s="218" t="str">
        <f t="shared" ref="GM48:GM84" si="394">IF(AND(NOT($H48=""),NOT(J48="")),$H48,"")</f>
        <v/>
      </c>
      <c r="GN48" s="218" t="str">
        <f t="shared" ref="GN48:GN84" si="395">IF(AND(NOT($J48=""),NOT(H48="")),$J48,"")</f>
        <v/>
      </c>
      <c r="GO48" s="218" t="str">
        <f t="shared" ref="GO48:GO84" si="396">IF(AND(NOT(GM48=""),NOT(GN48="")),GM48*GN48,"")</f>
        <v/>
      </c>
      <c r="GP48" s="218" t="str">
        <f t="shared" ref="GP48:GP84" si="397">IF(AND(NOT($H48=""),NOT(K48="")),$H48,"")</f>
        <v/>
      </c>
      <c r="GQ48" s="218" t="str">
        <f t="shared" ref="GQ48:GQ84" si="398">IF(AND(NOT($K48=""),NOT(H48="")),$K48,"")</f>
        <v/>
      </c>
      <c r="GR48" s="218" t="str">
        <f t="shared" ref="GR48:GR84" si="399">IF(AND(NOT(GP48=""),NOT(GQ48="")),GP48*GQ48,"")</f>
        <v/>
      </c>
      <c r="GS48" s="218" t="str">
        <f t="shared" ref="GS48:GS84" si="400">IF(AND(NOT($H48=""),NOT(M48="")),$H48,"")</f>
        <v/>
      </c>
      <c r="GT48" s="218" t="str">
        <f t="shared" ref="GT48:GT84" si="401">IF(AND(NOT($M48=""),NOT(H48="")),$M48,"")</f>
        <v/>
      </c>
      <c r="GU48" s="218" t="str">
        <f t="shared" ref="GU48:GU84" si="402">IF(AND(NOT(GS48=""),NOT(GT48="")),GS48*GT48,"")</f>
        <v/>
      </c>
      <c r="GW48" s="218" t="str">
        <f t="shared" ref="GW48:GW84" si="403">IF(AND(NOT($I48=""),NOT(J48="")),$I48,"")</f>
        <v/>
      </c>
      <c r="GX48" s="218" t="str">
        <f t="shared" ref="GX48:GX84" si="404">IF(AND(NOT($J48=""),NOT(I48="")),$J48,"")</f>
        <v/>
      </c>
      <c r="GY48" s="218" t="str">
        <f t="shared" ref="GY48:GY84" si="405">IF(AND(NOT(GW48=""),NOT(GX48="")),GW48*GX48,"")</f>
        <v/>
      </c>
      <c r="GZ48" s="218" t="str">
        <f t="shared" ref="GZ48:GZ84" si="406">IF(AND(NOT($I48=""),NOT(K48="")),$I48,"")</f>
        <v/>
      </c>
      <c r="HA48" s="218" t="str">
        <f t="shared" ref="HA48:HA84" si="407">IF(AND(NOT($K48=""),NOT(I48="")),$K48,"")</f>
        <v/>
      </c>
      <c r="HB48" s="218" t="str">
        <f t="shared" ref="HB48:HB84" si="408">IF(AND(NOT(GZ48=""),NOT(HA48="")),GZ48*HA48,"")</f>
        <v/>
      </c>
      <c r="HC48" s="218" t="str">
        <f t="shared" ref="HC48:HC84" si="409">IF(AND(NOT($I48=""),NOT(M48="")),$I48,"")</f>
        <v/>
      </c>
      <c r="HD48" s="218" t="str">
        <f t="shared" ref="HD48:HD84" si="410">IF(AND(NOT($M48=""),NOT(I48="")),$M48,"")</f>
        <v/>
      </c>
      <c r="HE48" s="218" t="str">
        <f t="shared" ref="HE48:HE84" si="411">IF(AND(NOT(HC48=""),NOT(HD48="")),HC48*HD48,"")</f>
        <v/>
      </c>
      <c r="HG48" s="218" t="str">
        <f t="shared" ref="HG48:HG84" si="412">IF(AND(NOT($J48=""),NOT(K48="")),$J48,"")</f>
        <v/>
      </c>
      <c r="HH48" s="218" t="str">
        <f t="shared" ref="HH48:HH84" si="413">IF(AND(NOT($K48=""),NOT(J48="")),$K48,"")</f>
        <v/>
      </c>
      <c r="HI48" s="218" t="str">
        <f t="shared" ref="HI48:HI84" si="414">IF(AND(NOT(HG48=""),NOT(HH48="")),HG48*HH48,"")</f>
        <v/>
      </c>
      <c r="HJ48" s="218" t="str">
        <f t="shared" ref="HJ48:HJ84" si="415">IF(AND(NOT($J48=""),NOT(M48="")),$J48,"")</f>
        <v/>
      </c>
      <c r="HK48" s="218" t="str">
        <f t="shared" ref="HK48:HK84" si="416">IF(AND(NOT($M48=""),NOT(J48="")),$M48,"")</f>
        <v/>
      </c>
      <c r="HL48" s="218" t="str">
        <f t="shared" ref="HL48:HL84" si="417">IF(AND(NOT(HJ48=""),NOT(HK48="")),HJ48*HK48,"")</f>
        <v/>
      </c>
      <c r="HN48" s="218" t="str">
        <f t="shared" ref="HN48:HN84" si="418">IF(AND(NOT($K48=""),NOT(M48="")),$K48,"")</f>
        <v/>
      </c>
      <c r="HO48" s="218" t="str">
        <f t="shared" ref="HO48:HO84" si="419">IF(AND(NOT($M48=""),NOT(K48="")),$M48,"")</f>
        <v/>
      </c>
      <c r="HP48" s="218" t="str">
        <f t="shared" ref="HP48:HP84" si="420">IF(AND(NOT(HN48=""),NOT(HO48="")),HN48*HO48,"")</f>
        <v/>
      </c>
      <c r="HR48" s="218" t="str">
        <f t="shared" ref="HR48:HR84" si="421">IF(AND(NOT($M48=""),NOT(B48="")),$M48,"")</f>
        <v/>
      </c>
      <c r="HS48" s="218" t="str">
        <f t="shared" si="225"/>
        <v/>
      </c>
      <c r="HT48" s="218" t="str">
        <f t="shared" ref="HT48:HT84" si="422">IF(AND(NOT(HR48=""),NOT(HS48="")),HR48*HS48,"")</f>
        <v/>
      </c>
      <c r="HU48" s="218" t="str">
        <f t="shared" si="176"/>
        <v/>
      </c>
      <c r="HV48" s="218" t="str">
        <f t="shared" ref="HV48:HV84" si="423">IF(AND(NOT($C48=""),NOT(M48="")),$C48,"")</f>
        <v/>
      </c>
      <c r="HW48" s="218" t="str">
        <f t="shared" ref="HW48:HW84" si="424">IF(AND(NOT(HU48=""),NOT(HV48="")),HU48*HV48,"")</f>
        <v/>
      </c>
      <c r="HX48" s="218" t="str">
        <f t="shared" ref="HX48:HX84" si="425">IF(AND(NOT($M48=""),NOT(D48="")),$M48,"")</f>
        <v/>
      </c>
      <c r="HY48" s="218" t="str">
        <f t="shared" si="180"/>
        <v/>
      </c>
      <c r="HZ48" s="218" t="str">
        <f t="shared" ref="HZ48:HZ84" si="426">IF(AND(NOT(HX48=""),NOT(HY48="")),HX48*HY48,"")</f>
        <v/>
      </c>
      <c r="IA48" s="218" t="str">
        <f t="shared" ref="IA48:IA84" si="427">IF(AND(NOT($M48=""),NOT(E48="")),$M48,"")</f>
        <v/>
      </c>
      <c r="IB48" s="218" t="str">
        <f t="shared" si="183"/>
        <v/>
      </c>
      <c r="IC48" s="218" t="str">
        <f t="shared" ref="IC48:IC84" si="428">IF(AND(NOT(IA48=""),NOT(IB48="")),IA48*IB48,"")</f>
        <v/>
      </c>
      <c r="ID48" s="218" t="str">
        <f t="shared" ref="ID48:ID84" si="429">IF(AND(NOT($M48=""),NOT(F48="")),$M48,"")</f>
        <v/>
      </c>
      <c r="IE48" s="218" t="str">
        <f t="shared" si="186"/>
        <v/>
      </c>
      <c r="IF48" s="218" t="str">
        <f t="shared" ref="IF48:IF84" si="430">IF(AND(NOT(ID48=""),NOT(IE48="")),ID48*IE48,"")</f>
        <v/>
      </c>
      <c r="IG48" s="218" t="str">
        <f t="shared" ref="IG48:IG84" si="431">IF(AND(NOT($M48=""),NOT(G48="")),$M48,"")</f>
        <v/>
      </c>
      <c r="IH48" s="218" t="str">
        <f t="shared" si="189"/>
        <v/>
      </c>
      <c r="II48" s="218" t="str">
        <f t="shared" ref="II48:II84" si="432">IF(AND(NOT(IG48=""),NOT(IH48="")),IG48*IH48,"")</f>
        <v/>
      </c>
      <c r="IJ48" s="218" t="str">
        <f t="shared" ref="IJ48:IJ84" si="433">IF(AND(NOT($M48=""),NOT(H48="")),$M48,"")</f>
        <v/>
      </c>
      <c r="IK48" s="218" t="str">
        <f t="shared" si="192"/>
        <v/>
      </c>
      <c r="IL48" s="218" t="str">
        <f t="shared" ref="IL48:IL84" si="434">IF(AND(NOT(IJ48=""),NOT(IK48="")),IJ48*IK48,"")</f>
        <v/>
      </c>
      <c r="IM48" s="218" t="str">
        <f t="shared" ref="IM48:IM84" si="435">IF(AND(NOT($M48=""),NOT(I48="")),$M48,"")</f>
        <v/>
      </c>
      <c r="IN48" s="218" t="str">
        <f t="shared" si="195"/>
        <v/>
      </c>
      <c r="IO48" s="218" t="str">
        <f t="shared" ref="IO48:IO84" si="436">IF(AND(NOT(IM48=""),NOT(IN48="")),IM48*IN48,"")</f>
        <v/>
      </c>
      <c r="IP48" s="218" t="str">
        <f t="shared" ref="IP48:IP84" si="437">IF(AND(NOT($M48=""),NOT(J48="")),$M48,"")</f>
        <v/>
      </c>
      <c r="IQ48" s="218" t="str">
        <f t="shared" si="198"/>
        <v/>
      </c>
      <c r="IR48" s="218" t="str">
        <f t="shared" ref="IR48:IR84" si="438">IF(AND(NOT(IP48=""),NOT(IQ48="")),IP48*IQ48,"")</f>
        <v/>
      </c>
      <c r="IS48" s="218" t="str">
        <f t="shared" ref="IS48:IS84" si="439">IF(AND(NOT($M48=""),NOT(K48="")),$M48,"")</f>
        <v/>
      </c>
      <c r="IT48" s="218" t="str">
        <f t="shared" si="201"/>
        <v/>
      </c>
      <c r="IU48" s="218" t="str">
        <f t="shared" ref="IU48:IU84" si="440">IF(AND(NOT(IS48=""),NOT(IT48="")),IS48*IT48,"")</f>
        <v/>
      </c>
    </row>
    <row r="49" spans="1:255" x14ac:dyDescent="0.2">
      <c r="A49" s="200" t="s">
        <v>52</v>
      </c>
      <c r="B49" s="178"/>
      <c r="C49" s="180"/>
      <c r="D49" s="181"/>
      <c r="E49" s="181"/>
      <c r="F49" s="181"/>
      <c r="G49" s="180"/>
      <c r="H49" s="180"/>
      <c r="I49" s="180"/>
      <c r="J49" s="180"/>
      <c r="K49" s="185"/>
      <c r="L49" s="217" t="str">
        <f t="shared" si="226"/>
        <v/>
      </c>
      <c r="M49" s="218" t="str">
        <f>'HKG vs. BK'!M49</f>
        <v/>
      </c>
      <c r="N49" s="218" t="str">
        <f>'HKG vs. BK'!N49</f>
        <v/>
      </c>
      <c r="O49" s="218" t="str">
        <f>'HKG vs. BK'!O49</f>
        <v/>
      </c>
      <c r="P49" s="218" t="str">
        <f>'HKG vs. BK'!P49</f>
        <v/>
      </c>
      <c r="Q49" s="219" t="str">
        <f t="shared" si="227"/>
        <v/>
      </c>
      <c r="R49" s="220" t="str">
        <f t="shared" si="228"/>
        <v/>
      </c>
      <c r="S49" s="220" t="str">
        <f t="shared" si="229"/>
        <v/>
      </c>
      <c r="T49" s="219" t="str">
        <f t="shared" si="230"/>
        <v/>
      </c>
      <c r="U49" s="220" t="str">
        <f t="shared" si="231"/>
        <v/>
      </c>
      <c r="V49" s="220" t="str">
        <f t="shared" si="232"/>
        <v/>
      </c>
      <c r="W49" s="219" t="str">
        <f t="shared" si="233"/>
        <v/>
      </c>
      <c r="X49" s="220" t="str">
        <f t="shared" si="234"/>
        <v/>
      </c>
      <c r="Y49" s="220" t="str">
        <f t="shared" si="235"/>
        <v/>
      </c>
      <c r="Z49" s="219" t="str">
        <f t="shared" si="236"/>
        <v/>
      </c>
      <c r="AA49" s="220" t="str">
        <f t="shared" si="237"/>
        <v/>
      </c>
      <c r="AB49" s="220" t="str">
        <f t="shared" si="238"/>
        <v/>
      </c>
      <c r="AC49" s="219" t="str">
        <f t="shared" si="239"/>
        <v/>
      </c>
      <c r="AD49" s="220" t="str">
        <f t="shared" si="240"/>
        <v/>
      </c>
      <c r="AE49" s="220" t="str">
        <f t="shared" si="241"/>
        <v/>
      </c>
      <c r="AF49" s="219" t="str">
        <f t="shared" si="242"/>
        <v/>
      </c>
      <c r="AG49" s="220" t="str">
        <f t="shared" si="243"/>
        <v/>
      </c>
      <c r="AH49" s="220" t="str">
        <f t="shared" si="244"/>
        <v/>
      </c>
      <c r="AI49" s="219" t="str">
        <f t="shared" si="245"/>
        <v/>
      </c>
      <c r="AJ49" s="220" t="str">
        <f t="shared" si="246"/>
        <v/>
      </c>
      <c r="AK49" s="220" t="str">
        <f t="shared" si="247"/>
        <v/>
      </c>
      <c r="AL49" s="219" t="str">
        <f t="shared" si="248"/>
        <v/>
      </c>
      <c r="AM49" s="220" t="str">
        <f t="shared" si="249"/>
        <v/>
      </c>
      <c r="AN49" s="220" t="str">
        <f t="shared" si="250"/>
        <v/>
      </c>
      <c r="AO49" s="219" t="str">
        <f t="shared" si="251"/>
        <v/>
      </c>
      <c r="AP49" s="220" t="str">
        <f t="shared" si="252"/>
        <v/>
      </c>
      <c r="AQ49" s="220" t="str">
        <f t="shared" si="253"/>
        <v/>
      </c>
      <c r="AR49" s="219" t="str">
        <f t="shared" si="254"/>
        <v/>
      </c>
      <c r="AS49" s="220" t="str">
        <f t="shared" si="255"/>
        <v/>
      </c>
      <c r="AT49" s="220" t="str">
        <f t="shared" si="256"/>
        <v/>
      </c>
      <c r="AU49" s="221"/>
      <c r="AV49" s="221"/>
      <c r="AW49" s="221"/>
      <c r="AY49" s="218" t="str">
        <f t="shared" si="257"/>
        <v/>
      </c>
      <c r="AZ49" s="218" t="str">
        <f t="shared" si="258"/>
        <v/>
      </c>
      <c r="BA49" s="218" t="str">
        <f t="shared" si="259"/>
        <v/>
      </c>
      <c r="BB49" s="218" t="str">
        <f t="shared" si="260"/>
        <v/>
      </c>
      <c r="BC49" s="218" t="str">
        <f t="shared" si="261"/>
        <v/>
      </c>
      <c r="BD49" s="218" t="str">
        <f t="shared" si="262"/>
        <v/>
      </c>
      <c r="BE49" s="218" t="str">
        <f t="shared" si="263"/>
        <v/>
      </c>
      <c r="BF49" s="218" t="str">
        <f t="shared" si="264"/>
        <v/>
      </c>
      <c r="BG49" s="218" t="str">
        <f t="shared" si="265"/>
        <v/>
      </c>
      <c r="BH49" s="218" t="str">
        <f t="shared" si="266"/>
        <v/>
      </c>
      <c r="BI49" s="218" t="str">
        <f t="shared" si="267"/>
        <v/>
      </c>
      <c r="BJ49" s="218" t="str">
        <f t="shared" si="268"/>
        <v/>
      </c>
      <c r="BK49" s="218" t="str">
        <f t="shared" si="269"/>
        <v/>
      </c>
      <c r="BL49" s="218" t="str">
        <f t="shared" si="270"/>
        <v/>
      </c>
      <c r="BM49" s="218" t="str">
        <f t="shared" si="271"/>
        <v/>
      </c>
      <c r="BN49" s="218" t="str">
        <f t="shared" si="272"/>
        <v/>
      </c>
      <c r="BO49" s="218" t="str">
        <f t="shared" si="273"/>
        <v/>
      </c>
      <c r="BP49" s="218" t="str">
        <f t="shared" si="274"/>
        <v/>
      </c>
      <c r="BQ49" s="218" t="str">
        <f t="shared" si="275"/>
        <v/>
      </c>
      <c r="BR49" s="218" t="str">
        <f t="shared" si="276"/>
        <v/>
      </c>
      <c r="BS49" s="218" t="str">
        <f t="shared" si="277"/>
        <v/>
      </c>
      <c r="BT49" s="218" t="str">
        <f t="shared" si="278"/>
        <v/>
      </c>
      <c r="BU49" s="218" t="str">
        <f t="shared" si="279"/>
        <v/>
      </c>
      <c r="BV49" s="218" t="str">
        <f t="shared" si="280"/>
        <v/>
      </c>
      <c r="BW49" s="218" t="str">
        <f t="shared" si="281"/>
        <v/>
      </c>
      <c r="BX49" s="218" t="str">
        <f t="shared" si="282"/>
        <v/>
      </c>
      <c r="BY49" s="218" t="str">
        <f t="shared" si="283"/>
        <v/>
      </c>
      <c r="BZ49" s="218" t="str">
        <f t="shared" si="284"/>
        <v/>
      </c>
      <c r="CA49" s="218" t="str">
        <f t="shared" si="285"/>
        <v/>
      </c>
      <c r="CB49" s="218" t="str">
        <f t="shared" si="286"/>
        <v/>
      </c>
      <c r="CD49" s="218" t="str">
        <f t="shared" si="287"/>
        <v/>
      </c>
      <c r="CE49" s="218" t="str">
        <f t="shared" si="288"/>
        <v/>
      </c>
      <c r="CF49" s="218" t="str">
        <f t="shared" si="289"/>
        <v/>
      </c>
      <c r="CG49" s="218" t="str">
        <f t="shared" si="290"/>
        <v/>
      </c>
      <c r="CH49" s="218" t="str">
        <f t="shared" si="291"/>
        <v/>
      </c>
      <c r="CI49" s="218" t="str">
        <f t="shared" si="292"/>
        <v/>
      </c>
      <c r="CJ49" s="218" t="str">
        <f t="shared" si="293"/>
        <v/>
      </c>
      <c r="CK49" s="218" t="str">
        <f t="shared" si="294"/>
        <v/>
      </c>
      <c r="CL49" s="218" t="str">
        <f t="shared" si="295"/>
        <v/>
      </c>
      <c r="CM49" s="218" t="str">
        <f t="shared" si="296"/>
        <v/>
      </c>
      <c r="CN49" s="218" t="str">
        <f t="shared" si="297"/>
        <v/>
      </c>
      <c r="CO49" s="218" t="str">
        <f t="shared" si="298"/>
        <v/>
      </c>
      <c r="CP49" s="218" t="str">
        <f t="shared" si="299"/>
        <v/>
      </c>
      <c r="CQ49" s="218" t="str">
        <f t="shared" si="300"/>
        <v/>
      </c>
      <c r="CR49" s="218" t="str">
        <f t="shared" si="301"/>
        <v/>
      </c>
      <c r="CS49" s="218" t="str">
        <f t="shared" si="302"/>
        <v/>
      </c>
      <c r="CT49" s="218" t="str">
        <f t="shared" si="303"/>
        <v/>
      </c>
      <c r="CU49" s="218" t="str">
        <f t="shared" si="304"/>
        <v/>
      </c>
      <c r="CV49" s="218" t="str">
        <f t="shared" si="305"/>
        <v/>
      </c>
      <c r="CW49" s="218" t="str">
        <f t="shared" si="306"/>
        <v/>
      </c>
      <c r="CX49" s="218" t="str">
        <f t="shared" si="307"/>
        <v/>
      </c>
      <c r="CY49" s="218" t="str">
        <f t="shared" si="308"/>
        <v/>
      </c>
      <c r="CZ49" s="218" t="str">
        <f t="shared" si="309"/>
        <v/>
      </c>
      <c r="DA49" s="218" t="str">
        <f t="shared" si="310"/>
        <v/>
      </c>
      <c r="DB49" s="218" t="str">
        <f t="shared" si="64"/>
        <v/>
      </c>
      <c r="DC49" s="218" t="str">
        <f t="shared" si="311"/>
        <v/>
      </c>
      <c r="DD49" s="218" t="str">
        <f t="shared" si="312"/>
        <v/>
      </c>
      <c r="DF49" s="218" t="str">
        <f t="shared" si="313"/>
        <v/>
      </c>
      <c r="DG49" s="218" t="str">
        <f t="shared" si="314"/>
        <v/>
      </c>
      <c r="DH49" s="218" t="str">
        <f t="shared" si="315"/>
        <v/>
      </c>
      <c r="DI49" s="218" t="str">
        <f t="shared" si="316"/>
        <v/>
      </c>
      <c r="DJ49" s="218" t="str">
        <f t="shared" si="317"/>
        <v/>
      </c>
      <c r="DK49" s="218" t="str">
        <f t="shared" si="318"/>
        <v/>
      </c>
      <c r="DL49" s="218" t="str">
        <f t="shared" si="319"/>
        <v/>
      </c>
      <c r="DM49" s="218" t="str">
        <f t="shared" si="320"/>
        <v/>
      </c>
      <c r="DN49" s="218" t="str">
        <f t="shared" si="321"/>
        <v/>
      </c>
      <c r="DO49" s="218" t="str">
        <f t="shared" si="322"/>
        <v/>
      </c>
      <c r="DP49" s="218" t="str">
        <f t="shared" si="323"/>
        <v/>
      </c>
      <c r="DQ49" s="218" t="str">
        <f t="shared" si="324"/>
        <v/>
      </c>
      <c r="DR49" s="218" t="str">
        <f t="shared" si="325"/>
        <v/>
      </c>
      <c r="DS49" s="218" t="str">
        <f t="shared" si="326"/>
        <v/>
      </c>
      <c r="DT49" s="218" t="str">
        <f t="shared" si="327"/>
        <v/>
      </c>
      <c r="DU49" s="218" t="str">
        <f t="shared" si="328"/>
        <v/>
      </c>
      <c r="DV49" s="218" t="str">
        <f t="shared" si="329"/>
        <v/>
      </c>
      <c r="DW49" s="218" t="str">
        <f t="shared" si="330"/>
        <v/>
      </c>
      <c r="DX49" s="218" t="str">
        <f t="shared" si="331"/>
        <v/>
      </c>
      <c r="DY49" s="218" t="str">
        <f t="shared" si="332"/>
        <v/>
      </c>
      <c r="DZ49" s="218" t="str">
        <f t="shared" si="333"/>
        <v/>
      </c>
      <c r="EA49" s="218" t="str">
        <f t="shared" si="334"/>
        <v/>
      </c>
      <c r="EB49" s="218" t="str">
        <f t="shared" si="335"/>
        <v/>
      </c>
      <c r="EC49" s="218" t="str">
        <f t="shared" si="336"/>
        <v/>
      </c>
      <c r="EE49" s="218" t="str">
        <f t="shared" si="337"/>
        <v/>
      </c>
      <c r="EF49" s="218" t="str">
        <f t="shared" si="338"/>
        <v/>
      </c>
      <c r="EG49" s="218" t="str">
        <f t="shared" si="339"/>
        <v/>
      </c>
      <c r="EH49" s="218" t="str">
        <f t="shared" si="340"/>
        <v/>
      </c>
      <c r="EI49" s="218" t="str">
        <f t="shared" si="341"/>
        <v/>
      </c>
      <c r="EJ49" s="218" t="str">
        <f t="shared" si="342"/>
        <v/>
      </c>
      <c r="EK49" s="218" t="str">
        <f t="shared" si="343"/>
        <v/>
      </c>
      <c r="EL49" s="218" t="str">
        <f t="shared" si="344"/>
        <v/>
      </c>
      <c r="EM49" s="218" t="str">
        <f t="shared" si="345"/>
        <v/>
      </c>
      <c r="EN49" s="218" t="str">
        <f t="shared" si="346"/>
        <v/>
      </c>
      <c r="EO49" s="218" t="str">
        <f t="shared" si="347"/>
        <v/>
      </c>
      <c r="EP49" s="218" t="str">
        <f t="shared" si="348"/>
        <v/>
      </c>
      <c r="EQ49" s="218" t="str">
        <f t="shared" si="349"/>
        <v/>
      </c>
      <c r="ER49" s="218" t="str">
        <f t="shared" si="350"/>
        <v/>
      </c>
      <c r="ES49" s="218" t="str">
        <f t="shared" si="351"/>
        <v/>
      </c>
      <c r="ET49" s="218" t="str">
        <f t="shared" si="352"/>
        <v/>
      </c>
      <c r="EU49" s="218" t="str">
        <f t="shared" si="353"/>
        <v/>
      </c>
      <c r="EV49" s="218" t="str">
        <f t="shared" si="354"/>
        <v/>
      </c>
      <c r="EW49" s="218" t="str">
        <f t="shared" si="355"/>
        <v/>
      </c>
      <c r="EX49" s="218" t="str">
        <f t="shared" si="356"/>
        <v/>
      </c>
      <c r="EY49" s="218" t="str">
        <f t="shared" si="357"/>
        <v/>
      </c>
      <c r="FA49" s="218" t="str">
        <f t="shared" si="358"/>
        <v/>
      </c>
      <c r="FB49" s="218" t="str">
        <f t="shared" si="359"/>
        <v/>
      </c>
      <c r="FC49" s="218" t="str">
        <f t="shared" si="360"/>
        <v/>
      </c>
      <c r="FD49" s="218" t="str">
        <f t="shared" si="361"/>
        <v/>
      </c>
      <c r="FE49" s="218" t="str">
        <f t="shared" si="362"/>
        <v/>
      </c>
      <c r="FF49" s="218" t="str">
        <f t="shared" si="363"/>
        <v/>
      </c>
      <c r="FG49" s="218" t="str">
        <f t="shared" si="364"/>
        <v/>
      </c>
      <c r="FH49" s="218" t="str">
        <f t="shared" si="365"/>
        <v/>
      </c>
      <c r="FI49" s="218" t="str">
        <f t="shared" si="366"/>
        <v/>
      </c>
      <c r="FJ49" s="218" t="str">
        <f t="shared" si="367"/>
        <v/>
      </c>
      <c r="FK49" s="218" t="str">
        <f t="shared" si="368"/>
        <v/>
      </c>
      <c r="FL49" s="218" t="str">
        <f t="shared" si="369"/>
        <v/>
      </c>
      <c r="FM49" s="218" t="str">
        <f t="shared" si="370"/>
        <v/>
      </c>
      <c r="FN49" s="218" t="str">
        <f t="shared" si="371"/>
        <v/>
      </c>
      <c r="FO49" s="218" t="str">
        <f t="shared" si="372"/>
        <v/>
      </c>
      <c r="FP49" s="218" t="str">
        <f t="shared" si="373"/>
        <v/>
      </c>
      <c r="FQ49" s="218" t="str">
        <f t="shared" si="374"/>
        <v/>
      </c>
      <c r="FR49" s="218" t="str">
        <f t="shared" si="375"/>
        <v/>
      </c>
      <c r="FT49" s="218" t="str">
        <f t="shared" si="376"/>
        <v/>
      </c>
      <c r="FU49" s="218" t="str">
        <f t="shared" si="377"/>
        <v/>
      </c>
      <c r="FV49" s="218" t="str">
        <f t="shared" si="378"/>
        <v/>
      </c>
      <c r="FW49" s="218" t="str">
        <f t="shared" si="379"/>
        <v/>
      </c>
      <c r="FX49" s="218" t="str">
        <f t="shared" si="380"/>
        <v/>
      </c>
      <c r="FY49" s="218" t="str">
        <f t="shared" si="381"/>
        <v/>
      </c>
      <c r="FZ49" s="218" t="str">
        <f t="shared" si="382"/>
        <v/>
      </c>
      <c r="GA49" s="218" t="str">
        <f t="shared" si="383"/>
        <v/>
      </c>
      <c r="GB49" s="218" t="str">
        <f t="shared" si="384"/>
        <v/>
      </c>
      <c r="GC49" s="218" t="str">
        <f t="shared" si="385"/>
        <v/>
      </c>
      <c r="GD49" s="218" t="str">
        <f t="shared" si="386"/>
        <v/>
      </c>
      <c r="GE49" s="218" t="str">
        <f t="shared" si="387"/>
        <v/>
      </c>
      <c r="GF49" s="218" t="str">
        <f t="shared" si="388"/>
        <v/>
      </c>
      <c r="GG49" s="218" t="str">
        <f t="shared" si="389"/>
        <v/>
      </c>
      <c r="GH49" s="218" t="str">
        <f t="shared" si="390"/>
        <v/>
      </c>
      <c r="GJ49" s="218" t="str">
        <f t="shared" si="391"/>
        <v/>
      </c>
      <c r="GK49" s="218" t="str">
        <f t="shared" si="392"/>
        <v/>
      </c>
      <c r="GL49" s="218" t="str">
        <f t="shared" si="393"/>
        <v/>
      </c>
      <c r="GM49" s="218" t="str">
        <f t="shared" si="394"/>
        <v/>
      </c>
      <c r="GN49" s="218" t="str">
        <f t="shared" si="395"/>
        <v/>
      </c>
      <c r="GO49" s="218" t="str">
        <f t="shared" si="396"/>
        <v/>
      </c>
      <c r="GP49" s="218" t="str">
        <f t="shared" si="397"/>
        <v/>
      </c>
      <c r="GQ49" s="218" t="str">
        <f t="shared" si="398"/>
        <v/>
      </c>
      <c r="GR49" s="218" t="str">
        <f t="shared" si="399"/>
        <v/>
      </c>
      <c r="GS49" s="218" t="str">
        <f t="shared" si="400"/>
        <v/>
      </c>
      <c r="GT49" s="218" t="str">
        <f t="shared" si="401"/>
        <v/>
      </c>
      <c r="GU49" s="218" t="str">
        <f t="shared" si="402"/>
        <v/>
      </c>
      <c r="GW49" s="218" t="str">
        <f t="shared" si="403"/>
        <v/>
      </c>
      <c r="GX49" s="218" t="str">
        <f t="shared" si="404"/>
        <v/>
      </c>
      <c r="GY49" s="218" t="str">
        <f t="shared" si="405"/>
        <v/>
      </c>
      <c r="GZ49" s="218" t="str">
        <f t="shared" si="406"/>
        <v/>
      </c>
      <c r="HA49" s="218" t="str">
        <f t="shared" si="407"/>
        <v/>
      </c>
      <c r="HB49" s="218" t="str">
        <f t="shared" si="408"/>
        <v/>
      </c>
      <c r="HC49" s="218" t="str">
        <f t="shared" si="409"/>
        <v/>
      </c>
      <c r="HD49" s="218" t="str">
        <f t="shared" si="410"/>
        <v/>
      </c>
      <c r="HE49" s="218" t="str">
        <f t="shared" si="411"/>
        <v/>
      </c>
      <c r="HG49" s="218" t="str">
        <f t="shared" si="412"/>
        <v/>
      </c>
      <c r="HH49" s="218" t="str">
        <f t="shared" si="413"/>
        <v/>
      </c>
      <c r="HI49" s="218" t="str">
        <f t="shared" si="414"/>
        <v/>
      </c>
      <c r="HJ49" s="218" t="str">
        <f t="shared" si="415"/>
        <v/>
      </c>
      <c r="HK49" s="218" t="str">
        <f t="shared" si="416"/>
        <v/>
      </c>
      <c r="HL49" s="218" t="str">
        <f t="shared" si="417"/>
        <v/>
      </c>
      <c r="HN49" s="218" t="str">
        <f t="shared" si="418"/>
        <v/>
      </c>
      <c r="HO49" s="218" t="str">
        <f t="shared" si="419"/>
        <v/>
      </c>
      <c r="HP49" s="218" t="str">
        <f t="shared" si="420"/>
        <v/>
      </c>
      <c r="HR49" s="218" t="str">
        <f t="shared" si="421"/>
        <v/>
      </c>
      <c r="HS49" s="218" t="str">
        <f t="shared" si="225"/>
        <v/>
      </c>
      <c r="HT49" s="218" t="str">
        <f t="shared" si="422"/>
        <v/>
      </c>
      <c r="HU49" s="218" t="str">
        <f t="shared" si="176"/>
        <v/>
      </c>
      <c r="HV49" s="218" t="str">
        <f t="shared" si="423"/>
        <v/>
      </c>
      <c r="HW49" s="218" t="str">
        <f t="shared" si="424"/>
        <v/>
      </c>
      <c r="HX49" s="218" t="str">
        <f t="shared" si="425"/>
        <v/>
      </c>
      <c r="HY49" s="218" t="str">
        <f t="shared" si="180"/>
        <v/>
      </c>
      <c r="HZ49" s="218" t="str">
        <f t="shared" si="426"/>
        <v/>
      </c>
      <c r="IA49" s="218" t="str">
        <f t="shared" si="427"/>
        <v/>
      </c>
      <c r="IB49" s="218" t="str">
        <f t="shared" si="183"/>
        <v/>
      </c>
      <c r="IC49" s="218" t="str">
        <f t="shared" si="428"/>
        <v/>
      </c>
      <c r="ID49" s="218" t="str">
        <f t="shared" si="429"/>
        <v/>
      </c>
      <c r="IE49" s="218" t="str">
        <f t="shared" si="186"/>
        <v/>
      </c>
      <c r="IF49" s="218" t="str">
        <f t="shared" si="430"/>
        <v/>
      </c>
      <c r="IG49" s="218" t="str">
        <f t="shared" si="431"/>
        <v/>
      </c>
      <c r="IH49" s="218" t="str">
        <f t="shared" si="189"/>
        <v/>
      </c>
      <c r="II49" s="218" t="str">
        <f t="shared" si="432"/>
        <v/>
      </c>
      <c r="IJ49" s="218" t="str">
        <f t="shared" si="433"/>
        <v/>
      </c>
      <c r="IK49" s="218" t="str">
        <f t="shared" si="192"/>
        <v/>
      </c>
      <c r="IL49" s="218" t="str">
        <f t="shared" si="434"/>
        <v/>
      </c>
      <c r="IM49" s="218" t="str">
        <f t="shared" si="435"/>
        <v/>
      </c>
      <c r="IN49" s="218" t="str">
        <f t="shared" si="195"/>
        <v/>
      </c>
      <c r="IO49" s="218" t="str">
        <f t="shared" si="436"/>
        <v/>
      </c>
      <c r="IP49" s="218" t="str">
        <f t="shared" si="437"/>
        <v/>
      </c>
      <c r="IQ49" s="218" t="str">
        <f t="shared" si="198"/>
        <v/>
      </c>
      <c r="IR49" s="218" t="str">
        <f t="shared" si="438"/>
        <v/>
      </c>
      <c r="IS49" s="218" t="str">
        <f t="shared" si="439"/>
        <v/>
      </c>
      <c r="IT49" s="218" t="str">
        <f t="shared" si="201"/>
        <v/>
      </c>
      <c r="IU49" s="218" t="str">
        <f t="shared" si="440"/>
        <v/>
      </c>
    </row>
    <row r="50" spans="1:255" x14ac:dyDescent="0.2">
      <c r="A50" s="200" t="s">
        <v>53</v>
      </c>
      <c r="B50" s="178"/>
      <c r="C50" s="180"/>
      <c r="D50" s="181"/>
      <c r="E50" s="181"/>
      <c r="F50" s="181"/>
      <c r="G50" s="181"/>
      <c r="H50" s="181"/>
      <c r="I50" s="181"/>
      <c r="J50" s="181"/>
      <c r="K50" s="185"/>
      <c r="L50" s="217" t="str">
        <f t="shared" si="226"/>
        <v/>
      </c>
      <c r="M50" s="218" t="str">
        <f>'HKG vs. BK'!M50</f>
        <v/>
      </c>
      <c r="N50" s="218" t="str">
        <f>'HKG vs. BK'!N50</f>
        <v/>
      </c>
      <c r="O50" s="218" t="str">
        <f>'HKG vs. BK'!O50</f>
        <v/>
      </c>
      <c r="P50" s="218" t="str">
        <f>'HKG vs. BK'!P50</f>
        <v/>
      </c>
      <c r="Q50" s="219" t="str">
        <f t="shared" si="227"/>
        <v/>
      </c>
      <c r="R50" s="220" t="str">
        <f t="shared" si="228"/>
        <v/>
      </c>
      <c r="S50" s="220" t="str">
        <f t="shared" si="229"/>
        <v/>
      </c>
      <c r="T50" s="219" t="str">
        <f t="shared" si="230"/>
        <v/>
      </c>
      <c r="U50" s="220" t="str">
        <f t="shared" si="231"/>
        <v/>
      </c>
      <c r="V50" s="220" t="str">
        <f t="shared" si="232"/>
        <v/>
      </c>
      <c r="W50" s="219" t="str">
        <f t="shared" si="233"/>
        <v/>
      </c>
      <c r="X50" s="220" t="str">
        <f t="shared" si="234"/>
        <v/>
      </c>
      <c r="Y50" s="220" t="str">
        <f t="shared" si="235"/>
        <v/>
      </c>
      <c r="Z50" s="219" t="str">
        <f t="shared" si="236"/>
        <v/>
      </c>
      <c r="AA50" s="220" t="str">
        <f t="shared" si="237"/>
        <v/>
      </c>
      <c r="AB50" s="220" t="str">
        <f t="shared" si="238"/>
        <v/>
      </c>
      <c r="AC50" s="219" t="str">
        <f t="shared" si="239"/>
        <v/>
      </c>
      <c r="AD50" s="220" t="str">
        <f t="shared" si="240"/>
        <v/>
      </c>
      <c r="AE50" s="220" t="str">
        <f t="shared" si="241"/>
        <v/>
      </c>
      <c r="AF50" s="219" t="str">
        <f t="shared" si="242"/>
        <v/>
      </c>
      <c r="AG50" s="220" t="str">
        <f t="shared" si="243"/>
        <v/>
      </c>
      <c r="AH50" s="220" t="str">
        <f t="shared" si="244"/>
        <v/>
      </c>
      <c r="AI50" s="219" t="str">
        <f t="shared" si="245"/>
        <v/>
      </c>
      <c r="AJ50" s="220" t="str">
        <f t="shared" si="246"/>
        <v/>
      </c>
      <c r="AK50" s="220" t="str">
        <f t="shared" si="247"/>
        <v/>
      </c>
      <c r="AL50" s="219" t="str">
        <f t="shared" si="248"/>
        <v/>
      </c>
      <c r="AM50" s="220" t="str">
        <f t="shared" si="249"/>
        <v/>
      </c>
      <c r="AN50" s="220" t="str">
        <f t="shared" si="250"/>
        <v/>
      </c>
      <c r="AO50" s="219" t="str">
        <f t="shared" si="251"/>
        <v/>
      </c>
      <c r="AP50" s="220" t="str">
        <f t="shared" si="252"/>
        <v/>
      </c>
      <c r="AQ50" s="220" t="str">
        <f t="shared" si="253"/>
        <v/>
      </c>
      <c r="AR50" s="219" t="str">
        <f t="shared" si="254"/>
        <v/>
      </c>
      <c r="AS50" s="220" t="str">
        <f t="shared" si="255"/>
        <v/>
      </c>
      <c r="AT50" s="220" t="str">
        <f t="shared" si="256"/>
        <v/>
      </c>
      <c r="AU50" s="221"/>
      <c r="AV50" s="221"/>
      <c r="AW50" s="221"/>
      <c r="AY50" s="218" t="str">
        <f t="shared" si="257"/>
        <v/>
      </c>
      <c r="AZ50" s="218" t="str">
        <f t="shared" si="258"/>
        <v/>
      </c>
      <c r="BA50" s="218" t="str">
        <f t="shared" si="259"/>
        <v/>
      </c>
      <c r="BB50" s="218" t="str">
        <f t="shared" si="260"/>
        <v/>
      </c>
      <c r="BC50" s="218" t="str">
        <f t="shared" si="261"/>
        <v/>
      </c>
      <c r="BD50" s="218" t="str">
        <f t="shared" si="262"/>
        <v/>
      </c>
      <c r="BE50" s="218" t="str">
        <f t="shared" si="263"/>
        <v/>
      </c>
      <c r="BF50" s="218" t="str">
        <f t="shared" si="264"/>
        <v/>
      </c>
      <c r="BG50" s="218" t="str">
        <f t="shared" si="265"/>
        <v/>
      </c>
      <c r="BH50" s="218" t="str">
        <f t="shared" si="266"/>
        <v/>
      </c>
      <c r="BI50" s="218" t="str">
        <f t="shared" si="267"/>
        <v/>
      </c>
      <c r="BJ50" s="218" t="str">
        <f t="shared" si="268"/>
        <v/>
      </c>
      <c r="BK50" s="218" t="str">
        <f t="shared" si="269"/>
        <v/>
      </c>
      <c r="BL50" s="218" t="str">
        <f t="shared" si="270"/>
        <v/>
      </c>
      <c r="BM50" s="218" t="str">
        <f t="shared" si="271"/>
        <v/>
      </c>
      <c r="BN50" s="218" t="str">
        <f t="shared" si="272"/>
        <v/>
      </c>
      <c r="BO50" s="218" t="str">
        <f t="shared" si="273"/>
        <v/>
      </c>
      <c r="BP50" s="218" t="str">
        <f t="shared" si="274"/>
        <v/>
      </c>
      <c r="BQ50" s="218" t="str">
        <f t="shared" si="275"/>
        <v/>
      </c>
      <c r="BR50" s="218" t="str">
        <f t="shared" si="276"/>
        <v/>
      </c>
      <c r="BS50" s="218" t="str">
        <f t="shared" si="277"/>
        <v/>
      </c>
      <c r="BT50" s="218" t="str">
        <f t="shared" si="278"/>
        <v/>
      </c>
      <c r="BU50" s="218" t="str">
        <f t="shared" si="279"/>
        <v/>
      </c>
      <c r="BV50" s="218" t="str">
        <f t="shared" si="280"/>
        <v/>
      </c>
      <c r="BW50" s="218" t="str">
        <f t="shared" si="281"/>
        <v/>
      </c>
      <c r="BX50" s="218" t="str">
        <f t="shared" si="282"/>
        <v/>
      </c>
      <c r="BY50" s="218" t="str">
        <f t="shared" si="283"/>
        <v/>
      </c>
      <c r="BZ50" s="218" t="str">
        <f t="shared" si="284"/>
        <v/>
      </c>
      <c r="CA50" s="218" t="str">
        <f t="shared" si="285"/>
        <v/>
      </c>
      <c r="CB50" s="218" t="str">
        <f t="shared" si="286"/>
        <v/>
      </c>
      <c r="CD50" s="218" t="str">
        <f t="shared" si="287"/>
        <v/>
      </c>
      <c r="CE50" s="218" t="str">
        <f t="shared" si="288"/>
        <v/>
      </c>
      <c r="CF50" s="218" t="str">
        <f t="shared" si="289"/>
        <v/>
      </c>
      <c r="CG50" s="218" t="str">
        <f t="shared" si="290"/>
        <v/>
      </c>
      <c r="CH50" s="218" t="str">
        <f t="shared" si="291"/>
        <v/>
      </c>
      <c r="CI50" s="218" t="str">
        <f t="shared" si="292"/>
        <v/>
      </c>
      <c r="CJ50" s="218" t="str">
        <f t="shared" si="293"/>
        <v/>
      </c>
      <c r="CK50" s="218" t="str">
        <f t="shared" si="294"/>
        <v/>
      </c>
      <c r="CL50" s="218" t="str">
        <f t="shared" si="295"/>
        <v/>
      </c>
      <c r="CM50" s="218" t="str">
        <f t="shared" si="296"/>
        <v/>
      </c>
      <c r="CN50" s="218" t="str">
        <f t="shared" si="297"/>
        <v/>
      </c>
      <c r="CO50" s="218" t="str">
        <f t="shared" si="298"/>
        <v/>
      </c>
      <c r="CP50" s="218" t="str">
        <f t="shared" si="299"/>
        <v/>
      </c>
      <c r="CQ50" s="218" t="str">
        <f t="shared" si="300"/>
        <v/>
      </c>
      <c r="CR50" s="218" t="str">
        <f t="shared" si="301"/>
        <v/>
      </c>
      <c r="CS50" s="218" t="str">
        <f t="shared" si="302"/>
        <v/>
      </c>
      <c r="CT50" s="218" t="str">
        <f t="shared" si="303"/>
        <v/>
      </c>
      <c r="CU50" s="218" t="str">
        <f t="shared" si="304"/>
        <v/>
      </c>
      <c r="CV50" s="218" t="str">
        <f t="shared" si="305"/>
        <v/>
      </c>
      <c r="CW50" s="218" t="str">
        <f t="shared" si="306"/>
        <v/>
      </c>
      <c r="CX50" s="218" t="str">
        <f t="shared" si="307"/>
        <v/>
      </c>
      <c r="CY50" s="218" t="str">
        <f t="shared" si="308"/>
        <v/>
      </c>
      <c r="CZ50" s="218" t="str">
        <f t="shared" si="309"/>
        <v/>
      </c>
      <c r="DA50" s="218" t="str">
        <f t="shared" si="310"/>
        <v/>
      </c>
      <c r="DB50" s="218" t="str">
        <f t="shared" si="64"/>
        <v/>
      </c>
      <c r="DC50" s="218" t="str">
        <f t="shared" si="311"/>
        <v/>
      </c>
      <c r="DD50" s="218" t="str">
        <f t="shared" si="312"/>
        <v/>
      </c>
      <c r="DF50" s="218" t="str">
        <f t="shared" si="313"/>
        <v/>
      </c>
      <c r="DG50" s="218" t="str">
        <f t="shared" si="314"/>
        <v/>
      </c>
      <c r="DH50" s="218" t="str">
        <f t="shared" si="315"/>
        <v/>
      </c>
      <c r="DI50" s="218" t="str">
        <f t="shared" si="316"/>
        <v/>
      </c>
      <c r="DJ50" s="218" t="str">
        <f t="shared" si="317"/>
        <v/>
      </c>
      <c r="DK50" s="218" t="str">
        <f t="shared" si="318"/>
        <v/>
      </c>
      <c r="DL50" s="218" t="str">
        <f t="shared" si="319"/>
        <v/>
      </c>
      <c r="DM50" s="218" t="str">
        <f t="shared" si="320"/>
        <v/>
      </c>
      <c r="DN50" s="218" t="str">
        <f t="shared" si="321"/>
        <v/>
      </c>
      <c r="DO50" s="218" t="str">
        <f t="shared" si="322"/>
        <v/>
      </c>
      <c r="DP50" s="218" t="str">
        <f t="shared" si="323"/>
        <v/>
      </c>
      <c r="DQ50" s="218" t="str">
        <f t="shared" si="324"/>
        <v/>
      </c>
      <c r="DR50" s="218" t="str">
        <f t="shared" si="325"/>
        <v/>
      </c>
      <c r="DS50" s="218" t="str">
        <f t="shared" si="326"/>
        <v/>
      </c>
      <c r="DT50" s="218" t="str">
        <f t="shared" si="327"/>
        <v/>
      </c>
      <c r="DU50" s="218" t="str">
        <f t="shared" si="328"/>
        <v/>
      </c>
      <c r="DV50" s="218" t="str">
        <f t="shared" si="329"/>
        <v/>
      </c>
      <c r="DW50" s="218" t="str">
        <f t="shared" si="330"/>
        <v/>
      </c>
      <c r="DX50" s="218" t="str">
        <f t="shared" si="331"/>
        <v/>
      </c>
      <c r="DY50" s="218" t="str">
        <f t="shared" si="332"/>
        <v/>
      </c>
      <c r="DZ50" s="218" t="str">
        <f t="shared" si="333"/>
        <v/>
      </c>
      <c r="EA50" s="218" t="str">
        <f t="shared" si="334"/>
        <v/>
      </c>
      <c r="EB50" s="218" t="str">
        <f t="shared" si="335"/>
        <v/>
      </c>
      <c r="EC50" s="218" t="str">
        <f t="shared" si="336"/>
        <v/>
      </c>
      <c r="EE50" s="218" t="str">
        <f t="shared" si="337"/>
        <v/>
      </c>
      <c r="EF50" s="218" t="str">
        <f t="shared" si="338"/>
        <v/>
      </c>
      <c r="EG50" s="218" t="str">
        <f t="shared" si="339"/>
        <v/>
      </c>
      <c r="EH50" s="218" t="str">
        <f t="shared" si="340"/>
        <v/>
      </c>
      <c r="EI50" s="218" t="str">
        <f t="shared" si="341"/>
        <v/>
      </c>
      <c r="EJ50" s="218" t="str">
        <f t="shared" si="342"/>
        <v/>
      </c>
      <c r="EK50" s="218" t="str">
        <f t="shared" si="343"/>
        <v/>
      </c>
      <c r="EL50" s="218" t="str">
        <f t="shared" si="344"/>
        <v/>
      </c>
      <c r="EM50" s="218" t="str">
        <f t="shared" si="345"/>
        <v/>
      </c>
      <c r="EN50" s="218" t="str">
        <f t="shared" si="346"/>
        <v/>
      </c>
      <c r="EO50" s="218" t="str">
        <f t="shared" si="347"/>
        <v/>
      </c>
      <c r="EP50" s="218" t="str">
        <f t="shared" si="348"/>
        <v/>
      </c>
      <c r="EQ50" s="218" t="str">
        <f t="shared" si="349"/>
        <v/>
      </c>
      <c r="ER50" s="218" t="str">
        <f t="shared" si="350"/>
        <v/>
      </c>
      <c r="ES50" s="218" t="str">
        <f t="shared" si="351"/>
        <v/>
      </c>
      <c r="ET50" s="218" t="str">
        <f t="shared" si="352"/>
        <v/>
      </c>
      <c r="EU50" s="218" t="str">
        <f t="shared" si="353"/>
        <v/>
      </c>
      <c r="EV50" s="218" t="str">
        <f t="shared" si="354"/>
        <v/>
      </c>
      <c r="EW50" s="218" t="str">
        <f t="shared" si="355"/>
        <v/>
      </c>
      <c r="EX50" s="218" t="str">
        <f t="shared" si="356"/>
        <v/>
      </c>
      <c r="EY50" s="218" t="str">
        <f t="shared" si="357"/>
        <v/>
      </c>
      <c r="FA50" s="218" t="str">
        <f t="shared" si="358"/>
        <v/>
      </c>
      <c r="FB50" s="218" t="str">
        <f t="shared" si="359"/>
        <v/>
      </c>
      <c r="FC50" s="218" t="str">
        <f t="shared" si="360"/>
        <v/>
      </c>
      <c r="FD50" s="218" t="str">
        <f t="shared" si="361"/>
        <v/>
      </c>
      <c r="FE50" s="218" t="str">
        <f t="shared" si="362"/>
        <v/>
      </c>
      <c r="FF50" s="218" t="str">
        <f t="shared" si="363"/>
        <v/>
      </c>
      <c r="FG50" s="218" t="str">
        <f t="shared" si="364"/>
        <v/>
      </c>
      <c r="FH50" s="218" t="str">
        <f t="shared" si="365"/>
        <v/>
      </c>
      <c r="FI50" s="218" t="str">
        <f t="shared" si="366"/>
        <v/>
      </c>
      <c r="FJ50" s="218" t="str">
        <f t="shared" si="367"/>
        <v/>
      </c>
      <c r="FK50" s="218" t="str">
        <f t="shared" si="368"/>
        <v/>
      </c>
      <c r="FL50" s="218" t="str">
        <f t="shared" si="369"/>
        <v/>
      </c>
      <c r="FM50" s="218" t="str">
        <f t="shared" si="370"/>
        <v/>
      </c>
      <c r="FN50" s="218" t="str">
        <f t="shared" si="371"/>
        <v/>
      </c>
      <c r="FO50" s="218" t="str">
        <f t="shared" si="372"/>
        <v/>
      </c>
      <c r="FP50" s="218" t="str">
        <f t="shared" si="373"/>
        <v/>
      </c>
      <c r="FQ50" s="218" t="str">
        <f t="shared" si="374"/>
        <v/>
      </c>
      <c r="FR50" s="218" t="str">
        <f t="shared" si="375"/>
        <v/>
      </c>
      <c r="FT50" s="218" t="str">
        <f t="shared" si="376"/>
        <v/>
      </c>
      <c r="FU50" s="218" t="str">
        <f t="shared" si="377"/>
        <v/>
      </c>
      <c r="FV50" s="218" t="str">
        <f t="shared" si="378"/>
        <v/>
      </c>
      <c r="FW50" s="218" t="str">
        <f t="shared" si="379"/>
        <v/>
      </c>
      <c r="FX50" s="218" t="str">
        <f t="shared" si="380"/>
        <v/>
      </c>
      <c r="FY50" s="218" t="str">
        <f t="shared" si="381"/>
        <v/>
      </c>
      <c r="FZ50" s="218" t="str">
        <f t="shared" si="382"/>
        <v/>
      </c>
      <c r="GA50" s="218" t="str">
        <f t="shared" si="383"/>
        <v/>
      </c>
      <c r="GB50" s="218" t="str">
        <f t="shared" si="384"/>
        <v/>
      </c>
      <c r="GC50" s="218" t="str">
        <f t="shared" si="385"/>
        <v/>
      </c>
      <c r="GD50" s="218" t="str">
        <f t="shared" si="386"/>
        <v/>
      </c>
      <c r="GE50" s="218" t="str">
        <f t="shared" si="387"/>
        <v/>
      </c>
      <c r="GF50" s="218" t="str">
        <f t="shared" si="388"/>
        <v/>
      </c>
      <c r="GG50" s="218" t="str">
        <f t="shared" si="389"/>
        <v/>
      </c>
      <c r="GH50" s="218" t="str">
        <f t="shared" si="390"/>
        <v/>
      </c>
      <c r="GJ50" s="218" t="str">
        <f t="shared" si="391"/>
        <v/>
      </c>
      <c r="GK50" s="218" t="str">
        <f t="shared" si="392"/>
        <v/>
      </c>
      <c r="GL50" s="218" t="str">
        <f t="shared" si="393"/>
        <v/>
      </c>
      <c r="GM50" s="218" t="str">
        <f t="shared" si="394"/>
        <v/>
      </c>
      <c r="GN50" s="218" t="str">
        <f t="shared" si="395"/>
        <v/>
      </c>
      <c r="GO50" s="218" t="str">
        <f t="shared" si="396"/>
        <v/>
      </c>
      <c r="GP50" s="218" t="str">
        <f t="shared" si="397"/>
        <v/>
      </c>
      <c r="GQ50" s="218" t="str">
        <f t="shared" si="398"/>
        <v/>
      </c>
      <c r="GR50" s="218" t="str">
        <f t="shared" si="399"/>
        <v/>
      </c>
      <c r="GS50" s="218" t="str">
        <f t="shared" si="400"/>
        <v/>
      </c>
      <c r="GT50" s="218" t="str">
        <f t="shared" si="401"/>
        <v/>
      </c>
      <c r="GU50" s="218" t="str">
        <f t="shared" si="402"/>
        <v/>
      </c>
      <c r="GW50" s="218" t="str">
        <f t="shared" si="403"/>
        <v/>
      </c>
      <c r="GX50" s="218" t="str">
        <f t="shared" si="404"/>
        <v/>
      </c>
      <c r="GY50" s="218" t="str">
        <f t="shared" si="405"/>
        <v/>
      </c>
      <c r="GZ50" s="218" t="str">
        <f t="shared" si="406"/>
        <v/>
      </c>
      <c r="HA50" s="218" t="str">
        <f t="shared" si="407"/>
        <v/>
      </c>
      <c r="HB50" s="218" t="str">
        <f t="shared" si="408"/>
        <v/>
      </c>
      <c r="HC50" s="218" t="str">
        <f t="shared" si="409"/>
        <v/>
      </c>
      <c r="HD50" s="218" t="str">
        <f t="shared" si="410"/>
        <v/>
      </c>
      <c r="HE50" s="218" t="str">
        <f t="shared" si="411"/>
        <v/>
      </c>
      <c r="HG50" s="218" t="str">
        <f t="shared" si="412"/>
        <v/>
      </c>
      <c r="HH50" s="218" t="str">
        <f t="shared" si="413"/>
        <v/>
      </c>
      <c r="HI50" s="218" t="str">
        <f t="shared" si="414"/>
        <v/>
      </c>
      <c r="HJ50" s="218" t="str">
        <f t="shared" si="415"/>
        <v/>
      </c>
      <c r="HK50" s="218" t="str">
        <f t="shared" si="416"/>
        <v/>
      </c>
      <c r="HL50" s="218" t="str">
        <f t="shared" si="417"/>
        <v/>
      </c>
      <c r="HN50" s="218" t="str">
        <f t="shared" si="418"/>
        <v/>
      </c>
      <c r="HO50" s="218" t="str">
        <f t="shared" si="419"/>
        <v/>
      </c>
      <c r="HP50" s="218" t="str">
        <f t="shared" si="420"/>
        <v/>
      </c>
      <c r="HR50" s="218" t="str">
        <f t="shared" si="421"/>
        <v/>
      </c>
      <c r="HS50" s="218" t="str">
        <f t="shared" si="225"/>
        <v/>
      </c>
      <c r="HT50" s="218" t="str">
        <f t="shared" si="422"/>
        <v/>
      </c>
      <c r="HU50" s="218" t="str">
        <f t="shared" si="176"/>
        <v/>
      </c>
      <c r="HV50" s="218" t="str">
        <f t="shared" si="423"/>
        <v/>
      </c>
      <c r="HW50" s="218" t="str">
        <f t="shared" si="424"/>
        <v/>
      </c>
      <c r="HX50" s="218" t="str">
        <f t="shared" si="425"/>
        <v/>
      </c>
      <c r="HY50" s="218" t="str">
        <f t="shared" si="180"/>
        <v/>
      </c>
      <c r="HZ50" s="218" t="str">
        <f t="shared" si="426"/>
        <v/>
      </c>
      <c r="IA50" s="218" t="str">
        <f t="shared" si="427"/>
        <v/>
      </c>
      <c r="IB50" s="218" t="str">
        <f t="shared" si="183"/>
        <v/>
      </c>
      <c r="IC50" s="218" t="str">
        <f t="shared" si="428"/>
        <v/>
      </c>
      <c r="ID50" s="218" t="str">
        <f t="shared" si="429"/>
        <v/>
      </c>
      <c r="IE50" s="218" t="str">
        <f t="shared" si="186"/>
        <v/>
      </c>
      <c r="IF50" s="218" t="str">
        <f t="shared" si="430"/>
        <v/>
      </c>
      <c r="IG50" s="218" t="str">
        <f t="shared" si="431"/>
        <v/>
      </c>
      <c r="IH50" s="218" t="str">
        <f t="shared" si="189"/>
        <v/>
      </c>
      <c r="II50" s="218" t="str">
        <f t="shared" si="432"/>
        <v/>
      </c>
      <c r="IJ50" s="218" t="str">
        <f t="shared" si="433"/>
        <v/>
      </c>
      <c r="IK50" s="218" t="str">
        <f t="shared" si="192"/>
        <v/>
      </c>
      <c r="IL50" s="218" t="str">
        <f t="shared" si="434"/>
        <v/>
      </c>
      <c r="IM50" s="218" t="str">
        <f t="shared" si="435"/>
        <v/>
      </c>
      <c r="IN50" s="218" t="str">
        <f t="shared" si="195"/>
        <v/>
      </c>
      <c r="IO50" s="218" t="str">
        <f t="shared" si="436"/>
        <v/>
      </c>
      <c r="IP50" s="218" t="str">
        <f t="shared" si="437"/>
        <v/>
      </c>
      <c r="IQ50" s="218" t="str">
        <f t="shared" si="198"/>
        <v/>
      </c>
      <c r="IR50" s="218" t="str">
        <f t="shared" si="438"/>
        <v/>
      </c>
      <c r="IS50" s="218" t="str">
        <f t="shared" si="439"/>
        <v/>
      </c>
      <c r="IT50" s="218" t="str">
        <f t="shared" si="201"/>
        <v/>
      </c>
      <c r="IU50" s="218" t="str">
        <f t="shared" si="440"/>
        <v/>
      </c>
    </row>
    <row r="51" spans="1:255" x14ac:dyDescent="0.2">
      <c r="A51" s="200" t="s">
        <v>54</v>
      </c>
      <c r="B51" s="178"/>
      <c r="C51" s="179"/>
      <c r="D51" s="181"/>
      <c r="E51" s="181"/>
      <c r="F51" s="181"/>
      <c r="G51" s="181"/>
      <c r="H51" s="181"/>
      <c r="I51" s="181"/>
      <c r="J51" s="181"/>
      <c r="K51" s="185"/>
      <c r="L51" s="217" t="str">
        <f t="shared" si="226"/>
        <v/>
      </c>
      <c r="M51" s="218" t="str">
        <f>'HKG vs. BK'!M51</f>
        <v/>
      </c>
      <c r="N51" s="218" t="str">
        <f>'HKG vs. BK'!N51</f>
        <v/>
      </c>
      <c r="O51" s="218" t="str">
        <f>'HKG vs. BK'!O51</f>
        <v/>
      </c>
      <c r="P51" s="218" t="str">
        <f>'HKG vs. BK'!P51</f>
        <v/>
      </c>
      <c r="Q51" s="219" t="str">
        <f t="shared" si="227"/>
        <v/>
      </c>
      <c r="R51" s="220" t="str">
        <f t="shared" si="228"/>
        <v/>
      </c>
      <c r="S51" s="220" t="str">
        <f t="shared" si="229"/>
        <v/>
      </c>
      <c r="T51" s="219" t="str">
        <f t="shared" si="230"/>
        <v/>
      </c>
      <c r="U51" s="220" t="str">
        <f t="shared" si="231"/>
        <v/>
      </c>
      <c r="V51" s="220" t="str">
        <f t="shared" si="232"/>
        <v/>
      </c>
      <c r="W51" s="219" t="str">
        <f t="shared" si="233"/>
        <v/>
      </c>
      <c r="X51" s="220" t="str">
        <f t="shared" si="234"/>
        <v/>
      </c>
      <c r="Y51" s="220" t="str">
        <f t="shared" si="235"/>
        <v/>
      </c>
      <c r="Z51" s="219" t="str">
        <f t="shared" si="236"/>
        <v/>
      </c>
      <c r="AA51" s="220" t="str">
        <f t="shared" si="237"/>
        <v/>
      </c>
      <c r="AB51" s="220" t="str">
        <f t="shared" si="238"/>
        <v/>
      </c>
      <c r="AC51" s="219" t="str">
        <f t="shared" si="239"/>
        <v/>
      </c>
      <c r="AD51" s="220" t="str">
        <f t="shared" si="240"/>
        <v/>
      </c>
      <c r="AE51" s="220" t="str">
        <f t="shared" si="241"/>
        <v/>
      </c>
      <c r="AF51" s="219" t="str">
        <f t="shared" si="242"/>
        <v/>
      </c>
      <c r="AG51" s="220" t="str">
        <f t="shared" si="243"/>
        <v/>
      </c>
      <c r="AH51" s="220" t="str">
        <f t="shared" si="244"/>
        <v/>
      </c>
      <c r="AI51" s="219" t="str">
        <f t="shared" si="245"/>
        <v/>
      </c>
      <c r="AJ51" s="220" t="str">
        <f t="shared" si="246"/>
        <v/>
      </c>
      <c r="AK51" s="220" t="str">
        <f t="shared" si="247"/>
        <v/>
      </c>
      <c r="AL51" s="219" t="str">
        <f t="shared" si="248"/>
        <v/>
      </c>
      <c r="AM51" s="220" t="str">
        <f t="shared" si="249"/>
        <v/>
      </c>
      <c r="AN51" s="220" t="str">
        <f t="shared" si="250"/>
        <v/>
      </c>
      <c r="AO51" s="219" t="str">
        <f t="shared" si="251"/>
        <v/>
      </c>
      <c r="AP51" s="220" t="str">
        <f t="shared" si="252"/>
        <v/>
      </c>
      <c r="AQ51" s="220" t="str">
        <f t="shared" si="253"/>
        <v/>
      </c>
      <c r="AR51" s="219" t="str">
        <f t="shared" si="254"/>
        <v/>
      </c>
      <c r="AS51" s="220" t="str">
        <f t="shared" si="255"/>
        <v/>
      </c>
      <c r="AT51" s="220" t="str">
        <f t="shared" si="256"/>
        <v/>
      </c>
      <c r="AU51" s="221"/>
      <c r="AV51" s="221"/>
      <c r="AW51" s="221"/>
      <c r="AY51" s="218" t="str">
        <f t="shared" si="257"/>
        <v/>
      </c>
      <c r="AZ51" s="218" t="str">
        <f t="shared" si="258"/>
        <v/>
      </c>
      <c r="BA51" s="218" t="str">
        <f t="shared" si="259"/>
        <v/>
      </c>
      <c r="BB51" s="218" t="str">
        <f t="shared" si="260"/>
        <v/>
      </c>
      <c r="BC51" s="218" t="str">
        <f t="shared" si="261"/>
        <v/>
      </c>
      <c r="BD51" s="218" t="str">
        <f t="shared" si="262"/>
        <v/>
      </c>
      <c r="BE51" s="218" t="str">
        <f t="shared" si="263"/>
        <v/>
      </c>
      <c r="BF51" s="218" t="str">
        <f t="shared" si="264"/>
        <v/>
      </c>
      <c r="BG51" s="218" t="str">
        <f t="shared" si="265"/>
        <v/>
      </c>
      <c r="BH51" s="218" t="str">
        <f t="shared" si="266"/>
        <v/>
      </c>
      <c r="BI51" s="218" t="str">
        <f t="shared" si="267"/>
        <v/>
      </c>
      <c r="BJ51" s="218" t="str">
        <f t="shared" si="268"/>
        <v/>
      </c>
      <c r="BK51" s="218" t="str">
        <f t="shared" si="269"/>
        <v/>
      </c>
      <c r="BL51" s="218" t="str">
        <f t="shared" si="270"/>
        <v/>
      </c>
      <c r="BM51" s="218" t="str">
        <f t="shared" si="271"/>
        <v/>
      </c>
      <c r="BN51" s="218" t="str">
        <f t="shared" si="272"/>
        <v/>
      </c>
      <c r="BO51" s="218" t="str">
        <f t="shared" si="273"/>
        <v/>
      </c>
      <c r="BP51" s="218" t="str">
        <f t="shared" si="274"/>
        <v/>
      </c>
      <c r="BQ51" s="218" t="str">
        <f t="shared" si="275"/>
        <v/>
      </c>
      <c r="BR51" s="218" t="str">
        <f t="shared" si="276"/>
        <v/>
      </c>
      <c r="BS51" s="218" t="str">
        <f t="shared" si="277"/>
        <v/>
      </c>
      <c r="BT51" s="218" t="str">
        <f t="shared" si="278"/>
        <v/>
      </c>
      <c r="BU51" s="218" t="str">
        <f t="shared" si="279"/>
        <v/>
      </c>
      <c r="BV51" s="218" t="str">
        <f t="shared" si="280"/>
        <v/>
      </c>
      <c r="BW51" s="218" t="str">
        <f t="shared" si="281"/>
        <v/>
      </c>
      <c r="BX51" s="218" t="str">
        <f t="shared" si="282"/>
        <v/>
      </c>
      <c r="BY51" s="218" t="str">
        <f t="shared" si="283"/>
        <v/>
      </c>
      <c r="BZ51" s="218" t="str">
        <f t="shared" si="284"/>
        <v/>
      </c>
      <c r="CA51" s="218" t="str">
        <f t="shared" si="285"/>
        <v/>
      </c>
      <c r="CB51" s="218" t="str">
        <f t="shared" si="286"/>
        <v/>
      </c>
      <c r="CD51" s="218" t="str">
        <f t="shared" si="287"/>
        <v/>
      </c>
      <c r="CE51" s="218" t="str">
        <f t="shared" si="288"/>
        <v/>
      </c>
      <c r="CF51" s="218" t="str">
        <f t="shared" si="289"/>
        <v/>
      </c>
      <c r="CG51" s="218" t="str">
        <f t="shared" si="290"/>
        <v/>
      </c>
      <c r="CH51" s="218" t="str">
        <f t="shared" si="291"/>
        <v/>
      </c>
      <c r="CI51" s="218" t="str">
        <f t="shared" si="292"/>
        <v/>
      </c>
      <c r="CJ51" s="218" t="str">
        <f t="shared" si="293"/>
        <v/>
      </c>
      <c r="CK51" s="218" t="str">
        <f t="shared" si="294"/>
        <v/>
      </c>
      <c r="CL51" s="218" t="str">
        <f t="shared" si="295"/>
        <v/>
      </c>
      <c r="CM51" s="218" t="str">
        <f t="shared" si="296"/>
        <v/>
      </c>
      <c r="CN51" s="218" t="str">
        <f t="shared" si="297"/>
        <v/>
      </c>
      <c r="CO51" s="218" t="str">
        <f t="shared" si="298"/>
        <v/>
      </c>
      <c r="CP51" s="218" t="str">
        <f t="shared" si="299"/>
        <v/>
      </c>
      <c r="CQ51" s="218" t="str">
        <f t="shared" si="300"/>
        <v/>
      </c>
      <c r="CR51" s="218" t="str">
        <f t="shared" si="301"/>
        <v/>
      </c>
      <c r="CS51" s="218" t="str">
        <f t="shared" si="302"/>
        <v/>
      </c>
      <c r="CT51" s="218" t="str">
        <f t="shared" si="303"/>
        <v/>
      </c>
      <c r="CU51" s="218" t="str">
        <f t="shared" si="304"/>
        <v/>
      </c>
      <c r="CV51" s="218" t="str">
        <f t="shared" si="305"/>
        <v/>
      </c>
      <c r="CW51" s="218" t="str">
        <f t="shared" si="306"/>
        <v/>
      </c>
      <c r="CX51" s="218" t="str">
        <f t="shared" si="307"/>
        <v/>
      </c>
      <c r="CY51" s="218" t="str">
        <f t="shared" si="308"/>
        <v/>
      </c>
      <c r="CZ51" s="218" t="str">
        <f t="shared" si="309"/>
        <v/>
      </c>
      <c r="DA51" s="218" t="str">
        <f t="shared" si="310"/>
        <v/>
      </c>
      <c r="DB51" s="218" t="str">
        <f t="shared" si="64"/>
        <v/>
      </c>
      <c r="DC51" s="218" t="str">
        <f t="shared" si="311"/>
        <v/>
      </c>
      <c r="DD51" s="218" t="str">
        <f t="shared" si="312"/>
        <v/>
      </c>
      <c r="DF51" s="218" t="str">
        <f t="shared" si="313"/>
        <v/>
      </c>
      <c r="DG51" s="218" t="str">
        <f t="shared" si="314"/>
        <v/>
      </c>
      <c r="DH51" s="218" t="str">
        <f t="shared" si="315"/>
        <v/>
      </c>
      <c r="DI51" s="218" t="str">
        <f t="shared" si="316"/>
        <v/>
      </c>
      <c r="DJ51" s="218" t="str">
        <f t="shared" si="317"/>
        <v/>
      </c>
      <c r="DK51" s="218" t="str">
        <f t="shared" si="318"/>
        <v/>
      </c>
      <c r="DL51" s="218" t="str">
        <f t="shared" si="319"/>
        <v/>
      </c>
      <c r="DM51" s="218" t="str">
        <f t="shared" si="320"/>
        <v/>
      </c>
      <c r="DN51" s="218" t="str">
        <f t="shared" si="321"/>
        <v/>
      </c>
      <c r="DO51" s="218" t="str">
        <f t="shared" si="322"/>
        <v/>
      </c>
      <c r="DP51" s="218" t="str">
        <f t="shared" si="323"/>
        <v/>
      </c>
      <c r="DQ51" s="218" t="str">
        <f t="shared" si="324"/>
        <v/>
      </c>
      <c r="DR51" s="218" t="str">
        <f t="shared" si="325"/>
        <v/>
      </c>
      <c r="DS51" s="218" t="str">
        <f t="shared" si="326"/>
        <v/>
      </c>
      <c r="DT51" s="218" t="str">
        <f t="shared" si="327"/>
        <v/>
      </c>
      <c r="DU51" s="218" t="str">
        <f t="shared" si="328"/>
        <v/>
      </c>
      <c r="DV51" s="218" t="str">
        <f t="shared" si="329"/>
        <v/>
      </c>
      <c r="DW51" s="218" t="str">
        <f t="shared" si="330"/>
        <v/>
      </c>
      <c r="DX51" s="218" t="str">
        <f t="shared" si="331"/>
        <v/>
      </c>
      <c r="DY51" s="218" t="str">
        <f t="shared" si="332"/>
        <v/>
      </c>
      <c r="DZ51" s="218" t="str">
        <f t="shared" si="333"/>
        <v/>
      </c>
      <c r="EA51" s="218" t="str">
        <f t="shared" si="334"/>
        <v/>
      </c>
      <c r="EB51" s="218" t="str">
        <f t="shared" si="335"/>
        <v/>
      </c>
      <c r="EC51" s="218" t="str">
        <f t="shared" si="336"/>
        <v/>
      </c>
      <c r="EE51" s="218" t="str">
        <f t="shared" si="337"/>
        <v/>
      </c>
      <c r="EF51" s="218" t="str">
        <f t="shared" si="338"/>
        <v/>
      </c>
      <c r="EG51" s="218" t="str">
        <f t="shared" si="339"/>
        <v/>
      </c>
      <c r="EH51" s="218" t="str">
        <f t="shared" si="340"/>
        <v/>
      </c>
      <c r="EI51" s="218" t="str">
        <f t="shared" si="341"/>
        <v/>
      </c>
      <c r="EJ51" s="218" t="str">
        <f t="shared" si="342"/>
        <v/>
      </c>
      <c r="EK51" s="218" t="str">
        <f t="shared" si="343"/>
        <v/>
      </c>
      <c r="EL51" s="218" t="str">
        <f t="shared" si="344"/>
        <v/>
      </c>
      <c r="EM51" s="218" t="str">
        <f t="shared" si="345"/>
        <v/>
      </c>
      <c r="EN51" s="218" t="str">
        <f t="shared" si="346"/>
        <v/>
      </c>
      <c r="EO51" s="218" t="str">
        <f t="shared" si="347"/>
        <v/>
      </c>
      <c r="EP51" s="218" t="str">
        <f t="shared" si="348"/>
        <v/>
      </c>
      <c r="EQ51" s="218" t="str">
        <f t="shared" si="349"/>
        <v/>
      </c>
      <c r="ER51" s="218" t="str">
        <f t="shared" si="350"/>
        <v/>
      </c>
      <c r="ES51" s="218" t="str">
        <f t="shared" si="351"/>
        <v/>
      </c>
      <c r="ET51" s="218" t="str">
        <f t="shared" si="352"/>
        <v/>
      </c>
      <c r="EU51" s="218" t="str">
        <f t="shared" si="353"/>
        <v/>
      </c>
      <c r="EV51" s="218" t="str">
        <f t="shared" si="354"/>
        <v/>
      </c>
      <c r="EW51" s="218" t="str">
        <f t="shared" si="355"/>
        <v/>
      </c>
      <c r="EX51" s="218" t="str">
        <f t="shared" si="356"/>
        <v/>
      </c>
      <c r="EY51" s="218" t="str">
        <f t="shared" si="357"/>
        <v/>
      </c>
      <c r="FA51" s="218" t="str">
        <f t="shared" si="358"/>
        <v/>
      </c>
      <c r="FB51" s="218" t="str">
        <f t="shared" si="359"/>
        <v/>
      </c>
      <c r="FC51" s="218" t="str">
        <f t="shared" si="360"/>
        <v/>
      </c>
      <c r="FD51" s="218" t="str">
        <f t="shared" si="361"/>
        <v/>
      </c>
      <c r="FE51" s="218" t="str">
        <f t="shared" si="362"/>
        <v/>
      </c>
      <c r="FF51" s="218" t="str">
        <f t="shared" si="363"/>
        <v/>
      </c>
      <c r="FG51" s="218" t="str">
        <f t="shared" si="364"/>
        <v/>
      </c>
      <c r="FH51" s="218" t="str">
        <f t="shared" si="365"/>
        <v/>
      </c>
      <c r="FI51" s="218" t="str">
        <f t="shared" si="366"/>
        <v/>
      </c>
      <c r="FJ51" s="218" t="str">
        <f t="shared" si="367"/>
        <v/>
      </c>
      <c r="FK51" s="218" t="str">
        <f t="shared" si="368"/>
        <v/>
      </c>
      <c r="FL51" s="218" t="str">
        <f t="shared" si="369"/>
        <v/>
      </c>
      <c r="FM51" s="218" t="str">
        <f t="shared" si="370"/>
        <v/>
      </c>
      <c r="FN51" s="218" t="str">
        <f t="shared" si="371"/>
        <v/>
      </c>
      <c r="FO51" s="218" t="str">
        <f t="shared" si="372"/>
        <v/>
      </c>
      <c r="FP51" s="218" t="str">
        <f t="shared" si="373"/>
        <v/>
      </c>
      <c r="FQ51" s="218" t="str">
        <f t="shared" si="374"/>
        <v/>
      </c>
      <c r="FR51" s="218" t="str">
        <f t="shared" si="375"/>
        <v/>
      </c>
      <c r="FT51" s="218" t="str">
        <f t="shared" si="376"/>
        <v/>
      </c>
      <c r="FU51" s="218" t="str">
        <f t="shared" si="377"/>
        <v/>
      </c>
      <c r="FV51" s="218" t="str">
        <f t="shared" si="378"/>
        <v/>
      </c>
      <c r="FW51" s="218" t="str">
        <f t="shared" si="379"/>
        <v/>
      </c>
      <c r="FX51" s="218" t="str">
        <f t="shared" si="380"/>
        <v/>
      </c>
      <c r="FY51" s="218" t="str">
        <f t="shared" si="381"/>
        <v/>
      </c>
      <c r="FZ51" s="218" t="str">
        <f t="shared" si="382"/>
        <v/>
      </c>
      <c r="GA51" s="218" t="str">
        <f t="shared" si="383"/>
        <v/>
      </c>
      <c r="GB51" s="218" t="str">
        <f t="shared" si="384"/>
        <v/>
      </c>
      <c r="GC51" s="218" t="str">
        <f t="shared" si="385"/>
        <v/>
      </c>
      <c r="GD51" s="218" t="str">
        <f t="shared" si="386"/>
        <v/>
      </c>
      <c r="GE51" s="218" t="str">
        <f t="shared" si="387"/>
        <v/>
      </c>
      <c r="GF51" s="218" t="str">
        <f t="shared" si="388"/>
        <v/>
      </c>
      <c r="GG51" s="218" t="str">
        <f t="shared" si="389"/>
        <v/>
      </c>
      <c r="GH51" s="218" t="str">
        <f t="shared" si="390"/>
        <v/>
      </c>
      <c r="GJ51" s="218" t="str">
        <f t="shared" si="391"/>
        <v/>
      </c>
      <c r="GK51" s="218" t="str">
        <f t="shared" si="392"/>
        <v/>
      </c>
      <c r="GL51" s="218" t="str">
        <f t="shared" si="393"/>
        <v/>
      </c>
      <c r="GM51" s="218" t="str">
        <f t="shared" si="394"/>
        <v/>
      </c>
      <c r="GN51" s="218" t="str">
        <f t="shared" si="395"/>
        <v/>
      </c>
      <c r="GO51" s="218" t="str">
        <f t="shared" si="396"/>
        <v/>
      </c>
      <c r="GP51" s="218" t="str">
        <f t="shared" si="397"/>
        <v/>
      </c>
      <c r="GQ51" s="218" t="str">
        <f t="shared" si="398"/>
        <v/>
      </c>
      <c r="GR51" s="218" t="str">
        <f t="shared" si="399"/>
        <v/>
      </c>
      <c r="GS51" s="218" t="str">
        <f t="shared" si="400"/>
        <v/>
      </c>
      <c r="GT51" s="218" t="str">
        <f t="shared" si="401"/>
        <v/>
      </c>
      <c r="GU51" s="218" t="str">
        <f t="shared" si="402"/>
        <v/>
      </c>
      <c r="GW51" s="218" t="str">
        <f t="shared" si="403"/>
        <v/>
      </c>
      <c r="GX51" s="218" t="str">
        <f t="shared" si="404"/>
        <v/>
      </c>
      <c r="GY51" s="218" t="str">
        <f t="shared" si="405"/>
        <v/>
      </c>
      <c r="GZ51" s="218" t="str">
        <f t="shared" si="406"/>
        <v/>
      </c>
      <c r="HA51" s="218" t="str">
        <f t="shared" si="407"/>
        <v/>
      </c>
      <c r="HB51" s="218" t="str">
        <f t="shared" si="408"/>
        <v/>
      </c>
      <c r="HC51" s="218" t="str">
        <f t="shared" si="409"/>
        <v/>
      </c>
      <c r="HD51" s="218" t="str">
        <f t="shared" si="410"/>
        <v/>
      </c>
      <c r="HE51" s="218" t="str">
        <f t="shared" si="411"/>
        <v/>
      </c>
      <c r="HG51" s="218" t="str">
        <f t="shared" si="412"/>
        <v/>
      </c>
      <c r="HH51" s="218" t="str">
        <f t="shared" si="413"/>
        <v/>
      </c>
      <c r="HI51" s="218" t="str">
        <f t="shared" si="414"/>
        <v/>
      </c>
      <c r="HJ51" s="218" t="str">
        <f t="shared" si="415"/>
        <v/>
      </c>
      <c r="HK51" s="218" t="str">
        <f t="shared" si="416"/>
        <v/>
      </c>
      <c r="HL51" s="218" t="str">
        <f t="shared" si="417"/>
        <v/>
      </c>
      <c r="HN51" s="218" t="str">
        <f t="shared" si="418"/>
        <v/>
      </c>
      <c r="HO51" s="218" t="str">
        <f t="shared" si="419"/>
        <v/>
      </c>
      <c r="HP51" s="218" t="str">
        <f t="shared" si="420"/>
        <v/>
      </c>
      <c r="HR51" s="218" t="str">
        <f t="shared" si="421"/>
        <v/>
      </c>
      <c r="HS51" s="218" t="str">
        <f t="shared" si="225"/>
        <v/>
      </c>
      <c r="HT51" s="218" t="str">
        <f t="shared" si="422"/>
        <v/>
      </c>
      <c r="HU51" s="218" t="str">
        <f t="shared" si="176"/>
        <v/>
      </c>
      <c r="HV51" s="218" t="str">
        <f t="shared" si="423"/>
        <v/>
      </c>
      <c r="HW51" s="218" t="str">
        <f t="shared" si="424"/>
        <v/>
      </c>
      <c r="HX51" s="218" t="str">
        <f t="shared" si="425"/>
        <v/>
      </c>
      <c r="HY51" s="218" t="str">
        <f t="shared" si="180"/>
        <v/>
      </c>
      <c r="HZ51" s="218" t="str">
        <f t="shared" si="426"/>
        <v/>
      </c>
      <c r="IA51" s="218" t="str">
        <f t="shared" si="427"/>
        <v/>
      </c>
      <c r="IB51" s="218" t="str">
        <f t="shared" si="183"/>
        <v/>
      </c>
      <c r="IC51" s="218" t="str">
        <f t="shared" si="428"/>
        <v/>
      </c>
      <c r="ID51" s="218" t="str">
        <f t="shared" si="429"/>
        <v/>
      </c>
      <c r="IE51" s="218" t="str">
        <f t="shared" si="186"/>
        <v/>
      </c>
      <c r="IF51" s="218" t="str">
        <f t="shared" si="430"/>
        <v/>
      </c>
      <c r="IG51" s="218" t="str">
        <f t="shared" si="431"/>
        <v/>
      </c>
      <c r="IH51" s="218" t="str">
        <f t="shared" si="189"/>
        <v/>
      </c>
      <c r="II51" s="218" t="str">
        <f t="shared" si="432"/>
        <v/>
      </c>
      <c r="IJ51" s="218" t="str">
        <f t="shared" si="433"/>
        <v/>
      </c>
      <c r="IK51" s="218" t="str">
        <f t="shared" si="192"/>
        <v/>
      </c>
      <c r="IL51" s="218" t="str">
        <f t="shared" si="434"/>
        <v/>
      </c>
      <c r="IM51" s="218" t="str">
        <f t="shared" si="435"/>
        <v/>
      </c>
      <c r="IN51" s="218" t="str">
        <f t="shared" si="195"/>
        <v/>
      </c>
      <c r="IO51" s="218" t="str">
        <f t="shared" si="436"/>
        <v/>
      </c>
      <c r="IP51" s="218" t="str">
        <f t="shared" si="437"/>
        <v/>
      </c>
      <c r="IQ51" s="218" t="str">
        <f t="shared" si="198"/>
        <v/>
      </c>
      <c r="IR51" s="218" t="str">
        <f t="shared" si="438"/>
        <v/>
      </c>
      <c r="IS51" s="218" t="str">
        <f t="shared" si="439"/>
        <v/>
      </c>
      <c r="IT51" s="218" t="str">
        <f t="shared" si="201"/>
        <v/>
      </c>
      <c r="IU51" s="218" t="str">
        <f t="shared" si="440"/>
        <v/>
      </c>
    </row>
    <row r="52" spans="1:255" x14ac:dyDescent="0.2">
      <c r="A52" s="200" t="s">
        <v>55</v>
      </c>
      <c r="B52" s="178"/>
      <c r="C52" s="179"/>
      <c r="D52" s="181"/>
      <c r="E52" s="181"/>
      <c r="F52" s="181"/>
      <c r="G52" s="181"/>
      <c r="H52" s="181"/>
      <c r="I52" s="181"/>
      <c r="J52" s="181"/>
      <c r="K52" s="185"/>
      <c r="L52" s="217" t="str">
        <f t="shared" si="226"/>
        <v/>
      </c>
      <c r="M52" s="218" t="str">
        <f>'HKG vs. BK'!M52</f>
        <v/>
      </c>
      <c r="N52" s="218" t="str">
        <f>'HKG vs. BK'!N52</f>
        <v/>
      </c>
      <c r="O52" s="218" t="str">
        <f>'HKG vs. BK'!O52</f>
        <v/>
      </c>
      <c r="P52" s="218" t="str">
        <f>'HKG vs. BK'!P52</f>
        <v/>
      </c>
      <c r="Q52" s="219" t="str">
        <f t="shared" si="227"/>
        <v/>
      </c>
      <c r="R52" s="220" t="str">
        <f t="shared" si="228"/>
        <v/>
      </c>
      <c r="S52" s="220" t="str">
        <f t="shared" si="229"/>
        <v/>
      </c>
      <c r="T52" s="219" t="str">
        <f t="shared" si="230"/>
        <v/>
      </c>
      <c r="U52" s="220" t="str">
        <f t="shared" si="231"/>
        <v/>
      </c>
      <c r="V52" s="220" t="str">
        <f t="shared" si="232"/>
        <v/>
      </c>
      <c r="W52" s="219" t="str">
        <f t="shared" si="233"/>
        <v/>
      </c>
      <c r="X52" s="220" t="str">
        <f t="shared" si="234"/>
        <v/>
      </c>
      <c r="Y52" s="220" t="str">
        <f t="shared" si="235"/>
        <v/>
      </c>
      <c r="Z52" s="219" t="str">
        <f t="shared" si="236"/>
        <v/>
      </c>
      <c r="AA52" s="220" t="str">
        <f t="shared" si="237"/>
        <v/>
      </c>
      <c r="AB52" s="220" t="str">
        <f t="shared" si="238"/>
        <v/>
      </c>
      <c r="AC52" s="219" t="str">
        <f t="shared" si="239"/>
        <v/>
      </c>
      <c r="AD52" s="220" t="str">
        <f t="shared" si="240"/>
        <v/>
      </c>
      <c r="AE52" s="220" t="str">
        <f t="shared" si="241"/>
        <v/>
      </c>
      <c r="AF52" s="219" t="str">
        <f t="shared" si="242"/>
        <v/>
      </c>
      <c r="AG52" s="220" t="str">
        <f t="shared" si="243"/>
        <v/>
      </c>
      <c r="AH52" s="220" t="str">
        <f t="shared" si="244"/>
        <v/>
      </c>
      <c r="AI52" s="219" t="str">
        <f t="shared" si="245"/>
        <v/>
      </c>
      <c r="AJ52" s="220" t="str">
        <f t="shared" si="246"/>
        <v/>
      </c>
      <c r="AK52" s="220" t="str">
        <f t="shared" si="247"/>
        <v/>
      </c>
      <c r="AL52" s="219" t="str">
        <f t="shared" si="248"/>
        <v/>
      </c>
      <c r="AM52" s="220" t="str">
        <f t="shared" si="249"/>
        <v/>
      </c>
      <c r="AN52" s="220" t="str">
        <f t="shared" si="250"/>
        <v/>
      </c>
      <c r="AO52" s="219" t="str">
        <f t="shared" si="251"/>
        <v/>
      </c>
      <c r="AP52" s="220" t="str">
        <f t="shared" si="252"/>
        <v/>
      </c>
      <c r="AQ52" s="220" t="str">
        <f t="shared" si="253"/>
        <v/>
      </c>
      <c r="AR52" s="219" t="str">
        <f t="shared" si="254"/>
        <v/>
      </c>
      <c r="AS52" s="220" t="str">
        <f t="shared" si="255"/>
        <v/>
      </c>
      <c r="AT52" s="220" t="str">
        <f t="shared" si="256"/>
        <v/>
      </c>
      <c r="AU52" s="221"/>
      <c r="AV52" s="221"/>
      <c r="AW52" s="221"/>
      <c r="AY52" s="218" t="str">
        <f t="shared" si="257"/>
        <v/>
      </c>
      <c r="AZ52" s="218" t="str">
        <f t="shared" si="258"/>
        <v/>
      </c>
      <c r="BA52" s="218" t="str">
        <f t="shared" si="259"/>
        <v/>
      </c>
      <c r="BB52" s="218" t="str">
        <f t="shared" si="260"/>
        <v/>
      </c>
      <c r="BC52" s="218" t="str">
        <f t="shared" si="261"/>
        <v/>
      </c>
      <c r="BD52" s="218" t="str">
        <f t="shared" si="262"/>
        <v/>
      </c>
      <c r="BE52" s="218" t="str">
        <f t="shared" si="263"/>
        <v/>
      </c>
      <c r="BF52" s="218" t="str">
        <f t="shared" si="264"/>
        <v/>
      </c>
      <c r="BG52" s="218" t="str">
        <f t="shared" si="265"/>
        <v/>
      </c>
      <c r="BH52" s="218" t="str">
        <f t="shared" si="266"/>
        <v/>
      </c>
      <c r="BI52" s="218" t="str">
        <f t="shared" si="267"/>
        <v/>
      </c>
      <c r="BJ52" s="218" t="str">
        <f t="shared" si="268"/>
        <v/>
      </c>
      <c r="BK52" s="218" t="str">
        <f t="shared" si="269"/>
        <v/>
      </c>
      <c r="BL52" s="218" t="str">
        <f t="shared" si="270"/>
        <v/>
      </c>
      <c r="BM52" s="218" t="str">
        <f t="shared" si="271"/>
        <v/>
      </c>
      <c r="BN52" s="218" t="str">
        <f t="shared" si="272"/>
        <v/>
      </c>
      <c r="BO52" s="218" t="str">
        <f t="shared" si="273"/>
        <v/>
      </c>
      <c r="BP52" s="218" t="str">
        <f t="shared" si="274"/>
        <v/>
      </c>
      <c r="BQ52" s="218" t="str">
        <f t="shared" si="275"/>
        <v/>
      </c>
      <c r="BR52" s="218" t="str">
        <f t="shared" si="276"/>
        <v/>
      </c>
      <c r="BS52" s="218" t="str">
        <f t="shared" si="277"/>
        <v/>
      </c>
      <c r="BT52" s="218" t="str">
        <f t="shared" si="278"/>
        <v/>
      </c>
      <c r="BU52" s="218" t="str">
        <f t="shared" si="279"/>
        <v/>
      </c>
      <c r="BV52" s="218" t="str">
        <f t="shared" si="280"/>
        <v/>
      </c>
      <c r="BW52" s="218" t="str">
        <f t="shared" si="281"/>
        <v/>
      </c>
      <c r="BX52" s="218" t="str">
        <f t="shared" si="282"/>
        <v/>
      </c>
      <c r="BY52" s="218" t="str">
        <f t="shared" si="283"/>
        <v/>
      </c>
      <c r="BZ52" s="218" t="str">
        <f t="shared" si="284"/>
        <v/>
      </c>
      <c r="CA52" s="218" t="str">
        <f t="shared" si="285"/>
        <v/>
      </c>
      <c r="CB52" s="218" t="str">
        <f t="shared" si="286"/>
        <v/>
      </c>
      <c r="CD52" s="218" t="str">
        <f t="shared" si="287"/>
        <v/>
      </c>
      <c r="CE52" s="218" t="str">
        <f t="shared" si="288"/>
        <v/>
      </c>
      <c r="CF52" s="218" t="str">
        <f t="shared" si="289"/>
        <v/>
      </c>
      <c r="CG52" s="218" t="str">
        <f t="shared" si="290"/>
        <v/>
      </c>
      <c r="CH52" s="218" t="str">
        <f t="shared" si="291"/>
        <v/>
      </c>
      <c r="CI52" s="218" t="str">
        <f t="shared" si="292"/>
        <v/>
      </c>
      <c r="CJ52" s="218" t="str">
        <f t="shared" si="293"/>
        <v/>
      </c>
      <c r="CK52" s="218" t="str">
        <f t="shared" si="294"/>
        <v/>
      </c>
      <c r="CL52" s="218" t="str">
        <f t="shared" si="295"/>
        <v/>
      </c>
      <c r="CM52" s="218" t="str">
        <f t="shared" si="296"/>
        <v/>
      </c>
      <c r="CN52" s="218" t="str">
        <f t="shared" si="297"/>
        <v/>
      </c>
      <c r="CO52" s="218" t="str">
        <f t="shared" si="298"/>
        <v/>
      </c>
      <c r="CP52" s="218" t="str">
        <f t="shared" si="299"/>
        <v/>
      </c>
      <c r="CQ52" s="218" t="str">
        <f t="shared" si="300"/>
        <v/>
      </c>
      <c r="CR52" s="218" t="str">
        <f t="shared" si="301"/>
        <v/>
      </c>
      <c r="CS52" s="218" t="str">
        <f t="shared" si="302"/>
        <v/>
      </c>
      <c r="CT52" s="218" t="str">
        <f t="shared" si="303"/>
        <v/>
      </c>
      <c r="CU52" s="218" t="str">
        <f t="shared" si="304"/>
        <v/>
      </c>
      <c r="CV52" s="218" t="str">
        <f t="shared" si="305"/>
        <v/>
      </c>
      <c r="CW52" s="218" t="str">
        <f t="shared" si="306"/>
        <v/>
      </c>
      <c r="CX52" s="218" t="str">
        <f t="shared" si="307"/>
        <v/>
      </c>
      <c r="CY52" s="218" t="str">
        <f t="shared" si="308"/>
        <v/>
      </c>
      <c r="CZ52" s="218" t="str">
        <f t="shared" si="309"/>
        <v/>
      </c>
      <c r="DA52" s="218" t="str">
        <f t="shared" si="310"/>
        <v/>
      </c>
      <c r="DB52" s="218" t="str">
        <f t="shared" si="64"/>
        <v/>
      </c>
      <c r="DC52" s="218" t="str">
        <f t="shared" si="311"/>
        <v/>
      </c>
      <c r="DD52" s="218" t="str">
        <f t="shared" si="312"/>
        <v/>
      </c>
      <c r="DF52" s="218" t="str">
        <f t="shared" si="313"/>
        <v/>
      </c>
      <c r="DG52" s="218" t="str">
        <f t="shared" si="314"/>
        <v/>
      </c>
      <c r="DH52" s="218" t="str">
        <f t="shared" si="315"/>
        <v/>
      </c>
      <c r="DI52" s="218" t="str">
        <f t="shared" si="316"/>
        <v/>
      </c>
      <c r="DJ52" s="218" t="str">
        <f t="shared" si="317"/>
        <v/>
      </c>
      <c r="DK52" s="218" t="str">
        <f t="shared" si="318"/>
        <v/>
      </c>
      <c r="DL52" s="218" t="str">
        <f t="shared" si="319"/>
        <v/>
      </c>
      <c r="DM52" s="218" t="str">
        <f t="shared" si="320"/>
        <v/>
      </c>
      <c r="DN52" s="218" t="str">
        <f t="shared" si="321"/>
        <v/>
      </c>
      <c r="DO52" s="218" t="str">
        <f t="shared" si="322"/>
        <v/>
      </c>
      <c r="DP52" s="218" t="str">
        <f t="shared" si="323"/>
        <v/>
      </c>
      <c r="DQ52" s="218" t="str">
        <f t="shared" si="324"/>
        <v/>
      </c>
      <c r="DR52" s="218" t="str">
        <f t="shared" si="325"/>
        <v/>
      </c>
      <c r="DS52" s="218" t="str">
        <f t="shared" si="326"/>
        <v/>
      </c>
      <c r="DT52" s="218" t="str">
        <f t="shared" si="327"/>
        <v/>
      </c>
      <c r="DU52" s="218" t="str">
        <f t="shared" si="328"/>
        <v/>
      </c>
      <c r="DV52" s="218" t="str">
        <f t="shared" si="329"/>
        <v/>
      </c>
      <c r="DW52" s="218" t="str">
        <f t="shared" si="330"/>
        <v/>
      </c>
      <c r="DX52" s="218" t="str">
        <f t="shared" si="331"/>
        <v/>
      </c>
      <c r="DY52" s="218" t="str">
        <f t="shared" si="332"/>
        <v/>
      </c>
      <c r="DZ52" s="218" t="str">
        <f t="shared" si="333"/>
        <v/>
      </c>
      <c r="EA52" s="218" t="str">
        <f t="shared" si="334"/>
        <v/>
      </c>
      <c r="EB52" s="218" t="str">
        <f t="shared" si="335"/>
        <v/>
      </c>
      <c r="EC52" s="218" t="str">
        <f t="shared" si="336"/>
        <v/>
      </c>
      <c r="EE52" s="218" t="str">
        <f t="shared" si="337"/>
        <v/>
      </c>
      <c r="EF52" s="218" t="str">
        <f t="shared" si="338"/>
        <v/>
      </c>
      <c r="EG52" s="218" t="str">
        <f t="shared" si="339"/>
        <v/>
      </c>
      <c r="EH52" s="218" t="str">
        <f t="shared" si="340"/>
        <v/>
      </c>
      <c r="EI52" s="218" t="str">
        <f t="shared" si="341"/>
        <v/>
      </c>
      <c r="EJ52" s="218" t="str">
        <f t="shared" si="342"/>
        <v/>
      </c>
      <c r="EK52" s="218" t="str">
        <f t="shared" si="343"/>
        <v/>
      </c>
      <c r="EL52" s="218" t="str">
        <f t="shared" si="344"/>
        <v/>
      </c>
      <c r="EM52" s="218" t="str">
        <f t="shared" si="345"/>
        <v/>
      </c>
      <c r="EN52" s="218" t="str">
        <f t="shared" si="346"/>
        <v/>
      </c>
      <c r="EO52" s="218" t="str">
        <f t="shared" si="347"/>
        <v/>
      </c>
      <c r="EP52" s="218" t="str">
        <f t="shared" si="348"/>
        <v/>
      </c>
      <c r="EQ52" s="218" t="str">
        <f t="shared" si="349"/>
        <v/>
      </c>
      <c r="ER52" s="218" t="str">
        <f t="shared" si="350"/>
        <v/>
      </c>
      <c r="ES52" s="218" t="str">
        <f t="shared" si="351"/>
        <v/>
      </c>
      <c r="ET52" s="218" t="str">
        <f t="shared" si="352"/>
        <v/>
      </c>
      <c r="EU52" s="218" t="str">
        <f t="shared" si="353"/>
        <v/>
      </c>
      <c r="EV52" s="218" t="str">
        <f t="shared" si="354"/>
        <v/>
      </c>
      <c r="EW52" s="218" t="str">
        <f t="shared" si="355"/>
        <v/>
      </c>
      <c r="EX52" s="218" t="str">
        <f t="shared" si="356"/>
        <v/>
      </c>
      <c r="EY52" s="218" t="str">
        <f t="shared" si="357"/>
        <v/>
      </c>
      <c r="FA52" s="218" t="str">
        <f t="shared" si="358"/>
        <v/>
      </c>
      <c r="FB52" s="218" t="str">
        <f t="shared" si="359"/>
        <v/>
      </c>
      <c r="FC52" s="218" t="str">
        <f t="shared" si="360"/>
        <v/>
      </c>
      <c r="FD52" s="218" t="str">
        <f t="shared" si="361"/>
        <v/>
      </c>
      <c r="FE52" s="218" t="str">
        <f t="shared" si="362"/>
        <v/>
      </c>
      <c r="FF52" s="218" t="str">
        <f t="shared" si="363"/>
        <v/>
      </c>
      <c r="FG52" s="218" t="str">
        <f t="shared" si="364"/>
        <v/>
      </c>
      <c r="FH52" s="218" t="str">
        <f t="shared" si="365"/>
        <v/>
      </c>
      <c r="FI52" s="218" t="str">
        <f t="shared" si="366"/>
        <v/>
      </c>
      <c r="FJ52" s="218" t="str">
        <f t="shared" si="367"/>
        <v/>
      </c>
      <c r="FK52" s="218" t="str">
        <f t="shared" si="368"/>
        <v/>
      </c>
      <c r="FL52" s="218" t="str">
        <f t="shared" si="369"/>
        <v/>
      </c>
      <c r="FM52" s="218" t="str">
        <f t="shared" si="370"/>
        <v/>
      </c>
      <c r="FN52" s="218" t="str">
        <f t="shared" si="371"/>
        <v/>
      </c>
      <c r="FO52" s="218" t="str">
        <f t="shared" si="372"/>
        <v/>
      </c>
      <c r="FP52" s="218" t="str">
        <f t="shared" si="373"/>
        <v/>
      </c>
      <c r="FQ52" s="218" t="str">
        <f t="shared" si="374"/>
        <v/>
      </c>
      <c r="FR52" s="218" t="str">
        <f t="shared" si="375"/>
        <v/>
      </c>
      <c r="FT52" s="218" t="str">
        <f t="shared" si="376"/>
        <v/>
      </c>
      <c r="FU52" s="218" t="str">
        <f t="shared" si="377"/>
        <v/>
      </c>
      <c r="FV52" s="218" t="str">
        <f t="shared" si="378"/>
        <v/>
      </c>
      <c r="FW52" s="218" t="str">
        <f t="shared" si="379"/>
        <v/>
      </c>
      <c r="FX52" s="218" t="str">
        <f t="shared" si="380"/>
        <v/>
      </c>
      <c r="FY52" s="218" t="str">
        <f t="shared" si="381"/>
        <v/>
      </c>
      <c r="FZ52" s="218" t="str">
        <f t="shared" si="382"/>
        <v/>
      </c>
      <c r="GA52" s="218" t="str">
        <f t="shared" si="383"/>
        <v/>
      </c>
      <c r="GB52" s="218" t="str">
        <f t="shared" si="384"/>
        <v/>
      </c>
      <c r="GC52" s="218" t="str">
        <f t="shared" si="385"/>
        <v/>
      </c>
      <c r="GD52" s="218" t="str">
        <f t="shared" si="386"/>
        <v/>
      </c>
      <c r="GE52" s="218" t="str">
        <f t="shared" si="387"/>
        <v/>
      </c>
      <c r="GF52" s="218" t="str">
        <f t="shared" si="388"/>
        <v/>
      </c>
      <c r="GG52" s="218" t="str">
        <f t="shared" si="389"/>
        <v/>
      </c>
      <c r="GH52" s="218" t="str">
        <f t="shared" si="390"/>
        <v/>
      </c>
      <c r="GJ52" s="218" t="str">
        <f t="shared" si="391"/>
        <v/>
      </c>
      <c r="GK52" s="218" t="str">
        <f t="shared" si="392"/>
        <v/>
      </c>
      <c r="GL52" s="218" t="str">
        <f t="shared" si="393"/>
        <v/>
      </c>
      <c r="GM52" s="218" t="str">
        <f t="shared" si="394"/>
        <v/>
      </c>
      <c r="GN52" s="218" t="str">
        <f t="shared" si="395"/>
        <v/>
      </c>
      <c r="GO52" s="218" t="str">
        <f t="shared" si="396"/>
        <v/>
      </c>
      <c r="GP52" s="218" t="str">
        <f t="shared" si="397"/>
        <v/>
      </c>
      <c r="GQ52" s="218" t="str">
        <f t="shared" si="398"/>
        <v/>
      </c>
      <c r="GR52" s="218" t="str">
        <f t="shared" si="399"/>
        <v/>
      </c>
      <c r="GS52" s="218" t="str">
        <f t="shared" si="400"/>
        <v/>
      </c>
      <c r="GT52" s="218" t="str">
        <f t="shared" si="401"/>
        <v/>
      </c>
      <c r="GU52" s="218" t="str">
        <f t="shared" si="402"/>
        <v/>
      </c>
      <c r="GW52" s="218" t="str">
        <f t="shared" si="403"/>
        <v/>
      </c>
      <c r="GX52" s="218" t="str">
        <f t="shared" si="404"/>
        <v/>
      </c>
      <c r="GY52" s="218" t="str">
        <f t="shared" si="405"/>
        <v/>
      </c>
      <c r="GZ52" s="218" t="str">
        <f t="shared" si="406"/>
        <v/>
      </c>
      <c r="HA52" s="218" t="str">
        <f t="shared" si="407"/>
        <v/>
      </c>
      <c r="HB52" s="218" t="str">
        <f t="shared" si="408"/>
        <v/>
      </c>
      <c r="HC52" s="218" t="str">
        <f t="shared" si="409"/>
        <v/>
      </c>
      <c r="HD52" s="218" t="str">
        <f t="shared" si="410"/>
        <v/>
      </c>
      <c r="HE52" s="218" t="str">
        <f t="shared" si="411"/>
        <v/>
      </c>
      <c r="HG52" s="218" t="str">
        <f t="shared" si="412"/>
        <v/>
      </c>
      <c r="HH52" s="218" t="str">
        <f t="shared" si="413"/>
        <v/>
      </c>
      <c r="HI52" s="218" t="str">
        <f t="shared" si="414"/>
        <v/>
      </c>
      <c r="HJ52" s="218" t="str">
        <f t="shared" si="415"/>
        <v/>
      </c>
      <c r="HK52" s="218" t="str">
        <f t="shared" si="416"/>
        <v/>
      </c>
      <c r="HL52" s="218" t="str">
        <f t="shared" si="417"/>
        <v/>
      </c>
      <c r="HN52" s="218" t="str">
        <f t="shared" si="418"/>
        <v/>
      </c>
      <c r="HO52" s="218" t="str">
        <f t="shared" si="419"/>
        <v/>
      </c>
      <c r="HP52" s="218" t="str">
        <f t="shared" si="420"/>
        <v/>
      </c>
      <c r="HR52" s="218" t="str">
        <f t="shared" si="421"/>
        <v/>
      </c>
      <c r="HS52" s="218" t="str">
        <f t="shared" si="225"/>
        <v/>
      </c>
      <c r="HT52" s="218" t="str">
        <f t="shared" si="422"/>
        <v/>
      </c>
      <c r="HU52" s="218" t="str">
        <f t="shared" si="176"/>
        <v/>
      </c>
      <c r="HV52" s="218" t="str">
        <f t="shared" si="423"/>
        <v/>
      </c>
      <c r="HW52" s="218" t="str">
        <f t="shared" si="424"/>
        <v/>
      </c>
      <c r="HX52" s="218" t="str">
        <f t="shared" si="425"/>
        <v/>
      </c>
      <c r="HY52" s="218" t="str">
        <f t="shared" si="180"/>
        <v/>
      </c>
      <c r="HZ52" s="218" t="str">
        <f t="shared" si="426"/>
        <v/>
      </c>
      <c r="IA52" s="218" t="str">
        <f t="shared" si="427"/>
        <v/>
      </c>
      <c r="IB52" s="218" t="str">
        <f t="shared" si="183"/>
        <v/>
      </c>
      <c r="IC52" s="218" t="str">
        <f t="shared" si="428"/>
        <v/>
      </c>
      <c r="ID52" s="218" t="str">
        <f t="shared" si="429"/>
        <v/>
      </c>
      <c r="IE52" s="218" t="str">
        <f t="shared" si="186"/>
        <v/>
      </c>
      <c r="IF52" s="218" t="str">
        <f t="shared" si="430"/>
        <v/>
      </c>
      <c r="IG52" s="218" t="str">
        <f t="shared" si="431"/>
        <v/>
      </c>
      <c r="IH52" s="218" t="str">
        <f t="shared" si="189"/>
        <v/>
      </c>
      <c r="II52" s="218" t="str">
        <f t="shared" si="432"/>
        <v/>
      </c>
      <c r="IJ52" s="218" t="str">
        <f t="shared" si="433"/>
        <v/>
      </c>
      <c r="IK52" s="218" t="str">
        <f t="shared" si="192"/>
        <v/>
      </c>
      <c r="IL52" s="218" t="str">
        <f t="shared" si="434"/>
        <v/>
      </c>
      <c r="IM52" s="218" t="str">
        <f t="shared" si="435"/>
        <v/>
      </c>
      <c r="IN52" s="218" t="str">
        <f t="shared" si="195"/>
        <v/>
      </c>
      <c r="IO52" s="218" t="str">
        <f t="shared" si="436"/>
        <v/>
      </c>
      <c r="IP52" s="218" t="str">
        <f t="shared" si="437"/>
        <v/>
      </c>
      <c r="IQ52" s="218" t="str">
        <f t="shared" si="198"/>
        <v/>
      </c>
      <c r="IR52" s="218" t="str">
        <f t="shared" si="438"/>
        <v/>
      </c>
      <c r="IS52" s="218" t="str">
        <f t="shared" si="439"/>
        <v/>
      </c>
      <c r="IT52" s="218" t="str">
        <f t="shared" si="201"/>
        <v/>
      </c>
      <c r="IU52" s="218" t="str">
        <f t="shared" si="440"/>
        <v/>
      </c>
    </row>
    <row r="53" spans="1:255" x14ac:dyDescent="0.2">
      <c r="A53" s="200" t="s">
        <v>56</v>
      </c>
      <c r="B53" s="178"/>
      <c r="C53" s="179"/>
      <c r="D53" s="181"/>
      <c r="E53" s="181"/>
      <c r="F53" s="181"/>
      <c r="G53" s="181"/>
      <c r="H53" s="181"/>
      <c r="I53" s="181"/>
      <c r="J53" s="181"/>
      <c r="K53" s="185"/>
      <c r="L53" s="217" t="str">
        <f t="shared" si="226"/>
        <v/>
      </c>
      <c r="M53" s="218" t="str">
        <f>'HKG vs. BK'!M53</f>
        <v/>
      </c>
      <c r="N53" s="218" t="str">
        <f>'HKG vs. BK'!N53</f>
        <v/>
      </c>
      <c r="O53" s="218" t="str">
        <f>'HKG vs. BK'!O53</f>
        <v/>
      </c>
      <c r="P53" s="218" t="str">
        <f>'HKG vs. BK'!P53</f>
        <v/>
      </c>
      <c r="Q53" s="219" t="str">
        <f t="shared" si="227"/>
        <v/>
      </c>
      <c r="R53" s="220" t="str">
        <f t="shared" si="228"/>
        <v/>
      </c>
      <c r="S53" s="220" t="str">
        <f t="shared" si="229"/>
        <v/>
      </c>
      <c r="T53" s="219" t="str">
        <f t="shared" si="230"/>
        <v/>
      </c>
      <c r="U53" s="220" t="str">
        <f t="shared" si="231"/>
        <v/>
      </c>
      <c r="V53" s="220" t="str">
        <f t="shared" si="232"/>
        <v/>
      </c>
      <c r="W53" s="219" t="str">
        <f t="shared" si="233"/>
        <v/>
      </c>
      <c r="X53" s="220" t="str">
        <f t="shared" si="234"/>
        <v/>
      </c>
      <c r="Y53" s="220" t="str">
        <f t="shared" si="235"/>
        <v/>
      </c>
      <c r="Z53" s="219" t="str">
        <f t="shared" si="236"/>
        <v/>
      </c>
      <c r="AA53" s="220" t="str">
        <f t="shared" si="237"/>
        <v/>
      </c>
      <c r="AB53" s="220" t="str">
        <f t="shared" si="238"/>
        <v/>
      </c>
      <c r="AC53" s="219" t="str">
        <f t="shared" si="239"/>
        <v/>
      </c>
      <c r="AD53" s="220" t="str">
        <f t="shared" si="240"/>
        <v/>
      </c>
      <c r="AE53" s="220" t="str">
        <f t="shared" si="241"/>
        <v/>
      </c>
      <c r="AF53" s="219" t="str">
        <f t="shared" si="242"/>
        <v/>
      </c>
      <c r="AG53" s="220" t="str">
        <f t="shared" si="243"/>
        <v/>
      </c>
      <c r="AH53" s="220" t="str">
        <f t="shared" si="244"/>
        <v/>
      </c>
      <c r="AI53" s="219" t="str">
        <f t="shared" si="245"/>
        <v/>
      </c>
      <c r="AJ53" s="220" t="str">
        <f t="shared" si="246"/>
        <v/>
      </c>
      <c r="AK53" s="220" t="str">
        <f t="shared" si="247"/>
        <v/>
      </c>
      <c r="AL53" s="219" t="str">
        <f t="shared" si="248"/>
        <v/>
      </c>
      <c r="AM53" s="220" t="str">
        <f t="shared" si="249"/>
        <v/>
      </c>
      <c r="AN53" s="220" t="str">
        <f t="shared" si="250"/>
        <v/>
      </c>
      <c r="AO53" s="219" t="str">
        <f t="shared" si="251"/>
        <v/>
      </c>
      <c r="AP53" s="220" t="str">
        <f t="shared" si="252"/>
        <v/>
      </c>
      <c r="AQ53" s="220" t="str">
        <f t="shared" si="253"/>
        <v/>
      </c>
      <c r="AR53" s="219" t="str">
        <f t="shared" si="254"/>
        <v/>
      </c>
      <c r="AS53" s="220" t="str">
        <f t="shared" si="255"/>
        <v/>
      </c>
      <c r="AT53" s="220" t="str">
        <f t="shared" si="256"/>
        <v/>
      </c>
      <c r="AU53" s="221"/>
      <c r="AV53" s="221"/>
      <c r="AW53" s="221"/>
      <c r="AY53" s="218" t="str">
        <f t="shared" si="257"/>
        <v/>
      </c>
      <c r="AZ53" s="218" t="str">
        <f t="shared" si="258"/>
        <v/>
      </c>
      <c r="BA53" s="218" t="str">
        <f t="shared" si="259"/>
        <v/>
      </c>
      <c r="BB53" s="218" t="str">
        <f t="shared" si="260"/>
        <v/>
      </c>
      <c r="BC53" s="218" t="str">
        <f t="shared" si="261"/>
        <v/>
      </c>
      <c r="BD53" s="218" t="str">
        <f t="shared" si="262"/>
        <v/>
      </c>
      <c r="BE53" s="218" t="str">
        <f t="shared" si="263"/>
        <v/>
      </c>
      <c r="BF53" s="218" t="str">
        <f t="shared" si="264"/>
        <v/>
      </c>
      <c r="BG53" s="218" t="str">
        <f t="shared" si="265"/>
        <v/>
      </c>
      <c r="BH53" s="218" t="str">
        <f t="shared" si="266"/>
        <v/>
      </c>
      <c r="BI53" s="218" t="str">
        <f t="shared" si="267"/>
        <v/>
      </c>
      <c r="BJ53" s="218" t="str">
        <f t="shared" si="268"/>
        <v/>
      </c>
      <c r="BK53" s="218" t="str">
        <f t="shared" si="269"/>
        <v/>
      </c>
      <c r="BL53" s="218" t="str">
        <f t="shared" si="270"/>
        <v/>
      </c>
      <c r="BM53" s="218" t="str">
        <f t="shared" si="271"/>
        <v/>
      </c>
      <c r="BN53" s="218" t="str">
        <f t="shared" si="272"/>
        <v/>
      </c>
      <c r="BO53" s="218" t="str">
        <f t="shared" si="273"/>
        <v/>
      </c>
      <c r="BP53" s="218" t="str">
        <f t="shared" si="274"/>
        <v/>
      </c>
      <c r="BQ53" s="218" t="str">
        <f t="shared" si="275"/>
        <v/>
      </c>
      <c r="BR53" s="218" t="str">
        <f t="shared" si="276"/>
        <v/>
      </c>
      <c r="BS53" s="218" t="str">
        <f t="shared" si="277"/>
        <v/>
      </c>
      <c r="BT53" s="218" t="str">
        <f t="shared" si="278"/>
        <v/>
      </c>
      <c r="BU53" s="218" t="str">
        <f t="shared" si="279"/>
        <v/>
      </c>
      <c r="BV53" s="218" t="str">
        <f t="shared" si="280"/>
        <v/>
      </c>
      <c r="BW53" s="218" t="str">
        <f t="shared" si="281"/>
        <v/>
      </c>
      <c r="BX53" s="218" t="str">
        <f t="shared" si="282"/>
        <v/>
      </c>
      <c r="BY53" s="218" t="str">
        <f t="shared" si="283"/>
        <v/>
      </c>
      <c r="BZ53" s="218" t="str">
        <f t="shared" si="284"/>
        <v/>
      </c>
      <c r="CA53" s="218" t="str">
        <f t="shared" si="285"/>
        <v/>
      </c>
      <c r="CB53" s="218" t="str">
        <f t="shared" si="286"/>
        <v/>
      </c>
      <c r="CD53" s="218" t="str">
        <f t="shared" si="287"/>
        <v/>
      </c>
      <c r="CE53" s="218" t="str">
        <f t="shared" si="288"/>
        <v/>
      </c>
      <c r="CF53" s="218" t="str">
        <f t="shared" si="289"/>
        <v/>
      </c>
      <c r="CG53" s="218" t="str">
        <f t="shared" si="290"/>
        <v/>
      </c>
      <c r="CH53" s="218" t="str">
        <f t="shared" si="291"/>
        <v/>
      </c>
      <c r="CI53" s="218" t="str">
        <f t="shared" si="292"/>
        <v/>
      </c>
      <c r="CJ53" s="218" t="str">
        <f t="shared" si="293"/>
        <v/>
      </c>
      <c r="CK53" s="218" t="str">
        <f t="shared" si="294"/>
        <v/>
      </c>
      <c r="CL53" s="218" t="str">
        <f t="shared" si="295"/>
        <v/>
      </c>
      <c r="CM53" s="218" t="str">
        <f t="shared" si="296"/>
        <v/>
      </c>
      <c r="CN53" s="218" t="str">
        <f t="shared" si="297"/>
        <v/>
      </c>
      <c r="CO53" s="218" t="str">
        <f t="shared" si="298"/>
        <v/>
      </c>
      <c r="CP53" s="218" t="str">
        <f t="shared" si="299"/>
        <v/>
      </c>
      <c r="CQ53" s="218" t="str">
        <f t="shared" si="300"/>
        <v/>
      </c>
      <c r="CR53" s="218" t="str">
        <f t="shared" si="301"/>
        <v/>
      </c>
      <c r="CS53" s="218" t="str">
        <f t="shared" si="302"/>
        <v/>
      </c>
      <c r="CT53" s="218" t="str">
        <f t="shared" si="303"/>
        <v/>
      </c>
      <c r="CU53" s="218" t="str">
        <f t="shared" si="304"/>
        <v/>
      </c>
      <c r="CV53" s="218" t="str">
        <f t="shared" si="305"/>
        <v/>
      </c>
      <c r="CW53" s="218" t="str">
        <f t="shared" si="306"/>
        <v/>
      </c>
      <c r="CX53" s="218" t="str">
        <f t="shared" si="307"/>
        <v/>
      </c>
      <c r="CY53" s="218" t="str">
        <f t="shared" si="308"/>
        <v/>
      </c>
      <c r="CZ53" s="218" t="str">
        <f t="shared" si="309"/>
        <v/>
      </c>
      <c r="DA53" s="218" t="str">
        <f t="shared" si="310"/>
        <v/>
      </c>
      <c r="DB53" s="218" t="str">
        <f t="shared" si="64"/>
        <v/>
      </c>
      <c r="DC53" s="218" t="str">
        <f t="shared" si="311"/>
        <v/>
      </c>
      <c r="DD53" s="218" t="str">
        <f t="shared" si="312"/>
        <v/>
      </c>
      <c r="DF53" s="218" t="str">
        <f t="shared" si="313"/>
        <v/>
      </c>
      <c r="DG53" s="218" t="str">
        <f t="shared" si="314"/>
        <v/>
      </c>
      <c r="DH53" s="218" t="str">
        <f t="shared" si="315"/>
        <v/>
      </c>
      <c r="DI53" s="218" t="str">
        <f t="shared" si="316"/>
        <v/>
      </c>
      <c r="DJ53" s="218" t="str">
        <f t="shared" si="317"/>
        <v/>
      </c>
      <c r="DK53" s="218" t="str">
        <f t="shared" si="318"/>
        <v/>
      </c>
      <c r="DL53" s="218" t="str">
        <f t="shared" si="319"/>
        <v/>
      </c>
      <c r="DM53" s="218" t="str">
        <f t="shared" si="320"/>
        <v/>
      </c>
      <c r="DN53" s="218" t="str">
        <f t="shared" si="321"/>
        <v/>
      </c>
      <c r="DO53" s="218" t="str">
        <f t="shared" si="322"/>
        <v/>
      </c>
      <c r="DP53" s="218" t="str">
        <f t="shared" si="323"/>
        <v/>
      </c>
      <c r="DQ53" s="218" t="str">
        <f t="shared" si="324"/>
        <v/>
      </c>
      <c r="DR53" s="218" t="str">
        <f t="shared" si="325"/>
        <v/>
      </c>
      <c r="DS53" s="218" t="str">
        <f t="shared" si="326"/>
        <v/>
      </c>
      <c r="DT53" s="218" t="str">
        <f t="shared" si="327"/>
        <v/>
      </c>
      <c r="DU53" s="218" t="str">
        <f t="shared" si="328"/>
        <v/>
      </c>
      <c r="DV53" s="218" t="str">
        <f t="shared" si="329"/>
        <v/>
      </c>
      <c r="DW53" s="218" t="str">
        <f t="shared" si="330"/>
        <v/>
      </c>
      <c r="DX53" s="218" t="str">
        <f t="shared" si="331"/>
        <v/>
      </c>
      <c r="DY53" s="218" t="str">
        <f t="shared" si="332"/>
        <v/>
      </c>
      <c r="DZ53" s="218" t="str">
        <f t="shared" si="333"/>
        <v/>
      </c>
      <c r="EA53" s="218" t="str">
        <f t="shared" si="334"/>
        <v/>
      </c>
      <c r="EB53" s="218" t="str">
        <f t="shared" si="335"/>
        <v/>
      </c>
      <c r="EC53" s="218" t="str">
        <f t="shared" si="336"/>
        <v/>
      </c>
      <c r="EE53" s="218" t="str">
        <f t="shared" si="337"/>
        <v/>
      </c>
      <c r="EF53" s="218" t="str">
        <f t="shared" si="338"/>
        <v/>
      </c>
      <c r="EG53" s="218" t="str">
        <f t="shared" si="339"/>
        <v/>
      </c>
      <c r="EH53" s="218" t="str">
        <f t="shared" si="340"/>
        <v/>
      </c>
      <c r="EI53" s="218" t="str">
        <f t="shared" si="341"/>
        <v/>
      </c>
      <c r="EJ53" s="218" t="str">
        <f t="shared" si="342"/>
        <v/>
      </c>
      <c r="EK53" s="218" t="str">
        <f t="shared" si="343"/>
        <v/>
      </c>
      <c r="EL53" s="218" t="str">
        <f t="shared" si="344"/>
        <v/>
      </c>
      <c r="EM53" s="218" t="str">
        <f t="shared" si="345"/>
        <v/>
      </c>
      <c r="EN53" s="218" t="str">
        <f t="shared" si="346"/>
        <v/>
      </c>
      <c r="EO53" s="218" t="str">
        <f t="shared" si="347"/>
        <v/>
      </c>
      <c r="EP53" s="218" t="str">
        <f t="shared" si="348"/>
        <v/>
      </c>
      <c r="EQ53" s="218" t="str">
        <f t="shared" si="349"/>
        <v/>
      </c>
      <c r="ER53" s="218" t="str">
        <f t="shared" si="350"/>
        <v/>
      </c>
      <c r="ES53" s="218" t="str">
        <f t="shared" si="351"/>
        <v/>
      </c>
      <c r="ET53" s="218" t="str">
        <f t="shared" si="352"/>
        <v/>
      </c>
      <c r="EU53" s="218" t="str">
        <f t="shared" si="353"/>
        <v/>
      </c>
      <c r="EV53" s="218" t="str">
        <f t="shared" si="354"/>
        <v/>
      </c>
      <c r="EW53" s="218" t="str">
        <f t="shared" si="355"/>
        <v/>
      </c>
      <c r="EX53" s="218" t="str">
        <f t="shared" si="356"/>
        <v/>
      </c>
      <c r="EY53" s="218" t="str">
        <f t="shared" si="357"/>
        <v/>
      </c>
      <c r="FA53" s="218" t="str">
        <f t="shared" si="358"/>
        <v/>
      </c>
      <c r="FB53" s="218" t="str">
        <f t="shared" si="359"/>
        <v/>
      </c>
      <c r="FC53" s="218" t="str">
        <f t="shared" si="360"/>
        <v/>
      </c>
      <c r="FD53" s="218" t="str">
        <f t="shared" si="361"/>
        <v/>
      </c>
      <c r="FE53" s="218" t="str">
        <f t="shared" si="362"/>
        <v/>
      </c>
      <c r="FF53" s="218" t="str">
        <f t="shared" si="363"/>
        <v/>
      </c>
      <c r="FG53" s="218" t="str">
        <f t="shared" si="364"/>
        <v/>
      </c>
      <c r="FH53" s="218" t="str">
        <f t="shared" si="365"/>
        <v/>
      </c>
      <c r="FI53" s="218" t="str">
        <f t="shared" si="366"/>
        <v/>
      </c>
      <c r="FJ53" s="218" t="str">
        <f t="shared" si="367"/>
        <v/>
      </c>
      <c r="FK53" s="218" t="str">
        <f t="shared" si="368"/>
        <v/>
      </c>
      <c r="FL53" s="218" t="str">
        <f t="shared" si="369"/>
        <v/>
      </c>
      <c r="FM53" s="218" t="str">
        <f t="shared" si="370"/>
        <v/>
      </c>
      <c r="FN53" s="218" t="str">
        <f t="shared" si="371"/>
        <v/>
      </c>
      <c r="FO53" s="218" t="str">
        <f t="shared" si="372"/>
        <v/>
      </c>
      <c r="FP53" s="218" t="str">
        <f t="shared" si="373"/>
        <v/>
      </c>
      <c r="FQ53" s="218" t="str">
        <f t="shared" si="374"/>
        <v/>
      </c>
      <c r="FR53" s="218" t="str">
        <f t="shared" si="375"/>
        <v/>
      </c>
      <c r="FT53" s="218" t="str">
        <f t="shared" si="376"/>
        <v/>
      </c>
      <c r="FU53" s="218" t="str">
        <f t="shared" si="377"/>
        <v/>
      </c>
      <c r="FV53" s="218" t="str">
        <f t="shared" si="378"/>
        <v/>
      </c>
      <c r="FW53" s="218" t="str">
        <f t="shared" si="379"/>
        <v/>
      </c>
      <c r="FX53" s="218" t="str">
        <f t="shared" si="380"/>
        <v/>
      </c>
      <c r="FY53" s="218" t="str">
        <f t="shared" si="381"/>
        <v/>
      </c>
      <c r="FZ53" s="218" t="str">
        <f t="shared" si="382"/>
        <v/>
      </c>
      <c r="GA53" s="218" t="str">
        <f t="shared" si="383"/>
        <v/>
      </c>
      <c r="GB53" s="218" t="str">
        <f t="shared" si="384"/>
        <v/>
      </c>
      <c r="GC53" s="218" t="str">
        <f t="shared" si="385"/>
        <v/>
      </c>
      <c r="GD53" s="218" t="str">
        <f t="shared" si="386"/>
        <v/>
      </c>
      <c r="GE53" s="218" t="str">
        <f t="shared" si="387"/>
        <v/>
      </c>
      <c r="GF53" s="218" t="str">
        <f t="shared" si="388"/>
        <v/>
      </c>
      <c r="GG53" s="218" t="str">
        <f t="shared" si="389"/>
        <v/>
      </c>
      <c r="GH53" s="218" t="str">
        <f t="shared" si="390"/>
        <v/>
      </c>
      <c r="GJ53" s="218" t="str">
        <f t="shared" si="391"/>
        <v/>
      </c>
      <c r="GK53" s="218" t="str">
        <f t="shared" si="392"/>
        <v/>
      </c>
      <c r="GL53" s="218" t="str">
        <f t="shared" si="393"/>
        <v/>
      </c>
      <c r="GM53" s="218" t="str">
        <f t="shared" si="394"/>
        <v/>
      </c>
      <c r="GN53" s="218" t="str">
        <f t="shared" si="395"/>
        <v/>
      </c>
      <c r="GO53" s="218" t="str">
        <f t="shared" si="396"/>
        <v/>
      </c>
      <c r="GP53" s="218" t="str">
        <f t="shared" si="397"/>
        <v/>
      </c>
      <c r="GQ53" s="218" t="str">
        <f t="shared" si="398"/>
        <v/>
      </c>
      <c r="GR53" s="218" t="str">
        <f t="shared" si="399"/>
        <v/>
      </c>
      <c r="GS53" s="218" t="str">
        <f t="shared" si="400"/>
        <v/>
      </c>
      <c r="GT53" s="218" t="str">
        <f t="shared" si="401"/>
        <v/>
      </c>
      <c r="GU53" s="218" t="str">
        <f t="shared" si="402"/>
        <v/>
      </c>
      <c r="GW53" s="218" t="str">
        <f t="shared" si="403"/>
        <v/>
      </c>
      <c r="GX53" s="218" t="str">
        <f t="shared" si="404"/>
        <v/>
      </c>
      <c r="GY53" s="218" t="str">
        <f t="shared" si="405"/>
        <v/>
      </c>
      <c r="GZ53" s="218" t="str">
        <f t="shared" si="406"/>
        <v/>
      </c>
      <c r="HA53" s="218" t="str">
        <f t="shared" si="407"/>
        <v/>
      </c>
      <c r="HB53" s="218" t="str">
        <f t="shared" si="408"/>
        <v/>
      </c>
      <c r="HC53" s="218" t="str">
        <f t="shared" si="409"/>
        <v/>
      </c>
      <c r="HD53" s="218" t="str">
        <f t="shared" si="410"/>
        <v/>
      </c>
      <c r="HE53" s="218" t="str">
        <f t="shared" si="411"/>
        <v/>
      </c>
      <c r="HG53" s="218" t="str">
        <f t="shared" si="412"/>
        <v/>
      </c>
      <c r="HH53" s="218" t="str">
        <f t="shared" si="413"/>
        <v/>
      </c>
      <c r="HI53" s="218" t="str">
        <f t="shared" si="414"/>
        <v/>
      </c>
      <c r="HJ53" s="218" t="str">
        <f t="shared" si="415"/>
        <v/>
      </c>
      <c r="HK53" s="218" t="str">
        <f t="shared" si="416"/>
        <v/>
      </c>
      <c r="HL53" s="218" t="str">
        <f t="shared" si="417"/>
        <v/>
      </c>
      <c r="HN53" s="218" t="str">
        <f t="shared" si="418"/>
        <v/>
      </c>
      <c r="HO53" s="218" t="str">
        <f t="shared" si="419"/>
        <v/>
      </c>
      <c r="HP53" s="218" t="str">
        <f t="shared" si="420"/>
        <v/>
      </c>
      <c r="HR53" s="218" t="str">
        <f t="shared" si="421"/>
        <v/>
      </c>
      <c r="HS53" s="218" t="str">
        <f t="shared" si="225"/>
        <v/>
      </c>
      <c r="HT53" s="218" t="str">
        <f t="shared" si="422"/>
        <v/>
      </c>
      <c r="HU53" s="218" t="str">
        <f t="shared" si="176"/>
        <v/>
      </c>
      <c r="HV53" s="218" t="str">
        <f t="shared" si="423"/>
        <v/>
      </c>
      <c r="HW53" s="218" t="str">
        <f t="shared" si="424"/>
        <v/>
      </c>
      <c r="HX53" s="218" t="str">
        <f t="shared" si="425"/>
        <v/>
      </c>
      <c r="HY53" s="218" t="str">
        <f t="shared" si="180"/>
        <v/>
      </c>
      <c r="HZ53" s="218" t="str">
        <f t="shared" si="426"/>
        <v/>
      </c>
      <c r="IA53" s="218" t="str">
        <f t="shared" si="427"/>
        <v/>
      </c>
      <c r="IB53" s="218" t="str">
        <f t="shared" si="183"/>
        <v/>
      </c>
      <c r="IC53" s="218" t="str">
        <f t="shared" si="428"/>
        <v/>
      </c>
      <c r="ID53" s="218" t="str">
        <f t="shared" si="429"/>
        <v/>
      </c>
      <c r="IE53" s="218" t="str">
        <f t="shared" si="186"/>
        <v/>
      </c>
      <c r="IF53" s="218" t="str">
        <f t="shared" si="430"/>
        <v/>
      </c>
      <c r="IG53" s="218" t="str">
        <f t="shared" si="431"/>
        <v/>
      </c>
      <c r="IH53" s="218" t="str">
        <f t="shared" si="189"/>
        <v/>
      </c>
      <c r="II53" s="218" t="str">
        <f t="shared" si="432"/>
        <v/>
      </c>
      <c r="IJ53" s="218" t="str">
        <f t="shared" si="433"/>
        <v/>
      </c>
      <c r="IK53" s="218" t="str">
        <f t="shared" si="192"/>
        <v/>
      </c>
      <c r="IL53" s="218" t="str">
        <f t="shared" si="434"/>
        <v/>
      </c>
      <c r="IM53" s="218" t="str">
        <f t="shared" si="435"/>
        <v/>
      </c>
      <c r="IN53" s="218" t="str">
        <f t="shared" si="195"/>
        <v/>
      </c>
      <c r="IO53" s="218" t="str">
        <f t="shared" si="436"/>
        <v/>
      </c>
      <c r="IP53" s="218" t="str">
        <f t="shared" si="437"/>
        <v/>
      </c>
      <c r="IQ53" s="218" t="str">
        <f t="shared" si="198"/>
        <v/>
      </c>
      <c r="IR53" s="218" t="str">
        <f t="shared" si="438"/>
        <v/>
      </c>
      <c r="IS53" s="218" t="str">
        <f t="shared" si="439"/>
        <v/>
      </c>
      <c r="IT53" s="218" t="str">
        <f t="shared" si="201"/>
        <v/>
      </c>
      <c r="IU53" s="218" t="str">
        <f t="shared" si="440"/>
        <v/>
      </c>
    </row>
    <row r="54" spans="1:255" x14ac:dyDescent="0.2">
      <c r="A54" s="200" t="s">
        <v>57</v>
      </c>
      <c r="B54" s="178"/>
      <c r="C54" s="179"/>
      <c r="D54" s="181"/>
      <c r="E54" s="181"/>
      <c r="F54" s="181"/>
      <c r="G54" s="181"/>
      <c r="H54" s="181"/>
      <c r="I54" s="181"/>
      <c r="J54" s="181"/>
      <c r="K54" s="185"/>
      <c r="L54" s="217" t="str">
        <f t="shared" si="226"/>
        <v/>
      </c>
      <c r="M54" s="218" t="str">
        <f>'HKG vs. BK'!M54</f>
        <v/>
      </c>
      <c r="N54" s="218" t="str">
        <f>'HKG vs. BK'!N54</f>
        <v/>
      </c>
      <c r="O54" s="218" t="str">
        <f>'HKG vs. BK'!O54</f>
        <v/>
      </c>
      <c r="P54" s="218" t="str">
        <f>'HKG vs. BK'!P54</f>
        <v/>
      </c>
      <c r="Q54" s="219" t="str">
        <f t="shared" si="227"/>
        <v/>
      </c>
      <c r="R54" s="220" t="str">
        <f t="shared" si="228"/>
        <v/>
      </c>
      <c r="S54" s="220" t="str">
        <f t="shared" si="229"/>
        <v/>
      </c>
      <c r="T54" s="219" t="str">
        <f t="shared" si="230"/>
        <v/>
      </c>
      <c r="U54" s="220" t="str">
        <f t="shared" si="231"/>
        <v/>
      </c>
      <c r="V54" s="220" t="str">
        <f t="shared" si="232"/>
        <v/>
      </c>
      <c r="W54" s="219" t="str">
        <f t="shared" si="233"/>
        <v/>
      </c>
      <c r="X54" s="220" t="str">
        <f t="shared" si="234"/>
        <v/>
      </c>
      <c r="Y54" s="220" t="str">
        <f t="shared" si="235"/>
        <v/>
      </c>
      <c r="Z54" s="219" t="str">
        <f t="shared" si="236"/>
        <v/>
      </c>
      <c r="AA54" s="220" t="str">
        <f t="shared" si="237"/>
        <v/>
      </c>
      <c r="AB54" s="220" t="str">
        <f t="shared" si="238"/>
        <v/>
      </c>
      <c r="AC54" s="219" t="str">
        <f t="shared" si="239"/>
        <v/>
      </c>
      <c r="AD54" s="220" t="str">
        <f t="shared" si="240"/>
        <v/>
      </c>
      <c r="AE54" s="220" t="str">
        <f t="shared" si="241"/>
        <v/>
      </c>
      <c r="AF54" s="219" t="str">
        <f t="shared" si="242"/>
        <v/>
      </c>
      <c r="AG54" s="220" t="str">
        <f t="shared" si="243"/>
        <v/>
      </c>
      <c r="AH54" s="220" t="str">
        <f t="shared" si="244"/>
        <v/>
      </c>
      <c r="AI54" s="219" t="str">
        <f t="shared" si="245"/>
        <v/>
      </c>
      <c r="AJ54" s="220" t="str">
        <f t="shared" si="246"/>
        <v/>
      </c>
      <c r="AK54" s="220" t="str">
        <f t="shared" si="247"/>
        <v/>
      </c>
      <c r="AL54" s="219" t="str">
        <f t="shared" si="248"/>
        <v/>
      </c>
      <c r="AM54" s="220" t="str">
        <f t="shared" si="249"/>
        <v/>
      </c>
      <c r="AN54" s="220" t="str">
        <f t="shared" si="250"/>
        <v/>
      </c>
      <c r="AO54" s="219" t="str">
        <f t="shared" si="251"/>
        <v/>
      </c>
      <c r="AP54" s="220" t="str">
        <f t="shared" si="252"/>
        <v/>
      </c>
      <c r="AQ54" s="220" t="str">
        <f t="shared" si="253"/>
        <v/>
      </c>
      <c r="AR54" s="219" t="str">
        <f t="shared" si="254"/>
        <v/>
      </c>
      <c r="AS54" s="220" t="str">
        <f t="shared" si="255"/>
        <v/>
      </c>
      <c r="AT54" s="220" t="str">
        <f t="shared" si="256"/>
        <v/>
      </c>
      <c r="AU54" s="221"/>
      <c r="AV54" s="221"/>
      <c r="AW54" s="221"/>
      <c r="AY54" s="218" t="str">
        <f t="shared" si="257"/>
        <v/>
      </c>
      <c r="AZ54" s="218" t="str">
        <f t="shared" si="258"/>
        <v/>
      </c>
      <c r="BA54" s="218" t="str">
        <f t="shared" si="259"/>
        <v/>
      </c>
      <c r="BB54" s="218" t="str">
        <f t="shared" si="260"/>
        <v/>
      </c>
      <c r="BC54" s="218" t="str">
        <f t="shared" si="261"/>
        <v/>
      </c>
      <c r="BD54" s="218" t="str">
        <f t="shared" si="262"/>
        <v/>
      </c>
      <c r="BE54" s="218" t="str">
        <f t="shared" si="263"/>
        <v/>
      </c>
      <c r="BF54" s="218" t="str">
        <f t="shared" si="264"/>
        <v/>
      </c>
      <c r="BG54" s="218" t="str">
        <f t="shared" si="265"/>
        <v/>
      </c>
      <c r="BH54" s="218" t="str">
        <f t="shared" si="266"/>
        <v/>
      </c>
      <c r="BI54" s="218" t="str">
        <f t="shared" si="267"/>
        <v/>
      </c>
      <c r="BJ54" s="218" t="str">
        <f t="shared" si="268"/>
        <v/>
      </c>
      <c r="BK54" s="218" t="str">
        <f t="shared" si="269"/>
        <v/>
      </c>
      <c r="BL54" s="218" t="str">
        <f t="shared" si="270"/>
        <v/>
      </c>
      <c r="BM54" s="218" t="str">
        <f t="shared" si="271"/>
        <v/>
      </c>
      <c r="BN54" s="218" t="str">
        <f t="shared" si="272"/>
        <v/>
      </c>
      <c r="BO54" s="218" t="str">
        <f t="shared" si="273"/>
        <v/>
      </c>
      <c r="BP54" s="218" t="str">
        <f t="shared" si="274"/>
        <v/>
      </c>
      <c r="BQ54" s="218" t="str">
        <f t="shared" si="275"/>
        <v/>
      </c>
      <c r="BR54" s="218" t="str">
        <f t="shared" si="276"/>
        <v/>
      </c>
      <c r="BS54" s="218" t="str">
        <f t="shared" si="277"/>
        <v/>
      </c>
      <c r="BT54" s="218" t="str">
        <f t="shared" si="278"/>
        <v/>
      </c>
      <c r="BU54" s="218" t="str">
        <f t="shared" si="279"/>
        <v/>
      </c>
      <c r="BV54" s="218" t="str">
        <f t="shared" si="280"/>
        <v/>
      </c>
      <c r="BW54" s="218" t="str">
        <f t="shared" si="281"/>
        <v/>
      </c>
      <c r="BX54" s="218" t="str">
        <f t="shared" si="282"/>
        <v/>
      </c>
      <c r="BY54" s="218" t="str">
        <f t="shared" si="283"/>
        <v/>
      </c>
      <c r="BZ54" s="218" t="str">
        <f t="shared" si="284"/>
        <v/>
      </c>
      <c r="CA54" s="218" t="str">
        <f t="shared" si="285"/>
        <v/>
      </c>
      <c r="CB54" s="218" t="str">
        <f t="shared" si="286"/>
        <v/>
      </c>
      <c r="CD54" s="218" t="str">
        <f t="shared" si="287"/>
        <v/>
      </c>
      <c r="CE54" s="218" t="str">
        <f t="shared" si="288"/>
        <v/>
      </c>
      <c r="CF54" s="218" t="str">
        <f t="shared" si="289"/>
        <v/>
      </c>
      <c r="CG54" s="218" t="str">
        <f t="shared" si="290"/>
        <v/>
      </c>
      <c r="CH54" s="218" t="str">
        <f t="shared" si="291"/>
        <v/>
      </c>
      <c r="CI54" s="218" t="str">
        <f t="shared" si="292"/>
        <v/>
      </c>
      <c r="CJ54" s="218" t="str">
        <f t="shared" si="293"/>
        <v/>
      </c>
      <c r="CK54" s="218" t="str">
        <f t="shared" si="294"/>
        <v/>
      </c>
      <c r="CL54" s="218" t="str">
        <f t="shared" si="295"/>
        <v/>
      </c>
      <c r="CM54" s="218" t="str">
        <f t="shared" si="296"/>
        <v/>
      </c>
      <c r="CN54" s="218" t="str">
        <f t="shared" si="297"/>
        <v/>
      </c>
      <c r="CO54" s="218" t="str">
        <f t="shared" si="298"/>
        <v/>
      </c>
      <c r="CP54" s="218" t="str">
        <f t="shared" si="299"/>
        <v/>
      </c>
      <c r="CQ54" s="218" t="str">
        <f t="shared" si="300"/>
        <v/>
      </c>
      <c r="CR54" s="218" t="str">
        <f t="shared" si="301"/>
        <v/>
      </c>
      <c r="CS54" s="218" t="str">
        <f t="shared" si="302"/>
        <v/>
      </c>
      <c r="CT54" s="218" t="str">
        <f t="shared" si="303"/>
        <v/>
      </c>
      <c r="CU54" s="218" t="str">
        <f t="shared" si="304"/>
        <v/>
      </c>
      <c r="CV54" s="218" t="str">
        <f t="shared" si="305"/>
        <v/>
      </c>
      <c r="CW54" s="218" t="str">
        <f t="shared" si="306"/>
        <v/>
      </c>
      <c r="CX54" s="218" t="str">
        <f t="shared" si="307"/>
        <v/>
      </c>
      <c r="CY54" s="218" t="str">
        <f t="shared" si="308"/>
        <v/>
      </c>
      <c r="CZ54" s="218" t="str">
        <f t="shared" si="309"/>
        <v/>
      </c>
      <c r="DA54" s="218" t="str">
        <f t="shared" si="310"/>
        <v/>
      </c>
      <c r="DB54" s="218" t="str">
        <f t="shared" si="64"/>
        <v/>
      </c>
      <c r="DC54" s="218" t="str">
        <f t="shared" si="311"/>
        <v/>
      </c>
      <c r="DD54" s="218" t="str">
        <f t="shared" si="312"/>
        <v/>
      </c>
      <c r="DF54" s="218" t="str">
        <f t="shared" si="313"/>
        <v/>
      </c>
      <c r="DG54" s="218" t="str">
        <f t="shared" si="314"/>
        <v/>
      </c>
      <c r="DH54" s="218" t="str">
        <f t="shared" si="315"/>
        <v/>
      </c>
      <c r="DI54" s="218" t="str">
        <f t="shared" si="316"/>
        <v/>
      </c>
      <c r="DJ54" s="218" t="str">
        <f t="shared" si="317"/>
        <v/>
      </c>
      <c r="DK54" s="218" t="str">
        <f t="shared" si="318"/>
        <v/>
      </c>
      <c r="DL54" s="218" t="str">
        <f t="shared" si="319"/>
        <v/>
      </c>
      <c r="DM54" s="218" t="str">
        <f t="shared" si="320"/>
        <v/>
      </c>
      <c r="DN54" s="218" t="str">
        <f t="shared" si="321"/>
        <v/>
      </c>
      <c r="DO54" s="218" t="str">
        <f t="shared" si="322"/>
        <v/>
      </c>
      <c r="DP54" s="218" t="str">
        <f t="shared" si="323"/>
        <v/>
      </c>
      <c r="DQ54" s="218" t="str">
        <f t="shared" si="324"/>
        <v/>
      </c>
      <c r="DR54" s="218" t="str">
        <f t="shared" si="325"/>
        <v/>
      </c>
      <c r="DS54" s="218" t="str">
        <f t="shared" si="326"/>
        <v/>
      </c>
      <c r="DT54" s="218" t="str">
        <f t="shared" si="327"/>
        <v/>
      </c>
      <c r="DU54" s="218" t="str">
        <f t="shared" si="328"/>
        <v/>
      </c>
      <c r="DV54" s="218" t="str">
        <f t="shared" si="329"/>
        <v/>
      </c>
      <c r="DW54" s="218" t="str">
        <f t="shared" si="330"/>
        <v/>
      </c>
      <c r="DX54" s="218" t="str">
        <f t="shared" si="331"/>
        <v/>
      </c>
      <c r="DY54" s="218" t="str">
        <f t="shared" si="332"/>
        <v/>
      </c>
      <c r="DZ54" s="218" t="str">
        <f t="shared" si="333"/>
        <v/>
      </c>
      <c r="EA54" s="218" t="str">
        <f t="shared" si="334"/>
        <v/>
      </c>
      <c r="EB54" s="218" t="str">
        <f t="shared" si="335"/>
        <v/>
      </c>
      <c r="EC54" s="218" t="str">
        <f t="shared" si="336"/>
        <v/>
      </c>
      <c r="EE54" s="218" t="str">
        <f t="shared" si="337"/>
        <v/>
      </c>
      <c r="EF54" s="218" t="str">
        <f t="shared" si="338"/>
        <v/>
      </c>
      <c r="EG54" s="218" t="str">
        <f t="shared" si="339"/>
        <v/>
      </c>
      <c r="EH54" s="218" t="str">
        <f t="shared" si="340"/>
        <v/>
      </c>
      <c r="EI54" s="218" t="str">
        <f t="shared" si="341"/>
        <v/>
      </c>
      <c r="EJ54" s="218" t="str">
        <f t="shared" si="342"/>
        <v/>
      </c>
      <c r="EK54" s="218" t="str">
        <f t="shared" si="343"/>
        <v/>
      </c>
      <c r="EL54" s="218" t="str">
        <f t="shared" si="344"/>
        <v/>
      </c>
      <c r="EM54" s="218" t="str">
        <f t="shared" si="345"/>
        <v/>
      </c>
      <c r="EN54" s="218" t="str">
        <f t="shared" si="346"/>
        <v/>
      </c>
      <c r="EO54" s="218" t="str">
        <f t="shared" si="347"/>
        <v/>
      </c>
      <c r="EP54" s="218" t="str">
        <f t="shared" si="348"/>
        <v/>
      </c>
      <c r="EQ54" s="218" t="str">
        <f t="shared" si="349"/>
        <v/>
      </c>
      <c r="ER54" s="218" t="str">
        <f t="shared" si="350"/>
        <v/>
      </c>
      <c r="ES54" s="218" t="str">
        <f t="shared" si="351"/>
        <v/>
      </c>
      <c r="ET54" s="218" t="str">
        <f t="shared" si="352"/>
        <v/>
      </c>
      <c r="EU54" s="218" t="str">
        <f t="shared" si="353"/>
        <v/>
      </c>
      <c r="EV54" s="218" t="str">
        <f t="shared" si="354"/>
        <v/>
      </c>
      <c r="EW54" s="218" t="str">
        <f t="shared" si="355"/>
        <v/>
      </c>
      <c r="EX54" s="218" t="str">
        <f t="shared" si="356"/>
        <v/>
      </c>
      <c r="EY54" s="218" t="str">
        <f t="shared" si="357"/>
        <v/>
      </c>
      <c r="FA54" s="218" t="str">
        <f t="shared" si="358"/>
        <v/>
      </c>
      <c r="FB54" s="218" t="str">
        <f t="shared" si="359"/>
        <v/>
      </c>
      <c r="FC54" s="218" t="str">
        <f t="shared" si="360"/>
        <v/>
      </c>
      <c r="FD54" s="218" t="str">
        <f t="shared" si="361"/>
        <v/>
      </c>
      <c r="FE54" s="218" t="str">
        <f t="shared" si="362"/>
        <v/>
      </c>
      <c r="FF54" s="218" t="str">
        <f t="shared" si="363"/>
        <v/>
      </c>
      <c r="FG54" s="218" t="str">
        <f t="shared" si="364"/>
        <v/>
      </c>
      <c r="FH54" s="218" t="str">
        <f t="shared" si="365"/>
        <v/>
      </c>
      <c r="FI54" s="218" t="str">
        <f t="shared" si="366"/>
        <v/>
      </c>
      <c r="FJ54" s="218" t="str">
        <f t="shared" si="367"/>
        <v/>
      </c>
      <c r="FK54" s="218" t="str">
        <f t="shared" si="368"/>
        <v/>
      </c>
      <c r="FL54" s="218" t="str">
        <f t="shared" si="369"/>
        <v/>
      </c>
      <c r="FM54" s="218" t="str">
        <f t="shared" si="370"/>
        <v/>
      </c>
      <c r="FN54" s="218" t="str">
        <f t="shared" si="371"/>
        <v/>
      </c>
      <c r="FO54" s="218" t="str">
        <f t="shared" si="372"/>
        <v/>
      </c>
      <c r="FP54" s="218" t="str">
        <f t="shared" si="373"/>
        <v/>
      </c>
      <c r="FQ54" s="218" t="str">
        <f t="shared" si="374"/>
        <v/>
      </c>
      <c r="FR54" s="218" t="str">
        <f t="shared" si="375"/>
        <v/>
      </c>
      <c r="FT54" s="218" t="str">
        <f t="shared" si="376"/>
        <v/>
      </c>
      <c r="FU54" s="218" t="str">
        <f t="shared" si="377"/>
        <v/>
      </c>
      <c r="FV54" s="218" t="str">
        <f t="shared" si="378"/>
        <v/>
      </c>
      <c r="FW54" s="218" t="str">
        <f t="shared" si="379"/>
        <v/>
      </c>
      <c r="FX54" s="218" t="str">
        <f t="shared" si="380"/>
        <v/>
      </c>
      <c r="FY54" s="218" t="str">
        <f t="shared" si="381"/>
        <v/>
      </c>
      <c r="FZ54" s="218" t="str">
        <f t="shared" si="382"/>
        <v/>
      </c>
      <c r="GA54" s="218" t="str">
        <f t="shared" si="383"/>
        <v/>
      </c>
      <c r="GB54" s="218" t="str">
        <f t="shared" si="384"/>
        <v/>
      </c>
      <c r="GC54" s="218" t="str">
        <f t="shared" si="385"/>
        <v/>
      </c>
      <c r="GD54" s="218" t="str">
        <f t="shared" si="386"/>
        <v/>
      </c>
      <c r="GE54" s="218" t="str">
        <f t="shared" si="387"/>
        <v/>
      </c>
      <c r="GF54" s="218" t="str">
        <f t="shared" si="388"/>
        <v/>
      </c>
      <c r="GG54" s="218" t="str">
        <f t="shared" si="389"/>
        <v/>
      </c>
      <c r="GH54" s="218" t="str">
        <f t="shared" si="390"/>
        <v/>
      </c>
      <c r="GJ54" s="218" t="str">
        <f t="shared" si="391"/>
        <v/>
      </c>
      <c r="GK54" s="218" t="str">
        <f t="shared" si="392"/>
        <v/>
      </c>
      <c r="GL54" s="218" t="str">
        <f t="shared" si="393"/>
        <v/>
      </c>
      <c r="GM54" s="218" t="str">
        <f t="shared" si="394"/>
        <v/>
      </c>
      <c r="GN54" s="218" t="str">
        <f t="shared" si="395"/>
        <v/>
      </c>
      <c r="GO54" s="218" t="str">
        <f t="shared" si="396"/>
        <v/>
      </c>
      <c r="GP54" s="218" t="str">
        <f t="shared" si="397"/>
        <v/>
      </c>
      <c r="GQ54" s="218" t="str">
        <f t="shared" si="398"/>
        <v/>
      </c>
      <c r="GR54" s="218" t="str">
        <f t="shared" si="399"/>
        <v/>
      </c>
      <c r="GS54" s="218" t="str">
        <f t="shared" si="400"/>
        <v/>
      </c>
      <c r="GT54" s="218" t="str">
        <f t="shared" si="401"/>
        <v/>
      </c>
      <c r="GU54" s="218" t="str">
        <f t="shared" si="402"/>
        <v/>
      </c>
      <c r="GW54" s="218" t="str">
        <f t="shared" si="403"/>
        <v/>
      </c>
      <c r="GX54" s="218" t="str">
        <f t="shared" si="404"/>
        <v/>
      </c>
      <c r="GY54" s="218" t="str">
        <f t="shared" si="405"/>
        <v/>
      </c>
      <c r="GZ54" s="218" t="str">
        <f t="shared" si="406"/>
        <v/>
      </c>
      <c r="HA54" s="218" t="str">
        <f t="shared" si="407"/>
        <v/>
      </c>
      <c r="HB54" s="218" t="str">
        <f t="shared" si="408"/>
        <v/>
      </c>
      <c r="HC54" s="218" t="str">
        <f t="shared" si="409"/>
        <v/>
      </c>
      <c r="HD54" s="218" t="str">
        <f t="shared" si="410"/>
        <v/>
      </c>
      <c r="HE54" s="218" t="str">
        <f t="shared" si="411"/>
        <v/>
      </c>
      <c r="HG54" s="218" t="str">
        <f t="shared" si="412"/>
        <v/>
      </c>
      <c r="HH54" s="218" t="str">
        <f t="shared" si="413"/>
        <v/>
      </c>
      <c r="HI54" s="218" t="str">
        <f t="shared" si="414"/>
        <v/>
      </c>
      <c r="HJ54" s="218" t="str">
        <f t="shared" si="415"/>
        <v/>
      </c>
      <c r="HK54" s="218" t="str">
        <f t="shared" si="416"/>
        <v/>
      </c>
      <c r="HL54" s="218" t="str">
        <f t="shared" si="417"/>
        <v/>
      </c>
      <c r="HN54" s="218" t="str">
        <f t="shared" si="418"/>
        <v/>
      </c>
      <c r="HO54" s="218" t="str">
        <f t="shared" si="419"/>
        <v/>
      </c>
      <c r="HP54" s="218" t="str">
        <f t="shared" si="420"/>
        <v/>
      </c>
      <c r="HR54" s="218" t="str">
        <f t="shared" si="421"/>
        <v/>
      </c>
      <c r="HS54" s="218" t="str">
        <f t="shared" si="225"/>
        <v/>
      </c>
      <c r="HT54" s="218" t="str">
        <f t="shared" si="422"/>
        <v/>
      </c>
      <c r="HU54" s="218" t="str">
        <f t="shared" si="176"/>
        <v/>
      </c>
      <c r="HV54" s="218" t="str">
        <f t="shared" si="423"/>
        <v/>
      </c>
      <c r="HW54" s="218" t="str">
        <f t="shared" si="424"/>
        <v/>
      </c>
      <c r="HX54" s="218" t="str">
        <f t="shared" si="425"/>
        <v/>
      </c>
      <c r="HY54" s="218" t="str">
        <f t="shared" si="180"/>
        <v/>
      </c>
      <c r="HZ54" s="218" t="str">
        <f t="shared" si="426"/>
        <v/>
      </c>
      <c r="IA54" s="218" t="str">
        <f t="shared" si="427"/>
        <v/>
      </c>
      <c r="IB54" s="218" t="str">
        <f t="shared" si="183"/>
        <v/>
      </c>
      <c r="IC54" s="218" t="str">
        <f t="shared" si="428"/>
        <v/>
      </c>
      <c r="ID54" s="218" t="str">
        <f t="shared" si="429"/>
        <v/>
      </c>
      <c r="IE54" s="218" t="str">
        <f t="shared" si="186"/>
        <v/>
      </c>
      <c r="IF54" s="218" t="str">
        <f t="shared" si="430"/>
        <v/>
      </c>
      <c r="IG54" s="218" t="str">
        <f t="shared" si="431"/>
        <v/>
      </c>
      <c r="IH54" s="218" t="str">
        <f t="shared" si="189"/>
        <v/>
      </c>
      <c r="II54" s="218" t="str">
        <f t="shared" si="432"/>
        <v/>
      </c>
      <c r="IJ54" s="218" t="str">
        <f t="shared" si="433"/>
        <v/>
      </c>
      <c r="IK54" s="218" t="str">
        <f t="shared" si="192"/>
        <v/>
      </c>
      <c r="IL54" s="218" t="str">
        <f t="shared" si="434"/>
        <v/>
      </c>
      <c r="IM54" s="218" t="str">
        <f t="shared" si="435"/>
        <v/>
      </c>
      <c r="IN54" s="218" t="str">
        <f t="shared" si="195"/>
        <v/>
      </c>
      <c r="IO54" s="218" t="str">
        <f t="shared" si="436"/>
        <v/>
      </c>
      <c r="IP54" s="218" t="str">
        <f t="shared" si="437"/>
        <v/>
      </c>
      <c r="IQ54" s="218" t="str">
        <f t="shared" si="198"/>
        <v/>
      </c>
      <c r="IR54" s="218" t="str">
        <f t="shared" si="438"/>
        <v/>
      </c>
      <c r="IS54" s="218" t="str">
        <f t="shared" si="439"/>
        <v/>
      </c>
      <c r="IT54" s="218" t="str">
        <f t="shared" si="201"/>
        <v/>
      </c>
      <c r="IU54" s="218" t="str">
        <f t="shared" si="440"/>
        <v/>
      </c>
    </row>
    <row r="55" spans="1:255" x14ac:dyDescent="0.2">
      <c r="A55" s="200" t="s">
        <v>58</v>
      </c>
      <c r="B55" s="178"/>
      <c r="C55" s="179"/>
      <c r="D55" s="181"/>
      <c r="E55" s="181"/>
      <c r="F55" s="181"/>
      <c r="G55" s="181"/>
      <c r="H55" s="181"/>
      <c r="I55" s="181"/>
      <c r="J55" s="181"/>
      <c r="K55" s="185"/>
      <c r="L55" s="217" t="str">
        <f t="shared" si="226"/>
        <v/>
      </c>
      <c r="M55" s="218" t="str">
        <f>'HKG vs. BK'!M55</f>
        <v/>
      </c>
      <c r="N55" s="218" t="str">
        <f>'HKG vs. BK'!N55</f>
        <v/>
      </c>
      <c r="O55" s="218" t="str">
        <f>'HKG vs. BK'!O55</f>
        <v/>
      </c>
      <c r="P55" s="218" t="str">
        <f>'HKG vs. BK'!P55</f>
        <v/>
      </c>
      <c r="Q55" s="219" t="str">
        <f t="shared" si="227"/>
        <v/>
      </c>
      <c r="R55" s="220" t="str">
        <f t="shared" si="228"/>
        <v/>
      </c>
      <c r="S55" s="220" t="str">
        <f t="shared" si="229"/>
        <v/>
      </c>
      <c r="T55" s="219" t="str">
        <f t="shared" si="230"/>
        <v/>
      </c>
      <c r="U55" s="220" t="str">
        <f t="shared" si="231"/>
        <v/>
      </c>
      <c r="V55" s="220" t="str">
        <f t="shared" si="232"/>
        <v/>
      </c>
      <c r="W55" s="219" t="str">
        <f t="shared" si="233"/>
        <v/>
      </c>
      <c r="X55" s="220" t="str">
        <f t="shared" si="234"/>
        <v/>
      </c>
      <c r="Y55" s="220" t="str">
        <f t="shared" si="235"/>
        <v/>
      </c>
      <c r="Z55" s="219" t="str">
        <f t="shared" si="236"/>
        <v/>
      </c>
      <c r="AA55" s="220" t="str">
        <f t="shared" si="237"/>
        <v/>
      </c>
      <c r="AB55" s="220" t="str">
        <f t="shared" si="238"/>
        <v/>
      </c>
      <c r="AC55" s="219" t="str">
        <f t="shared" si="239"/>
        <v/>
      </c>
      <c r="AD55" s="220" t="str">
        <f t="shared" si="240"/>
        <v/>
      </c>
      <c r="AE55" s="220" t="str">
        <f t="shared" si="241"/>
        <v/>
      </c>
      <c r="AF55" s="219" t="str">
        <f t="shared" si="242"/>
        <v/>
      </c>
      <c r="AG55" s="220" t="str">
        <f t="shared" si="243"/>
        <v/>
      </c>
      <c r="AH55" s="220" t="str">
        <f t="shared" si="244"/>
        <v/>
      </c>
      <c r="AI55" s="219" t="str">
        <f t="shared" si="245"/>
        <v/>
      </c>
      <c r="AJ55" s="220" t="str">
        <f t="shared" si="246"/>
        <v/>
      </c>
      <c r="AK55" s="220" t="str">
        <f t="shared" si="247"/>
        <v/>
      </c>
      <c r="AL55" s="219" t="str">
        <f t="shared" si="248"/>
        <v/>
      </c>
      <c r="AM55" s="220" t="str">
        <f t="shared" si="249"/>
        <v/>
      </c>
      <c r="AN55" s="220" t="str">
        <f t="shared" si="250"/>
        <v/>
      </c>
      <c r="AO55" s="219" t="str">
        <f t="shared" si="251"/>
        <v/>
      </c>
      <c r="AP55" s="220" t="str">
        <f t="shared" si="252"/>
        <v/>
      </c>
      <c r="AQ55" s="220" t="str">
        <f t="shared" si="253"/>
        <v/>
      </c>
      <c r="AR55" s="219" t="str">
        <f t="shared" si="254"/>
        <v/>
      </c>
      <c r="AS55" s="220" t="str">
        <f t="shared" si="255"/>
        <v/>
      </c>
      <c r="AT55" s="220" t="str">
        <f t="shared" si="256"/>
        <v/>
      </c>
      <c r="AU55" s="221"/>
      <c r="AV55" s="221"/>
      <c r="AW55" s="221"/>
      <c r="AY55" s="218" t="str">
        <f t="shared" si="257"/>
        <v/>
      </c>
      <c r="AZ55" s="218" t="str">
        <f t="shared" si="258"/>
        <v/>
      </c>
      <c r="BA55" s="218" t="str">
        <f t="shared" si="259"/>
        <v/>
      </c>
      <c r="BB55" s="218" t="str">
        <f t="shared" si="260"/>
        <v/>
      </c>
      <c r="BC55" s="218" t="str">
        <f t="shared" si="261"/>
        <v/>
      </c>
      <c r="BD55" s="218" t="str">
        <f t="shared" si="262"/>
        <v/>
      </c>
      <c r="BE55" s="218" t="str">
        <f t="shared" si="263"/>
        <v/>
      </c>
      <c r="BF55" s="218" t="str">
        <f t="shared" si="264"/>
        <v/>
      </c>
      <c r="BG55" s="218" t="str">
        <f t="shared" si="265"/>
        <v/>
      </c>
      <c r="BH55" s="218" t="str">
        <f t="shared" si="266"/>
        <v/>
      </c>
      <c r="BI55" s="218" t="str">
        <f t="shared" si="267"/>
        <v/>
      </c>
      <c r="BJ55" s="218" t="str">
        <f t="shared" si="268"/>
        <v/>
      </c>
      <c r="BK55" s="218" t="str">
        <f t="shared" si="269"/>
        <v/>
      </c>
      <c r="BL55" s="218" t="str">
        <f t="shared" si="270"/>
        <v/>
      </c>
      <c r="BM55" s="218" t="str">
        <f t="shared" si="271"/>
        <v/>
      </c>
      <c r="BN55" s="218" t="str">
        <f t="shared" si="272"/>
        <v/>
      </c>
      <c r="BO55" s="218" t="str">
        <f t="shared" si="273"/>
        <v/>
      </c>
      <c r="BP55" s="218" t="str">
        <f t="shared" si="274"/>
        <v/>
      </c>
      <c r="BQ55" s="218" t="str">
        <f t="shared" si="275"/>
        <v/>
      </c>
      <c r="BR55" s="218" t="str">
        <f t="shared" si="276"/>
        <v/>
      </c>
      <c r="BS55" s="218" t="str">
        <f t="shared" si="277"/>
        <v/>
      </c>
      <c r="BT55" s="218" t="str">
        <f t="shared" si="278"/>
        <v/>
      </c>
      <c r="BU55" s="218" t="str">
        <f t="shared" si="279"/>
        <v/>
      </c>
      <c r="BV55" s="218" t="str">
        <f t="shared" si="280"/>
        <v/>
      </c>
      <c r="BW55" s="218" t="str">
        <f t="shared" si="281"/>
        <v/>
      </c>
      <c r="BX55" s="218" t="str">
        <f t="shared" si="282"/>
        <v/>
      </c>
      <c r="BY55" s="218" t="str">
        <f t="shared" si="283"/>
        <v/>
      </c>
      <c r="BZ55" s="218" t="str">
        <f t="shared" si="284"/>
        <v/>
      </c>
      <c r="CA55" s="218" t="str">
        <f t="shared" si="285"/>
        <v/>
      </c>
      <c r="CB55" s="218" t="str">
        <f t="shared" si="286"/>
        <v/>
      </c>
      <c r="CD55" s="218" t="str">
        <f t="shared" si="287"/>
        <v/>
      </c>
      <c r="CE55" s="218" t="str">
        <f t="shared" si="288"/>
        <v/>
      </c>
      <c r="CF55" s="218" t="str">
        <f t="shared" si="289"/>
        <v/>
      </c>
      <c r="CG55" s="218" t="str">
        <f t="shared" si="290"/>
        <v/>
      </c>
      <c r="CH55" s="218" t="str">
        <f t="shared" si="291"/>
        <v/>
      </c>
      <c r="CI55" s="218" t="str">
        <f t="shared" si="292"/>
        <v/>
      </c>
      <c r="CJ55" s="218" t="str">
        <f t="shared" si="293"/>
        <v/>
      </c>
      <c r="CK55" s="218" t="str">
        <f t="shared" si="294"/>
        <v/>
      </c>
      <c r="CL55" s="218" t="str">
        <f t="shared" si="295"/>
        <v/>
      </c>
      <c r="CM55" s="218" t="str">
        <f t="shared" si="296"/>
        <v/>
      </c>
      <c r="CN55" s="218" t="str">
        <f t="shared" si="297"/>
        <v/>
      </c>
      <c r="CO55" s="218" t="str">
        <f t="shared" si="298"/>
        <v/>
      </c>
      <c r="CP55" s="218" t="str">
        <f t="shared" si="299"/>
        <v/>
      </c>
      <c r="CQ55" s="218" t="str">
        <f t="shared" si="300"/>
        <v/>
      </c>
      <c r="CR55" s="218" t="str">
        <f t="shared" si="301"/>
        <v/>
      </c>
      <c r="CS55" s="218" t="str">
        <f t="shared" si="302"/>
        <v/>
      </c>
      <c r="CT55" s="218" t="str">
        <f t="shared" si="303"/>
        <v/>
      </c>
      <c r="CU55" s="218" t="str">
        <f t="shared" si="304"/>
        <v/>
      </c>
      <c r="CV55" s="218" t="str">
        <f t="shared" si="305"/>
        <v/>
      </c>
      <c r="CW55" s="218" t="str">
        <f t="shared" si="306"/>
        <v/>
      </c>
      <c r="CX55" s="218" t="str">
        <f t="shared" si="307"/>
        <v/>
      </c>
      <c r="CY55" s="218" t="str">
        <f t="shared" si="308"/>
        <v/>
      </c>
      <c r="CZ55" s="218" t="str">
        <f t="shared" si="309"/>
        <v/>
      </c>
      <c r="DA55" s="218" t="str">
        <f t="shared" si="310"/>
        <v/>
      </c>
      <c r="DB55" s="218" t="str">
        <f t="shared" si="64"/>
        <v/>
      </c>
      <c r="DC55" s="218" t="str">
        <f t="shared" si="311"/>
        <v/>
      </c>
      <c r="DD55" s="218" t="str">
        <f t="shared" si="312"/>
        <v/>
      </c>
      <c r="DF55" s="218" t="str">
        <f t="shared" si="313"/>
        <v/>
      </c>
      <c r="DG55" s="218" t="str">
        <f t="shared" si="314"/>
        <v/>
      </c>
      <c r="DH55" s="218" t="str">
        <f t="shared" si="315"/>
        <v/>
      </c>
      <c r="DI55" s="218" t="str">
        <f t="shared" si="316"/>
        <v/>
      </c>
      <c r="DJ55" s="218" t="str">
        <f t="shared" si="317"/>
        <v/>
      </c>
      <c r="DK55" s="218" t="str">
        <f t="shared" si="318"/>
        <v/>
      </c>
      <c r="DL55" s="218" t="str">
        <f t="shared" si="319"/>
        <v/>
      </c>
      <c r="DM55" s="218" t="str">
        <f t="shared" si="320"/>
        <v/>
      </c>
      <c r="DN55" s="218" t="str">
        <f t="shared" si="321"/>
        <v/>
      </c>
      <c r="DO55" s="218" t="str">
        <f t="shared" si="322"/>
        <v/>
      </c>
      <c r="DP55" s="218" t="str">
        <f t="shared" si="323"/>
        <v/>
      </c>
      <c r="DQ55" s="218" t="str">
        <f t="shared" si="324"/>
        <v/>
      </c>
      <c r="DR55" s="218" t="str">
        <f t="shared" si="325"/>
        <v/>
      </c>
      <c r="DS55" s="218" t="str">
        <f t="shared" si="326"/>
        <v/>
      </c>
      <c r="DT55" s="218" t="str">
        <f t="shared" si="327"/>
        <v/>
      </c>
      <c r="DU55" s="218" t="str">
        <f t="shared" si="328"/>
        <v/>
      </c>
      <c r="DV55" s="218" t="str">
        <f t="shared" si="329"/>
        <v/>
      </c>
      <c r="DW55" s="218" t="str">
        <f t="shared" si="330"/>
        <v/>
      </c>
      <c r="DX55" s="218" t="str">
        <f t="shared" si="331"/>
        <v/>
      </c>
      <c r="DY55" s="218" t="str">
        <f t="shared" si="332"/>
        <v/>
      </c>
      <c r="DZ55" s="218" t="str">
        <f t="shared" si="333"/>
        <v/>
      </c>
      <c r="EA55" s="218" t="str">
        <f t="shared" si="334"/>
        <v/>
      </c>
      <c r="EB55" s="218" t="str">
        <f t="shared" si="335"/>
        <v/>
      </c>
      <c r="EC55" s="218" t="str">
        <f t="shared" si="336"/>
        <v/>
      </c>
      <c r="EE55" s="218" t="str">
        <f t="shared" si="337"/>
        <v/>
      </c>
      <c r="EF55" s="218" t="str">
        <f t="shared" si="338"/>
        <v/>
      </c>
      <c r="EG55" s="218" t="str">
        <f t="shared" si="339"/>
        <v/>
      </c>
      <c r="EH55" s="218" t="str">
        <f t="shared" si="340"/>
        <v/>
      </c>
      <c r="EI55" s="218" t="str">
        <f t="shared" si="341"/>
        <v/>
      </c>
      <c r="EJ55" s="218" t="str">
        <f t="shared" si="342"/>
        <v/>
      </c>
      <c r="EK55" s="218" t="str">
        <f t="shared" si="343"/>
        <v/>
      </c>
      <c r="EL55" s="218" t="str">
        <f t="shared" si="344"/>
        <v/>
      </c>
      <c r="EM55" s="218" t="str">
        <f t="shared" si="345"/>
        <v/>
      </c>
      <c r="EN55" s="218" t="str">
        <f t="shared" si="346"/>
        <v/>
      </c>
      <c r="EO55" s="218" t="str">
        <f t="shared" si="347"/>
        <v/>
      </c>
      <c r="EP55" s="218" t="str">
        <f t="shared" si="348"/>
        <v/>
      </c>
      <c r="EQ55" s="218" t="str">
        <f t="shared" si="349"/>
        <v/>
      </c>
      <c r="ER55" s="218" t="str">
        <f t="shared" si="350"/>
        <v/>
      </c>
      <c r="ES55" s="218" t="str">
        <f t="shared" si="351"/>
        <v/>
      </c>
      <c r="ET55" s="218" t="str">
        <f t="shared" si="352"/>
        <v/>
      </c>
      <c r="EU55" s="218" t="str">
        <f t="shared" si="353"/>
        <v/>
      </c>
      <c r="EV55" s="218" t="str">
        <f t="shared" si="354"/>
        <v/>
      </c>
      <c r="EW55" s="218" t="str">
        <f t="shared" si="355"/>
        <v/>
      </c>
      <c r="EX55" s="218" t="str">
        <f t="shared" si="356"/>
        <v/>
      </c>
      <c r="EY55" s="218" t="str">
        <f t="shared" si="357"/>
        <v/>
      </c>
      <c r="FA55" s="218" t="str">
        <f t="shared" si="358"/>
        <v/>
      </c>
      <c r="FB55" s="218" t="str">
        <f t="shared" si="359"/>
        <v/>
      </c>
      <c r="FC55" s="218" t="str">
        <f t="shared" si="360"/>
        <v/>
      </c>
      <c r="FD55" s="218" t="str">
        <f t="shared" si="361"/>
        <v/>
      </c>
      <c r="FE55" s="218" t="str">
        <f t="shared" si="362"/>
        <v/>
      </c>
      <c r="FF55" s="218" t="str">
        <f t="shared" si="363"/>
        <v/>
      </c>
      <c r="FG55" s="218" t="str">
        <f t="shared" si="364"/>
        <v/>
      </c>
      <c r="FH55" s="218" t="str">
        <f t="shared" si="365"/>
        <v/>
      </c>
      <c r="FI55" s="218" t="str">
        <f t="shared" si="366"/>
        <v/>
      </c>
      <c r="FJ55" s="218" t="str">
        <f t="shared" si="367"/>
        <v/>
      </c>
      <c r="FK55" s="218" t="str">
        <f t="shared" si="368"/>
        <v/>
      </c>
      <c r="FL55" s="218" t="str">
        <f t="shared" si="369"/>
        <v/>
      </c>
      <c r="FM55" s="218" t="str">
        <f t="shared" si="370"/>
        <v/>
      </c>
      <c r="FN55" s="218" t="str">
        <f t="shared" si="371"/>
        <v/>
      </c>
      <c r="FO55" s="218" t="str">
        <f t="shared" si="372"/>
        <v/>
      </c>
      <c r="FP55" s="218" t="str">
        <f t="shared" si="373"/>
        <v/>
      </c>
      <c r="FQ55" s="218" t="str">
        <f t="shared" si="374"/>
        <v/>
      </c>
      <c r="FR55" s="218" t="str">
        <f t="shared" si="375"/>
        <v/>
      </c>
      <c r="FT55" s="218" t="str">
        <f t="shared" si="376"/>
        <v/>
      </c>
      <c r="FU55" s="218" t="str">
        <f t="shared" si="377"/>
        <v/>
      </c>
      <c r="FV55" s="218" t="str">
        <f t="shared" si="378"/>
        <v/>
      </c>
      <c r="FW55" s="218" t="str">
        <f t="shared" si="379"/>
        <v/>
      </c>
      <c r="FX55" s="218" t="str">
        <f t="shared" si="380"/>
        <v/>
      </c>
      <c r="FY55" s="218" t="str">
        <f t="shared" si="381"/>
        <v/>
      </c>
      <c r="FZ55" s="218" t="str">
        <f t="shared" si="382"/>
        <v/>
      </c>
      <c r="GA55" s="218" t="str">
        <f t="shared" si="383"/>
        <v/>
      </c>
      <c r="GB55" s="218" t="str">
        <f t="shared" si="384"/>
        <v/>
      </c>
      <c r="GC55" s="218" t="str">
        <f t="shared" si="385"/>
        <v/>
      </c>
      <c r="GD55" s="218" t="str">
        <f t="shared" si="386"/>
        <v/>
      </c>
      <c r="GE55" s="218" t="str">
        <f t="shared" si="387"/>
        <v/>
      </c>
      <c r="GF55" s="218" t="str">
        <f t="shared" si="388"/>
        <v/>
      </c>
      <c r="GG55" s="218" t="str">
        <f t="shared" si="389"/>
        <v/>
      </c>
      <c r="GH55" s="218" t="str">
        <f t="shared" si="390"/>
        <v/>
      </c>
      <c r="GJ55" s="218" t="str">
        <f t="shared" si="391"/>
        <v/>
      </c>
      <c r="GK55" s="218" t="str">
        <f t="shared" si="392"/>
        <v/>
      </c>
      <c r="GL55" s="218" t="str">
        <f t="shared" si="393"/>
        <v/>
      </c>
      <c r="GM55" s="218" t="str">
        <f t="shared" si="394"/>
        <v/>
      </c>
      <c r="GN55" s="218" t="str">
        <f t="shared" si="395"/>
        <v/>
      </c>
      <c r="GO55" s="218" t="str">
        <f t="shared" si="396"/>
        <v/>
      </c>
      <c r="GP55" s="218" t="str">
        <f t="shared" si="397"/>
        <v/>
      </c>
      <c r="GQ55" s="218" t="str">
        <f t="shared" si="398"/>
        <v/>
      </c>
      <c r="GR55" s="218" t="str">
        <f t="shared" si="399"/>
        <v/>
      </c>
      <c r="GS55" s="218" t="str">
        <f t="shared" si="400"/>
        <v/>
      </c>
      <c r="GT55" s="218" t="str">
        <f t="shared" si="401"/>
        <v/>
      </c>
      <c r="GU55" s="218" t="str">
        <f t="shared" si="402"/>
        <v/>
      </c>
      <c r="GW55" s="218" t="str">
        <f t="shared" si="403"/>
        <v/>
      </c>
      <c r="GX55" s="218" t="str">
        <f t="shared" si="404"/>
        <v/>
      </c>
      <c r="GY55" s="218" t="str">
        <f t="shared" si="405"/>
        <v/>
      </c>
      <c r="GZ55" s="218" t="str">
        <f t="shared" si="406"/>
        <v/>
      </c>
      <c r="HA55" s="218" t="str">
        <f t="shared" si="407"/>
        <v/>
      </c>
      <c r="HB55" s="218" t="str">
        <f t="shared" si="408"/>
        <v/>
      </c>
      <c r="HC55" s="218" t="str">
        <f t="shared" si="409"/>
        <v/>
      </c>
      <c r="HD55" s="218" t="str">
        <f t="shared" si="410"/>
        <v/>
      </c>
      <c r="HE55" s="218" t="str">
        <f t="shared" si="411"/>
        <v/>
      </c>
      <c r="HG55" s="218" t="str">
        <f t="shared" si="412"/>
        <v/>
      </c>
      <c r="HH55" s="218" t="str">
        <f t="shared" si="413"/>
        <v/>
      </c>
      <c r="HI55" s="218" t="str">
        <f t="shared" si="414"/>
        <v/>
      </c>
      <c r="HJ55" s="218" t="str">
        <f t="shared" si="415"/>
        <v/>
      </c>
      <c r="HK55" s="218" t="str">
        <f t="shared" si="416"/>
        <v/>
      </c>
      <c r="HL55" s="218" t="str">
        <f t="shared" si="417"/>
        <v/>
      </c>
      <c r="HN55" s="218" t="str">
        <f t="shared" si="418"/>
        <v/>
      </c>
      <c r="HO55" s="218" t="str">
        <f t="shared" si="419"/>
        <v/>
      </c>
      <c r="HP55" s="218" t="str">
        <f t="shared" si="420"/>
        <v/>
      </c>
      <c r="HR55" s="218" t="str">
        <f t="shared" si="421"/>
        <v/>
      </c>
      <c r="HS55" s="218" t="str">
        <f t="shared" si="225"/>
        <v/>
      </c>
      <c r="HT55" s="218" t="str">
        <f t="shared" si="422"/>
        <v/>
      </c>
      <c r="HU55" s="218" t="str">
        <f t="shared" si="176"/>
        <v/>
      </c>
      <c r="HV55" s="218" t="str">
        <f t="shared" si="423"/>
        <v/>
      </c>
      <c r="HW55" s="218" t="str">
        <f t="shared" si="424"/>
        <v/>
      </c>
      <c r="HX55" s="218" t="str">
        <f t="shared" si="425"/>
        <v/>
      </c>
      <c r="HY55" s="218" t="str">
        <f t="shared" si="180"/>
        <v/>
      </c>
      <c r="HZ55" s="218" t="str">
        <f t="shared" si="426"/>
        <v/>
      </c>
      <c r="IA55" s="218" t="str">
        <f t="shared" si="427"/>
        <v/>
      </c>
      <c r="IB55" s="218" t="str">
        <f t="shared" si="183"/>
        <v/>
      </c>
      <c r="IC55" s="218" t="str">
        <f t="shared" si="428"/>
        <v/>
      </c>
      <c r="ID55" s="218" t="str">
        <f t="shared" si="429"/>
        <v/>
      </c>
      <c r="IE55" s="218" t="str">
        <f t="shared" si="186"/>
        <v/>
      </c>
      <c r="IF55" s="218" t="str">
        <f t="shared" si="430"/>
        <v/>
      </c>
      <c r="IG55" s="218" t="str">
        <f t="shared" si="431"/>
        <v/>
      </c>
      <c r="IH55" s="218" t="str">
        <f t="shared" si="189"/>
        <v/>
      </c>
      <c r="II55" s="218" t="str">
        <f t="shared" si="432"/>
        <v/>
      </c>
      <c r="IJ55" s="218" t="str">
        <f t="shared" si="433"/>
        <v/>
      </c>
      <c r="IK55" s="218" t="str">
        <f t="shared" si="192"/>
        <v/>
      </c>
      <c r="IL55" s="218" t="str">
        <f t="shared" si="434"/>
        <v/>
      </c>
      <c r="IM55" s="218" t="str">
        <f t="shared" si="435"/>
        <v/>
      </c>
      <c r="IN55" s="218" t="str">
        <f t="shared" si="195"/>
        <v/>
      </c>
      <c r="IO55" s="218" t="str">
        <f t="shared" si="436"/>
        <v/>
      </c>
      <c r="IP55" s="218" t="str">
        <f t="shared" si="437"/>
        <v/>
      </c>
      <c r="IQ55" s="218" t="str">
        <f t="shared" si="198"/>
        <v/>
      </c>
      <c r="IR55" s="218" t="str">
        <f t="shared" si="438"/>
        <v/>
      </c>
      <c r="IS55" s="218" t="str">
        <f t="shared" si="439"/>
        <v/>
      </c>
      <c r="IT55" s="218" t="str">
        <f t="shared" si="201"/>
        <v/>
      </c>
      <c r="IU55" s="218" t="str">
        <f t="shared" si="440"/>
        <v/>
      </c>
    </row>
    <row r="56" spans="1:255" x14ac:dyDescent="0.2">
      <c r="A56" s="200" t="s">
        <v>59</v>
      </c>
      <c r="B56" s="178"/>
      <c r="C56" s="179"/>
      <c r="D56" s="181"/>
      <c r="E56" s="181"/>
      <c r="F56" s="181"/>
      <c r="G56" s="181"/>
      <c r="H56" s="181"/>
      <c r="I56" s="181"/>
      <c r="J56" s="181"/>
      <c r="K56" s="185"/>
      <c r="L56" s="217" t="str">
        <f t="shared" si="226"/>
        <v/>
      </c>
      <c r="M56" s="218" t="str">
        <f>'HKG vs. BK'!M56</f>
        <v/>
      </c>
      <c r="N56" s="218" t="str">
        <f>'HKG vs. BK'!N56</f>
        <v/>
      </c>
      <c r="O56" s="218" t="str">
        <f>'HKG vs. BK'!O56</f>
        <v/>
      </c>
      <c r="P56" s="218" t="str">
        <f>'HKG vs. BK'!P56</f>
        <v/>
      </c>
      <c r="Q56" s="219" t="str">
        <f t="shared" si="227"/>
        <v/>
      </c>
      <c r="R56" s="220" t="str">
        <f t="shared" si="228"/>
        <v/>
      </c>
      <c r="S56" s="220" t="str">
        <f t="shared" si="229"/>
        <v/>
      </c>
      <c r="T56" s="219" t="str">
        <f t="shared" si="230"/>
        <v/>
      </c>
      <c r="U56" s="220" t="str">
        <f t="shared" si="231"/>
        <v/>
      </c>
      <c r="V56" s="220" t="str">
        <f t="shared" si="232"/>
        <v/>
      </c>
      <c r="W56" s="219" t="str">
        <f t="shared" si="233"/>
        <v/>
      </c>
      <c r="X56" s="220" t="str">
        <f t="shared" si="234"/>
        <v/>
      </c>
      <c r="Y56" s="220" t="str">
        <f t="shared" si="235"/>
        <v/>
      </c>
      <c r="Z56" s="219" t="str">
        <f t="shared" si="236"/>
        <v/>
      </c>
      <c r="AA56" s="220" t="str">
        <f t="shared" si="237"/>
        <v/>
      </c>
      <c r="AB56" s="220" t="str">
        <f t="shared" si="238"/>
        <v/>
      </c>
      <c r="AC56" s="219" t="str">
        <f t="shared" si="239"/>
        <v/>
      </c>
      <c r="AD56" s="220" t="str">
        <f t="shared" si="240"/>
        <v/>
      </c>
      <c r="AE56" s="220" t="str">
        <f t="shared" si="241"/>
        <v/>
      </c>
      <c r="AF56" s="219" t="str">
        <f t="shared" si="242"/>
        <v/>
      </c>
      <c r="AG56" s="220" t="str">
        <f t="shared" si="243"/>
        <v/>
      </c>
      <c r="AH56" s="220" t="str">
        <f t="shared" si="244"/>
        <v/>
      </c>
      <c r="AI56" s="219" t="str">
        <f t="shared" si="245"/>
        <v/>
      </c>
      <c r="AJ56" s="220" t="str">
        <f t="shared" si="246"/>
        <v/>
      </c>
      <c r="AK56" s="220" t="str">
        <f t="shared" si="247"/>
        <v/>
      </c>
      <c r="AL56" s="219" t="str">
        <f t="shared" si="248"/>
        <v/>
      </c>
      <c r="AM56" s="220" t="str">
        <f t="shared" si="249"/>
        <v/>
      </c>
      <c r="AN56" s="220" t="str">
        <f t="shared" si="250"/>
        <v/>
      </c>
      <c r="AO56" s="219" t="str">
        <f t="shared" si="251"/>
        <v/>
      </c>
      <c r="AP56" s="220" t="str">
        <f t="shared" si="252"/>
        <v/>
      </c>
      <c r="AQ56" s="220" t="str">
        <f t="shared" si="253"/>
        <v/>
      </c>
      <c r="AR56" s="219" t="str">
        <f t="shared" si="254"/>
        <v/>
      </c>
      <c r="AS56" s="220" t="str">
        <f t="shared" si="255"/>
        <v/>
      </c>
      <c r="AT56" s="220" t="str">
        <f t="shared" si="256"/>
        <v/>
      </c>
      <c r="AU56" s="221"/>
      <c r="AV56" s="221"/>
      <c r="AW56" s="221"/>
      <c r="AY56" s="218" t="str">
        <f t="shared" si="257"/>
        <v/>
      </c>
      <c r="AZ56" s="218" t="str">
        <f t="shared" si="258"/>
        <v/>
      </c>
      <c r="BA56" s="218" t="str">
        <f t="shared" si="259"/>
        <v/>
      </c>
      <c r="BB56" s="218" t="str">
        <f t="shared" si="260"/>
        <v/>
      </c>
      <c r="BC56" s="218" t="str">
        <f t="shared" si="261"/>
        <v/>
      </c>
      <c r="BD56" s="218" t="str">
        <f t="shared" si="262"/>
        <v/>
      </c>
      <c r="BE56" s="218" t="str">
        <f t="shared" si="263"/>
        <v/>
      </c>
      <c r="BF56" s="218" t="str">
        <f t="shared" si="264"/>
        <v/>
      </c>
      <c r="BG56" s="218" t="str">
        <f t="shared" si="265"/>
        <v/>
      </c>
      <c r="BH56" s="218" t="str">
        <f t="shared" si="266"/>
        <v/>
      </c>
      <c r="BI56" s="218" t="str">
        <f t="shared" si="267"/>
        <v/>
      </c>
      <c r="BJ56" s="218" t="str">
        <f t="shared" si="268"/>
        <v/>
      </c>
      <c r="BK56" s="218" t="str">
        <f t="shared" si="269"/>
        <v/>
      </c>
      <c r="BL56" s="218" t="str">
        <f t="shared" si="270"/>
        <v/>
      </c>
      <c r="BM56" s="218" t="str">
        <f t="shared" si="271"/>
        <v/>
      </c>
      <c r="BN56" s="218" t="str">
        <f t="shared" si="272"/>
        <v/>
      </c>
      <c r="BO56" s="218" t="str">
        <f t="shared" si="273"/>
        <v/>
      </c>
      <c r="BP56" s="218" t="str">
        <f t="shared" si="274"/>
        <v/>
      </c>
      <c r="BQ56" s="218" t="str">
        <f t="shared" si="275"/>
        <v/>
      </c>
      <c r="BR56" s="218" t="str">
        <f t="shared" si="276"/>
        <v/>
      </c>
      <c r="BS56" s="218" t="str">
        <f t="shared" si="277"/>
        <v/>
      </c>
      <c r="BT56" s="218" t="str">
        <f t="shared" si="278"/>
        <v/>
      </c>
      <c r="BU56" s="218" t="str">
        <f t="shared" si="279"/>
        <v/>
      </c>
      <c r="BV56" s="218" t="str">
        <f t="shared" si="280"/>
        <v/>
      </c>
      <c r="BW56" s="218" t="str">
        <f t="shared" si="281"/>
        <v/>
      </c>
      <c r="BX56" s="218" t="str">
        <f t="shared" si="282"/>
        <v/>
      </c>
      <c r="BY56" s="218" t="str">
        <f t="shared" si="283"/>
        <v/>
      </c>
      <c r="BZ56" s="218" t="str">
        <f t="shared" si="284"/>
        <v/>
      </c>
      <c r="CA56" s="218" t="str">
        <f t="shared" si="285"/>
        <v/>
      </c>
      <c r="CB56" s="218" t="str">
        <f t="shared" si="286"/>
        <v/>
      </c>
      <c r="CD56" s="218" t="str">
        <f t="shared" si="287"/>
        <v/>
      </c>
      <c r="CE56" s="218" t="str">
        <f t="shared" si="288"/>
        <v/>
      </c>
      <c r="CF56" s="218" t="str">
        <f t="shared" si="289"/>
        <v/>
      </c>
      <c r="CG56" s="218" t="str">
        <f t="shared" si="290"/>
        <v/>
      </c>
      <c r="CH56" s="218" t="str">
        <f t="shared" si="291"/>
        <v/>
      </c>
      <c r="CI56" s="218" t="str">
        <f t="shared" si="292"/>
        <v/>
      </c>
      <c r="CJ56" s="218" t="str">
        <f t="shared" si="293"/>
        <v/>
      </c>
      <c r="CK56" s="218" t="str">
        <f t="shared" si="294"/>
        <v/>
      </c>
      <c r="CL56" s="218" t="str">
        <f t="shared" si="295"/>
        <v/>
      </c>
      <c r="CM56" s="218" t="str">
        <f t="shared" si="296"/>
        <v/>
      </c>
      <c r="CN56" s="218" t="str">
        <f t="shared" si="297"/>
        <v/>
      </c>
      <c r="CO56" s="218" t="str">
        <f t="shared" si="298"/>
        <v/>
      </c>
      <c r="CP56" s="218" t="str">
        <f t="shared" si="299"/>
        <v/>
      </c>
      <c r="CQ56" s="218" t="str">
        <f t="shared" si="300"/>
        <v/>
      </c>
      <c r="CR56" s="218" t="str">
        <f t="shared" si="301"/>
        <v/>
      </c>
      <c r="CS56" s="218" t="str">
        <f t="shared" si="302"/>
        <v/>
      </c>
      <c r="CT56" s="218" t="str">
        <f t="shared" si="303"/>
        <v/>
      </c>
      <c r="CU56" s="218" t="str">
        <f t="shared" si="304"/>
        <v/>
      </c>
      <c r="CV56" s="218" t="str">
        <f t="shared" si="305"/>
        <v/>
      </c>
      <c r="CW56" s="218" t="str">
        <f t="shared" si="306"/>
        <v/>
      </c>
      <c r="CX56" s="218" t="str">
        <f t="shared" si="307"/>
        <v/>
      </c>
      <c r="CY56" s="218" t="str">
        <f t="shared" si="308"/>
        <v/>
      </c>
      <c r="CZ56" s="218" t="str">
        <f t="shared" si="309"/>
        <v/>
      </c>
      <c r="DA56" s="218" t="str">
        <f t="shared" si="310"/>
        <v/>
      </c>
      <c r="DB56" s="218" t="str">
        <f t="shared" si="64"/>
        <v/>
      </c>
      <c r="DC56" s="218" t="str">
        <f t="shared" si="311"/>
        <v/>
      </c>
      <c r="DD56" s="218" t="str">
        <f t="shared" si="312"/>
        <v/>
      </c>
      <c r="DF56" s="218" t="str">
        <f t="shared" si="313"/>
        <v/>
      </c>
      <c r="DG56" s="218" t="str">
        <f t="shared" si="314"/>
        <v/>
      </c>
      <c r="DH56" s="218" t="str">
        <f t="shared" si="315"/>
        <v/>
      </c>
      <c r="DI56" s="218" t="str">
        <f t="shared" si="316"/>
        <v/>
      </c>
      <c r="DJ56" s="218" t="str">
        <f t="shared" si="317"/>
        <v/>
      </c>
      <c r="DK56" s="218" t="str">
        <f t="shared" si="318"/>
        <v/>
      </c>
      <c r="DL56" s="218" t="str">
        <f t="shared" si="319"/>
        <v/>
      </c>
      <c r="DM56" s="218" t="str">
        <f t="shared" si="320"/>
        <v/>
      </c>
      <c r="DN56" s="218" t="str">
        <f t="shared" si="321"/>
        <v/>
      </c>
      <c r="DO56" s="218" t="str">
        <f t="shared" si="322"/>
        <v/>
      </c>
      <c r="DP56" s="218" t="str">
        <f t="shared" si="323"/>
        <v/>
      </c>
      <c r="DQ56" s="218" t="str">
        <f t="shared" si="324"/>
        <v/>
      </c>
      <c r="DR56" s="218" t="str">
        <f t="shared" si="325"/>
        <v/>
      </c>
      <c r="DS56" s="218" t="str">
        <f t="shared" si="326"/>
        <v/>
      </c>
      <c r="DT56" s="218" t="str">
        <f t="shared" si="327"/>
        <v/>
      </c>
      <c r="DU56" s="218" t="str">
        <f t="shared" si="328"/>
        <v/>
      </c>
      <c r="DV56" s="218" t="str">
        <f t="shared" si="329"/>
        <v/>
      </c>
      <c r="DW56" s="218" t="str">
        <f t="shared" si="330"/>
        <v/>
      </c>
      <c r="DX56" s="218" t="str">
        <f t="shared" si="331"/>
        <v/>
      </c>
      <c r="DY56" s="218" t="str">
        <f t="shared" si="332"/>
        <v/>
      </c>
      <c r="DZ56" s="218" t="str">
        <f t="shared" si="333"/>
        <v/>
      </c>
      <c r="EA56" s="218" t="str">
        <f t="shared" si="334"/>
        <v/>
      </c>
      <c r="EB56" s="218" t="str">
        <f t="shared" si="335"/>
        <v/>
      </c>
      <c r="EC56" s="218" t="str">
        <f t="shared" si="336"/>
        <v/>
      </c>
      <c r="EE56" s="218" t="str">
        <f t="shared" si="337"/>
        <v/>
      </c>
      <c r="EF56" s="218" t="str">
        <f t="shared" si="338"/>
        <v/>
      </c>
      <c r="EG56" s="218" t="str">
        <f t="shared" si="339"/>
        <v/>
      </c>
      <c r="EH56" s="218" t="str">
        <f t="shared" si="340"/>
        <v/>
      </c>
      <c r="EI56" s="218" t="str">
        <f t="shared" si="341"/>
        <v/>
      </c>
      <c r="EJ56" s="218" t="str">
        <f t="shared" si="342"/>
        <v/>
      </c>
      <c r="EK56" s="218" t="str">
        <f t="shared" si="343"/>
        <v/>
      </c>
      <c r="EL56" s="218" t="str">
        <f t="shared" si="344"/>
        <v/>
      </c>
      <c r="EM56" s="218" t="str">
        <f t="shared" si="345"/>
        <v/>
      </c>
      <c r="EN56" s="218" t="str">
        <f t="shared" si="346"/>
        <v/>
      </c>
      <c r="EO56" s="218" t="str">
        <f t="shared" si="347"/>
        <v/>
      </c>
      <c r="EP56" s="218" t="str">
        <f t="shared" si="348"/>
        <v/>
      </c>
      <c r="EQ56" s="218" t="str">
        <f t="shared" si="349"/>
        <v/>
      </c>
      <c r="ER56" s="218" t="str">
        <f t="shared" si="350"/>
        <v/>
      </c>
      <c r="ES56" s="218" t="str">
        <f t="shared" si="351"/>
        <v/>
      </c>
      <c r="ET56" s="218" t="str">
        <f t="shared" si="352"/>
        <v/>
      </c>
      <c r="EU56" s="218" t="str">
        <f t="shared" si="353"/>
        <v/>
      </c>
      <c r="EV56" s="218" t="str">
        <f t="shared" si="354"/>
        <v/>
      </c>
      <c r="EW56" s="218" t="str">
        <f t="shared" si="355"/>
        <v/>
      </c>
      <c r="EX56" s="218" t="str">
        <f t="shared" si="356"/>
        <v/>
      </c>
      <c r="EY56" s="218" t="str">
        <f t="shared" si="357"/>
        <v/>
      </c>
      <c r="FA56" s="218" t="str">
        <f t="shared" si="358"/>
        <v/>
      </c>
      <c r="FB56" s="218" t="str">
        <f t="shared" si="359"/>
        <v/>
      </c>
      <c r="FC56" s="218" t="str">
        <f t="shared" si="360"/>
        <v/>
      </c>
      <c r="FD56" s="218" t="str">
        <f t="shared" si="361"/>
        <v/>
      </c>
      <c r="FE56" s="218" t="str">
        <f t="shared" si="362"/>
        <v/>
      </c>
      <c r="FF56" s="218" t="str">
        <f t="shared" si="363"/>
        <v/>
      </c>
      <c r="FG56" s="218" t="str">
        <f t="shared" si="364"/>
        <v/>
      </c>
      <c r="FH56" s="218" t="str">
        <f t="shared" si="365"/>
        <v/>
      </c>
      <c r="FI56" s="218" t="str">
        <f t="shared" si="366"/>
        <v/>
      </c>
      <c r="FJ56" s="218" t="str">
        <f t="shared" si="367"/>
        <v/>
      </c>
      <c r="FK56" s="218" t="str">
        <f t="shared" si="368"/>
        <v/>
      </c>
      <c r="FL56" s="218" t="str">
        <f t="shared" si="369"/>
        <v/>
      </c>
      <c r="FM56" s="218" t="str">
        <f t="shared" si="370"/>
        <v/>
      </c>
      <c r="FN56" s="218" t="str">
        <f t="shared" si="371"/>
        <v/>
      </c>
      <c r="FO56" s="218" t="str">
        <f t="shared" si="372"/>
        <v/>
      </c>
      <c r="FP56" s="218" t="str">
        <f t="shared" si="373"/>
        <v/>
      </c>
      <c r="FQ56" s="218" t="str">
        <f t="shared" si="374"/>
        <v/>
      </c>
      <c r="FR56" s="218" t="str">
        <f t="shared" si="375"/>
        <v/>
      </c>
      <c r="FT56" s="218" t="str">
        <f t="shared" si="376"/>
        <v/>
      </c>
      <c r="FU56" s="218" t="str">
        <f t="shared" si="377"/>
        <v/>
      </c>
      <c r="FV56" s="218" t="str">
        <f t="shared" si="378"/>
        <v/>
      </c>
      <c r="FW56" s="218" t="str">
        <f t="shared" si="379"/>
        <v/>
      </c>
      <c r="FX56" s="218" t="str">
        <f t="shared" si="380"/>
        <v/>
      </c>
      <c r="FY56" s="218" t="str">
        <f t="shared" si="381"/>
        <v/>
      </c>
      <c r="FZ56" s="218" t="str">
        <f t="shared" si="382"/>
        <v/>
      </c>
      <c r="GA56" s="218" t="str">
        <f t="shared" si="383"/>
        <v/>
      </c>
      <c r="GB56" s="218" t="str">
        <f t="shared" si="384"/>
        <v/>
      </c>
      <c r="GC56" s="218" t="str">
        <f t="shared" si="385"/>
        <v/>
      </c>
      <c r="GD56" s="218" t="str">
        <f t="shared" si="386"/>
        <v/>
      </c>
      <c r="GE56" s="218" t="str">
        <f t="shared" si="387"/>
        <v/>
      </c>
      <c r="GF56" s="218" t="str">
        <f t="shared" si="388"/>
        <v/>
      </c>
      <c r="GG56" s="218" t="str">
        <f t="shared" si="389"/>
        <v/>
      </c>
      <c r="GH56" s="218" t="str">
        <f t="shared" si="390"/>
        <v/>
      </c>
      <c r="GJ56" s="218" t="str">
        <f t="shared" si="391"/>
        <v/>
      </c>
      <c r="GK56" s="218" t="str">
        <f t="shared" si="392"/>
        <v/>
      </c>
      <c r="GL56" s="218" t="str">
        <f t="shared" si="393"/>
        <v/>
      </c>
      <c r="GM56" s="218" t="str">
        <f t="shared" si="394"/>
        <v/>
      </c>
      <c r="GN56" s="218" t="str">
        <f t="shared" si="395"/>
        <v/>
      </c>
      <c r="GO56" s="218" t="str">
        <f t="shared" si="396"/>
        <v/>
      </c>
      <c r="GP56" s="218" t="str">
        <f t="shared" si="397"/>
        <v/>
      </c>
      <c r="GQ56" s="218" t="str">
        <f t="shared" si="398"/>
        <v/>
      </c>
      <c r="GR56" s="218" t="str">
        <f t="shared" si="399"/>
        <v/>
      </c>
      <c r="GS56" s="218" t="str">
        <f t="shared" si="400"/>
        <v/>
      </c>
      <c r="GT56" s="218" t="str">
        <f t="shared" si="401"/>
        <v/>
      </c>
      <c r="GU56" s="218" t="str">
        <f t="shared" si="402"/>
        <v/>
      </c>
      <c r="GW56" s="218" t="str">
        <f t="shared" si="403"/>
        <v/>
      </c>
      <c r="GX56" s="218" t="str">
        <f t="shared" si="404"/>
        <v/>
      </c>
      <c r="GY56" s="218" t="str">
        <f t="shared" si="405"/>
        <v/>
      </c>
      <c r="GZ56" s="218" t="str">
        <f t="shared" si="406"/>
        <v/>
      </c>
      <c r="HA56" s="218" t="str">
        <f t="shared" si="407"/>
        <v/>
      </c>
      <c r="HB56" s="218" t="str">
        <f t="shared" si="408"/>
        <v/>
      </c>
      <c r="HC56" s="218" t="str">
        <f t="shared" si="409"/>
        <v/>
      </c>
      <c r="HD56" s="218" t="str">
        <f t="shared" si="410"/>
        <v/>
      </c>
      <c r="HE56" s="218" t="str">
        <f t="shared" si="411"/>
        <v/>
      </c>
      <c r="HG56" s="218" t="str">
        <f t="shared" si="412"/>
        <v/>
      </c>
      <c r="HH56" s="218" t="str">
        <f t="shared" si="413"/>
        <v/>
      </c>
      <c r="HI56" s="218" t="str">
        <f t="shared" si="414"/>
        <v/>
      </c>
      <c r="HJ56" s="218" t="str">
        <f t="shared" si="415"/>
        <v/>
      </c>
      <c r="HK56" s="218" t="str">
        <f t="shared" si="416"/>
        <v/>
      </c>
      <c r="HL56" s="218" t="str">
        <f t="shared" si="417"/>
        <v/>
      </c>
      <c r="HN56" s="218" t="str">
        <f t="shared" si="418"/>
        <v/>
      </c>
      <c r="HO56" s="218" t="str">
        <f t="shared" si="419"/>
        <v/>
      </c>
      <c r="HP56" s="218" t="str">
        <f t="shared" si="420"/>
        <v/>
      </c>
      <c r="HR56" s="218" t="str">
        <f t="shared" si="421"/>
        <v/>
      </c>
      <c r="HS56" s="218" t="str">
        <f t="shared" si="225"/>
        <v/>
      </c>
      <c r="HT56" s="218" t="str">
        <f t="shared" si="422"/>
        <v/>
      </c>
      <c r="HU56" s="218" t="str">
        <f t="shared" si="176"/>
        <v/>
      </c>
      <c r="HV56" s="218" t="str">
        <f t="shared" si="423"/>
        <v/>
      </c>
      <c r="HW56" s="218" t="str">
        <f t="shared" si="424"/>
        <v/>
      </c>
      <c r="HX56" s="218" t="str">
        <f t="shared" si="425"/>
        <v/>
      </c>
      <c r="HY56" s="218" t="str">
        <f t="shared" si="180"/>
        <v/>
      </c>
      <c r="HZ56" s="218" t="str">
        <f t="shared" si="426"/>
        <v/>
      </c>
      <c r="IA56" s="218" t="str">
        <f t="shared" si="427"/>
        <v/>
      </c>
      <c r="IB56" s="218" t="str">
        <f t="shared" si="183"/>
        <v/>
      </c>
      <c r="IC56" s="218" t="str">
        <f t="shared" si="428"/>
        <v/>
      </c>
      <c r="ID56" s="218" t="str">
        <f t="shared" si="429"/>
        <v/>
      </c>
      <c r="IE56" s="218" t="str">
        <f t="shared" si="186"/>
        <v/>
      </c>
      <c r="IF56" s="218" t="str">
        <f t="shared" si="430"/>
        <v/>
      </c>
      <c r="IG56" s="218" t="str">
        <f t="shared" si="431"/>
        <v/>
      </c>
      <c r="IH56" s="218" t="str">
        <f t="shared" si="189"/>
        <v/>
      </c>
      <c r="II56" s="218" t="str">
        <f t="shared" si="432"/>
        <v/>
      </c>
      <c r="IJ56" s="218" t="str">
        <f t="shared" si="433"/>
        <v/>
      </c>
      <c r="IK56" s="218" t="str">
        <f t="shared" si="192"/>
        <v/>
      </c>
      <c r="IL56" s="218" t="str">
        <f t="shared" si="434"/>
        <v/>
      </c>
      <c r="IM56" s="218" t="str">
        <f t="shared" si="435"/>
        <v/>
      </c>
      <c r="IN56" s="218" t="str">
        <f t="shared" si="195"/>
        <v/>
      </c>
      <c r="IO56" s="218" t="str">
        <f t="shared" si="436"/>
        <v/>
      </c>
      <c r="IP56" s="218" t="str">
        <f t="shared" si="437"/>
        <v/>
      </c>
      <c r="IQ56" s="218" t="str">
        <f t="shared" si="198"/>
        <v/>
      </c>
      <c r="IR56" s="218" t="str">
        <f t="shared" si="438"/>
        <v/>
      </c>
      <c r="IS56" s="218" t="str">
        <f t="shared" si="439"/>
        <v/>
      </c>
      <c r="IT56" s="218" t="str">
        <f t="shared" si="201"/>
        <v/>
      </c>
      <c r="IU56" s="218" t="str">
        <f t="shared" si="440"/>
        <v/>
      </c>
    </row>
    <row r="57" spans="1:255" x14ac:dyDescent="0.2">
      <c r="A57" s="200" t="s">
        <v>60</v>
      </c>
      <c r="B57" s="184"/>
      <c r="C57" s="179"/>
      <c r="D57" s="181"/>
      <c r="E57" s="181"/>
      <c r="F57" s="181"/>
      <c r="G57" s="181"/>
      <c r="H57" s="187"/>
      <c r="I57" s="181"/>
      <c r="J57" s="181"/>
      <c r="K57" s="185"/>
      <c r="L57" s="217" t="str">
        <f t="shared" si="226"/>
        <v/>
      </c>
      <c r="M57" s="218" t="str">
        <f>'HKG vs. BK'!M57</f>
        <v/>
      </c>
      <c r="N57" s="218" t="str">
        <f>'HKG vs. BK'!N57</f>
        <v/>
      </c>
      <c r="O57" s="218" t="str">
        <f>'HKG vs. BK'!O57</f>
        <v/>
      </c>
      <c r="P57" s="218" t="str">
        <f>'HKG vs. BK'!P57</f>
        <v/>
      </c>
      <c r="Q57" s="219" t="str">
        <f t="shared" si="227"/>
        <v/>
      </c>
      <c r="R57" s="220" t="str">
        <f t="shared" si="228"/>
        <v/>
      </c>
      <c r="S57" s="220" t="str">
        <f t="shared" si="229"/>
        <v/>
      </c>
      <c r="T57" s="219" t="str">
        <f t="shared" si="230"/>
        <v/>
      </c>
      <c r="U57" s="220" t="str">
        <f t="shared" si="231"/>
        <v/>
      </c>
      <c r="V57" s="220" t="str">
        <f t="shared" si="232"/>
        <v/>
      </c>
      <c r="W57" s="219" t="str">
        <f t="shared" si="233"/>
        <v/>
      </c>
      <c r="X57" s="220" t="str">
        <f t="shared" si="234"/>
        <v/>
      </c>
      <c r="Y57" s="220" t="str">
        <f t="shared" si="235"/>
        <v/>
      </c>
      <c r="Z57" s="219" t="str">
        <f t="shared" si="236"/>
        <v/>
      </c>
      <c r="AA57" s="220" t="str">
        <f t="shared" si="237"/>
        <v/>
      </c>
      <c r="AB57" s="220" t="str">
        <f t="shared" si="238"/>
        <v/>
      </c>
      <c r="AC57" s="219" t="str">
        <f t="shared" si="239"/>
        <v/>
      </c>
      <c r="AD57" s="220" t="str">
        <f t="shared" si="240"/>
        <v/>
      </c>
      <c r="AE57" s="220" t="str">
        <f t="shared" si="241"/>
        <v/>
      </c>
      <c r="AF57" s="219" t="str">
        <f t="shared" si="242"/>
        <v/>
      </c>
      <c r="AG57" s="220" t="str">
        <f t="shared" si="243"/>
        <v/>
      </c>
      <c r="AH57" s="220" t="str">
        <f t="shared" si="244"/>
        <v/>
      </c>
      <c r="AI57" s="219" t="str">
        <f t="shared" si="245"/>
        <v/>
      </c>
      <c r="AJ57" s="220" t="str">
        <f t="shared" si="246"/>
        <v/>
      </c>
      <c r="AK57" s="220" t="str">
        <f t="shared" si="247"/>
        <v/>
      </c>
      <c r="AL57" s="219" t="str">
        <f t="shared" si="248"/>
        <v/>
      </c>
      <c r="AM57" s="220" t="str">
        <f t="shared" si="249"/>
        <v/>
      </c>
      <c r="AN57" s="220" t="str">
        <f t="shared" si="250"/>
        <v/>
      </c>
      <c r="AO57" s="219" t="str">
        <f t="shared" si="251"/>
        <v/>
      </c>
      <c r="AP57" s="220" t="str">
        <f t="shared" si="252"/>
        <v/>
      </c>
      <c r="AQ57" s="220" t="str">
        <f t="shared" si="253"/>
        <v/>
      </c>
      <c r="AR57" s="219" t="str">
        <f t="shared" si="254"/>
        <v/>
      </c>
      <c r="AS57" s="220" t="str">
        <f t="shared" si="255"/>
        <v/>
      </c>
      <c r="AT57" s="220" t="str">
        <f t="shared" si="256"/>
        <v/>
      </c>
      <c r="AU57" s="221"/>
      <c r="AV57" s="221"/>
      <c r="AW57" s="221"/>
      <c r="AY57" s="218" t="str">
        <f t="shared" si="257"/>
        <v/>
      </c>
      <c r="AZ57" s="218" t="str">
        <f t="shared" si="258"/>
        <v/>
      </c>
      <c r="BA57" s="218" t="str">
        <f t="shared" si="259"/>
        <v/>
      </c>
      <c r="BB57" s="218" t="str">
        <f t="shared" si="260"/>
        <v/>
      </c>
      <c r="BC57" s="218" t="str">
        <f t="shared" si="261"/>
        <v/>
      </c>
      <c r="BD57" s="218" t="str">
        <f t="shared" si="262"/>
        <v/>
      </c>
      <c r="BE57" s="218" t="str">
        <f t="shared" si="263"/>
        <v/>
      </c>
      <c r="BF57" s="218" t="str">
        <f t="shared" si="264"/>
        <v/>
      </c>
      <c r="BG57" s="218" t="str">
        <f t="shared" si="265"/>
        <v/>
      </c>
      <c r="BH57" s="218" t="str">
        <f t="shared" si="266"/>
        <v/>
      </c>
      <c r="BI57" s="218" t="str">
        <f t="shared" si="267"/>
        <v/>
      </c>
      <c r="BJ57" s="218" t="str">
        <f t="shared" si="268"/>
        <v/>
      </c>
      <c r="BK57" s="218" t="str">
        <f t="shared" si="269"/>
        <v/>
      </c>
      <c r="BL57" s="218" t="str">
        <f t="shared" si="270"/>
        <v/>
      </c>
      <c r="BM57" s="218" t="str">
        <f t="shared" si="271"/>
        <v/>
      </c>
      <c r="BN57" s="218" t="str">
        <f t="shared" si="272"/>
        <v/>
      </c>
      <c r="BO57" s="218" t="str">
        <f t="shared" si="273"/>
        <v/>
      </c>
      <c r="BP57" s="218" t="str">
        <f t="shared" si="274"/>
        <v/>
      </c>
      <c r="BQ57" s="218" t="str">
        <f t="shared" si="275"/>
        <v/>
      </c>
      <c r="BR57" s="218" t="str">
        <f t="shared" si="276"/>
        <v/>
      </c>
      <c r="BS57" s="218" t="str">
        <f t="shared" si="277"/>
        <v/>
      </c>
      <c r="BT57" s="218" t="str">
        <f t="shared" si="278"/>
        <v/>
      </c>
      <c r="BU57" s="218" t="str">
        <f t="shared" si="279"/>
        <v/>
      </c>
      <c r="BV57" s="218" t="str">
        <f t="shared" si="280"/>
        <v/>
      </c>
      <c r="BW57" s="218" t="str">
        <f t="shared" si="281"/>
        <v/>
      </c>
      <c r="BX57" s="218" t="str">
        <f t="shared" si="282"/>
        <v/>
      </c>
      <c r="BY57" s="218" t="str">
        <f t="shared" si="283"/>
        <v/>
      </c>
      <c r="BZ57" s="218" t="str">
        <f t="shared" si="284"/>
        <v/>
      </c>
      <c r="CA57" s="218" t="str">
        <f t="shared" si="285"/>
        <v/>
      </c>
      <c r="CB57" s="218" t="str">
        <f t="shared" si="286"/>
        <v/>
      </c>
      <c r="CD57" s="218" t="str">
        <f t="shared" si="287"/>
        <v/>
      </c>
      <c r="CE57" s="218" t="str">
        <f t="shared" si="288"/>
        <v/>
      </c>
      <c r="CF57" s="218" t="str">
        <f t="shared" si="289"/>
        <v/>
      </c>
      <c r="CG57" s="218" t="str">
        <f t="shared" si="290"/>
        <v/>
      </c>
      <c r="CH57" s="218" t="str">
        <f t="shared" si="291"/>
        <v/>
      </c>
      <c r="CI57" s="218" t="str">
        <f t="shared" si="292"/>
        <v/>
      </c>
      <c r="CJ57" s="218" t="str">
        <f t="shared" si="293"/>
        <v/>
      </c>
      <c r="CK57" s="218" t="str">
        <f t="shared" si="294"/>
        <v/>
      </c>
      <c r="CL57" s="218" t="str">
        <f t="shared" si="295"/>
        <v/>
      </c>
      <c r="CM57" s="218" t="str">
        <f t="shared" si="296"/>
        <v/>
      </c>
      <c r="CN57" s="218" t="str">
        <f t="shared" si="297"/>
        <v/>
      </c>
      <c r="CO57" s="218" t="str">
        <f t="shared" si="298"/>
        <v/>
      </c>
      <c r="CP57" s="218" t="str">
        <f t="shared" si="299"/>
        <v/>
      </c>
      <c r="CQ57" s="218" t="str">
        <f t="shared" si="300"/>
        <v/>
      </c>
      <c r="CR57" s="218" t="str">
        <f t="shared" si="301"/>
        <v/>
      </c>
      <c r="CS57" s="218" t="str">
        <f t="shared" si="302"/>
        <v/>
      </c>
      <c r="CT57" s="218" t="str">
        <f t="shared" si="303"/>
        <v/>
      </c>
      <c r="CU57" s="218" t="str">
        <f t="shared" si="304"/>
        <v/>
      </c>
      <c r="CV57" s="218" t="str">
        <f t="shared" si="305"/>
        <v/>
      </c>
      <c r="CW57" s="218" t="str">
        <f t="shared" si="306"/>
        <v/>
      </c>
      <c r="CX57" s="218" t="str">
        <f t="shared" si="307"/>
        <v/>
      </c>
      <c r="CY57" s="218" t="str">
        <f t="shared" si="308"/>
        <v/>
      </c>
      <c r="CZ57" s="218" t="str">
        <f t="shared" si="309"/>
        <v/>
      </c>
      <c r="DA57" s="218" t="str">
        <f t="shared" si="310"/>
        <v/>
      </c>
      <c r="DB57" s="218" t="str">
        <f t="shared" si="64"/>
        <v/>
      </c>
      <c r="DC57" s="218" t="str">
        <f t="shared" si="311"/>
        <v/>
      </c>
      <c r="DD57" s="218" t="str">
        <f t="shared" si="312"/>
        <v/>
      </c>
      <c r="DF57" s="218" t="str">
        <f t="shared" si="313"/>
        <v/>
      </c>
      <c r="DG57" s="218" t="str">
        <f t="shared" si="314"/>
        <v/>
      </c>
      <c r="DH57" s="218" t="str">
        <f t="shared" si="315"/>
        <v/>
      </c>
      <c r="DI57" s="218" t="str">
        <f t="shared" si="316"/>
        <v/>
      </c>
      <c r="DJ57" s="218" t="str">
        <f t="shared" si="317"/>
        <v/>
      </c>
      <c r="DK57" s="218" t="str">
        <f t="shared" si="318"/>
        <v/>
      </c>
      <c r="DL57" s="218" t="str">
        <f t="shared" si="319"/>
        <v/>
      </c>
      <c r="DM57" s="218" t="str">
        <f t="shared" si="320"/>
        <v/>
      </c>
      <c r="DN57" s="218" t="str">
        <f t="shared" si="321"/>
        <v/>
      </c>
      <c r="DO57" s="218" t="str">
        <f t="shared" si="322"/>
        <v/>
      </c>
      <c r="DP57" s="218" t="str">
        <f t="shared" si="323"/>
        <v/>
      </c>
      <c r="DQ57" s="218" t="str">
        <f t="shared" si="324"/>
        <v/>
      </c>
      <c r="DR57" s="218" t="str">
        <f t="shared" si="325"/>
        <v/>
      </c>
      <c r="DS57" s="218" t="str">
        <f t="shared" si="326"/>
        <v/>
      </c>
      <c r="DT57" s="218" t="str">
        <f t="shared" si="327"/>
        <v/>
      </c>
      <c r="DU57" s="218" t="str">
        <f t="shared" si="328"/>
        <v/>
      </c>
      <c r="DV57" s="218" t="str">
        <f t="shared" si="329"/>
        <v/>
      </c>
      <c r="DW57" s="218" t="str">
        <f t="shared" si="330"/>
        <v/>
      </c>
      <c r="DX57" s="218" t="str">
        <f t="shared" si="331"/>
        <v/>
      </c>
      <c r="DY57" s="218" t="str">
        <f t="shared" si="332"/>
        <v/>
      </c>
      <c r="DZ57" s="218" t="str">
        <f t="shared" si="333"/>
        <v/>
      </c>
      <c r="EA57" s="218" t="str">
        <f t="shared" si="334"/>
        <v/>
      </c>
      <c r="EB57" s="218" t="str">
        <f t="shared" si="335"/>
        <v/>
      </c>
      <c r="EC57" s="218" t="str">
        <f t="shared" si="336"/>
        <v/>
      </c>
      <c r="EE57" s="218" t="str">
        <f t="shared" si="337"/>
        <v/>
      </c>
      <c r="EF57" s="218" t="str">
        <f t="shared" si="338"/>
        <v/>
      </c>
      <c r="EG57" s="218" t="str">
        <f t="shared" si="339"/>
        <v/>
      </c>
      <c r="EH57" s="218" t="str">
        <f t="shared" si="340"/>
        <v/>
      </c>
      <c r="EI57" s="218" t="str">
        <f t="shared" si="341"/>
        <v/>
      </c>
      <c r="EJ57" s="218" t="str">
        <f t="shared" si="342"/>
        <v/>
      </c>
      <c r="EK57" s="218" t="str">
        <f t="shared" si="343"/>
        <v/>
      </c>
      <c r="EL57" s="218" t="str">
        <f t="shared" si="344"/>
        <v/>
      </c>
      <c r="EM57" s="218" t="str">
        <f t="shared" si="345"/>
        <v/>
      </c>
      <c r="EN57" s="218" t="str">
        <f t="shared" si="346"/>
        <v/>
      </c>
      <c r="EO57" s="218" t="str">
        <f t="shared" si="347"/>
        <v/>
      </c>
      <c r="EP57" s="218" t="str">
        <f t="shared" si="348"/>
        <v/>
      </c>
      <c r="EQ57" s="218" t="str">
        <f t="shared" si="349"/>
        <v/>
      </c>
      <c r="ER57" s="218" t="str">
        <f t="shared" si="350"/>
        <v/>
      </c>
      <c r="ES57" s="218" t="str">
        <f t="shared" si="351"/>
        <v/>
      </c>
      <c r="ET57" s="218" t="str">
        <f t="shared" si="352"/>
        <v/>
      </c>
      <c r="EU57" s="218" t="str">
        <f t="shared" si="353"/>
        <v/>
      </c>
      <c r="EV57" s="218" t="str">
        <f t="shared" si="354"/>
        <v/>
      </c>
      <c r="EW57" s="218" t="str">
        <f t="shared" si="355"/>
        <v/>
      </c>
      <c r="EX57" s="218" t="str">
        <f t="shared" si="356"/>
        <v/>
      </c>
      <c r="EY57" s="218" t="str">
        <f t="shared" si="357"/>
        <v/>
      </c>
      <c r="FA57" s="218" t="str">
        <f t="shared" si="358"/>
        <v/>
      </c>
      <c r="FB57" s="218" t="str">
        <f t="shared" si="359"/>
        <v/>
      </c>
      <c r="FC57" s="218" t="str">
        <f t="shared" si="360"/>
        <v/>
      </c>
      <c r="FD57" s="218" t="str">
        <f t="shared" si="361"/>
        <v/>
      </c>
      <c r="FE57" s="218" t="str">
        <f t="shared" si="362"/>
        <v/>
      </c>
      <c r="FF57" s="218" t="str">
        <f t="shared" si="363"/>
        <v/>
      </c>
      <c r="FG57" s="218" t="str">
        <f t="shared" si="364"/>
        <v/>
      </c>
      <c r="FH57" s="218" t="str">
        <f t="shared" si="365"/>
        <v/>
      </c>
      <c r="FI57" s="218" t="str">
        <f t="shared" si="366"/>
        <v/>
      </c>
      <c r="FJ57" s="218" t="str">
        <f t="shared" si="367"/>
        <v/>
      </c>
      <c r="FK57" s="218" t="str">
        <f t="shared" si="368"/>
        <v/>
      </c>
      <c r="FL57" s="218" t="str">
        <f t="shared" si="369"/>
        <v/>
      </c>
      <c r="FM57" s="218" t="str">
        <f t="shared" si="370"/>
        <v/>
      </c>
      <c r="FN57" s="218" t="str">
        <f t="shared" si="371"/>
        <v/>
      </c>
      <c r="FO57" s="218" t="str">
        <f t="shared" si="372"/>
        <v/>
      </c>
      <c r="FP57" s="218" t="str">
        <f t="shared" si="373"/>
        <v/>
      </c>
      <c r="FQ57" s="218" t="str">
        <f t="shared" si="374"/>
        <v/>
      </c>
      <c r="FR57" s="218" t="str">
        <f t="shared" si="375"/>
        <v/>
      </c>
      <c r="FT57" s="218" t="str">
        <f t="shared" si="376"/>
        <v/>
      </c>
      <c r="FU57" s="218" t="str">
        <f t="shared" si="377"/>
        <v/>
      </c>
      <c r="FV57" s="218" t="str">
        <f t="shared" si="378"/>
        <v/>
      </c>
      <c r="FW57" s="218" t="str">
        <f t="shared" si="379"/>
        <v/>
      </c>
      <c r="FX57" s="218" t="str">
        <f t="shared" si="380"/>
        <v/>
      </c>
      <c r="FY57" s="218" t="str">
        <f t="shared" si="381"/>
        <v/>
      </c>
      <c r="FZ57" s="218" t="str">
        <f t="shared" si="382"/>
        <v/>
      </c>
      <c r="GA57" s="218" t="str">
        <f t="shared" si="383"/>
        <v/>
      </c>
      <c r="GB57" s="218" t="str">
        <f t="shared" si="384"/>
        <v/>
      </c>
      <c r="GC57" s="218" t="str">
        <f t="shared" si="385"/>
        <v/>
      </c>
      <c r="GD57" s="218" t="str">
        <f t="shared" si="386"/>
        <v/>
      </c>
      <c r="GE57" s="218" t="str">
        <f t="shared" si="387"/>
        <v/>
      </c>
      <c r="GF57" s="218" t="str">
        <f t="shared" si="388"/>
        <v/>
      </c>
      <c r="GG57" s="218" t="str">
        <f t="shared" si="389"/>
        <v/>
      </c>
      <c r="GH57" s="218" t="str">
        <f t="shared" si="390"/>
        <v/>
      </c>
      <c r="GJ57" s="218" t="str">
        <f t="shared" si="391"/>
        <v/>
      </c>
      <c r="GK57" s="218" t="str">
        <f t="shared" si="392"/>
        <v/>
      </c>
      <c r="GL57" s="218" t="str">
        <f t="shared" si="393"/>
        <v/>
      </c>
      <c r="GM57" s="218" t="str">
        <f t="shared" si="394"/>
        <v/>
      </c>
      <c r="GN57" s="218" t="str">
        <f t="shared" si="395"/>
        <v/>
      </c>
      <c r="GO57" s="218" t="str">
        <f t="shared" si="396"/>
        <v/>
      </c>
      <c r="GP57" s="218" t="str">
        <f t="shared" si="397"/>
        <v/>
      </c>
      <c r="GQ57" s="218" t="str">
        <f t="shared" si="398"/>
        <v/>
      </c>
      <c r="GR57" s="218" t="str">
        <f t="shared" si="399"/>
        <v/>
      </c>
      <c r="GS57" s="218" t="str">
        <f t="shared" si="400"/>
        <v/>
      </c>
      <c r="GT57" s="218" t="str">
        <f t="shared" si="401"/>
        <v/>
      </c>
      <c r="GU57" s="218" t="str">
        <f t="shared" si="402"/>
        <v/>
      </c>
      <c r="GW57" s="218" t="str">
        <f t="shared" si="403"/>
        <v/>
      </c>
      <c r="GX57" s="218" t="str">
        <f t="shared" si="404"/>
        <v/>
      </c>
      <c r="GY57" s="218" t="str">
        <f t="shared" si="405"/>
        <v/>
      </c>
      <c r="GZ57" s="218" t="str">
        <f t="shared" si="406"/>
        <v/>
      </c>
      <c r="HA57" s="218" t="str">
        <f t="shared" si="407"/>
        <v/>
      </c>
      <c r="HB57" s="218" t="str">
        <f t="shared" si="408"/>
        <v/>
      </c>
      <c r="HC57" s="218" t="str">
        <f t="shared" si="409"/>
        <v/>
      </c>
      <c r="HD57" s="218" t="str">
        <f t="shared" si="410"/>
        <v/>
      </c>
      <c r="HE57" s="218" t="str">
        <f t="shared" si="411"/>
        <v/>
      </c>
      <c r="HG57" s="218" t="str">
        <f t="shared" si="412"/>
        <v/>
      </c>
      <c r="HH57" s="218" t="str">
        <f t="shared" si="413"/>
        <v/>
      </c>
      <c r="HI57" s="218" t="str">
        <f t="shared" si="414"/>
        <v/>
      </c>
      <c r="HJ57" s="218" t="str">
        <f t="shared" si="415"/>
        <v/>
      </c>
      <c r="HK57" s="218" t="str">
        <f t="shared" si="416"/>
        <v/>
      </c>
      <c r="HL57" s="218" t="str">
        <f t="shared" si="417"/>
        <v/>
      </c>
      <c r="HN57" s="218" t="str">
        <f t="shared" si="418"/>
        <v/>
      </c>
      <c r="HO57" s="218" t="str">
        <f t="shared" si="419"/>
        <v/>
      </c>
      <c r="HP57" s="218" t="str">
        <f t="shared" si="420"/>
        <v/>
      </c>
      <c r="HR57" s="218" t="str">
        <f t="shared" si="421"/>
        <v/>
      </c>
      <c r="HS57" s="218" t="str">
        <f t="shared" si="225"/>
        <v/>
      </c>
      <c r="HT57" s="218" t="str">
        <f t="shared" si="422"/>
        <v/>
      </c>
      <c r="HU57" s="218" t="str">
        <f t="shared" si="176"/>
        <v/>
      </c>
      <c r="HV57" s="218" t="str">
        <f t="shared" si="423"/>
        <v/>
      </c>
      <c r="HW57" s="218" t="str">
        <f t="shared" si="424"/>
        <v/>
      </c>
      <c r="HX57" s="218" t="str">
        <f t="shared" si="425"/>
        <v/>
      </c>
      <c r="HY57" s="218" t="str">
        <f t="shared" si="180"/>
        <v/>
      </c>
      <c r="HZ57" s="218" t="str">
        <f t="shared" si="426"/>
        <v/>
      </c>
      <c r="IA57" s="218" t="str">
        <f t="shared" si="427"/>
        <v/>
      </c>
      <c r="IB57" s="218" t="str">
        <f t="shared" si="183"/>
        <v/>
      </c>
      <c r="IC57" s="218" t="str">
        <f t="shared" si="428"/>
        <v/>
      </c>
      <c r="ID57" s="218" t="str">
        <f t="shared" si="429"/>
        <v/>
      </c>
      <c r="IE57" s="218" t="str">
        <f t="shared" si="186"/>
        <v/>
      </c>
      <c r="IF57" s="218" t="str">
        <f t="shared" si="430"/>
        <v/>
      </c>
      <c r="IG57" s="218" t="str">
        <f t="shared" si="431"/>
        <v/>
      </c>
      <c r="IH57" s="218" t="str">
        <f t="shared" si="189"/>
        <v/>
      </c>
      <c r="II57" s="218" t="str">
        <f t="shared" si="432"/>
        <v/>
      </c>
      <c r="IJ57" s="218" t="str">
        <f t="shared" si="433"/>
        <v/>
      </c>
      <c r="IK57" s="218" t="str">
        <f t="shared" si="192"/>
        <v/>
      </c>
      <c r="IL57" s="218" t="str">
        <f t="shared" si="434"/>
        <v/>
      </c>
      <c r="IM57" s="218" t="str">
        <f t="shared" si="435"/>
        <v/>
      </c>
      <c r="IN57" s="218" t="str">
        <f t="shared" si="195"/>
        <v/>
      </c>
      <c r="IO57" s="218" t="str">
        <f t="shared" si="436"/>
        <v/>
      </c>
      <c r="IP57" s="218" t="str">
        <f t="shared" si="437"/>
        <v/>
      </c>
      <c r="IQ57" s="218" t="str">
        <f t="shared" si="198"/>
        <v/>
      </c>
      <c r="IR57" s="218" t="str">
        <f t="shared" si="438"/>
        <v/>
      </c>
      <c r="IS57" s="218" t="str">
        <f t="shared" si="439"/>
        <v/>
      </c>
      <c r="IT57" s="218" t="str">
        <f t="shared" si="201"/>
        <v/>
      </c>
      <c r="IU57" s="218" t="str">
        <f t="shared" si="440"/>
        <v/>
      </c>
    </row>
    <row r="58" spans="1:255" x14ac:dyDescent="0.2">
      <c r="A58" s="200" t="s">
        <v>61</v>
      </c>
      <c r="B58" s="184"/>
      <c r="C58" s="179"/>
      <c r="D58" s="181"/>
      <c r="E58" s="181"/>
      <c r="F58" s="181"/>
      <c r="G58" s="181"/>
      <c r="H58" s="187"/>
      <c r="I58" s="181"/>
      <c r="J58" s="181"/>
      <c r="K58" s="185"/>
      <c r="L58" s="217" t="str">
        <f t="shared" si="226"/>
        <v/>
      </c>
      <c r="M58" s="218" t="str">
        <f>'HKG vs. BK'!M58</f>
        <v/>
      </c>
      <c r="N58" s="218" t="str">
        <f>'HKG vs. BK'!N58</f>
        <v/>
      </c>
      <c r="O58" s="218" t="str">
        <f>'HKG vs. BK'!O58</f>
        <v/>
      </c>
      <c r="P58" s="218" t="str">
        <f>'HKG vs. BK'!P58</f>
        <v/>
      </c>
      <c r="Q58" s="219" t="str">
        <f t="shared" si="227"/>
        <v/>
      </c>
      <c r="R58" s="220" t="str">
        <f t="shared" si="228"/>
        <v/>
      </c>
      <c r="S58" s="220" t="str">
        <f t="shared" si="229"/>
        <v/>
      </c>
      <c r="T58" s="219" t="str">
        <f t="shared" si="230"/>
        <v/>
      </c>
      <c r="U58" s="220" t="str">
        <f t="shared" si="231"/>
        <v/>
      </c>
      <c r="V58" s="220" t="str">
        <f t="shared" si="232"/>
        <v/>
      </c>
      <c r="W58" s="219" t="str">
        <f t="shared" si="233"/>
        <v/>
      </c>
      <c r="X58" s="220" t="str">
        <f t="shared" si="234"/>
        <v/>
      </c>
      <c r="Y58" s="220" t="str">
        <f t="shared" si="235"/>
        <v/>
      </c>
      <c r="Z58" s="219" t="str">
        <f t="shared" si="236"/>
        <v/>
      </c>
      <c r="AA58" s="220" t="str">
        <f t="shared" si="237"/>
        <v/>
      </c>
      <c r="AB58" s="220" t="str">
        <f t="shared" si="238"/>
        <v/>
      </c>
      <c r="AC58" s="219" t="str">
        <f t="shared" si="239"/>
        <v/>
      </c>
      <c r="AD58" s="220" t="str">
        <f t="shared" si="240"/>
        <v/>
      </c>
      <c r="AE58" s="220" t="str">
        <f t="shared" si="241"/>
        <v/>
      </c>
      <c r="AF58" s="219" t="str">
        <f t="shared" si="242"/>
        <v/>
      </c>
      <c r="AG58" s="220" t="str">
        <f t="shared" si="243"/>
        <v/>
      </c>
      <c r="AH58" s="220" t="str">
        <f t="shared" si="244"/>
        <v/>
      </c>
      <c r="AI58" s="219" t="str">
        <f t="shared" si="245"/>
        <v/>
      </c>
      <c r="AJ58" s="220" t="str">
        <f t="shared" si="246"/>
        <v/>
      </c>
      <c r="AK58" s="220" t="str">
        <f t="shared" si="247"/>
        <v/>
      </c>
      <c r="AL58" s="219" t="str">
        <f t="shared" si="248"/>
        <v/>
      </c>
      <c r="AM58" s="220" t="str">
        <f t="shared" si="249"/>
        <v/>
      </c>
      <c r="AN58" s="220" t="str">
        <f t="shared" si="250"/>
        <v/>
      </c>
      <c r="AO58" s="219" t="str">
        <f t="shared" si="251"/>
        <v/>
      </c>
      <c r="AP58" s="220" t="str">
        <f t="shared" si="252"/>
        <v/>
      </c>
      <c r="AQ58" s="220" t="str">
        <f t="shared" si="253"/>
        <v/>
      </c>
      <c r="AR58" s="219" t="str">
        <f t="shared" si="254"/>
        <v/>
      </c>
      <c r="AS58" s="220" t="str">
        <f t="shared" si="255"/>
        <v/>
      </c>
      <c r="AT58" s="220" t="str">
        <f t="shared" si="256"/>
        <v/>
      </c>
      <c r="AU58" s="221"/>
      <c r="AV58" s="221"/>
      <c r="AW58" s="221"/>
      <c r="AY58" s="218" t="str">
        <f t="shared" si="257"/>
        <v/>
      </c>
      <c r="AZ58" s="218" t="str">
        <f t="shared" si="258"/>
        <v/>
      </c>
      <c r="BA58" s="218" t="str">
        <f t="shared" si="259"/>
        <v/>
      </c>
      <c r="BB58" s="218" t="str">
        <f t="shared" si="260"/>
        <v/>
      </c>
      <c r="BC58" s="218" t="str">
        <f t="shared" si="261"/>
        <v/>
      </c>
      <c r="BD58" s="218" t="str">
        <f t="shared" si="262"/>
        <v/>
      </c>
      <c r="BE58" s="218" t="str">
        <f t="shared" si="263"/>
        <v/>
      </c>
      <c r="BF58" s="218" t="str">
        <f t="shared" si="264"/>
        <v/>
      </c>
      <c r="BG58" s="218" t="str">
        <f t="shared" si="265"/>
        <v/>
      </c>
      <c r="BH58" s="218" t="str">
        <f t="shared" si="266"/>
        <v/>
      </c>
      <c r="BI58" s="218" t="str">
        <f t="shared" si="267"/>
        <v/>
      </c>
      <c r="BJ58" s="218" t="str">
        <f t="shared" si="268"/>
        <v/>
      </c>
      <c r="BK58" s="218" t="str">
        <f t="shared" si="269"/>
        <v/>
      </c>
      <c r="BL58" s="218" t="str">
        <f t="shared" si="270"/>
        <v/>
      </c>
      <c r="BM58" s="218" t="str">
        <f t="shared" si="271"/>
        <v/>
      </c>
      <c r="BN58" s="218" t="str">
        <f t="shared" si="272"/>
        <v/>
      </c>
      <c r="BO58" s="218" t="str">
        <f t="shared" si="273"/>
        <v/>
      </c>
      <c r="BP58" s="218" t="str">
        <f t="shared" si="274"/>
        <v/>
      </c>
      <c r="BQ58" s="218" t="str">
        <f t="shared" si="275"/>
        <v/>
      </c>
      <c r="BR58" s="218" t="str">
        <f t="shared" si="276"/>
        <v/>
      </c>
      <c r="BS58" s="218" t="str">
        <f t="shared" si="277"/>
        <v/>
      </c>
      <c r="BT58" s="218" t="str">
        <f t="shared" si="278"/>
        <v/>
      </c>
      <c r="BU58" s="218" t="str">
        <f t="shared" si="279"/>
        <v/>
      </c>
      <c r="BV58" s="218" t="str">
        <f t="shared" si="280"/>
        <v/>
      </c>
      <c r="BW58" s="218" t="str">
        <f t="shared" si="281"/>
        <v/>
      </c>
      <c r="BX58" s="218" t="str">
        <f t="shared" si="282"/>
        <v/>
      </c>
      <c r="BY58" s="218" t="str">
        <f t="shared" si="283"/>
        <v/>
      </c>
      <c r="BZ58" s="218" t="str">
        <f t="shared" si="284"/>
        <v/>
      </c>
      <c r="CA58" s="218" t="str">
        <f t="shared" si="285"/>
        <v/>
      </c>
      <c r="CB58" s="218" t="str">
        <f t="shared" si="286"/>
        <v/>
      </c>
      <c r="CD58" s="218" t="str">
        <f t="shared" si="287"/>
        <v/>
      </c>
      <c r="CE58" s="218" t="str">
        <f t="shared" si="288"/>
        <v/>
      </c>
      <c r="CF58" s="218" t="str">
        <f t="shared" si="289"/>
        <v/>
      </c>
      <c r="CG58" s="218" t="str">
        <f t="shared" si="290"/>
        <v/>
      </c>
      <c r="CH58" s="218" t="str">
        <f t="shared" si="291"/>
        <v/>
      </c>
      <c r="CI58" s="218" t="str">
        <f t="shared" si="292"/>
        <v/>
      </c>
      <c r="CJ58" s="218" t="str">
        <f t="shared" si="293"/>
        <v/>
      </c>
      <c r="CK58" s="218" t="str">
        <f t="shared" si="294"/>
        <v/>
      </c>
      <c r="CL58" s="218" t="str">
        <f t="shared" si="295"/>
        <v/>
      </c>
      <c r="CM58" s="218" t="str">
        <f t="shared" si="296"/>
        <v/>
      </c>
      <c r="CN58" s="218" t="str">
        <f t="shared" si="297"/>
        <v/>
      </c>
      <c r="CO58" s="218" t="str">
        <f t="shared" si="298"/>
        <v/>
      </c>
      <c r="CP58" s="218" t="str">
        <f t="shared" si="299"/>
        <v/>
      </c>
      <c r="CQ58" s="218" t="str">
        <f t="shared" si="300"/>
        <v/>
      </c>
      <c r="CR58" s="218" t="str">
        <f t="shared" si="301"/>
        <v/>
      </c>
      <c r="CS58" s="218" t="str">
        <f t="shared" si="302"/>
        <v/>
      </c>
      <c r="CT58" s="218" t="str">
        <f t="shared" si="303"/>
        <v/>
      </c>
      <c r="CU58" s="218" t="str">
        <f t="shared" si="304"/>
        <v/>
      </c>
      <c r="CV58" s="218" t="str">
        <f t="shared" si="305"/>
        <v/>
      </c>
      <c r="CW58" s="218" t="str">
        <f t="shared" si="306"/>
        <v/>
      </c>
      <c r="CX58" s="218" t="str">
        <f t="shared" si="307"/>
        <v/>
      </c>
      <c r="CY58" s="218" t="str">
        <f t="shared" si="308"/>
        <v/>
      </c>
      <c r="CZ58" s="218" t="str">
        <f t="shared" si="309"/>
        <v/>
      </c>
      <c r="DA58" s="218" t="str">
        <f t="shared" si="310"/>
        <v/>
      </c>
      <c r="DB58" s="218" t="str">
        <f t="shared" si="64"/>
        <v/>
      </c>
      <c r="DC58" s="218" t="str">
        <f t="shared" si="311"/>
        <v/>
      </c>
      <c r="DD58" s="218" t="str">
        <f t="shared" si="312"/>
        <v/>
      </c>
      <c r="DF58" s="218" t="str">
        <f t="shared" si="313"/>
        <v/>
      </c>
      <c r="DG58" s="218" t="str">
        <f t="shared" si="314"/>
        <v/>
      </c>
      <c r="DH58" s="218" t="str">
        <f t="shared" si="315"/>
        <v/>
      </c>
      <c r="DI58" s="218" t="str">
        <f t="shared" si="316"/>
        <v/>
      </c>
      <c r="DJ58" s="218" t="str">
        <f t="shared" si="317"/>
        <v/>
      </c>
      <c r="DK58" s="218" t="str">
        <f t="shared" si="318"/>
        <v/>
      </c>
      <c r="DL58" s="218" t="str">
        <f t="shared" si="319"/>
        <v/>
      </c>
      <c r="DM58" s="218" t="str">
        <f t="shared" si="320"/>
        <v/>
      </c>
      <c r="DN58" s="218" t="str">
        <f t="shared" si="321"/>
        <v/>
      </c>
      <c r="DO58" s="218" t="str">
        <f t="shared" si="322"/>
        <v/>
      </c>
      <c r="DP58" s="218" t="str">
        <f t="shared" si="323"/>
        <v/>
      </c>
      <c r="DQ58" s="218" t="str">
        <f t="shared" si="324"/>
        <v/>
      </c>
      <c r="DR58" s="218" t="str">
        <f t="shared" si="325"/>
        <v/>
      </c>
      <c r="DS58" s="218" t="str">
        <f t="shared" si="326"/>
        <v/>
      </c>
      <c r="DT58" s="218" t="str">
        <f t="shared" si="327"/>
        <v/>
      </c>
      <c r="DU58" s="218" t="str">
        <f t="shared" si="328"/>
        <v/>
      </c>
      <c r="DV58" s="218" t="str">
        <f t="shared" si="329"/>
        <v/>
      </c>
      <c r="DW58" s="218" t="str">
        <f t="shared" si="330"/>
        <v/>
      </c>
      <c r="DX58" s="218" t="str">
        <f t="shared" si="331"/>
        <v/>
      </c>
      <c r="DY58" s="218" t="str">
        <f t="shared" si="332"/>
        <v/>
      </c>
      <c r="DZ58" s="218" t="str">
        <f t="shared" si="333"/>
        <v/>
      </c>
      <c r="EA58" s="218" t="str">
        <f t="shared" si="334"/>
        <v/>
      </c>
      <c r="EB58" s="218" t="str">
        <f t="shared" si="335"/>
        <v/>
      </c>
      <c r="EC58" s="218" t="str">
        <f t="shared" si="336"/>
        <v/>
      </c>
      <c r="EE58" s="218" t="str">
        <f t="shared" si="337"/>
        <v/>
      </c>
      <c r="EF58" s="218" t="str">
        <f t="shared" si="338"/>
        <v/>
      </c>
      <c r="EG58" s="218" t="str">
        <f t="shared" si="339"/>
        <v/>
      </c>
      <c r="EH58" s="218" t="str">
        <f t="shared" si="340"/>
        <v/>
      </c>
      <c r="EI58" s="218" t="str">
        <f t="shared" si="341"/>
        <v/>
      </c>
      <c r="EJ58" s="218" t="str">
        <f t="shared" si="342"/>
        <v/>
      </c>
      <c r="EK58" s="218" t="str">
        <f t="shared" si="343"/>
        <v/>
      </c>
      <c r="EL58" s="218" t="str">
        <f t="shared" si="344"/>
        <v/>
      </c>
      <c r="EM58" s="218" t="str">
        <f t="shared" si="345"/>
        <v/>
      </c>
      <c r="EN58" s="218" t="str">
        <f t="shared" si="346"/>
        <v/>
      </c>
      <c r="EO58" s="218" t="str">
        <f t="shared" si="347"/>
        <v/>
      </c>
      <c r="EP58" s="218" t="str">
        <f t="shared" si="348"/>
        <v/>
      </c>
      <c r="EQ58" s="218" t="str">
        <f t="shared" si="349"/>
        <v/>
      </c>
      <c r="ER58" s="218" t="str">
        <f t="shared" si="350"/>
        <v/>
      </c>
      <c r="ES58" s="218" t="str">
        <f t="shared" si="351"/>
        <v/>
      </c>
      <c r="ET58" s="218" t="str">
        <f t="shared" si="352"/>
        <v/>
      </c>
      <c r="EU58" s="218" t="str">
        <f t="shared" si="353"/>
        <v/>
      </c>
      <c r="EV58" s="218" t="str">
        <f t="shared" si="354"/>
        <v/>
      </c>
      <c r="EW58" s="218" t="str">
        <f t="shared" si="355"/>
        <v/>
      </c>
      <c r="EX58" s="218" t="str">
        <f t="shared" si="356"/>
        <v/>
      </c>
      <c r="EY58" s="218" t="str">
        <f t="shared" si="357"/>
        <v/>
      </c>
      <c r="FA58" s="218" t="str">
        <f t="shared" si="358"/>
        <v/>
      </c>
      <c r="FB58" s="218" t="str">
        <f t="shared" si="359"/>
        <v/>
      </c>
      <c r="FC58" s="218" t="str">
        <f t="shared" si="360"/>
        <v/>
      </c>
      <c r="FD58" s="218" t="str">
        <f t="shared" si="361"/>
        <v/>
      </c>
      <c r="FE58" s="218" t="str">
        <f t="shared" si="362"/>
        <v/>
      </c>
      <c r="FF58" s="218" t="str">
        <f t="shared" si="363"/>
        <v/>
      </c>
      <c r="FG58" s="218" t="str">
        <f t="shared" si="364"/>
        <v/>
      </c>
      <c r="FH58" s="218" t="str">
        <f t="shared" si="365"/>
        <v/>
      </c>
      <c r="FI58" s="218" t="str">
        <f t="shared" si="366"/>
        <v/>
      </c>
      <c r="FJ58" s="218" t="str">
        <f t="shared" si="367"/>
        <v/>
      </c>
      <c r="FK58" s="218" t="str">
        <f t="shared" si="368"/>
        <v/>
      </c>
      <c r="FL58" s="218" t="str">
        <f t="shared" si="369"/>
        <v/>
      </c>
      <c r="FM58" s="218" t="str">
        <f t="shared" si="370"/>
        <v/>
      </c>
      <c r="FN58" s="218" t="str">
        <f t="shared" si="371"/>
        <v/>
      </c>
      <c r="FO58" s="218" t="str">
        <f t="shared" si="372"/>
        <v/>
      </c>
      <c r="FP58" s="218" t="str">
        <f t="shared" si="373"/>
        <v/>
      </c>
      <c r="FQ58" s="218" t="str">
        <f t="shared" si="374"/>
        <v/>
      </c>
      <c r="FR58" s="218" t="str">
        <f t="shared" si="375"/>
        <v/>
      </c>
      <c r="FT58" s="218" t="str">
        <f t="shared" si="376"/>
        <v/>
      </c>
      <c r="FU58" s="218" t="str">
        <f t="shared" si="377"/>
        <v/>
      </c>
      <c r="FV58" s="218" t="str">
        <f t="shared" si="378"/>
        <v/>
      </c>
      <c r="FW58" s="218" t="str">
        <f t="shared" si="379"/>
        <v/>
      </c>
      <c r="FX58" s="218" t="str">
        <f t="shared" si="380"/>
        <v/>
      </c>
      <c r="FY58" s="218" t="str">
        <f t="shared" si="381"/>
        <v/>
      </c>
      <c r="FZ58" s="218" t="str">
        <f t="shared" si="382"/>
        <v/>
      </c>
      <c r="GA58" s="218" t="str">
        <f t="shared" si="383"/>
        <v/>
      </c>
      <c r="GB58" s="218" t="str">
        <f t="shared" si="384"/>
        <v/>
      </c>
      <c r="GC58" s="218" t="str">
        <f t="shared" si="385"/>
        <v/>
      </c>
      <c r="GD58" s="218" t="str">
        <f t="shared" si="386"/>
        <v/>
      </c>
      <c r="GE58" s="218" t="str">
        <f t="shared" si="387"/>
        <v/>
      </c>
      <c r="GF58" s="218" t="str">
        <f t="shared" si="388"/>
        <v/>
      </c>
      <c r="GG58" s="218" t="str">
        <f t="shared" si="389"/>
        <v/>
      </c>
      <c r="GH58" s="218" t="str">
        <f t="shared" si="390"/>
        <v/>
      </c>
      <c r="GJ58" s="218" t="str">
        <f t="shared" si="391"/>
        <v/>
      </c>
      <c r="GK58" s="218" t="str">
        <f t="shared" si="392"/>
        <v/>
      </c>
      <c r="GL58" s="218" t="str">
        <f t="shared" si="393"/>
        <v/>
      </c>
      <c r="GM58" s="218" t="str">
        <f t="shared" si="394"/>
        <v/>
      </c>
      <c r="GN58" s="218" t="str">
        <f t="shared" si="395"/>
        <v/>
      </c>
      <c r="GO58" s="218" t="str">
        <f t="shared" si="396"/>
        <v/>
      </c>
      <c r="GP58" s="218" t="str">
        <f t="shared" si="397"/>
        <v/>
      </c>
      <c r="GQ58" s="218" t="str">
        <f t="shared" si="398"/>
        <v/>
      </c>
      <c r="GR58" s="218" t="str">
        <f t="shared" si="399"/>
        <v/>
      </c>
      <c r="GS58" s="218" t="str">
        <f t="shared" si="400"/>
        <v/>
      </c>
      <c r="GT58" s="218" t="str">
        <f t="shared" si="401"/>
        <v/>
      </c>
      <c r="GU58" s="218" t="str">
        <f t="shared" si="402"/>
        <v/>
      </c>
      <c r="GW58" s="218" t="str">
        <f t="shared" si="403"/>
        <v/>
      </c>
      <c r="GX58" s="218" t="str">
        <f t="shared" si="404"/>
        <v/>
      </c>
      <c r="GY58" s="218" t="str">
        <f t="shared" si="405"/>
        <v/>
      </c>
      <c r="GZ58" s="218" t="str">
        <f t="shared" si="406"/>
        <v/>
      </c>
      <c r="HA58" s="218" t="str">
        <f t="shared" si="407"/>
        <v/>
      </c>
      <c r="HB58" s="218" t="str">
        <f t="shared" si="408"/>
        <v/>
      </c>
      <c r="HC58" s="218" t="str">
        <f t="shared" si="409"/>
        <v/>
      </c>
      <c r="HD58" s="218" t="str">
        <f t="shared" si="410"/>
        <v/>
      </c>
      <c r="HE58" s="218" t="str">
        <f t="shared" si="411"/>
        <v/>
      </c>
      <c r="HG58" s="218" t="str">
        <f t="shared" si="412"/>
        <v/>
      </c>
      <c r="HH58" s="218" t="str">
        <f t="shared" si="413"/>
        <v/>
      </c>
      <c r="HI58" s="218" t="str">
        <f t="shared" si="414"/>
        <v/>
      </c>
      <c r="HJ58" s="218" t="str">
        <f t="shared" si="415"/>
        <v/>
      </c>
      <c r="HK58" s="218" t="str">
        <f t="shared" si="416"/>
        <v/>
      </c>
      <c r="HL58" s="218" t="str">
        <f t="shared" si="417"/>
        <v/>
      </c>
      <c r="HN58" s="218" t="str">
        <f t="shared" si="418"/>
        <v/>
      </c>
      <c r="HO58" s="218" t="str">
        <f t="shared" si="419"/>
        <v/>
      </c>
      <c r="HP58" s="218" t="str">
        <f t="shared" si="420"/>
        <v/>
      </c>
      <c r="HR58" s="218" t="str">
        <f t="shared" si="421"/>
        <v/>
      </c>
      <c r="HS58" s="218" t="str">
        <f t="shared" si="225"/>
        <v/>
      </c>
      <c r="HT58" s="218" t="str">
        <f t="shared" si="422"/>
        <v/>
      </c>
      <c r="HU58" s="218" t="str">
        <f t="shared" si="176"/>
        <v/>
      </c>
      <c r="HV58" s="218" t="str">
        <f t="shared" si="423"/>
        <v/>
      </c>
      <c r="HW58" s="218" t="str">
        <f t="shared" si="424"/>
        <v/>
      </c>
      <c r="HX58" s="218" t="str">
        <f t="shared" si="425"/>
        <v/>
      </c>
      <c r="HY58" s="218" t="str">
        <f t="shared" si="180"/>
        <v/>
      </c>
      <c r="HZ58" s="218" t="str">
        <f t="shared" si="426"/>
        <v/>
      </c>
      <c r="IA58" s="218" t="str">
        <f t="shared" si="427"/>
        <v/>
      </c>
      <c r="IB58" s="218" t="str">
        <f t="shared" si="183"/>
        <v/>
      </c>
      <c r="IC58" s="218" t="str">
        <f t="shared" si="428"/>
        <v/>
      </c>
      <c r="ID58" s="218" t="str">
        <f t="shared" si="429"/>
        <v/>
      </c>
      <c r="IE58" s="218" t="str">
        <f t="shared" si="186"/>
        <v/>
      </c>
      <c r="IF58" s="218" t="str">
        <f t="shared" si="430"/>
        <v/>
      </c>
      <c r="IG58" s="218" t="str">
        <f t="shared" si="431"/>
        <v/>
      </c>
      <c r="IH58" s="218" t="str">
        <f t="shared" si="189"/>
        <v/>
      </c>
      <c r="II58" s="218" t="str">
        <f t="shared" si="432"/>
        <v/>
      </c>
      <c r="IJ58" s="218" t="str">
        <f t="shared" si="433"/>
        <v/>
      </c>
      <c r="IK58" s="218" t="str">
        <f t="shared" si="192"/>
        <v/>
      </c>
      <c r="IL58" s="218" t="str">
        <f t="shared" si="434"/>
        <v/>
      </c>
      <c r="IM58" s="218" t="str">
        <f t="shared" si="435"/>
        <v/>
      </c>
      <c r="IN58" s="218" t="str">
        <f t="shared" si="195"/>
        <v/>
      </c>
      <c r="IO58" s="218" t="str">
        <f t="shared" si="436"/>
        <v/>
      </c>
      <c r="IP58" s="218" t="str">
        <f t="shared" si="437"/>
        <v/>
      </c>
      <c r="IQ58" s="218" t="str">
        <f t="shared" si="198"/>
        <v/>
      </c>
      <c r="IR58" s="218" t="str">
        <f t="shared" si="438"/>
        <v/>
      </c>
      <c r="IS58" s="218" t="str">
        <f t="shared" si="439"/>
        <v/>
      </c>
      <c r="IT58" s="218" t="str">
        <f t="shared" si="201"/>
        <v/>
      </c>
      <c r="IU58" s="218" t="str">
        <f t="shared" si="440"/>
        <v/>
      </c>
    </row>
    <row r="59" spans="1:255" x14ac:dyDescent="0.2">
      <c r="A59" s="200" t="s">
        <v>62</v>
      </c>
      <c r="B59" s="184"/>
      <c r="C59" s="179"/>
      <c r="D59" s="181"/>
      <c r="E59" s="181"/>
      <c r="F59" s="181"/>
      <c r="G59" s="181"/>
      <c r="H59" s="187"/>
      <c r="I59" s="181"/>
      <c r="J59" s="181"/>
      <c r="K59" s="185"/>
      <c r="L59" s="217" t="str">
        <f t="shared" si="226"/>
        <v/>
      </c>
      <c r="M59" s="218" t="str">
        <f>'HKG vs. BK'!M59</f>
        <v/>
      </c>
      <c r="N59" s="218" t="str">
        <f>'HKG vs. BK'!N59</f>
        <v/>
      </c>
      <c r="O59" s="218" t="str">
        <f>'HKG vs. BK'!O59</f>
        <v/>
      </c>
      <c r="P59" s="218" t="str">
        <f>'HKG vs. BK'!P59</f>
        <v/>
      </c>
      <c r="Q59" s="219" t="str">
        <f t="shared" si="227"/>
        <v/>
      </c>
      <c r="R59" s="220" t="str">
        <f t="shared" si="228"/>
        <v/>
      </c>
      <c r="S59" s="220" t="str">
        <f t="shared" si="229"/>
        <v/>
      </c>
      <c r="T59" s="219" t="str">
        <f t="shared" si="230"/>
        <v/>
      </c>
      <c r="U59" s="220" t="str">
        <f t="shared" si="231"/>
        <v/>
      </c>
      <c r="V59" s="220" t="str">
        <f t="shared" si="232"/>
        <v/>
      </c>
      <c r="W59" s="219" t="str">
        <f t="shared" si="233"/>
        <v/>
      </c>
      <c r="X59" s="220" t="str">
        <f t="shared" si="234"/>
        <v/>
      </c>
      <c r="Y59" s="220" t="str">
        <f t="shared" si="235"/>
        <v/>
      </c>
      <c r="Z59" s="219" t="str">
        <f t="shared" si="236"/>
        <v/>
      </c>
      <c r="AA59" s="220" t="str">
        <f t="shared" si="237"/>
        <v/>
      </c>
      <c r="AB59" s="220" t="str">
        <f t="shared" si="238"/>
        <v/>
      </c>
      <c r="AC59" s="219" t="str">
        <f t="shared" si="239"/>
        <v/>
      </c>
      <c r="AD59" s="220" t="str">
        <f t="shared" si="240"/>
        <v/>
      </c>
      <c r="AE59" s="220" t="str">
        <f t="shared" si="241"/>
        <v/>
      </c>
      <c r="AF59" s="219" t="str">
        <f t="shared" si="242"/>
        <v/>
      </c>
      <c r="AG59" s="220" t="str">
        <f t="shared" si="243"/>
        <v/>
      </c>
      <c r="AH59" s="220" t="str">
        <f t="shared" si="244"/>
        <v/>
      </c>
      <c r="AI59" s="219" t="str">
        <f t="shared" si="245"/>
        <v/>
      </c>
      <c r="AJ59" s="220" t="str">
        <f t="shared" si="246"/>
        <v/>
      </c>
      <c r="AK59" s="220" t="str">
        <f t="shared" si="247"/>
        <v/>
      </c>
      <c r="AL59" s="219" t="str">
        <f t="shared" si="248"/>
        <v/>
      </c>
      <c r="AM59" s="220" t="str">
        <f t="shared" si="249"/>
        <v/>
      </c>
      <c r="AN59" s="220" t="str">
        <f t="shared" si="250"/>
        <v/>
      </c>
      <c r="AO59" s="219" t="str">
        <f t="shared" si="251"/>
        <v/>
      </c>
      <c r="AP59" s="220" t="str">
        <f t="shared" si="252"/>
        <v/>
      </c>
      <c r="AQ59" s="220" t="str">
        <f t="shared" si="253"/>
        <v/>
      </c>
      <c r="AR59" s="219" t="str">
        <f t="shared" si="254"/>
        <v/>
      </c>
      <c r="AS59" s="220" t="str">
        <f t="shared" si="255"/>
        <v/>
      </c>
      <c r="AT59" s="220" t="str">
        <f t="shared" si="256"/>
        <v/>
      </c>
      <c r="AU59" s="221"/>
      <c r="AV59" s="221"/>
      <c r="AW59" s="221"/>
      <c r="AY59" s="218" t="str">
        <f t="shared" si="257"/>
        <v/>
      </c>
      <c r="AZ59" s="218" t="str">
        <f t="shared" si="258"/>
        <v/>
      </c>
      <c r="BA59" s="218" t="str">
        <f t="shared" si="259"/>
        <v/>
      </c>
      <c r="BB59" s="218" t="str">
        <f t="shared" si="260"/>
        <v/>
      </c>
      <c r="BC59" s="218" t="str">
        <f t="shared" si="261"/>
        <v/>
      </c>
      <c r="BD59" s="218" t="str">
        <f t="shared" si="262"/>
        <v/>
      </c>
      <c r="BE59" s="218" t="str">
        <f t="shared" si="263"/>
        <v/>
      </c>
      <c r="BF59" s="218" t="str">
        <f t="shared" si="264"/>
        <v/>
      </c>
      <c r="BG59" s="218" t="str">
        <f t="shared" si="265"/>
        <v/>
      </c>
      <c r="BH59" s="218" t="str">
        <f t="shared" si="266"/>
        <v/>
      </c>
      <c r="BI59" s="218" t="str">
        <f t="shared" si="267"/>
        <v/>
      </c>
      <c r="BJ59" s="218" t="str">
        <f t="shared" si="268"/>
        <v/>
      </c>
      <c r="BK59" s="218" t="str">
        <f t="shared" si="269"/>
        <v/>
      </c>
      <c r="BL59" s="218" t="str">
        <f t="shared" si="270"/>
        <v/>
      </c>
      <c r="BM59" s="218" t="str">
        <f t="shared" si="271"/>
        <v/>
      </c>
      <c r="BN59" s="218" t="str">
        <f t="shared" si="272"/>
        <v/>
      </c>
      <c r="BO59" s="218" t="str">
        <f t="shared" si="273"/>
        <v/>
      </c>
      <c r="BP59" s="218" t="str">
        <f t="shared" si="274"/>
        <v/>
      </c>
      <c r="BQ59" s="218" t="str">
        <f t="shared" si="275"/>
        <v/>
      </c>
      <c r="BR59" s="218" t="str">
        <f t="shared" si="276"/>
        <v/>
      </c>
      <c r="BS59" s="218" t="str">
        <f t="shared" si="277"/>
        <v/>
      </c>
      <c r="BT59" s="218" t="str">
        <f t="shared" si="278"/>
        <v/>
      </c>
      <c r="BU59" s="218" t="str">
        <f t="shared" si="279"/>
        <v/>
      </c>
      <c r="BV59" s="218" t="str">
        <f t="shared" si="280"/>
        <v/>
      </c>
      <c r="BW59" s="218" t="str">
        <f t="shared" si="281"/>
        <v/>
      </c>
      <c r="BX59" s="218" t="str">
        <f t="shared" si="282"/>
        <v/>
      </c>
      <c r="BY59" s="218" t="str">
        <f t="shared" si="283"/>
        <v/>
      </c>
      <c r="BZ59" s="218" t="str">
        <f t="shared" si="284"/>
        <v/>
      </c>
      <c r="CA59" s="218" t="str">
        <f t="shared" si="285"/>
        <v/>
      </c>
      <c r="CB59" s="218" t="str">
        <f t="shared" si="286"/>
        <v/>
      </c>
      <c r="CD59" s="218" t="str">
        <f t="shared" si="287"/>
        <v/>
      </c>
      <c r="CE59" s="218" t="str">
        <f t="shared" si="288"/>
        <v/>
      </c>
      <c r="CF59" s="218" t="str">
        <f t="shared" si="289"/>
        <v/>
      </c>
      <c r="CG59" s="218" t="str">
        <f t="shared" si="290"/>
        <v/>
      </c>
      <c r="CH59" s="218" t="str">
        <f t="shared" si="291"/>
        <v/>
      </c>
      <c r="CI59" s="218" t="str">
        <f t="shared" si="292"/>
        <v/>
      </c>
      <c r="CJ59" s="218" t="str">
        <f t="shared" si="293"/>
        <v/>
      </c>
      <c r="CK59" s="218" t="str">
        <f t="shared" si="294"/>
        <v/>
      </c>
      <c r="CL59" s="218" t="str">
        <f t="shared" si="295"/>
        <v/>
      </c>
      <c r="CM59" s="218" t="str">
        <f t="shared" si="296"/>
        <v/>
      </c>
      <c r="CN59" s="218" t="str">
        <f t="shared" si="297"/>
        <v/>
      </c>
      <c r="CO59" s="218" t="str">
        <f t="shared" si="298"/>
        <v/>
      </c>
      <c r="CP59" s="218" t="str">
        <f t="shared" si="299"/>
        <v/>
      </c>
      <c r="CQ59" s="218" t="str">
        <f t="shared" si="300"/>
        <v/>
      </c>
      <c r="CR59" s="218" t="str">
        <f t="shared" si="301"/>
        <v/>
      </c>
      <c r="CS59" s="218" t="str">
        <f t="shared" si="302"/>
        <v/>
      </c>
      <c r="CT59" s="218" t="str">
        <f t="shared" si="303"/>
        <v/>
      </c>
      <c r="CU59" s="218" t="str">
        <f t="shared" si="304"/>
        <v/>
      </c>
      <c r="CV59" s="218" t="str">
        <f t="shared" si="305"/>
        <v/>
      </c>
      <c r="CW59" s="218" t="str">
        <f t="shared" si="306"/>
        <v/>
      </c>
      <c r="CX59" s="218" t="str">
        <f t="shared" si="307"/>
        <v/>
      </c>
      <c r="CY59" s="218" t="str">
        <f t="shared" si="308"/>
        <v/>
      </c>
      <c r="CZ59" s="218" t="str">
        <f t="shared" si="309"/>
        <v/>
      </c>
      <c r="DA59" s="218" t="str">
        <f t="shared" si="310"/>
        <v/>
      </c>
      <c r="DB59" s="218" t="str">
        <f t="shared" si="64"/>
        <v/>
      </c>
      <c r="DC59" s="218" t="str">
        <f t="shared" si="311"/>
        <v/>
      </c>
      <c r="DD59" s="218" t="str">
        <f t="shared" si="312"/>
        <v/>
      </c>
      <c r="DF59" s="218" t="str">
        <f t="shared" si="313"/>
        <v/>
      </c>
      <c r="DG59" s="218" t="str">
        <f t="shared" si="314"/>
        <v/>
      </c>
      <c r="DH59" s="218" t="str">
        <f t="shared" si="315"/>
        <v/>
      </c>
      <c r="DI59" s="218" t="str">
        <f t="shared" si="316"/>
        <v/>
      </c>
      <c r="DJ59" s="218" t="str">
        <f t="shared" si="317"/>
        <v/>
      </c>
      <c r="DK59" s="218" t="str">
        <f t="shared" si="318"/>
        <v/>
      </c>
      <c r="DL59" s="218" t="str">
        <f t="shared" si="319"/>
        <v/>
      </c>
      <c r="DM59" s="218" t="str">
        <f t="shared" si="320"/>
        <v/>
      </c>
      <c r="DN59" s="218" t="str">
        <f t="shared" si="321"/>
        <v/>
      </c>
      <c r="DO59" s="218" t="str">
        <f t="shared" si="322"/>
        <v/>
      </c>
      <c r="DP59" s="218" t="str">
        <f t="shared" si="323"/>
        <v/>
      </c>
      <c r="DQ59" s="218" t="str">
        <f t="shared" si="324"/>
        <v/>
      </c>
      <c r="DR59" s="218" t="str">
        <f t="shared" si="325"/>
        <v/>
      </c>
      <c r="DS59" s="218" t="str">
        <f t="shared" si="326"/>
        <v/>
      </c>
      <c r="DT59" s="218" t="str">
        <f t="shared" si="327"/>
        <v/>
      </c>
      <c r="DU59" s="218" t="str">
        <f t="shared" si="328"/>
        <v/>
      </c>
      <c r="DV59" s="218" t="str">
        <f t="shared" si="329"/>
        <v/>
      </c>
      <c r="DW59" s="218" t="str">
        <f t="shared" si="330"/>
        <v/>
      </c>
      <c r="DX59" s="218" t="str">
        <f t="shared" si="331"/>
        <v/>
      </c>
      <c r="DY59" s="218" t="str">
        <f t="shared" si="332"/>
        <v/>
      </c>
      <c r="DZ59" s="218" t="str">
        <f t="shared" si="333"/>
        <v/>
      </c>
      <c r="EA59" s="218" t="str">
        <f t="shared" si="334"/>
        <v/>
      </c>
      <c r="EB59" s="218" t="str">
        <f t="shared" si="335"/>
        <v/>
      </c>
      <c r="EC59" s="218" t="str">
        <f t="shared" si="336"/>
        <v/>
      </c>
      <c r="EE59" s="218" t="str">
        <f t="shared" si="337"/>
        <v/>
      </c>
      <c r="EF59" s="218" t="str">
        <f t="shared" si="338"/>
        <v/>
      </c>
      <c r="EG59" s="218" t="str">
        <f t="shared" si="339"/>
        <v/>
      </c>
      <c r="EH59" s="218" t="str">
        <f t="shared" si="340"/>
        <v/>
      </c>
      <c r="EI59" s="218" t="str">
        <f t="shared" si="341"/>
        <v/>
      </c>
      <c r="EJ59" s="218" t="str">
        <f t="shared" si="342"/>
        <v/>
      </c>
      <c r="EK59" s="218" t="str">
        <f t="shared" si="343"/>
        <v/>
      </c>
      <c r="EL59" s="218" t="str">
        <f t="shared" si="344"/>
        <v/>
      </c>
      <c r="EM59" s="218" t="str">
        <f t="shared" si="345"/>
        <v/>
      </c>
      <c r="EN59" s="218" t="str">
        <f t="shared" si="346"/>
        <v/>
      </c>
      <c r="EO59" s="218" t="str">
        <f t="shared" si="347"/>
        <v/>
      </c>
      <c r="EP59" s="218" t="str">
        <f t="shared" si="348"/>
        <v/>
      </c>
      <c r="EQ59" s="218" t="str">
        <f t="shared" si="349"/>
        <v/>
      </c>
      <c r="ER59" s="218" t="str">
        <f t="shared" si="350"/>
        <v/>
      </c>
      <c r="ES59" s="218" t="str">
        <f t="shared" si="351"/>
        <v/>
      </c>
      <c r="ET59" s="218" t="str">
        <f t="shared" si="352"/>
        <v/>
      </c>
      <c r="EU59" s="218" t="str">
        <f t="shared" si="353"/>
        <v/>
      </c>
      <c r="EV59" s="218" t="str">
        <f t="shared" si="354"/>
        <v/>
      </c>
      <c r="EW59" s="218" t="str">
        <f t="shared" si="355"/>
        <v/>
      </c>
      <c r="EX59" s="218" t="str">
        <f t="shared" si="356"/>
        <v/>
      </c>
      <c r="EY59" s="218" t="str">
        <f t="shared" si="357"/>
        <v/>
      </c>
      <c r="FA59" s="218" t="str">
        <f t="shared" si="358"/>
        <v/>
      </c>
      <c r="FB59" s="218" t="str">
        <f t="shared" si="359"/>
        <v/>
      </c>
      <c r="FC59" s="218" t="str">
        <f t="shared" si="360"/>
        <v/>
      </c>
      <c r="FD59" s="218" t="str">
        <f t="shared" si="361"/>
        <v/>
      </c>
      <c r="FE59" s="218" t="str">
        <f t="shared" si="362"/>
        <v/>
      </c>
      <c r="FF59" s="218" t="str">
        <f t="shared" si="363"/>
        <v/>
      </c>
      <c r="FG59" s="218" t="str">
        <f t="shared" si="364"/>
        <v/>
      </c>
      <c r="FH59" s="218" t="str">
        <f t="shared" si="365"/>
        <v/>
      </c>
      <c r="FI59" s="218" t="str">
        <f t="shared" si="366"/>
        <v/>
      </c>
      <c r="FJ59" s="218" t="str">
        <f t="shared" si="367"/>
        <v/>
      </c>
      <c r="FK59" s="218" t="str">
        <f t="shared" si="368"/>
        <v/>
      </c>
      <c r="FL59" s="218" t="str">
        <f t="shared" si="369"/>
        <v/>
      </c>
      <c r="FM59" s="218" t="str">
        <f t="shared" si="370"/>
        <v/>
      </c>
      <c r="FN59" s="218" t="str">
        <f t="shared" si="371"/>
        <v/>
      </c>
      <c r="FO59" s="218" t="str">
        <f t="shared" si="372"/>
        <v/>
      </c>
      <c r="FP59" s="218" t="str">
        <f t="shared" si="373"/>
        <v/>
      </c>
      <c r="FQ59" s="218" t="str">
        <f t="shared" si="374"/>
        <v/>
      </c>
      <c r="FR59" s="218" t="str">
        <f t="shared" si="375"/>
        <v/>
      </c>
      <c r="FT59" s="218" t="str">
        <f t="shared" si="376"/>
        <v/>
      </c>
      <c r="FU59" s="218" t="str">
        <f t="shared" si="377"/>
        <v/>
      </c>
      <c r="FV59" s="218" t="str">
        <f t="shared" si="378"/>
        <v/>
      </c>
      <c r="FW59" s="218" t="str">
        <f t="shared" si="379"/>
        <v/>
      </c>
      <c r="FX59" s="218" t="str">
        <f t="shared" si="380"/>
        <v/>
      </c>
      <c r="FY59" s="218" t="str">
        <f t="shared" si="381"/>
        <v/>
      </c>
      <c r="FZ59" s="218" t="str">
        <f t="shared" si="382"/>
        <v/>
      </c>
      <c r="GA59" s="218" t="str">
        <f t="shared" si="383"/>
        <v/>
      </c>
      <c r="GB59" s="218" t="str">
        <f t="shared" si="384"/>
        <v/>
      </c>
      <c r="GC59" s="218" t="str">
        <f t="shared" si="385"/>
        <v/>
      </c>
      <c r="GD59" s="218" t="str">
        <f t="shared" si="386"/>
        <v/>
      </c>
      <c r="GE59" s="218" t="str">
        <f t="shared" si="387"/>
        <v/>
      </c>
      <c r="GF59" s="218" t="str">
        <f t="shared" si="388"/>
        <v/>
      </c>
      <c r="GG59" s="218" t="str">
        <f t="shared" si="389"/>
        <v/>
      </c>
      <c r="GH59" s="218" t="str">
        <f t="shared" si="390"/>
        <v/>
      </c>
      <c r="GJ59" s="218" t="str">
        <f t="shared" si="391"/>
        <v/>
      </c>
      <c r="GK59" s="218" t="str">
        <f t="shared" si="392"/>
        <v/>
      </c>
      <c r="GL59" s="218" t="str">
        <f t="shared" si="393"/>
        <v/>
      </c>
      <c r="GM59" s="218" t="str">
        <f t="shared" si="394"/>
        <v/>
      </c>
      <c r="GN59" s="218" t="str">
        <f t="shared" si="395"/>
        <v/>
      </c>
      <c r="GO59" s="218" t="str">
        <f t="shared" si="396"/>
        <v/>
      </c>
      <c r="GP59" s="218" t="str">
        <f t="shared" si="397"/>
        <v/>
      </c>
      <c r="GQ59" s="218" t="str">
        <f t="shared" si="398"/>
        <v/>
      </c>
      <c r="GR59" s="218" t="str">
        <f t="shared" si="399"/>
        <v/>
      </c>
      <c r="GS59" s="218" t="str">
        <f t="shared" si="400"/>
        <v/>
      </c>
      <c r="GT59" s="218" t="str">
        <f t="shared" si="401"/>
        <v/>
      </c>
      <c r="GU59" s="218" t="str">
        <f t="shared" si="402"/>
        <v/>
      </c>
      <c r="GW59" s="218" t="str">
        <f t="shared" si="403"/>
        <v/>
      </c>
      <c r="GX59" s="218" t="str">
        <f t="shared" si="404"/>
        <v/>
      </c>
      <c r="GY59" s="218" t="str">
        <f t="shared" si="405"/>
        <v/>
      </c>
      <c r="GZ59" s="218" t="str">
        <f t="shared" si="406"/>
        <v/>
      </c>
      <c r="HA59" s="218" t="str">
        <f t="shared" si="407"/>
        <v/>
      </c>
      <c r="HB59" s="218" t="str">
        <f t="shared" si="408"/>
        <v/>
      </c>
      <c r="HC59" s="218" t="str">
        <f t="shared" si="409"/>
        <v/>
      </c>
      <c r="HD59" s="218" t="str">
        <f t="shared" si="410"/>
        <v/>
      </c>
      <c r="HE59" s="218" t="str">
        <f t="shared" si="411"/>
        <v/>
      </c>
      <c r="HG59" s="218" t="str">
        <f t="shared" si="412"/>
        <v/>
      </c>
      <c r="HH59" s="218" t="str">
        <f t="shared" si="413"/>
        <v/>
      </c>
      <c r="HI59" s="218" t="str">
        <f t="shared" si="414"/>
        <v/>
      </c>
      <c r="HJ59" s="218" t="str">
        <f t="shared" si="415"/>
        <v/>
      </c>
      <c r="HK59" s="218" t="str">
        <f t="shared" si="416"/>
        <v/>
      </c>
      <c r="HL59" s="218" t="str">
        <f t="shared" si="417"/>
        <v/>
      </c>
      <c r="HN59" s="218" t="str">
        <f t="shared" si="418"/>
        <v/>
      </c>
      <c r="HO59" s="218" t="str">
        <f t="shared" si="419"/>
        <v/>
      </c>
      <c r="HP59" s="218" t="str">
        <f t="shared" si="420"/>
        <v/>
      </c>
      <c r="HR59" s="218" t="str">
        <f t="shared" si="421"/>
        <v/>
      </c>
      <c r="HS59" s="218" t="str">
        <f t="shared" si="225"/>
        <v/>
      </c>
      <c r="HT59" s="218" t="str">
        <f t="shared" si="422"/>
        <v/>
      </c>
      <c r="HU59" s="218" t="str">
        <f t="shared" si="176"/>
        <v/>
      </c>
      <c r="HV59" s="218" t="str">
        <f t="shared" si="423"/>
        <v/>
      </c>
      <c r="HW59" s="218" t="str">
        <f t="shared" si="424"/>
        <v/>
      </c>
      <c r="HX59" s="218" t="str">
        <f t="shared" si="425"/>
        <v/>
      </c>
      <c r="HY59" s="218" t="str">
        <f t="shared" si="180"/>
        <v/>
      </c>
      <c r="HZ59" s="218" t="str">
        <f t="shared" si="426"/>
        <v/>
      </c>
      <c r="IA59" s="218" t="str">
        <f t="shared" si="427"/>
        <v/>
      </c>
      <c r="IB59" s="218" t="str">
        <f t="shared" si="183"/>
        <v/>
      </c>
      <c r="IC59" s="218" t="str">
        <f t="shared" si="428"/>
        <v/>
      </c>
      <c r="ID59" s="218" t="str">
        <f t="shared" si="429"/>
        <v/>
      </c>
      <c r="IE59" s="218" t="str">
        <f t="shared" si="186"/>
        <v/>
      </c>
      <c r="IF59" s="218" t="str">
        <f t="shared" si="430"/>
        <v/>
      </c>
      <c r="IG59" s="218" t="str">
        <f t="shared" si="431"/>
        <v/>
      </c>
      <c r="IH59" s="218" t="str">
        <f t="shared" si="189"/>
        <v/>
      </c>
      <c r="II59" s="218" t="str">
        <f t="shared" si="432"/>
        <v/>
      </c>
      <c r="IJ59" s="218" t="str">
        <f t="shared" si="433"/>
        <v/>
      </c>
      <c r="IK59" s="218" t="str">
        <f t="shared" si="192"/>
        <v/>
      </c>
      <c r="IL59" s="218" t="str">
        <f t="shared" si="434"/>
        <v/>
      </c>
      <c r="IM59" s="218" t="str">
        <f t="shared" si="435"/>
        <v/>
      </c>
      <c r="IN59" s="218" t="str">
        <f t="shared" si="195"/>
        <v/>
      </c>
      <c r="IO59" s="218" t="str">
        <f t="shared" si="436"/>
        <v/>
      </c>
      <c r="IP59" s="218" t="str">
        <f t="shared" si="437"/>
        <v/>
      </c>
      <c r="IQ59" s="218" t="str">
        <f t="shared" si="198"/>
        <v/>
      </c>
      <c r="IR59" s="218" t="str">
        <f t="shared" si="438"/>
        <v/>
      </c>
      <c r="IS59" s="218" t="str">
        <f t="shared" si="439"/>
        <v/>
      </c>
      <c r="IT59" s="218" t="str">
        <f t="shared" si="201"/>
        <v/>
      </c>
      <c r="IU59" s="218" t="str">
        <f t="shared" si="440"/>
        <v/>
      </c>
    </row>
    <row r="60" spans="1:255" x14ac:dyDescent="0.2">
      <c r="A60" s="200" t="s">
        <v>63</v>
      </c>
      <c r="B60" s="178"/>
      <c r="C60" s="180"/>
      <c r="D60" s="197"/>
      <c r="E60" s="197"/>
      <c r="F60" s="197"/>
      <c r="G60" s="181"/>
      <c r="H60" s="181"/>
      <c r="I60" s="181"/>
      <c r="J60" s="181"/>
      <c r="K60" s="185"/>
      <c r="L60" s="217" t="str">
        <f t="shared" si="29"/>
        <v/>
      </c>
      <c r="M60" s="218" t="str">
        <f>'HKG vs. BK'!M60</f>
        <v/>
      </c>
      <c r="N60" s="218" t="str">
        <f>'HKG vs. BK'!N60</f>
        <v/>
      </c>
      <c r="O60" s="218" t="str">
        <f>'HKG vs. BK'!O60</f>
        <v/>
      </c>
      <c r="P60" s="218" t="str">
        <f>'HKG vs. BK'!P60</f>
        <v/>
      </c>
      <c r="Q60" s="219" t="str">
        <f t="shared" si="227"/>
        <v/>
      </c>
      <c r="R60" s="220" t="str">
        <f t="shared" si="228"/>
        <v/>
      </c>
      <c r="S60" s="220" t="str">
        <f t="shared" si="229"/>
        <v/>
      </c>
      <c r="T60" s="219" t="str">
        <f t="shared" si="230"/>
        <v/>
      </c>
      <c r="U60" s="220" t="str">
        <f t="shared" si="231"/>
        <v/>
      </c>
      <c r="V60" s="220" t="str">
        <f t="shared" si="232"/>
        <v/>
      </c>
      <c r="W60" s="219" t="str">
        <f t="shared" si="233"/>
        <v/>
      </c>
      <c r="X60" s="220" t="str">
        <f t="shared" si="234"/>
        <v/>
      </c>
      <c r="Y60" s="220" t="str">
        <f t="shared" si="235"/>
        <v/>
      </c>
      <c r="Z60" s="219" t="str">
        <f t="shared" si="236"/>
        <v/>
      </c>
      <c r="AA60" s="220" t="str">
        <f t="shared" si="237"/>
        <v/>
      </c>
      <c r="AB60" s="220" t="str">
        <f t="shared" si="238"/>
        <v/>
      </c>
      <c r="AC60" s="219" t="str">
        <f t="shared" si="239"/>
        <v/>
      </c>
      <c r="AD60" s="220" t="str">
        <f t="shared" si="240"/>
        <v/>
      </c>
      <c r="AE60" s="220" t="str">
        <f t="shared" si="241"/>
        <v/>
      </c>
      <c r="AF60" s="219" t="str">
        <f t="shared" si="242"/>
        <v/>
      </c>
      <c r="AG60" s="220" t="str">
        <f t="shared" si="243"/>
        <v/>
      </c>
      <c r="AH60" s="220" t="str">
        <f t="shared" si="244"/>
        <v/>
      </c>
      <c r="AI60" s="219" t="str">
        <f t="shared" si="245"/>
        <v/>
      </c>
      <c r="AJ60" s="220" t="str">
        <f t="shared" si="246"/>
        <v/>
      </c>
      <c r="AK60" s="220" t="str">
        <f t="shared" si="247"/>
        <v/>
      </c>
      <c r="AL60" s="219" t="str">
        <f t="shared" si="248"/>
        <v/>
      </c>
      <c r="AM60" s="220" t="str">
        <f t="shared" si="249"/>
        <v/>
      </c>
      <c r="AN60" s="220" t="str">
        <f t="shared" si="250"/>
        <v/>
      </c>
      <c r="AO60" s="219" t="str">
        <f t="shared" si="251"/>
        <v/>
      </c>
      <c r="AP60" s="220" t="str">
        <f t="shared" si="252"/>
        <v/>
      </c>
      <c r="AQ60" s="220" t="str">
        <f t="shared" si="253"/>
        <v/>
      </c>
      <c r="AR60" s="219" t="str">
        <f t="shared" si="254"/>
        <v/>
      </c>
      <c r="AS60" s="220" t="str">
        <f t="shared" si="255"/>
        <v/>
      </c>
      <c r="AT60" s="220" t="str">
        <f t="shared" si="256"/>
        <v/>
      </c>
      <c r="AU60" s="221"/>
      <c r="AV60" s="221"/>
      <c r="AW60" s="221"/>
      <c r="AY60" s="218" t="str">
        <f t="shared" si="257"/>
        <v/>
      </c>
      <c r="AZ60" s="218" t="str">
        <f t="shared" si="258"/>
        <v/>
      </c>
      <c r="BA60" s="218" t="str">
        <f t="shared" si="259"/>
        <v/>
      </c>
      <c r="BB60" s="218" t="str">
        <f t="shared" si="260"/>
        <v/>
      </c>
      <c r="BC60" s="218" t="str">
        <f t="shared" si="261"/>
        <v/>
      </c>
      <c r="BD60" s="218" t="str">
        <f t="shared" si="262"/>
        <v/>
      </c>
      <c r="BE60" s="218" t="str">
        <f t="shared" si="263"/>
        <v/>
      </c>
      <c r="BF60" s="218" t="str">
        <f t="shared" si="264"/>
        <v/>
      </c>
      <c r="BG60" s="218" t="str">
        <f t="shared" si="265"/>
        <v/>
      </c>
      <c r="BH60" s="218" t="str">
        <f t="shared" si="266"/>
        <v/>
      </c>
      <c r="BI60" s="218" t="str">
        <f t="shared" si="267"/>
        <v/>
      </c>
      <c r="BJ60" s="218" t="str">
        <f t="shared" si="268"/>
        <v/>
      </c>
      <c r="BK60" s="218" t="str">
        <f t="shared" si="269"/>
        <v/>
      </c>
      <c r="BL60" s="218" t="str">
        <f t="shared" si="270"/>
        <v/>
      </c>
      <c r="BM60" s="218" t="str">
        <f t="shared" si="271"/>
        <v/>
      </c>
      <c r="BN60" s="218" t="str">
        <f t="shared" si="272"/>
        <v/>
      </c>
      <c r="BO60" s="218" t="str">
        <f t="shared" si="273"/>
        <v/>
      </c>
      <c r="BP60" s="218" t="str">
        <f t="shared" si="274"/>
        <v/>
      </c>
      <c r="BQ60" s="218" t="str">
        <f t="shared" si="275"/>
        <v/>
      </c>
      <c r="BR60" s="218" t="str">
        <f t="shared" si="276"/>
        <v/>
      </c>
      <c r="BS60" s="218" t="str">
        <f t="shared" si="277"/>
        <v/>
      </c>
      <c r="BT60" s="218" t="str">
        <f t="shared" si="278"/>
        <v/>
      </c>
      <c r="BU60" s="218" t="str">
        <f t="shared" si="279"/>
        <v/>
      </c>
      <c r="BV60" s="218" t="str">
        <f t="shared" si="280"/>
        <v/>
      </c>
      <c r="BW60" s="218" t="str">
        <f t="shared" si="281"/>
        <v/>
      </c>
      <c r="BX60" s="218" t="str">
        <f t="shared" si="282"/>
        <v/>
      </c>
      <c r="BY60" s="218" t="str">
        <f t="shared" si="283"/>
        <v/>
      </c>
      <c r="BZ60" s="218" t="str">
        <f t="shared" si="284"/>
        <v/>
      </c>
      <c r="CA60" s="218" t="str">
        <f t="shared" si="285"/>
        <v/>
      </c>
      <c r="CB60" s="218" t="str">
        <f t="shared" si="286"/>
        <v/>
      </c>
      <c r="CD60" s="218" t="str">
        <f t="shared" si="287"/>
        <v/>
      </c>
      <c r="CE60" s="218" t="str">
        <f t="shared" si="288"/>
        <v/>
      </c>
      <c r="CF60" s="218" t="str">
        <f t="shared" si="289"/>
        <v/>
      </c>
      <c r="CG60" s="218" t="str">
        <f t="shared" si="290"/>
        <v/>
      </c>
      <c r="CH60" s="218" t="str">
        <f t="shared" si="291"/>
        <v/>
      </c>
      <c r="CI60" s="218" t="str">
        <f t="shared" si="292"/>
        <v/>
      </c>
      <c r="CJ60" s="218" t="str">
        <f t="shared" si="293"/>
        <v/>
      </c>
      <c r="CK60" s="218" t="str">
        <f t="shared" si="294"/>
        <v/>
      </c>
      <c r="CL60" s="218" t="str">
        <f t="shared" si="295"/>
        <v/>
      </c>
      <c r="CM60" s="218" t="str">
        <f t="shared" si="296"/>
        <v/>
      </c>
      <c r="CN60" s="218" t="str">
        <f t="shared" si="297"/>
        <v/>
      </c>
      <c r="CO60" s="218" t="str">
        <f t="shared" si="298"/>
        <v/>
      </c>
      <c r="CP60" s="218" t="str">
        <f t="shared" si="299"/>
        <v/>
      </c>
      <c r="CQ60" s="218" t="str">
        <f t="shared" si="300"/>
        <v/>
      </c>
      <c r="CR60" s="218" t="str">
        <f t="shared" si="301"/>
        <v/>
      </c>
      <c r="CS60" s="218" t="str">
        <f t="shared" si="302"/>
        <v/>
      </c>
      <c r="CT60" s="218" t="str">
        <f t="shared" si="303"/>
        <v/>
      </c>
      <c r="CU60" s="218" t="str">
        <f t="shared" si="304"/>
        <v/>
      </c>
      <c r="CV60" s="218" t="str">
        <f t="shared" si="305"/>
        <v/>
      </c>
      <c r="CW60" s="218" t="str">
        <f t="shared" si="306"/>
        <v/>
      </c>
      <c r="CX60" s="218" t="str">
        <f t="shared" si="307"/>
        <v/>
      </c>
      <c r="CY60" s="218" t="str">
        <f t="shared" si="308"/>
        <v/>
      </c>
      <c r="CZ60" s="218" t="str">
        <f t="shared" si="309"/>
        <v/>
      </c>
      <c r="DA60" s="218" t="str">
        <f t="shared" si="310"/>
        <v/>
      </c>
      <c r="DB60" s="218" t="str">
        <f t="shared" si="64"/>
        <v/>
      </c>
      <c r="DC60" s="218" t="str">
        <f t="shared" si="311"/>
        <v/>
      </c>
      <c r="DD60" s="218" t="str">
        <f t="shared" si="312"/>
        <v/>
      </c>
      <c r="DF60" s="218" t="str">
        <f t="shared" si="313"/>
        <v/>
      </c>
      <c r="DG60" s="218" t="str">
        <f t="shared" si="314"/>
        <v/>
      </c>
      <c r="DH60" s="218" t="str">
        <f t="shared" si="315"/>
        <v/>
      </c>
      <c r="DI60" s="218" t="str">
        <f t="shared" si="316"/>
        <v/>
      </c>
      <c r="DJ60" s="218" t="str">
        <f t="shared" si="317"/>
        <v/>
      </c>
      <c r="DK60" s="218" t="str">
        <f t="shared" si="318"/>
        <v/>
      </c>
      <c r="DL60" s="218" t="str">
        <f t="shared" si="319"/>
        <v/>
      </c>
      <c r="DM60" s="218" t="str">
        <f t="shared" si="320"/>
        <v/>
      </c>
      <c r="DN60" s="218" t="str">
        <f t="shared" si="321"/>
        <v/>
      </c>
      <c r="DO60" s="218" t="str">
        <f t="shared" si="322"/>
        <v/>
      </c>
      <c r="DP60" s="218" t="str">
        <f t="shared" si="323"/>
        <v/>
      </c>
      <c r="DQ60" s="218" t="str">
        <f t="shared" si="324"/>
        <v/>
      </c>
      <c r="DR60" s="218" t="str">
        <f t="shared" si="325"/>
        <v/>
      </c>
      <c r="DS60" s="218" t="str">
        <f t="shared" si="326"/>
        <v/>
      </c>
      <c r="DT60" s="218" t="str">
        <f t="shared" si="327"/>
        <v/>
      </c>
      <c r="DU60" s="218" t="str">
        <f t="shared" si="328"/>
        <v/>
      </c>
      <c r="DV60" s="218" t="str">
        <f t="shared" si="329"/>
        <v/>
      </c>
      <c r="DW60" s="218" t="str">
        <f t="shared" si="330"/>
        <v/>
      </c>
      <c r="DX60" s="218" t="str">
        <f t="shared" si="331"/>
        <v/>
      </c>
      <c r="DY60" s="218" t="str">
        <f t="shared" si="332"/>
        <v/>
      </c>
      <c r="DZ60" s="218" t="str">
        <f t="shared" si="333"/>
        <v/>
      </c>
      <c r="EA60" s="218" t="str">
        <f t="shared" si="334"/>
        <v/>
      </c>
      <c r="EB60" s="218" t="str">
        <f t="shared" si="335"/>
        <v/>
      </c>
      <c r="EC60" s="218" t="str">
        <f t="shared" si="336"/>
        <v/>
      </c>
      <c r="EE60" s="218" t="str">
        <f t="shared" si="337"/>
        <v/>
      </c>
      <c r="EF60" s="218" t="str">
        <f t="shared" si="338"/>
        <v/>
      </c>
      <c r="EG60" s="218" t="str">
        <f t="shared" si="339"/>
        <v/>
      </c>
      <c r="EH60" s="218" t="str">
        <f t="shared" si="340"/>
        <v/>
      </c>
      <c r="EI60" s="218" t="str">
        <f t="shared" si="341"/>
        <v/>
      </c>
      <c r="EJ60" s="218" t="str">
        <f t="shared" si="342"/>
        <v/>
      </c>
      <c r="EK60" s="218" t="str">
        <f t="shared" si="343"/>
        <v/>
      </c>
      <c r="EL60" s="218" t="str">
        <f t="shared" si="344"/>
        <v/>
      </c>
      <c r="EM60" s="218" t="str">
        <f t="shared" si="345"/>
        <v/>
      </c>
      <c r="EN60" s="218" t="str">
        <f t="shared" si="346"/>
        <v/>
      </c>
      <c r="EO60" s="218" t="str">
        <f t="shared" si="347"/>
        <v/>
      </c>
      <c r="EP60" s="218" t="str">
        <f t="shared" si="348"/>
        <v/>
      </c>
      <c r="EQ60" s="218" t="str">
        <f t="shared" si="349"/>
        <v/>
      </c>
      <c r="ER60" s="218" t="str">
        <f t="shared" si="350"/>
        <v/>
      </c>
      <c r="ES60" s="218" t="str">
        <f t="shared" si="351"/>
        <v/>
      </c>
      <c r="ET60" s="218" t="str">
        <f t="shared" si="352"/>
        <v/>
      </c>
      <c r="EU60" s="218" t="str">
        <f t="shared" si="353"/>
        <v/>
      </c>
      <c r="EV60" s="218" t="str">
        <f t="shared" si="354"/>
        <v/>
      </c>
      <c r="EW60" s="218" t="str">
        <f t="shared" si="355"/>
        <v/>
      </c>
      <c r="EX60" s="218" t="str">
        <f t="shared" si="356"/>
        <v/>
      </c>
      <c r="EY60" s="218" t="str">
        <f t="shared" si="357"/>
        <v/>
      </c>
      <c r="FA60" s="218" t="str">
        <f t="shared" si="358"/>
        <v/>
      </c>
      <c r="FB60" s="218" t="str">
        <f t="shared" si="359"/>
        <v/>
      </c>
      <c r="FC60" s="218" t="str">
        <f t="shared" si="360"/>
        <v/>
      </c>
      <c r="FD60" s="218" t="str">
        <f t="shared" si="361"/>
        <v/>
      </c>
      <c r="FE60" s="218" t="str">
        <f t="shared" si="362"/>
        <v/>
      </c>
      <c r="FF60" s="218" t="str">
        <f t="shared" si="363"/>
        <v/>
      </c>
      <c r="FG60" s="218" t="str">
        <f t="shared" si="364"/>
        <v/>
      </c>
      <c r="FH60" s="218" t="str">
        <f t="shared" si="365"/>
        <v/>
      </c>
      <c r="FI60" s="218" t="str">
        <f t="shared" si="366"/>
        <v/>
      </c>
      <c r="FJ60" s="218" t="str">
        <f t="shared" si="367"/>
        <v/>
      </c>
      <c r="FK60" s="218" t="str">
        <f t="shared" si="368"/>
        <v/>
      </c>
      <c r="FL60" s="218" t="str">
        <f t="shared" si="369"/>
        <v/>
      </c>
      <c r="FM60" s="218" t="str">
        <f t="shared" si="370"/>
        <v/>
      </c>
      <c r="FN60" s="218" t="str">
        <f t="shared" si="371"/>
        <v/>
      </c>
      <c r="FO60" s="218" t="str">
        <f t="shared" si="372"/>
        <v/>
      </c>
      <c r="FP60" s="218" t="str">
        <f t="shared" si="373"/>
        <v/>
      </c>
      <c r="FQ60" s="218" t="str">
        <f t="shared" si="374"/>
        <v/>
      </c>
      <c r="FR60" s="218" t="str">
        <f t="shared" si="375"/>
        <v/>
      </c>
      <c r="FT60" s="218" t="str">
        <f t="shared" si="376"/>
        <v/>
      </c>
      <c r="FU60" s="218" t="str">
        <f t="shared" si="377"/>
        <v/>
      </c>
      <c r="FV60" s="218" t="str">
        <f t="shared" si="378"/>
        <v/>
      </c>
      <c r="FW60" s="218" t="str">
        <f t="shared" si="379"/>
        <v/>
      </c>
      <c r="FX60" s="218" t="str">
        <f t="shared" si="380"/>
        <v/>
      </c>
      <c r="FY60" s="218" t="str">
        <f t="shared" si="381"/>
        <v/>
      </c>
      <c r="FZ60" s="218" t="str">
        <f t="shared" si="382"/>
        <v/>
      </c>
      <c r="GA60" s="218" t="str">
        <f t="shared" si="383"/>
        <v/>
      </c>
      <c r="GB60" s="218" t="str">
        <f t="shared" si="384"/>
        <v/>
      </c>
      <c r="GC60" s="218" t="str">
        <f t="shared" si="385"/>
        <v/>
      </c>
      <c r="GD60" s="218" t="str">
        <f t="shared" si="386"/>
        <v/>
      </c>
      <c r="GE60" s="218" t="str">
        <f t="shared" si="387"/>
        <v/>
      </c>
      <c r="GF60" s="218" t="str">
        <f t="shared" si="388"/>
        <v/>
      </c>
      <c r="GG60" s="218" t="str">
        <f t="shared" si="389"/>
        <v/>
      </c>
      <c r="GH60" s="218" t="str">
        <f t="shared" si="390"/>
        <v/>
      </c>
      <c r="GJ60" s="218" t="str">
        <f t="shared" si="391"/>
        <v/>
      </c>
      <c r="GK60" s="218" t="str">
        <f t="shared" si="392"/>
        <v/>
      </c>
      <c r="GL60" s="218" t="str">
        <f t="shared" si="393"/>
        <v/>
      </c>
      <c r="GM60" s="218" t="str">
        <f t="shared" si="394"/>
        <v/>
      </c>
      <c r="GN60" s="218" t="str">
        <f t="shared" si="395"/>
        <v/>
      </c>
      <c r="GO60" s="218" t="str">
        <f t="shared" si="396"/>
        <v/>
      </c>
      <c r="GP60" s="218" t="str">
        <f t="shared" si="397"/>
        <v/>
      </c>
      <c r="GQ60" s="218" t="str">
        <f t="shared" si="398"/>
        <v/>
      </c>
      <c r="GR60" s="218" t="str">
        <f t="shared" si="399"/>
        <v/>
      </c>
      <c r="GS60" s="218" t="str">
        <f t="shared" si="400"/>
        <v/>
      </c>
      <c r="GT60" s="218" t="str">
        <f t="shared" si="401"/>
        <v/>
      </c>
      <c r="GU60" s="218" t="str">
        <f t="shared" si="402"/>
        <v/>
      </c>
      <c r="GW60" s="218" t="str">
        <f t="shared" si="403"/>
        <v/>
      </c>
      <c r="GX60" s="218" t="str">
        <f t="shared" si="404"/>
        <v/>
      </c>
      <c r="GY60" s="218" t="str">
        <f t="shared" si="405"/>
        <v/>
      </c>
      <c r="GZ60" s="218" t="str">
        <f t="shared" si="406"/>
        <v/>
      </c>
      <c r="HA60" s="218" t="str">
        <f t="shared" si="407"/>
        <v/>
      </c>
      <c r="HB60" s="218" t="str">
        <f t="shared" si="408"/>
        <v/>
      </c>
      <c r="HC60" s="218" t="str">
        <f t="shared" si="409"/>
        <v/>
      </c>
      <c r="HD60" s="218" t="str">
        <f t="shared" si="410"/>
        <v/>
      </c>
      <c r="HE60" s="218" t="str">
        <f t="shared" si="411"/>
        <v/>
      </c>
      <c r="HG60" s="218" t="str">
        <f t="shared" si="412"/>
        <v/>
      </c>
      <c r="HH60" s="218" t="str">
        <f t="shared" si="413"/>
        <v/>
      </c>
      <c r="HI60" s="218" t="str">
        <f t="shared" si="414"/>
        <v/>
      </c>
      <c r="HJ60" s="218" t="str">
        <f t="shared" si="415"/>
        <v/>
      </c>
      <c r="HK60" s="218" t="str">
        <f t="shared" si="416"/>
        <v/>
      </c>
      <c r="HL60" s="218" t="str">
        <f t="shared" si="417"/>
        <v/>
      </c>
      <c r="HN60" s="218" t="str">
        <f t="shared" si="418"/>
        <v/>
      </c>
      <c r="HO60" s="218" t="str">
        <f t="shared" si="419"/>
        <v/>
      </c>
      <c r="HP60" s="218" t="str">
        <f t="shared" si="420"/>
        <v/>
      </c>
      <c r="HR60" s="218" t="str">
        <f t="shared" si="421"/>
        <v/>
      </c>
      <c r="HS60" s="218" t="str">
        <f t="shared" si="225"/>
        <v/>
      </c>
      <c r="HT60" s="218" t="str">
        <f t="shared" si="422"/>
        <v/>
      </c>
      <c r="HU60" s="218" t="str">
        <f t="shared" si="176"/>
        <v/>
      </c>
      <c r="HV60" s="218" t="str">
        <f t="shared" si="423"/>
        <v/>
      </c>
      <c r="HW60" s="218" t="str">
        <f t="shared" si="424"/>
        <v/>
      </c>
      <c r="HX60" s="218" t="str">
        <f t="shared" si="425"/>
        <v/>
      </c>
      <c r="HY60" s="218" t="str">
        <f t="shared" si="180"/>
        <v/>
      </c>
      <c r="HZ60" s="218" t="str">
        <f t="shared" si="426"/>
        <v/>
      </c>
      <c r="IA60" s="218" t="str">
        <f t="shared" si="427"/>
        <v/>
      </c>
      <c r="IB60" s="218" t="str">
        <f t="shared" si="183"/>
        <v/>
      </c>
      <c r="IC60" s="218" t="str">
        <f t="shared" si="428"/>
        <v/>
      </c>
      <c r="ID60" s="218" t="str">
        <f t="shared" si="429"/>
        <v/>
      </c>
      <c r="IE60" s="218" t="str">
        <f t="shared" si="186"/>
        <v/>
      </c>
      <c r="IF60" s="218" t="str">
        <f t="shared" si="430"/>
        <v/>
      </c>
      <c r="IG60" s="218" t="str">
        <f t="shared" si="431"/>
        <v/>
      </c>
      <c r="IH60" s="218" t="str">
        <f t="shared" si="189"/>
        <v/>
      </c>
      <c r="II60" s="218" t="str">
        <f t="shared" si="432"/>
        <v/>
      </c>
      <c r="IJ60" s="218" t="str">
        <f t="shared" si="433"/>
        <v/>
      </c>
      <c r="IK60" s="218" t="str">
        <f t="shared" si="192"/>
        <v/>
      </c>
      <c r="IL60" s="218" t="str">
        <f t="shared" si="434"/>
        <v/>
      </c>
      <c r="IM60" s="218" t="str">
        <f t="shared" si="435"/>
        <v/>
      </c>
      <c r="IN60" s="218" t="str">
        <f t="shared" si="195"/>
        <v/>
      </c>
      <c r="IO60" s="218" t="str">
        <f t="shared" si="436"/>
        <v/>
      </c>
      <c r="IP60" s="218" t="str">
        <f t="shared" si="437"/>
        <v/>
      </c>
      <c r="IQ60" s="218" t="str">
        <f t="shared" si="198"/>
        <v/>
      </c>
      <c r="IR60" s="218" t="str">
        <f t="shared" si="438"/>
        <v/>
      </c>
      <c r="IS60" s="218" t="str">
        <f t="shared" si="439"/>
        <v/>
      </c>
      <c r="IT60" s="218" t="str">
        <f t="shared" si="201"/>
        <v/>
      </c>
      <c r="IU60" s="218" t="str">
        <f t="shared" si="440"/>
        <v/>
      </c>
    </row>
    <row r="61" spans="1:255" x14ac:dyDescent="0.2">
      <c r="A61" s="200" t="s">
        <v>64</v>
      </c>
      <c r="B61" s="178"/>
      <c r="C61" s="180"/>
      <c r="D61" s="197"/>
      <c r="E61" s="197"/>
      <c r="F61" s="197"/>
      <c r="G61" s="181"/>
      <c r="H61" s="181"/>
      <c r="I61" s="181"/>
      <c r="J61" s="181"/>
      <c r="K61" s="185"/>
      <c r="L61" s="217" t="str">
        <f t="shared" si="29"/>
        <v/>
      </c>
      <c r="M61" s="218" t="str">
        <f>'HKG vs. BK'!M61</f>
        <v/>
      </c>
      <c r="N61" s="218" t="str">
        <f>'HKG vs. BK'!N61</f>
        <v/>
      </c>
      <c r="O61" s="218" t="str">
        <f>'HKG vs. BK'!O61</f>
        <v/>
      </c>
      <c r="P61" s="218" t="str">
        <f>'HKG vs. BK'!P61</f>
        <v/>
      </c>
      <c r="Q61" s="219" t="str">
        <f t="shared" si="227"/>
        <v/>
      </c>
      <c r="R61" s="220" t="str">
        <f t="shared" si="228"/>
        <v/>
      </c>
      <c r="S61" s="220" t="str">
        <f t="shared" si="229"/>
        <v/>
      </c>
      <c r="T61" s="219" t="str">
        <f t="shared" si="230"/>
        <v/>
      </c>
      <c r="U61" s="220" t="str">
        <f t="shared" si="231"/>
        <v/>
      </c>
      <c r="V61" s="220" t="str">
        <f t="shared" si="232"/>
        <v/>
      </c>
      <c r="W61" s="219" t="str">
        <f t="shared" si="233"/>
        <v/>
      </c>
      <c r="X61" s="220" t="str">
        <f t="shared" si="234"/>
        <v/>
      </c>
      <c r="Y61" s="220" t="str">
        <f t="shared" si="235"/>
        <v/>
      </c>
      <c r="Z61" s="219" t="str">
        <f t="shared" si="236"/>
        <v/>
      </c>
      <c r="AA61" s="220" t="str">
        <f t="shared" si="237"/>
        <v/>
      </c>
      <c r="AB61" s="220" t="str">
        <f t="shared" si="238"/>
        <v/>
      </c>
      <c r="AC61" s="219" t="str">
        <f t="shared" si="239"/>
        <v/>
      </c>
      <c r="AD61" s="220" t="str">
        <f t="shared" si="240"/>
        <v/>
      </c>
      <c r="AE61" s="220" t="str">
        <f t="shared" si="241"/>
        <v/>
      </c>
      <c r="AF61" s="219" t="str">
        <f t="shared" si="242"/>
        <v/>
      </c>
      <c r="AG61" s="220" t="str">
        <f t="shared" si="243"/>
        <v/>
      </c>
      <c r="AH61" s="220" t="str">
        <f t="shared" si="244"/>
        <v/>
      </c>
      <c r="AI61" s="219" t="str">
        <f t="shared" si="245"/>
        <v/>
      </c>
      <c r="AJ61" s="220" t="str">
        <f t="shared" si="246"/>
        <v/>
      </c>
      <c r="AK61" s="220" t="str">
        <f t="shared" si="247"/>
        <v/>
      </c>
      <c r="AL61" s="219" t="str">
        <f t="shared" si="248"/>
        <v/>
      </c>
      <c r="AM61" s="220" t="str">
        <f t="shared" si="249"/>
        <v/>
      </c>
      <c r="AN61" s="220" t="str">
        <f t="shared" si="250"/>
        <v/>
      </c>
      <c r="AO61" s="219" t="str">
        <f t="shared" si="251"/>
        <v/>
      </c>
      <c r="AP61" s="220" t="str">
        <f t="shared" si="252"/>
        <v/>
      </c>
      <c r="AQ61" s="220" t="str">
        <f t="shared" si="253"/>
        <v/>
      </c>
      <c r="AR61" s="219" t="str">
        <f t="shared" si="254"/>
        <v/>
      </c>
      <c r="AS61" s="220" t="str">
        <f t="shared" si="255"/>
        <v/>
      </c>
      <c r="AT61" s="220" t="str">
        <f t="shared" si="256"/>
        <v/>
      </c>
      <c r="AU61" s="221"/>
      <c r="AV61" s="221"/>
      <c r="AW61" s="221"/>
      <c r="AY61" s="218" t="str">
        <f t="shared" si="257"/>
        <v/>
      </c>
      <c r="AZ61" s="218" t="str">
        <f t="shared" si="258"/>
        <v/>
      </c>
      <c r="BA61" s="218" t="str">
        <f t="shared" si="259"/>
        <v/>
      </c>
      <c r="BB61" s="218" t="str">
        <f t="shared" si="260"/>
        <v/>
      </c>
      <c r="BC61" s="218" t="str">
        <f t="shared" si="261"/>
        <v/>
      </c>
      <c r="BD61" s="218" t="str">
        <f t="shared" si="262"/>
        <v/>
      </c>
      <c r="BE61" s="218" t="str">
        <f t="shared" si="263"/>
        <v/>
      </c>
      <c r="BF61" s="218" t="str">
        <f t="shared" si="264"/>
        <v/>
      </c>
      <c r="BG61" s="218" t="str">
        <f t="shared" si="265"/>
        <v/>
      </c>
      <c r="BH61" s="218" t="str">
        <f t="shared" si="266"/>
        <v/>
      </c>
      <c r="BI61" s="218" t="str">
        <f t="shared" si="267"/>
        <v/>
      </c>
      <c r="BJ61" s="218" t="str">
        <f t="shared" si="268"/>
        <v/>
      </c>
      <c r="BK61" s="218" t="str">
        <f t="shared" si="269"/>
        <v/>
      </c>
      <c r="BL61" s="218" t="str">
        <f t="shared" si="270"/>
        <v/>
      </c>
      <c r="BM61" s="218" t="str">
        <f t="shared" si="271"/>
        <v/>
      </c>
      <c r="BN61" s="218" t="str">
        <f t="shared" si="272"/>
        <v/>
      </c>
      <c r="BO61" s="218" t="str">
        <f t="shared" si="273"/>
        <v/>
      </c>
      <c r="BP61" s="218" t="str">
        <f t="shared" si="274"/>
        <v/>
      </c>
      <c r="BQ61" s="218" t="str">
        <f t="shared" si="275"/>
        <v/>
      </c>
      <c r="BR61" s="218" t="str">
        <f t="shared" si="276"/>
        <v/>
      </c>
      <c r="BS61" s="218" t="str">
        <f t="shared" si="277"/>
        <v/>
      </c>
      <c r="BT61" s="218" t="str">
        <f t="shared" si="278"/>
        <v/>
      </c>
      <c r="BU61" s="218" t="str">
        <f t="shared" si="279"/>
        <v/>
      </c>
      <c r="BV61" s="218" t="str">
        <f t="shared" si="280"/>
        <v/>
      </c>
      <c r="BW61" s="218" t="str">
        <f t="shared" si="281"/>
        <v/>
      </c>
      <c r="BX61" s="218" t="str">
        <f t="shared" si="282"/>
        <v/>
      </c>
      <c r="BY61" s="218" t="str">
        <f t="shared" si="283"/>
        <v/>
      </c>
      <c r="BZ61" s="218" t="str">
        <f t="shared" si="284"/>
        <v/>
      </c>
      <c r="CA61" s="218" t="str">
        <f t="shared" si="285"/>
        <v/>
      </c>
      <c r="CB61" s="218" t="str">
        <f t="shared" si="286"/>
        <v/>
      </c>
      <c r="CD61" s="218" t="str">
        <f t="shared" si="287"/>
        <v/>
      </c>
      <c r="CE61" s="218" t="str">
        <f t="shared" si="288"/>
        <v/>
      </c>
      <c r="CF61" s="218" t="str">
        <f t="shared" si="289"/>
        <v/>
      </c>
      <c r="CG61" s="218" t="str">
        <f t="shared" si="290"/>
        <v/>
      </c>
      <c r="CH61" s="218" t="str">
        <f t="shared" si="291"/>
        <v/>
      </c>
      <c r="CI61" s="218" t="str">
        <f t="shared" si="292"/>
        <v/>
      </c>
      <c r="CJ61" s="218" t="str">
        <f t="shared" si="293"/>
        <v/>
      </c>
      <c r="CK61" s="218" t="str">
        <f t="shared" si="294"/>
        <v/>
      </c>
      <c r="CL61" s="218" t="str">
        <f t="shared" si="295"/>
        <v/>
      </c>
      <c r="CM61" s="218" t="str">
        <f t="shared" si="296"/>
        <v/>
      </c>
      <c r="CN61" s="218" t="str">
        <f t="shared" si="297"/>
        <v/>
      </c>
      <c r="CO61" s="218" t="str">
        <f t="shared" si="298"/>
        <v/>
      </c>
      <c r="CP61" s="218" t="str">
        <f t="shared" si="299"/>
        <v/>
      </c>
      <c r="CQ61" s="218" t="str">
        <f t="shared" si="300"/>
        <v/>
      </c>
      <c r="CR61" s="218" t="str">
        <f t="shared" si="301"/>
        <v/>
      </c>
      <c r="CS61" s="218" t="str">
        <f t="shared" si="302"/>
        <v/>
      </c>
      <c r="CT61" s="218" t="str">
        <f t="shared" si="303"/>
        <v/>
      </c>
      <c r="CU61" s="218" t="str">
        <f t="shared" si="304"/>
        <v/>
      </c>
      <c r="CV61" s="218" t="str">
        <f t="shared" si="305"/>
        <v/>
      </c>
      <c r="CW61" s="218" t="str">
        <f t="shared" si="306"/>
        <v/>
      </c>
      <c r="CX61" s="218" t="str">
        <f t="shared" si="307"/>
        <v/>
      </c>
      <c r="CY61" s="218" t="str">
        <f t="shared" si="308"/>
        <v/>
      </c>
      <c r="CZ61" s="218" t="str">
        <f t="shared" si="309"/>
        <v/>
      </c>
      <c r="DA61" s="218" t="str">
        <f t="shared" si="310"/>
        <v/>
      </c>
      <c r="DB61" s="218" t="str">
        <f t="shared" si="64"/>
        <v/>
      </c>
      <c r="DC61" s="218" t="str">
        <f t="shared" si="311"/>
        <v/>
      </c>
      <c r="DD61" s="218" t="str">
        <f t="shared" si="312"/>
        <v/>
      </c>
      <c r="DF61" s="218" t="str">
        <f t="shared" si="313"/>
        <v/>
      </c>
      <c r="DG61" s="218" t="str">
        <f t="shared" si="314"/>
        <v/>
      </c>
      <c r="DH61" s="218" t="str">
        <f t="shared" si="315"/>
        <v/>
      </c>
      <c r="DI61" s="218" t="str">
        <f t="shared" si="316"/>
        <v/>
      </c>
      <c r="DJ61" s="218" t="str">
        <f t="shared" si="317"/>
        <v/>
      </c>
      <c r="DK61" s="218" t="str">
        <f t="shared" si="318"/>
        <v/>
      </c>
      <c r="DL61" s="218" t="str">
        <f t="shared" si="319"/>
        <v/>
      </c>
      <c r="DM61" s="218" t="str">
        <f t="shared" si="320"/>
        <v/>
      </c>
      <c r="DN61" s="218" t="str">
        <f t="shared" si="321"/>
        <v/>
      </c>
      <c r="DO61" s="218" t="str">
        <f t="shared" si="322"/>
        <v/>
      </c>
      <c r="DP61" s="218" t="str">
        <f t="shared" si="323"/>
        <v/>
      </c>
      <c r="DQ61" s="218" t="str">
        <f t="shared" si="324"/>
        <v/>
      </c>
      <c r="DR61" s="218" t="str">
        <f t="shared" si="325"/>
        <v/>
      </c>
      <c r="DS61" s="218" t="str">
        <f t="shared" si="326"/>
        <v/>
      </c>
      <c r="DT61" s="218" t="str">
        <f t="shared" si="327"/>
        <v/>
      </c>
      <c r="DU61" s="218" t="str">
        <f t="shared" si="328"/>
        <v/>
      </c>
      <c r="DV61" s="218" t="str">
        <f t="shared" si="329"/>
        <v/>
      </c>
      <c r="DW61" s="218" t="str">
        <f t="shared" si="330"/>
        <v/>
      </c>
      <c r="DX61" s="218" t="str">
        <f t="shared" si="331"/>
        <v/>
      </c>
      <c r="DY61" s="218" t="str">
        <f t="shared" si="332"/>
        <v/>
      </c>
      <c r="DZ61" s="218" t="str">
        <f t="shared" si="333"/>
        <v/>
      </c>
      <c r="EA61" s="218" t="str">
        <f t="shared" si="334"/>
        <v/>
      </c>
      <c r="EB61" s="218" t="str">
        <f t="shared" si="335"/>
        <v/>
      </c>
      <c r="EC61" s="218" t="str">
        <f t="shared" si="336"/>
        <v/>
      </c>
      <c r="EE61" s="218" t="str">
        <f t="shared" si="337"/>
        <v/>
      </c>
      <c r="EF61" s="218" t="str">
        <f t="shared" si="338"/>
        <v/>
      </c>
      <c r="EG61" s="218" t="str">
        <f t="shared" si="339"/>
        <v/>
      </c>
      <c r="EH61" s="218" t="str">
        <f t="shared" si="340"/>
        <v/>
      </c>
      <c r="EI61" s="218" t="str">
        <f t="shared" si="341"/>
        <v/>
      </c>
      <c r="EJ61" s="218" t="str">
        <f t="shared" si="342"/>
        <v/>
      </c>
      <c r="EK61" s="218" t="str">
        <f t="shared" si="343"/>
        <v/>
      </c>
      <c r="EL61" s="218" t="str">
        <f t="shared" si="344"/>
        <v/>
      </c>
      <c r="EM61" s="218" t="str">
        <f t="shared" si="345"/>
        <v/>
      </c>
      <c r="EN61" s="218" t="str">
        <f t="shared" si="346"/>
        <v/>
      </c>
      <c r="EO61" s="218" t="str">
        <f t="shared" si="347"/>
        <v/>
      </c>
      <c r="EP61" s="218" t="str">
        <f t="shared" si="348"/>
        <v/>
      </c>
      <c r="EQ61" s="218" t="str">
        <f t="shared" si="349"/>
        <v/>
      </c>
      <c r="ER61" s="218" t="str">
        <f t="shared" si="350"/>
        <v/>
      </c>
      <c r="ES61" s="218" t="str">
        <f t="shared" si="351"/>
        <v/>
      </c>
      <c r="ET61" s="218" t="str">
        <f t="shared" si="352"/>
        <v/>
      </c>
      <c r="EU61" s="218" t="str">
        <f t="shared" si="353"/>
        <v/>
      </c>
      <c r="EV61" s="218" t="str">
        <f t="shared" si="354"/>
        <v/>
      </c>
      <c r="EW61" s="218" t="str">
        <f t="shared" si="355"/>
        <v/>
      </c>
      <c r="EX61" s="218" t="str">
        <f t="shared" si="356"/>
        <v/>
      </c>
      <c r="EY61" s="218" t="str">
        <f t="shared" si="357"/>
        <v/>
      </c>
      <c r="FA61" s="218" t="str">
        <f t="shared" si="358"/>
        <v/>
      </c>
      <c r="FB61" s="218" t="str">
        <f t="shared" si="359"/>
        <v/>
      </c>
      <c r="FC61" s="218" t="str">
        <f t="shared" si="360"/>
        <v/>
      </c>
      <c r="FD61" s="218" t="str">
        <f t="shared" si="361"/>
        <v/>
      </c>
      <c r="FE61" s="218" t="str">
        <f t="shared" si="362"/>
        <v/>
      </c>
      <c r="FF61" s="218" t="str">
        <f t="shared" si="363"/>
        <v/>
      </c>
      <c r="FG61" s="218" t="str">
        <f t="shared" si="364"/>
        <v/>
      </c>
      <c r="FH61" s="218" t="str">
        <f t="shared" si="365"/>
        <v/>
      </c>
      <c r="FI61" s="218" t="str">
        <f t="shared" si="366"/>
        <v/>
      </c>
      <c r="FJ61" s="218" t="str">
        <f t="shared" si="367"/>
        <v/>
      </c>
      <c r="FK61" s="218" t="str">
        <f t="shared" si="368"/>
        <v/>
      </c>
      <c r="FL61" s="218" t="str">
        <f t="shared" si="369"/>
        <v/>
      </c>
      <c r="FM61" s="218" t="str">
        <f t="shared" si="370"/>
        <v/>
      </c>
      <c r="FN61" s="218" t="str">
        <f t="shared" si="371"/>
        <v/>
      </c>
      <c r="FO61" s="218" t="str">
        <f t="shared" si="372"/>
        <v/>
      </c>
      <c r="FP61" s="218" t="str">
        <f t="shared" si="373"/>
        <v/>
      </c>
      <c r="FQ61" s="218" t="str">
        <f t="shared" si="374"/>
        <v/>
      </c>
      <c r="FR61" s="218" t="str">
        <f t="shared" si="375"/>
        <v/>
      </c>
      <c r="FT61" s="218" t="str">
        <f t="shared" si="376"/>
        <v/>
      </c>
      <c r="FU61" s="218" t="str">
        <f t="shared" si="377"/>
        <v/>
      </c>
      <c r="FV61" s="218" t="str">
        <f t="shared" si="378"/>
        <v/>
      </c>
      <c r="FW61" s="218" t="str">
        <f t="shared" si="379"/>
        <v/>
      </c>
      <c r="FX61" s="218" t="str">
        <f t="shared" si="380"/>
        <v/>
      </c>
      <c r="FY61" s="218" t="str">
        <f t="shared" si="381"/>
        <v/>
      </c>
      <c r="FZ61" s="218" t="str">
        <f t="shared" si="382"/>
        <v/>
      </c>
      <c r="GA61" s="218" t="str">
        <f t="shared" si="383"/>
        <v/>
      </c>
      <c r="GB61" s="218" t="str">
        <f t="shared" si="384"/>
        <v/>
      </c>
      <c r="GC61" s="218" t="str">
        <f t="shared" si="385"/>
        <v/>
      </c>
      <c r="GD61" s="218" t="str">
        <f t="shared" si="386"/>
        <v/>
      </c>
      <c r="GE61" s="218" t="str">
        <f t="shared" si="387"/>
        <v/>
      </c>
      <c r="GF61" s="218" t="str">
        <f t="shared" si="388"/>
        <v/>
      </c>
      <c r="GG61" s="218" t="str">
        <f t="shared" si="389"/>
        <v/>
      </c>
      <c r="GH61" s="218" t="str">
        <f t="shared" si="390"/>
        <v/>
      </c>
      <c r="GJ61" s="218" t="str">
        <f t="shared" si="391"/>
        <v/>
      </c>
      <c r="GK61" s="218" t="str">
        <f t="shared" si="392"/>
        <v/>
      </c>
      <c r="GL61" s="218" t="str">
        <f t="shared" si="393"/>
        <v/>
      </c>
      <c r="GM61" s="218" t="str">
        <f t="shared" si="394"/>
        <v/>
      </c>
      <c r="GN61" s="218" t="str">
        <f t="shared" si="395"/>
        <v/>
      </c>
      <c r="GO61" s="218" t="str">
        <f t="shared" si="396"/>
        <v/>
      </c>
      <c r="GP61" s="218" t="str">
        <f t="shared" si="397"/>
        <v/>
      </c>
      <c r="GQ61" s="218" t="str">
        <f t="shared" si="398"/>
        <v/>
      </c>
      <c r="GR61" s="218" t="str">
        <f t="shared" si="399"/>
        <v/>
      </c>
      <c r="GS61" s="218" t="str">
        <f t="shared" si="400"/>
        <v/>
      </c>
      <c r="GT61" s="218" t="str">
        <f t="shared" si="401"/>
        <v/>
      </c>
      <c r="GU61" s="218" t="str">
        <f t="shared" si="402"/>
        <v/>
      </c>
      <c r="GW61" s="218" t="str">
        <f t="shared" si="403"/>
        <v/>
      </c>
      <c r="GX61" s="218" t="str">
        <f t="shared" si="404"/>
        <v/>
      </c>
      <c r="GY61" s="218" t="str">
        <f t="shared" si="405"/>
        <v/>
      </c>
      <c r="GZ61" s="218" t="str">
        <f t="shared" si="406"/>
        <v/>
      </c>
      <c r="HA61" s="218" t="str">
        <f t="shared" si="407"/>
        <v/>
      </c>
      <c r="HB61" s="218" t="str">
        <f t="shared" si="408"/>
        <v/>
      </c>
      <c r="HC61" s="218" t="str">
        <f t="shared" si="409"/>
        <v/>
      </c>
      <c r="HD61" s="218" t="str">
        <f t="shared" si="410"/>
        <v/>
      </c>
      <c r="HE61" s="218" t="str">
        <f t="shared" si="411"/>
        <v/>
      </c>
      <c r="HG61" s="218" t="str">
        <f t="shared" si="412"/>
        <v/>
      </c>
      <c r="HH61" s="218" t="str">
        <f t="shared" si="413"/>
        <v/>
      </c>
      <c r="HI61" s="218" t="str">
        <f t="shared" si="414"/>
        <v/>
      </c>
      <c r="HJ61" s="218" t="str">
        <f t="shared" si="415"/>
        <v/>
      </c>
      <c r="HK61" s="218" t="str">
        <f t="shared" si="416"/>
        <v/>
      </c>
      <c r="HL61" s="218" t="str">
        <f t="shared" si="417"/>
        <v/>
      </c>
      <c r="HN61" s="218" t="str">
        <f t="shared" si="418"/>
        <v/>
      </c>
      <c r="HO61" s="218" t="str">
        <f t="shared" si="419"/>
        <v/>
      </c>
      <c r="HP61" s="218" t="str">
        <f t="shared" si="420"/>
        <v/>
      </c>
      <c r="HR61" s="218" t="str">
        <f t="shared" si="421"/>
        <v/>
      </c>
      <c r="HS61" s="218" t="str">
        <f t="shared" si="225"/>
        <v/>
      </c>
      <c r="HT61" s="218" t="str">
        <f t="shared" si="422"/>
        <v/>
      </c>
      <c r="HU61" s="218" t="str">
        <f t="shared" si="176"/>
        <v/>
      </c>
      <c r="HV61" s="218" t="str">
        <f t="shared" si="423"/>
        <v/>
      </c>
      <c r="HW61" s="218" t="str">
        <f t="shared" si="424"/>
        <v/>
      </c>
      <c r="HX61" s="218" t="str">
        <f t="shared" si="425"/>
        <v/>
      </c>
      <c r="HY61" s="218" t="str">
        <f t="shared" si="180"/>
        <v/>
      </c>
      <c r="HZ61" s="218" t="str">
        <f t="shared" si="426"/>
        <v/>
      </c>
      <c r="IA61" s="218" t="str">
        <f t="shared" si="427"/>
        <v/>
      </c>
      <c r="IB61" s="218" t="str">
        <f t="shared" si="183"/>
        <v/>
      </c>
      <c r="IC61" s="218" t="str">
        <f t="shared" si="428"/>
        <v/>
      </c>
      <c r="ID61" s="218" t="str">
        <f t="shared" si="429"/>
        <v/>
      </c>
      <c r="IE61" s="218" t="str">
        <f t="shared" si="186"/>
        <v/>
      </c>
      <c r="IF61" s="218" t="str">
        <f t="shared" si="430"/>
        <v/>
      </c>
      <c r="IG61" s="218" t="str">
        <f t="shared" si="431"/>
        <v/>
      </c>
      <c r="IH61" s="218" t="str">
        <f t="shared" si="189"/>
        <v/>
      </c>
      <c r="II61" s="218" t="str">
        <f t="shared" si="432"/>
        <v/>
      </c>
      <c r="IJ61" s="218" t="str">
        <f t="shared" si="433"/>
        <v/>
      </c>
      <c r="IK61" s="218" t="str">
        <f t="shared" si="192"/>
        <v/>
      </c>
      <c r="IL61" s="218" t="str">
        <f t="shared" si="434"/>
        <v/>
      </c>
      <c r="IM61" s="218" t="str">
        <f t="shared" si="435"/>
        <v/>
      </c>
      <c r="IN61" s="218" t="str">
        <f t="shared" si="195"/>
        <v/>
      </c>
      <c r="IO61" s="218" t="str">
        <f t="shared" si="436"/>
        <v/>
      </c>
      <c r="IP61" s="218" t="str">
        <f t="shared" si="437"/>
        <v/>
      </c>
      <c r="IQ61" s="218" t="str">
        <f t="shared" si="198"/>
        <v/>
      </c>
      <c r="IR61" s="218" t="str">
        <f t="shared" si="438"/>
        <v/>
      </c>
      <c r="IS61" s="218" t="str">
        <f t="shared" si="439"/>
        <v/>
      </c>
      <c r="IT61" s="218" t="str">
        <f t="shared" si="201"/>
        <v/>
      </c>
      <c r="IU61" s="218" t="str">
        <f t="shared" si="440"/>
        <v/>
      </c>
    </row>
    <row r="62" spans="1:255" x14ac:dyDescent="0.2">
      <c r="A62" s="200" t="s">
        <v>65</v>
      </c>
      <c r="B62" s="178"/>
      <c r="C62" s="180"/>
      <c r="D62" s="197"/>
      <c r="E62" s="197"/>
      <c r="F62" s="197"/>
      <c r="G62" s="181"/>
      <c r="H62" s="181"/>
      <c r="I62" s="181"/>
      <c r="J62" s="181"/>
      <c r="K62" s="185"/>
      <c r="L62" s="217" t="str">
        <f t="shared" si="29"/>
        <v/>
      </c>
      <c r="M62" s="218" t="str">
        <f>'HKG vs. BK'!M62</f>
        <v/>
      </c>
      <c r="N62" s="218" t="str">
        <f>'HKG vs. BK'!N62</f>
        <v/>
      </c>
      <c r="O62" s="218" t="str">
        <f>'HKG vs. BK'!O62</f>
        <v/>
      </c>
      <c r="P62" s="218" t="str">
        <f>'HKG vs. BK'!P62</f>
        <v/>
      </c>
      <c r="Q62" s="219" t="str">
        <f t="shared" si="227"/>
        <v/>
      </c>
      <c r="R62" s="220" t="str">
        <f t="shared" si="228"/>
        <v/>
      </c>
      <c r="S62" s="220" t="str">
        <f t="shared" si="229"/>
        <v/>
      </c>
      <c r="T62" s="219" t="str">
        <f t="shared" si="230"/>
        <v/>
      </c>
      <c r="U62" s="220" t="str">
        <f t="shared" si="231"/>
        <v/>
      </c>
      <c r="V62" s="220" t="str">
        <f t="shared" si="232"/>
        <v/>
      </c>
      <c r="W62" s="219" t="str">
        <f t="shared" si="233"/>
        <v/>
      </c>
      <c r="X62" s="220" t="str">
        <f t="shared" si="234"/>
        <v/>
      </c>
      <c r="Y62" s="220" t="str">
        <f t="shared" si="235"/>
        <v/>
      </c>
      <c r="Z62" s="219" t="str">
        <f t="shared" si="236"/>
        <v/>
      </c>
      <c r="AA62" s="220" t="str">
        <f t="shared" si="237"/>
        <v/>
      </c>
      <c r="AB62" s="220" t="str">
        <f t="shared" si="238"/>
        <v/>
      </c>
      <c r="AC62" s="219" t="str">
        <f t="shared" si="239"/>
        <v/>
      </c>
      <c r="AD62" s="220" t="str">
        <f t="shared" si="240"/>
        <v/>
      </c>
      <c r="AE62" s="220" t="str">
        <f t="shared" si="241"/>
        <v/>
      </c>
      <c r="AF62" s="219" t="str">
        <f t="shared" si="242"/>
        <v/>
      </c>
      <c r="AG62" s="220" t="str">
        <f t="shared" si="243"/>
        <v/>
      </c>
      <c r="AH62" s="220" t="str">
        <f t="shared" si="244"/>
        <v/>
      </c>
      <c r="AI62" s="219" t="str">
        <f t="shared" si="245"/>
        <v/>
      </c>
      <c r="AJ62" s="220" t="str">
        <f t="shared" si="246"/>
        <v/>
      </c>
      <c r="AK62" s="220" t="str">
        <f t="shared" si="247"/>
        <v/>
      </c>
      <c r="AL62" s="219" t="str">
        <f t="shared" si="248"/>
        <v/>
      </c>
      <c r="AM62" s="220" t="str">
        <f t="shared" si="249"/>
        <v/>
      </c>
      <c r="AN62" s="220" t="str">
        <f t="shared" si="250"/>
        <v/>
      </c>
      <c r="AO62" s="219" t="str">
        <f t="shared" si="251"/>
        <v/>
      </c>
      <c r="AP62" s="220" t="str">
        <f t="shared" si="252"/>
        <v/>
      </c>
      <c r="AQ62" s="220" t="str">
        <f t="shared" si="253"/>
        <v/>
      </c>
      <c r="AR62" s="219" t="str">
        <f t="shared" si="254"/>
        <v/>
      </c>
      <c r="AS62" s="220" t="str">
        <f t="shared" si="255"/>
        <v/>
      </c>
      <c r="AT62" s="220" t="str">
        <f t="shared" si="256"/>
        <v/>
      </c>
      <c r="AU62" s="221"/>
      <c r="AV62" s="221"/>
      <c r="AW62" s="221"/>
      <c r="AY62" s="218" t="str">
        <f t="shared" si="257"/>
        <v/>
      </c>
      <c r="AZ62" s="218" t="str">
        <f t="shared" si="258"/>
        <v/>
      </c>
      <c r="BA62" s="218" t="str">
        <f t="shared" si="259"/>
        <v/>
      </c>
      <c r="BB62" s="218" t="str">
        <f t="shared" si="260"/>
        <v/>
      </c>
      <c r="BC62" s="218" t="str">
        <f t="shared" si="261"/>
        <v/>
      </c>
      <c r="BD62" s="218" t="str">
        <f t="shared" si="262"/>
        <v/>
      </c>
      <c r="BE62" s="218" t="str">
        <f t="shared" si="263"/>
        <v/>
      </c>
      <c r="BF62" s="218" t="str">
        <f t="shared" si="264"/>
        <v/>
      </c>
      <c r="BG62" s="218" t="str">
        <f t="shared" si="265"/>
        <v/>
      </c>
      <c r="BH62" s="218" t="str">
        <f t="shared" si="266"/>
        <v/>
      </c>
      <c r="BI62" s="218" t="str">
        <f t="shared" si="267"/>
        <v/>
      </c>
      <c r="BJ62" s="218" t="str">
        <f t="shared" si="268"/>
        <v/>
      </c>
      <c r="BK62" s="218" t="str">
        <f t="shared" si="269"/>
        <v/>
      </c>
      <c r="BL62" s="218" t="str">
        <f t="shared" si="270"/>
        <v/>
      </c>
      <c r="BM62" s="218" t="str">
        <f t="shared" si="271"/>
        <v/>
      </c>
      <c r="BN62" s="218" t="str">
        <f t="shared" si="272"/>
        <v/>
      </c>
      <c r="BO62" s="218" t="str">
        <f t="shared" si="273"/>
        <v/>
      </c>
      <c r="BP62" s="218" t="str">
        <f t="shared" si="274"/>
        <v/>
      </c>
      <c r="BQ62" s="218" t="str">
        <f t="shared" si="275"/>
        <v/>
      </c>
      <c r="BR62" s="218" t="str">
        <f t="shared" si="276"/>
        <v/>
      </c>
      <c r="BS62" s="218" t="str">
        <f t="shared" si="277"/>
        <v/>
      </c>
      <c r="BT62" s="218" t="str">
        <f t="shared" si="278"/>
        <v/>
      </c>
      <c r="BU62" s="218" t="str">
        <f t="shared" si="279"/>
        <v/>
      </c>
      <c r="BV62" s="218" t="str">
        <f t="shared" si="280"/>
        <v/>
      </c>
      <c r="BW62" s="218" t="str">
        <f t="shared" si="281"/>
        <v/>
      </c>
      <c r="BX62" s="218" t="str">
        <f t="shared" si="282"/>
        <v/>
      </c>
      <c r="BY62" s="218" t="str">
        <f t="shared" si="283"/>
        <v/>
      </c>
      <c r="BZ62" s="218" t="str">
        <f t="shared" si="284"/>
        <v/>
      </c>
      <c r="CA62" s="218" t="str">
        <f t="shared" si="285"/>
        <v/>
      </c>
      <c r="CB62" s="218" t="str">
        <f t="shared" si="286"/>
        <v/>
      </c>
      <c r="CD62" s="218" t="str">
        <f t="shared" si="287"/>
        <v/>
      </c>
      <c r="CE62" s="218" t="str">
        <f t="shared" si="288"/>
        <v/>
      </c>
      <c r="CF62" s="218" t="str">
        <f t="shared" si="289"/>
        <v/>
      </c>
      <c r="CG62" s="218" t="str">
        <f t="shared" si="290"/>
        <v/>
      </c>
      <c r="CH62" s="218" t="str">
        <f t="shared" si="291"/>
        <v/>
      </c>
      <c r="CI62" s="218" t="str">
        <f t="shared" si="292"/>
        <v/>
      </c>
      <c r="CJ62" s="218" t="str">
        <f t="shared" si="293"/>
        <v/>
      </c>
      <c r="CK62" s="218" t="str">
        <f t="shared" si="294"/>
        <v/>
      </c>
      <c r="CL62" s="218" t="str">
        <f t="shared" si="295"/>
        <v/>
      </c>
      <c r="CM62" s="218" t="str">
        <f t="shared" si="296"/>
        <v/>
      </c>
      <c r="CN62" s="218" t="str">
        <f t="shared" si="297"/>
        <v/>
      </c>
      <c r="CO62" s="218" t="str">
        <f t="shared" si="298"/>
        <v/>
      </c>
      <c r="CP62" s="218" t="str">
        <f t="shared" si="299"/>
        <v/>
      </c>
      <c r="CQ62" s="218" t="str">
        <f t="shared" si="300"/>
        <v/>
      </c>
      <c r="CR62" s="218" t="str">
        <f t="shared" si="301"/>
        <v/>
      </c>
      <c r="CS62" s="218" t="str">
        <f t="shared" si="302"/>
        <v/>
      </c>
      <c r="CT62" s="218" t="str">
        <f t="shared" si="303"/>
        <v/>
      </c>
      <c r="CU62" s="218" t="str">
        <f t="shared" si="304"/>
        <v/>
      </c>
      <c r="CV62" s="218" t="str">
        <f t="shared" si="305"/>
        <v/>
      </c>
      <c r="CW62" s="218" t="str">
        <f t="shared" si="306"/>
        <v/>
      </c>
      <c r="CX62" s="218" t="str">
        <f t="shared" si="307"/>
        <v/>
      </c>
      <c r="CY62" s="218" t="str">
        <f t="shared" si="308"/>
        <v/>
      </c>
      <c r="CZ62" s="218" t="str">
        <f t="shared" si="309"/>
        <v/>
      </c>
      <c r="DA62" s="218" t="str">
        <f t="shared" si="310"/>
        <v/>
      </c>
      <c r="DB62" s="218" t="str">
        <f t="shared" si="64"/>
        <v/>
      </c>
      <c r="DC62" s="218" t="str">
        <f t="shared" si="311"/>
        <v/>
      </c>
      <c r="DD62" s="218" t="str">
        <f t="shared" si="312"/>
        <v/>
      </c>
      <c r="DF62" s="218" t="str">
        <f t="shared" si="313"/>
        <v/>
      </c>
      <c r="DG62" s="218" t="str">
        <f t="shared" si="314"/>
        <v/>
      </c>
      <c r="DH62" s="218" t="str">
        <f t="shared" si="315"/>
        <v/>
      </c>
      <c r="DI62" s="218" t="str">
        <f t="shared" si="316"/>
        <v/>
      </c>
      <c r="DJ62" s="218" t="str">
        <f t="shared" si="317"/>
        <v/>
      </c>
      <c r="DK62" s="218" t="str">
        <f t="shared" si="318"/>
        <v/>
      </c>
      <c r="DL62" s="218" t="str">
        <f t="shared" si="319"/>
        <v/>
      </c>
      <c r="DM62" s="218" t="str">
        <f t="shared" si="320"/>
        <v/>
      </c>
      <c r="DN62" s="218" t="str">
        <f t="shared" si="321"/>
        <v/>
      </c>
      <c r="DO62" s="218" t="str">
        <f t="shared" si="322"/>
        <v/>
      </c>
      <c r="DP62" s="218" t="str">
        <f t="shared" si="323"/>
        <v/>
      </c>
      <c r="DQ62" s="218" t="str">
        <f t="shared" si="324"/>
        <v/>
      </c>
      <c r="DR62" s="218" t="str">
        <f t="shared" si="325"/>
        <v/>
      </c>
      <c r="DS62" s="218" t="str">
        <f t="shared" si="326"/>
        <v/>
      </c>
      <c r="DT62" s="218" t="str">
        <f t="shared" si="327"/>
        <v/>
      </c>
      <c r="DU62" s="218" t="str">
        <f t="shared" si="328"/>
        <v/>
      </c>
      <c r="DV62" s="218" t="str">
        <f t="shared" si="329"/>
        <v/>
      </c>
      <c r="DW62" s="218" t="str">
        <f t="shared" si="330"/>
        <v/>
      </c>
      <c r="DX62" s="218" t="str">
        <f t="shared" si="331"/>
        <v/>
      </c>
      <c r="DY62" s="218" t="str">
        <f t="shared" si="332"/>
        <v/>
      </c>
      <c r="DZ62" s="218" t="str">
        <f t="shared" si="333"/>
        <v/>
      </c>
      <c r="EA62" s="218" t="str">
        <f t="shared" si="334"/>
        <v/>
      </c>
      <c r="EB62" s="218" t="str">
        <f t="shared" si="335"/>
        <v/>
      </c>
      <c r="EC62" s="218" t="str">
        <f t="shared" si="336"/>
        <v/>
      </c>
      <c r="EE62" s="218" t="str">
        <f t="shared" si="337"/>
        <v/>
      </c>
      <c r="EF62" s="218" t="str">
        <f t="shared" si="338"/>
        <v/>
      </c>
      <c r="EG62" s="218" t="str">
        <f t="shared" si="339"/>
        <v/>
      </c>
      <c r="EH62" s="218" t="str">
        <f t="shared" si="340"/>
        <v/>
      </c>
      <c r="EI62" s="218" t="str">
        <f t="shared" si="341"/>
        <v/>
      </c>
      <c r="EJ62" s="218" t="str">
        <f t="shared" si="342"/>
        <v/>
      </c>
      <c r="EK62" s="218" t="str">
        <f t="shared" si="343"/>
        <v/>
      </c>
      <c r="EL62" s="218" t="str">
        <f t="shared" si="344"/>
        <v/>
      </c>
      <c r="EM62" s="218" t="str">
        <f t="shared" si="345"/>
        <v/>
      </c>
      <c r="EN62" s="218" t="str">
        <f t="shared" si="346"/>
        <v/>
      </c>
      <c r="EO62" s="218" t="str">
        <f t="shared" si="347"/>
        <v/>
      </c>
      <c r="EP62" s="218" t="str">
        <f t="shared" si="348"/>
        <v/>
      </c>
      <c r="EQ62" s="218" t="str">
        <f t="shared" si="349"/>
        <v/>
      </c>
      <c r="ER62" s="218" t="str">
        <f t="shared" si="350"/>
        <v/>
      </c>
      <c r="ES62" s="218" t="str">
        <f t="shared" si="351"/>
        <v/>
      </c>
      <c r="ET62" s="218" t="str">
        <f t="shared" si="352"/>
        <v/>
      </c>
      <c r="EU62" s="218" t="str">
        <f t="shared" si="353"/>
        <v/>
      </c>
      <c r="EV62" s="218" t="str">
        <f t="shared" si="354"/>
        <v/>
      </c>
      <c r="EW62" s="218" t="str">
        <f t="shared" si="355"/>
        <v/>
      </c>
      <c r="EX62" s="218" t="str">
        <f t="shared" si="356"/>
        <v/>
      </c>
      <c r="EY62" s="218" t="str">
        <f t="shared" si="357"/>
        <v/>
      </c>
      <c r="FA62" s="218" t="str">
        <f t="shared" si="358"/>
        <v/>
      </c>
      <c r="FB62" s="218" t="str">
        <f t="shared" si="359"/>
        <v/>
      </c>
      <c r="FC62" s="218" t="str">
        <f t="shared" si="360"/>
        <v/>
      </c>
      <c r="FD62" s="218" t="str">
        <f t="shared" si="361"/>
        <v/>
      </c>
      <c r="FE62" s="218" t="str">
        <f t="shared" si="362"/>
        <v/>
      </c>
      <c r="FF62" s="218" t="str">
        <f t="shared" si="363"/>
        <v/>
      </c>
      <c r="FG62" s="218" t="str">
        <f t="shared" si="364"/>
        <v/>
      </c>
      <c r="FH62" s="218" t="str">
        <f t="shared" si="365"/>
        <v/>
      </c>
      <c r="FI62" s="218" t="str">
        <f t="shared" si="366"/>
        <v/>
      </c>
      <c r="FJ62" s="218" t="str">
        <f t="shared" si="367"/>
        <v/>
      </c>
      <c r="FK62" s="218" t="str">
        <f t="shared" si="368"/>
        <v/>
      </c>
      <c r="FL62" s="218" t="str">
        <f t="shared" si="369"/>
        <v/>
      </c>
      <c r="FM62" s="218" t="str">
        <f t="shared" si="370"/>
        <v/>
      </c>
      <c r="FN62" s="218" t="str">
        <f t="shared" si="371"/>
        <v/>
      </c>
      <c r="FO62" s="218" t="str">
        <f t="shared" si="372"/>
        <v/>
      </c>
      <c r="FP62" s="218" t="str">
        <f t="shared" si="373"/>
        <v/>
      </c>
      <c r="FQ62" s="218" t="str">
        <f t="shared" si="374"/>
        <v/>
      </c>
      <c r="FR62" s="218" t="str">
        <f t="shared" si="375"/>
        <v/>
      </c>
      <c r="FT62" s="218" t="str">
        <f t="shared" si="376"/>
        <v/>
      </c>
      <c r="FU62" s="218" t="str">
        <f t="shared" si="377"/>
        <v/>
      </c>
      <c r="FV62" s="218" t="str">
        <f t="shared" si="378"/>
        <v/>
      </c>
      <c r="FW62" s="218" t="str">
        <f t="shared" si="379"/>
        <v/>
      </c>
      <c r="FX62" s="218" t="str">
        <f t="shared" si="380"/>
        <v/>
      </c>
      <c r="FY62" s="218" t="str">
        <f t="shared" si="381"/>
        <v/>
      </c>
      <c r="FZ62" s="218" t="str">
        <f t="shared" si="382"/>
        <v/>
      </c>
      <c r="GA62" s="218" t="str">
        <f t="shared" si="383"/>
        <v/>
      </c>
      <c r="GB62" s="218" t="str">
        <f t="shared" si="384"/>
        <v/>
      </c>
      <c r="GC62" s="218" t="str">
        <f t="shared" si="385"/>
        <v/>
      </c>
      <c r="GD62" s="218" t="str">
        <f t="shared" si="386"/>
        <v/>
      </c>
      <c r="GE62" s="218" t="str">
        <f t="shared" si="387"/>
        <v/>
      </c>
      <c r="GF62" s="218" t="str">
        <f t="shared" si="388"/>
        <v/>
      </c>
      <c r="GG62" s="218" t="str">
        <f t="shared" si="389"/>
        <v/>
      </c>
      <c r="GH62" s="218" t="str">
        <f t="shared" si="390"/>
        <v/>
      </c>
      <c r="GJ62" s="218" t="str">
        <f t="shared" si="391"/>
        <v/>
      </c>
      <c r="GK62" s="218" t="str">
        <f t="shared" si="392"/>
        <v/>
      </c>
      <c r="GL62" s="218" t="str">
        <f t="shared" si="393"/>
        <v/>
      </c>
      <c r="GM62" s="218" t="str">
        <f t="shared" si="394"/>
        <v/>
      </c>
      <c r="GN62" s="218" t="str">
        <f t="shared" si="395"/>
        <v/>
      </c>
      <c r="GO62" s="218" t="str">
        <f t="shared" si="396"/>
        <v/>
      </c>
      <c r="GP62" s="218" t="str">
        <f t="shared" si="397"/>
        <v/>
      </c>
      <c r="GQ62" s="218" t="str">
        <f t="shared" si="398"/>
        <v/>
      </c>
      <c r="GR62" s="218" t="str">
        <f t="shared" si="399"/>
        <v/>
      </c>
      <c r="GS62" s="218" t="str">
        <f t="shared" si="400"/>
        <v/>
      </c>
      <c r="GT62" s="218" t="str">
        <f t="shared" si="401"/>
        <v/>
      </c>
      <c r="GU62" s="218" t="str">
        <f t="shared" si="402"/>
        <v/>
      </c>
      <c r="GW62" s="218" t="str">
        <f t="shared" si="403"/>
        <v/>
      </c>
      <c r="GX62" s="218" t="str">
        <f t="shared" si="404"/>
        <v/>
      </c>
      <c r="GY62" s="218" t="str">
        <f t="shared" si="405"/>
        <v/>
      </c>
      <c r="GZ62" s="218" t="str">
        <f t="shared" si="406"/>
        <v/>
      </c>
      <c r="HA62" s="218" t="str">
        <f t="shared" si="407"/>
        <v/>
      </c>
      <c r="HB62" s="218" t="str">
        <f t="shared" si="408"/>
        <v/>
      </c>
      <c r="HC62" s="218" t="str">
        <f t="shared" si="409"/>
        <v/>
      </c>
      <c r="HD62" s="218" t="str">
        <f t="shared" si="410"/>
        <v/>
      </c>
      <c r="HE62" s="218" t="str">
        <f t="shared" si="411"/>
        <v/>
      </c>
      <c r="HG62" s="218" t="str">
        <f t="shared" si="412"/>
        <v/>
      </c>
      <c r="HH62" s="218" t="str">
        <f t="shared" si="413"/>
        <v/>
      </c>
      <c r="HI62" s="218" t="str">
        <f t="shared" si="414"/>
        <v/>
      </c>
      <c r="HJ62" s="218" t="str">
        <f t="shared" si="415"/>
        <v/>
      </c>
      <c r="HK62" s="218" t="str">
        <f t="shared" si="416"/>
        <v/>
      </c>
      <c r="HL62" s="218" t="str">
        <f t="shared" si="417"/>
        <v/>
      </c>
      <c r="HN62" s="218" t="str">
        <f t="shared" si="418"/>
        <v/>
      </c>
      <c r="HO62" s="218" t="str">
        <f t="shared" si="419"/>
        <v/>
      </c>
      <c r="HP62" s="218" t="str">
        <f t="shared" si="420"/>
        <v/>
      </c>
      <c r="HR62" s="218" t="str">
        <f t="shared" si="421"/>
        <v/>
      </c>
      <c r="HS62" s="218" t="str">
        <f t="shared" si="225"/>
        <v/>
      </c>
      <c r="HT62" s="218" t="str">
        <f t="shared" si="422"/>
        <v/>
      </c>
      <c r="HU62" s="218" t="str">
        <f t="shared" si="176"/>
        <v/>
      </c>
      <c r="HV62" s="218" t="str">
        <f t="shared" si="423"/>
        <v/>
      </c>
      <c r="HW62" s="218" t="str">
        <f t="shared" si="424"/>
        <v/>
      </c>
      <c r="HX62" s="218" t="str">
        <f t="shared" si="425"/>
        <v/>
      </c>
      <c r="HY62" s="218" t="str">
        <f t="shared" si="180"/>
        <v/>
      </c>
      <c r="HZ62" s="218" t="str">
        <f t="shared" si="426"/>
        <v/>
      </c>
      <c r="IA62" s="218" t="str">
        <f t="shared" si="427"/>
        <v/>
      </c>
      <c r="IB62" s="218" t="str">
        <f t="shared" si="183"/>
        <v/>
      </c>
      <c r="IC62" s="218" t="str">
        <f t="shared" si="428"/>
        <v/>
      </c>
      <c r="ID62" s="218" t="str">
        <f t="shared" si="429"/>
        <v/>
      </c>
      <c r="IE62" s="218" t="str">
        <f t="shared" si="186"/>
        <v/>
      </c>
      <c r="IF62" s="218" t="str">
        <f t="shared" si="430"/>
        <v/>
      </c>
      <c r="IG62" s="218" t="str">
        <f t="shared" si="431"/>
        <v/>
      </c>
      <c r="IH62" s="218" t="str">
        <f t="shared" si="189"/>
        <v/>
      </c>
      <c r="II62" s="218" t="str">
        <f t="shared" si="432"/>
        <v/>
      </c>
      <c r="IJ62" s="218" t="str">
        <f t="shared" si="433"/>
        <v/>
      </c>
      <c r="IK62" s="218" t="str">
        <f t="shared" si="192"/>
        <v/>
      </c>
      <c r="IL62" s="218" t="str">
        <f t="shared" si="434"/>
        <v/>
      </c>
      <c r="IM62" s="218" t="str">
        <f t="shared" si="435"/>
        <v/>
      </c>
      <c r="IN62" s="218" t="str">
        <f t="shared" si="195"/>
        <v/>
      </c>
      <c r="IO62" s="218" t="str">
        <f t="shared" si="436"/>
        <v/>
      </c>
      <c r="IP62" s="218" t="str">
        <f t="shared" si="437"/>
        <v/>
      </c>
      <c r="IQ62" s="218" t="str">
        <f t="shared" si="198"/>
        <v/>
      </c>
      <c r="IR62" s="218" t="str">
        <f t="shared" si="438"/>
        <v/>
      </c>
      <c r="IS62" s="218" t="str">
        <f t="shared" si="439"/>
        <v/>
      </c>
      <c r="IT62" s="218" t="str">
        <f t="shared" si="201"/>
        <v/>
      </c>
      <c r="IU62" s="218" t="str">
        <f t="shared" si="440"/>
        <v/>
      </c>
    </row>
    <row r="63" spans="1:255" x14ac:dyDescent="0.2">
      <c r="A63" s="200" t="s">
        <v>66</v>
      </c>
      <c r="B63" s="178"/>
      <c r="C63" s="179"/>
      <c r="D63" s="197"/>
      <c r="E63" s="197"/>
      <c r="F63" s="197"/>
      <c r="G63" s="181"/>
      <c r="H63" s="181"/>
      <c r="I63" s="181"/>
      <c r="J63" s="181"/>
      <c r="K63" s="185"/>
      <c r="L63" s="217" t="str">
        <f t="shared" si="29"/>
        <v/>
      </c>
      <c r="M63" s="218" t="str">
        <f>'HKG vs. BK'!M63</f>
        <v/>
      </c>
      <c r="N63" s="218" t="str">
        <f>'HKG vs. BK'!N63</f>
        <v/>
      </c>
      <c r="O63" s="218" t="str">
        <f>'HKG vs. BK'!O63</f>
        <v/>
      </c>
      <c r="P63" s="218" t="str">
        <f>'HKG vs. BK'!P63</f>
        <v/>
      </c>
      <c r="Q63" s="219" t="str">
        <f t="shared" si="227"/>
        <v/>
      </c>
      <c r="R63" s="220" t="str">
        <f t="shared" si="228"/>
        <v/>
      </c>
      <c r="S63" s="220" t="str">
        <f t="shared" si="229"/>
        <v/>
      </c>
      <c r="T63" s="219" t="str">
        <f t="shared" si="230"/>
        <v/>
      </c>
      <c r="U63" s="220" t="str">
        <f t="shared" si="231"/>
        <v/>
      </c>
      <c r="V63" s="220" t="str">
        <f t="shared" si="232"/>
        <v/>
      </c>
      <c r="W63" s="219" t="str">
        <f t="shared" si="233"/>
        <v/>
      </c>
      <c r="X63" s="220" t="str">
        <f t="shared" si="234"/>
        <v/>
      </c>
      <c r="Y63" s="220" t="str">
        <f t="shared" si="235"/>
        <v/>
      </c>
      <c r="Z63" s="219" t="str">
        <f t="shared" si="236"/>
        <v/>
      </c>
      <c r="AA63" s="220" t="str">
        <f t="shared" si="237"/>
        <v/>
      </c>
      <c r="AB63" s="220" t="str">
        <f t="shared" si="238"/>
        <v/>
      </c>
      <c r="AC63" s="219" t="str">
        <f t="shared" si="239"/>
        <v/>
      </c>
      <c r="AD63" s="220" t="str">
        <f t="shared" si="240"/>
        <v/>
      </c>
      <c r="AE63" s="220" t="str">
        <f t="shared" si="241"/>
        <v/>
      </c>
      <c r="AF63" s="219" t="str">
        <f t="shared" si="242"/>
        <v/>
      </c>
      <c r="AG63" s="220" t="str">
        <f t="shared" si="243"/>
        <v/>
      </c>
      <c r="AH63" s="220" t="str">
        <f t="shared" si="244"/>
        <v/>
      </c>
      <c r="AI63" s="219" t="str">
        <f t="shared" si="245"/>
        <v/>
      </c>
      <c r="AJ63" s="220" t="str">
        <f t="shared" si="246"/>
        <v/>
      </c>
      <c r="AK63" s="220" t="str">
        <f t="shared" si="247"/>
        <v/>
      </c>
      <c r="AL63" s="219" t="str">
        <f t="shared" si="248"/>
        <v/>
      </c>
      <c r="AM63" s="220" t="str">
        <f t="shared" si="249"/>
        <v/>
      </c>
      <c r="AN63" s="220" t="str">
        <f t="shared" si="250"/>
        <v/>
      </c>
      <c r="AO63" s="219" t="str">
        <f t="shared" si="251"/>
        <v/>
      </c>
      <c r="AP63" s="220" t="str">
        <f t="shared" si="252"/>
        <v/>
      </c>
      <c r="AQ63" s="220" t="str">
        <f t="shared" si="253"/>
        <v/>
      </c>
      <c r="AR63" s="219" t="str">
        <f t="shared" si="254"/>
        <v/>
      </c>
      <c r="AS63" s="220" t="str">
        <f t="shared" si="255"/>
        <v/>
      </c>
      <c r="AT63" s="220" t="str">
        <f t="shared" si="256"/>
        <v/>
      </c>
      <c r="AU63" s="221"/>
      <c r="AV63" s="221"/>
      <c r="AW63" s="221"/>
      <c r="AY63" s="218" t="str">
        <f t="shared" si="257"/>
        <v/>
      </c>
      <c r="AZ63" s="218" t="str">
        <f t="shared" si="258"/>
        <v/>
      </c>
      <c r="BA63" s="218" t="str">
        <f t="shared" si="259"/>
        <v/>
      </c>
      <c r="BB63" s="218" t="str">
        <f t="shared" si="260"/>
        <v/>
      </c>
      <c r="BC63" s="218" t="str">
        <f t="shared" si="261"/>
        <v/>
      </c>
      <c r="BD63" s="218" t="str">
        <f t="shared" si="262"/>
        <v/>
      </c>
      <c r="BE63" s="218" t="str">
        <f t="shared" si="263"/>
        <v/>
      </c>
      <c r="BF63" s="218" t="str">
        <f t="shared" si="264"/>
        <v/>
      </c>
      <c r="BG63" s="218" t="str">
        <f t="shared" si="265"/>
        <v/>
      </c>
      <c r="BH63" s="218" t="str">
        <f t="shared" si="266"/>
        <v/>
      </c>
      <c r="BI63" s="218" t="str">
        <f t="shared" si="267"/>
        <v/>
      </c>
      <c r="BJ63" s="218" t="str">
        <f t="shared" si="268"/>
        <v/>
      </c>
      <c r="BK63" s="218" t="str">
        <f t="shared" si="269"/>
        <v/>
      </c>
      <c r="BL63" s="218" t="str">
        <f t="shared" si="270"/>
        <v/>
      </c>
      <c r="BM63" s="218" t="str">
        <f t="shared" si="271"/>
        <v/>
      </c>
      <c r="BN63" s="218" t="str">
        <f t="shared" si="272"/>
        <v/>
      </c>
      <c r="BO63" s="218" t="str">
        <f t="shared" si="273"/>
        <v/>
      </c>
      <c r="BP63" s="218" t="str">
        <f t="shared" si="274"/>
        <v/>
      </c>
      <c r="BQ63" s="218" t="str">
        <f t="shared" si="275"/>
        <v/>
      </c>
      <c r="BR63" s="218" t="str">
        <f t="shared" si="276"/>
        <v/>
      </c>
      <c r="BS63" s="218" t="str">
        <f t="shared" si="277"/>
        <v/>
      </c>
      <c r="BT63" s="218" t="str">
        <f t="shared" si="278"/>
        <v/>
      </c>
      <c r="BU63" s="218" t="str">
        <f t="shared" si="279"/>
        <v/>
      </c>
      <c r="BV63" s="218" t="str">
        <f t="shared" si="280"/>
        <v/>
      </c>
      <c r="BW63" s="218" t="str">
        <f t="shared" si="281"/>
        <v/>
      </c>
      <c r="BX63" s="218" t="str">
        <f t="shared" si="282"/>
        <v/>
      </c>
      <c r="BY63" s="218" t="str">
        <f t="shared" si="283"/>
        <v/>
      </c>
      <c r="BZ63" s="218" t="str">
        <f t="shared" si="284"/>
        <v/>
      </c>
      <c r="CA63" s="218" t="str">
        <f t="shared" si="285"/>
        <v/>
      </c>
      <c r="CB63" s="218" t="str">
        <f t="shared" si="286"/>
        <v/>
      </c>
      <c r="CD63" s="218" t="str">
        <f t="shared" si="287"/>
        <v/>
      </c>
      <c r="CE63" s="218" t="str">
        <f t="shared" si="288"/>
        <v/>
      </c>
      <c r="CF63" s="218" t="str">
        <f t="shared" si="289"/>
        <v/>
      </c>
      <c r="CG63" s="218" t="str">
        <f t="shared" si="290"/>
        <v/>
      </c>
      <c r="CH63" s="218" t="str">
        <f t="shared" si="291"/>
        <v/>
      </c>
      <c r="CI63" s="218" t="str">
        <f t="shared" si="292"/>
        <v/>
      </c>
      <c r="CJ63" s="218" t="str">
        <f t="shared" si="293"/>
        <v/>
      </c>
      <c r="CK63" s="218" t="str">
        <f t="shared" si="294"/>
        <v/>
      </c>
      <c r="CL63" s="218" t="str">
        <f t="shared" si="295"/>
        <v/>
      </c>
      <c r="CM63" s="218" t="str">
        <f t="shared" si="296"/>
        <v/>
      </c>
      <c r="CN63" s="218" t="str">
        <f t="shared" si="297"/>
        <v/>
      </c>
      <c r="CO63" s="218" t="str">
        <f t="shared" si="298"/>
        <v/>
      </c>
      <c r="CP63" s="218" t="str">
        <f t="shared" si="299"/>
        <v/>
      </c>
      <c r="CQ63" s="218" t="str">
        <f t="shared" si="300"/>
        <v/>
      </c>
      <c r="CR63" s="218" t="str">
        <f t="shared" si="301"/>
        <v/>
      </c>
      <c r="CS63" s="218" t="str">
        <f t="shared" si="302"/>
        <v/>
      </c>
      <c r="CT63" s="218" t="str">
        <f t="shared" si="303"/>
        <v/>
      </c>
      <c r="CU63" s="218" t="str">
        <f t="shared" si="304"/>
        <v/>
      </c>
      <c r="CV63" s="218" t="str">
        <f t="shared" si="305"/>
        <v/>
      </c>
      <c r="CW63" s="218" t="str">
        <f t="shared" si="306"/>
        <v/>
      </c>
      <c r="CX63" s="218" t="str">
        <f t="shared" si="307"/>
        <v/>
      </c>
      <c r="CY63" s="218" t="str">
        <f t="shared" si="308"/>
        <v/>
      </c>
      <c r="CZ63" s="218" t="str">
        <f t="shared" si="309"/>
        <v/>
      </c>
      <c r="DA63" s="218" t="str">
        <f t="shared" si="310"/>
        <v/>
      </c>
      <c r="DB63" s="218" t="str">
        <f t="shared" si="64"/>
        <v/>
      </c>
      <c r="DC63" s="218" t="str">
        <f t="shared" si="311"/>
        <v/>
      </c>
      <c r="DD63" s="218" t="str">
        <f t="shared" si="312"/>
        <v/>
      </c>
      <c r="DF63" s="218" t="str">
        <f t="shared" si="313"/>
        <v/>
      </c>
      <c r="DG63" s="218" t="str">
        <f t="shared" si="314"/>
        <v/>
      </c>
      <c r="DH63" s="218" t="str">
        <f t="shared" si="315"/>
        <v/>
      </c>
      <c r="DI63" s="218" t="str">
        <f t="shared" si="316"/>
        <v/>
      </c>
      <c r="DJ63" s="218" t="str">
        <f t="shared" si="317"/>
        <v/>
      </c>
      <c r="DK63" s="218" t="str">
        <f t="shared" si="318"/>
        <v/>
      </c>
      <c r="DL63" s="218" t="str">
        <f t="shared" si="319"/>
        <v/>
      </c>
      <c r="DM63" s="218" t="str">
        <f t="shared" si="320"/>
        <v/>
      </c>
      <c r="DN63" s="218" t="str">
        <f t="shared" si="321"/>
        <v/>
      </c>
      <c r="DO63" s="218" t="str">
        <f t="shared" si="322"/>
        <v/>
      </c>
      <c r="DP63" s="218" t="str">
        <f t="shared" si="323"/>
        <v/>
      </c>
      <c r="DQ63" s="218" t="str">
        <f t="shared" si="324"/>
        <v/>
      </c>
      <c r="DR63" s="218" t="str">
        <f t="shared" si="325"/>
        <v/>
      </c>
      <c r="DS63" s="218" t="str">
        <f t="shared" si="326"/>
        <v/>
      </c>
      <c r="DT63" s="218" t="str">
        <f t="shared" si="327"/>
        <v/>
      </c>
      <c r="DU63" s="218" t="str">
        <f t="shared" si="328"/>
        <v/>
      </c>
      <c r="DV63" s="218" t="str">
        <f t="shared" si="329"/>
        <v/>
      </c>
      <c r="DW63" s="218" t="str">
        <f t="shared" si="330"/>
        <v/>
      </c>
      <c r="DX63" s="218" t="str">
        <f t="shared" si="331"/>
        <v/>
      </c>
      <c r="DY63" s="218" t="str">
        <f t="shared" si="332"/>
        <v/>
      </c>
      <c r="DZ63" s="218" t="str">
        <f t="shared" si="333"/>
        <v/>
      </c>
      <c r="EA63" s="218" t="str">
        <f t="shared" si="334"/>
        <v/>
      </c>
      <c r="EB63" s="218" t="str">
        <f t="shared" si="335"/>
        <v/>
      </c>
      <c r="EC63" s="218" t="str">
        <f t="shared" si="336"/>
        <v/>
      </c>
      <c r="EE63" s="218" t="str">
        <f t="shared" si="337"/>
        <v/>
      </c>
      <c r="EF63" s="218" t="str">
        <f t="shared" si="338"/>
        <v/>
      </c>
      <c r="EG63" s="218" t="str">
        <f t="shared" si="339"/>
        <v/>
      </c>
      <c r="EH63" s="218" t="str">
        <f t="shared" si="340"/>
        <v/>
      </c>
      <c r="EI63" s="218" t="str">
        <f t="shared" si="341"/>
        <v/>
      </c>
      <c r="EJ63" s="218" t="str">
        <f t="shared" si="342"/>
        <v/>
      </c>
      <c r="EK63" s="218" t="str">
        <f t="shared" si="343"/>
        <v/>
      </c>
      <c r="EL63" s="218" t="str">
        <f t="shared" si="344"/>
        <v/>
      </c>
      <c r="EM63" s="218" t="str">
        <f t="shared" si="345"/>
        <v/>
      </c>
      <c r="EN63" s="218" t="str">
        <f t="shared" si="346"/>
        <v/>
      </c>
      <c r="EO63" s="218" t="str">
        <f t="shared" si="347"/>
        <v/>
      </c>
      <c r="EP63" s="218" t="str">
        <f t="shared" si="348"/>
        <v/>
      </c>
      <c r="EQ63" s="218" t="str">
        <f t="shared" si="349"/>
        <v/>
      </c>
      <c r="ER63" s="218" t="str">
        <f t="shared" si="350"/>
        <v/>
      </c>
      <c r="ES63" s="218" t="str">
        <f t="shared" si="351"/>
        <v/>
      </c>
      <c r="ET63" s="218" t="str">
        <f t="shared" si="352"/>
        <v/>
      </c>
      <c r="EU63" s="218" t="str">
        <f t="shared" si="353"/>
        <v/>
      </c>
      <c r="EV63" s="218" t="str">
        <f t="shared" si="354"/>
        <v/>
      </c>
      <c r="EW63" s="218" t="str">
        <f t="shared" si="355"/>
        <v/>
      </c>
      <c r="EX63" s="218" t="str">
        <f t="shared" si="356"/>
        <v/>
      </c>
      <c r="EY63" s="218" t="str">
        <f t="shared" si="357"/>
        <v/>
      </c>
      <c r="FA63" s="218" t="str">
        <f t="shared" si="358"/>
        <v/>
      </c>
      <c r="FB63" s="218" t="str">
        <f t="shared" si="359"/>
        <v/>
      </c>
      <c r="FC63" s="218" t="str">
        <f t="shared" si="360"/>
        <v/>
      </c>
      <c r="FD63" s="218" t="str">
        <f t="shared" si="361"/>
        <v/>
      </c>
      <c r="FE63" s="218" t="str">
        <f t="shared" si="362"/>
        <v/>
      </c>
      <c r="FF63" s="218" t="str">
        <f t="shared" si="363"/>
        <v/>
      </c>
      <c r="FG63" s="218" t="str">
        <f t="shared" si="364"/>
        <v/>
      </c>
      <c r="FH63" s="218" t="str">
        <f t="shared" si="365"/>
        <v/>
      </c>
      <c r="FI63" s="218" t="str">
        <f t="shared" si="366"/>
        <v/>
      </c>
      <c r="FJ63" s="218" t="str">
        <f t="shared" si="367"/>
        <v/>
      </c>
      <c r="FK63" s="218" t="str">
        <f t="shared" si="368"/>
        <v/>
      </c>
      <c r="FL63" s="218" t="str">
        <f t="shared" si="369"/>
        <v/>
      </c>
      <c r="FM63" s="218" t="str">
        <f t="shared" si="370"/>
        <v/>
      </c>
      <c r="FN63" s="218" t="str">
        <f t="shared" si="371"/>
        <v/>
      </c>
      <c r="FO63" s="218" t="str">
        <f t="shared" si="372"/>
        <v/>
      </c>
      <c r="FP63" s="218" t="str">
        <f t="shared" si="373"/>
        <v/>
      </c>
      <c r="FQ63" s="218" t="str">
        <f t="shared" si="374"/>
        <v/>
      </c>
      <c r="FR63" s="218" t="str">
        <f t="shared" si="375"/>
        <v/>
      </c>
      <c r="FT63" s="218" t="str">
        <f t="shared" si="376"/>
        <v/>
      </c>
      <c r="FU63" s="218" t="str">
        <f t="shared" si="377"/>
        <v/>
      </c>
      <c r="FV63" s="218" t="str">
        <f t="shared" si="378"/>
        <v/>
      </c>
      <c r="FW63" s="218" t="str">
        <f t="shared" si="379"/>
        <v/>
      </c>
      <c r="FX63" s="218" t="str">
        <f t="shared" si="380"/>
        <v/>
      </c>
      <c r="FY63" s="218" t="str">
        <f t="shared" si="381"/>
        <v/>
      </c>
      <c r="FZ63" s="218" t="str">
        <f t="shared" si="382"/>
        <v/>
      </c>
      <c r="GA63" s="218" t="str">
        <f t="shared" si="383"/>
        <v/>
      </c>
      <c r="GB63" s="218" t="str">
        <f t="shared" si="384"/>
        <v/>
      </c>
      <c r="GC63" s="218" t="str">
        <f t="shared" si="385"/>
        <v/>
      </c>
      <c r="GD63" s="218" t="str">
        <f t="shared" si="386"/>
        <v/>
      </c>
      <c r="GE63" s="218" t="str">
        <f t="shared" si="387"/>
        <v/>
      </c>
      <c r="GF63" s="218" t="str">
        <f t="shared" si="388"/>
        <v/>
      </c>
      <c r="GG63" s="218" t="str">
        <f t="shared" si="389"/>
        <v/>
      </c>
      <c r="GH63" s="218" t="str">
        <f t="shared" si="390"/>
        <v/>
      </c>
      <c r="GJ63" s="218" t="str">
        <f t="shared" si="391"/>
        <v/>
      </c>
      <c r="GK63" s="218" t="str">
        <f t="shared" si="392"/>
        <v/>
      </c>
      <c r="GL63" s="218" t="str">
        <f t="shared" si="393"/>
        <v/>
      </c>
      <c r="GM63" s="218" t="str">
        <f t="shared" si="394"/>
        <v/>
      </c>
      <c r="GN63" s="218" t="str">
        <f t="shared" si="395"/>
        <v/>
      </c>
      <c r="GO63" s="218" t="str">
        <f t="shared" si="396"/>
        <v/>
      </c>
      <c r="GP63" s="218" t="str">
        <f t="shared" si="397"/>
        <v/>
      </c>
      <c r="GQ63" s="218" t="str">
        <f t="shared" si="398"/>
        <v/>
      </c>
      <c r="GR63" s="218" t="str">
        <f t="shared" si="399"/>
        <v/>
      </c>
      <c r="GS63" s="218" t="str">
        <f t="shared" si="400"/>
        <v/>
      </c>
      <c r="GT63" s="218" t="str">
        <f t="shared" si="401"/>
        <v/>
      </c>
      <c r="GU63" s="218" t="str">
        <f t="shared" si="402"/>
        <v/>
      </c>
      <c r="GW63" s="218" t="str">
        <f t="shared" si="403"/>
        <v/>
      </c>
      <c r="GX63" s="218" t="str">
        <f t="shared" si="404"/>
        <v/>
      </c>
      <c r="GY63" s="218" t="str">
        <f t="shared" si="405"/>
        <v/>
      </c>
      <c r="GZ63" s="218" t="str">
        <f t="shared" si="406"/>
        <v/>
      </c>
      <c r="HA63" s="218" t="str">
        <f t="shared" si="407"/>
        <v/>
      </c>
      <c r="HB63" s="218" t="str">
        <f t="shared" si="408"/>
        <v/>
      </c>
      <c r="HC63" s="218" t="str">
        <f t="shared" si="409"/>
        <v/>
      </c>
      <c r="HD63" s="218" t="str">
        <f t="shared" si="410"/>
        <v/>
      </c>
      <c r="HE63" s="218" t="str">
        <f t="shared" si="411"/>
        <v/>
      </c>
      <c r="HG63" s="218" t="str">
        <f t="shared" si="412"/>
        <v/>
      </c>
      <c r="HH63" s="218" t="str">
        <f t="shared" si="413"/>
        <v/>
      </c>
      <c r="HI63" s="218" t="str">
        <f t="shared" si="414"/>
        <v/>
      </c>
      <c r="HJ63" s="218" t="str">
        <f t="shared" si="415"/>
        <v/>
      </c>
      <c r="HK63" s="218" t="str">
        <f t="shared" si="416"/>
        <v/>
      </c>
      <c r="HL63" s="218" t="str">
        <f t="shared" si="417"/>
        <v/>
      </c>
      <c r="HN63" s="218" t="str">
        <f t="shared" si="418"/>
        <v/>
      </c>
      <c r="HO63" s="218" t="str">
        <f t="shared" si="419"/>
        <v/>
      </c>
      <c r="HP63" s="218" t="str">
        <f t="shared" si="420"/>
        <v/>
      </c>
      <c r="HR63" s="218" t="str">
        <f t="shared" si="421"/>
        <v/>
      </c>
      <c r="HS63" s="218" t="str">
        <f t="shared" si="225"/>
        <v/>
      </c>
      <c r="HT63" s="218" t="str">
        <f t="shared" si="422"/>
        <v/>
      </c>
      <c r="HU63" s="218" t="str">
        <f t="shared" si="176"/>
        <v/>
      </c>
      <c r="HV63" s="218" t="str">
        <f t="shared" si="423"/>
        <v/>
      </c>
      <c r="HW63" s="218" t="str">
        <f t="shared" si="424"/>
        <v/>
      </c>
      <c r="HX63" s="218" t="str">
        <f t="shared" si="425"/>
        <v/>
      </c>
      <c r="HY63" s="218" t="str">
        <f t="shared" si="180"/>
        <v/>
      </c>
      <c r="HZ63" s="218" t="str">
        <f t="shared" si="426"/>
        <v/>
      </c>
      <c r="IA63" s="218" t="str">
        <f t="shared" si="427"/>
        <v/>
      </c>
      <c r="IB63" s="218" t="str">
        <f t="shared" si="183"/>
        <v/>
      </c>
      <c r="IC63" s="218" t="str">
        <f t="shared" si="428"/>
        <v/>
      </c>
      <c r="ID63" s="218" t="str">
        <f t="shared" si="429"/>
        <v/>
      </c>
      <c r="IE63" s="218" t="str">
        <f t="shared" si="186"/>
        <v/>
      </c>
      <c r="IF63" s="218" t="str">
        <f t="shared" si="430"/>
        <v/>
      </c>
      <c r="IG63" s="218" t="str">
        <f t="shared" si="431"/>
        <v/>
      </c>
      <c r="IH63" s="218" t="str">
        <f t="shared" si="189"/>
        <v/>
      </c>
      <c r="II63" s="218" t="str">
        <f t="shared" si="432"/>
        <v/>
      </c>
      <c r="IJ63" s="218" t="str">
        <f t="shared" si="433"/>
        <v/>
      </c>
      <c r="IK63" s="218" t="str">
        <f t="shared" si="192"/>
        <v/>
      </c>
      <c r="IL63" s="218" t="str">
        <f t="shared" si="434"/>
        <v/>
      </c>
      <c r="IM63" s="218" t="str">
        <f t="shared" si="435"/>
        <v/>
      </c>
      <c r="IN63" s="218" t="str">
        <f t="shared" si="195"/>
        <v/>
      </c>
      <c r="IO63" s="218" t="str">
        <f t="shared" si="436"/>
        <v/>
      </c>
      <c r="IP63" s="218" t="str">
        <f t="shared" si="437"/>
        <v/>
      </c>
      <c r="IQ63" s="218" t="str">
        <f t="shared" si="198"/>
        <v/>
      </c>
      <c r="IR63" s="218" t="str">
        <f t="shared" si="438"/>
        <v/>
      </c>
      <c r="IS63" s="218" t="str">
        <f t="shared" si="439"/>
        <v/>
      </c>
      <c r="IT63" s="218" t="str">
        <f t="shared" si="201"/>
        <v/>
      </c>
      <c r="IU63" s="218" t="str">
        <f t="shared" si="440"/>
        <v/>
      </c>
    </row>
    <row r="64" spans="1:255" x14ac:dyDescent="0.2">
      <c r="A64" s="200" t="s">
        <v>67</v>
      </c>
      <c r="B64" s="178"/>
      <c r="C64" s="179"/>
      <c r="D64" s="197"/>
      <c r="E64" s="197"/>
      <c r="F64" s="197"/>
      <c r="G64" s="181"/>
      <c r="H64" s="181"/>
      <c r="I64" s="181"/>
      <c r="J64" s="181"/>
      <c r="K64" s="185"/>
      <c r="L64" s="217" t="str">
        <f t="shared" si="29"/>
        <v/>
      </c>
      <c r="M64" s="218" t="str">
        <f>'HKG vs. BK'!M64</f>
        <v/>
      </c>
      <c r="N64" s="218" t="str">
        <f>'HKG vs. BK'!N64</f>
        <v/>
      </c>
      <c r="O64" s="218" t="str">
        <f>'HKG vs. BK'!O64</f>
        <v/>
      </c>
      <c r="P64" s="218" t="str">
        <f>'HKG vs. BK'!P64</f>
        <v/>
      </c>
      <c r="Q64" s="219" t="str">
        <f t="shared" si="227"/>
        <v/>
      </c>
      <c r="R64" s="220" t="str">
        <f t="shared" si="228"/>
        <v/>
      </c>
      <c r="S64" s="220" t="str">
        <f t="shared" si="229"/>
        <v/>
      </c>
      <c r="T64" s="219" t="str">
        <f t="shared" si="230"/>
        <v/>
      </c>
      <c r="U64" s="220" t="str">
        <f t="shared" si="231"/>
        <v/>
      </c>
      <c r="V64" s="220" t="str">
        <f t="shared" si="232"/>
        <v/>
      </c>
      <c r="W64" s="219" t="str">
        <f t="shared" si="233"/>
        <v/>
      </c>
      <c r="X64" s="220" t="str">
        <f t="shared" si="234"/>
        <v/>
      </c>
      <c r="Y64" s="220" t="str">
        <f t="shared" si="235"/>
        <v/>
      </c>
      <c r="Z64" s="219" t="str">
        <f t="shared" si="236"/>
        <v/>
      </c>
      <c r="AA64" s="220" t="str">
        <f t="shared" si="237"/>
        <v/>
      </c>
      <c r="AB64" s="220" t="str">
        <f t="shared" si="238"/>
        <v/>
      </c>
      <c r="AC64" s="219" t="str">
        <f t="shared" si="239"/>
        <v/>
      </c>
      <c r="AD64" s="220" t="str">
        <f t="shared" si="240"/>
        <v/>
      </c>
      <c r="AE64" s="220" t="str">
        <f t="shared" si="241"/>
        <v/>
      </c>
      <c r="AF64" s="219" t="str">
        <f t="shared" si="242"/>
        <v/>
      </c>
      <c r="AG64" s="220" t="str">
        <f t="shared" si="243"/>
        <v/>
      </c>
      <c r="AH64" s="220" t="str">
        <f t="shared" si="244"/>
        <v/>
      </c>
      <c r="AI64" s="219" t="str">
        <f t="shared" si="245"/>
        <v/>
      </c>
      <c r="AJ64" s="220" t="str">
        <f t="shared" si="246"/>
        <v/>
      </c>
      <c r="AK64" s="220" t="str">
        <f t="shared" si="247"/>
        <v/>
      </c>
      <c r="AL64" s="219" t="str">
        <f t="shared" si="248"/>
        <v/>
      </c>
      <c r="AM64" s="220" t="str">
        <f t="shared" si="249"/>
        <v/>
      </c>
      <c r="AN64" s="220" t="str">
        <f t="shared" si="250"/>
        <v/>
      </c>
      <c r="AO64" s="219" t="str">
        <f t="shared" si="251"/>
        <v/>
      </c>
      <c r="AP64" s="220" t="str">
        <f t="shared" si="252"/>
        <v/>
      </c>
      <c r="AQ64" s="220" t="str">
        <f t="shared" si="253"/>
        <v/>
      </c>
      <c r="AR64" s="219" t="str">
        <f t="shared" si="254"/>
        <v/>
      </c>
      <c r="AS64" s="220" t="str">
        <f t="shared" si="255"/>
        <v/>
      </c>
      <c r="AT64" s="220" t="str">
        <f t="shared" si="256"/>
        <v/>
      </c>
      <c r="AU64" s="221"/>
      <c r="AV64" s="221"/>
      <c r="AW64" s="221"/>
      <c r="AY64" s="218" t="str">
        <f t="shared" si="257"/>
        <v/>
      </c>
      <c r="AZ64" s="218" t="str">
        <f t="shared" si="258"/>
        <v/>
      </c>
      <c r="BA64" s="218" t="str">
        <f t="shared" si="259"/>
        <v/>
      </c>
      <c r="BB64" s="218" t="str">
        <f t="shared" si="260"/>
        <v/>
      </c>
      <c r="BC64" s="218" t="str">
        <f t="shared" si="261"/>
        <v/>
      </c>
      <c r="BD64" s="218" t="str">
        <f t="shared" si="262"/>
        <v/>
      </c>
      <c r="BE64" s="218" t="str">
        <f t="shared" si="263"/>
        <v/>
      </c>
      <c r="BF64" s="218" t="str">
        <f t="shared" si="264"/>
        <v/>
      </c>
      <c r="BG64" s="218" t="str">
        <f t="shared" si="265"/>
        <v/>
      </c>
      <c r="BH64" s="218" t="str">
        <f t="shared" si="266"/>
        <v/>
      </c>
      <c r="BI64" s="218" t="str">
        <f t="shared" si="267"/>
        <v/>
      </c>
      <c r="BJ64" s="218" t="str">
        <f t="shared" si="268"/>
        <v/>
      </c>
      <c r="BK64" s="218" t="str">
        <f t="shared" si="269"/>
        <v/>
      </c>
      <c r="BL64" s="218" t="str">
        <f t="shared" si="270"/>
        <v/>
      </c>
      <c r="BM64" s="218" t="str">
        <f t="shared" si="271"/>
        <v/>
      </c>
      <c r="BN64" s="218" t="str">
        <f t="shared" si="272"/>
        <v/>
      </c>
      <c r="BO64" s="218" t="str">
        <f t="shared" si="273"/>
        <v/>
      </c>
      <c r="BP64" s="218" t="str">
        <f t="shared" si="274"/>
        <v/>
      </c>
      <c r="BQ64" s="218" t="str">
        <f t="shared" si="275"/>
        <v/>
      </c>
      <c r="BR64" s="218" t="str">
        <f t="shared" si="276"/>
        <v/>
      </c>
      <c r="BS64" s="218" t="str">
        <f t="shared" si="277"/>
        <v/>
      </c>
      <c r="BT64" s="218" t="str">
        <f t="shared" si="278"/>
        <v/>
      </c>
      <c r="BU64" s="218" t="str">
        <f t="shared" si="279"/>
        <v/>
      </c>
      <c r="BV64" s="218" t="str">
        <f t="shared" si="280"/>
        <v/>
      </c>
      <c r="BW64" s="218" t="str">
        <f t="shared" si="281"/>
        <v/>
      </c>
      <c r="BX64" s="218" t="str">
        <f t="shared" si="282"/>
        <v/>
      </c>
      <c r="BY64" s="218" t="str">
        <f t="shared" si="283"/>
        <v/>
      </c>
      <c r="BZ64" s="218" t="str">
        <f t="shared" si="284"/>
        <v/>
      </c>
      <c r="CA64" s="218" t="str">
        <f t="shared" si="285"/>
        <v/>
      </c>
      <c r="CB64" s="218" t="str">
        <f t="shared" si="286"/>
        <v/>
      </c>
      <c r="CD64" s="218" t="str">
        <f t="shared" si="287"/>
        <v/>
      </c>
      <c r="CE64" s="218" t="str">
        <f t="shared" si="288"/>
        <v/>
      </c>
      <c r="CF64" s="218" t="str">
        <f t="shared" si="289"/>
        <v/>
      </c>
      <c r="CG64" s="218" t="str">
        <f t="shared" si="290"/>
        <v/>
      </c>
      <c r="CH64" s="218" t="str">
        <f t="shared" si="291"/>
        <v/>
      </c>
      <c r="CI64" s="218" t="str">
        <f t="shared" si="292"/>
        <v/>
      </c>
      <c r="CJ64" s="218" t="str">
        <f t="shared" si="293"/>
        <v/>
      </c>
      <c r="CK64" s="218" t="str">
        <f t="shared" si="294"/>
        <v/>
      </c>
      <c r="CL64" s="218" t="str">
        <f t="shared" si="295"/>
        <v/>
      </c>
      <c r="CM64" s="218" t="str">
        <f t="shared" si="296"/>
        <v/>
      </c>
      <c r="CN64" s="218" t="str">
        <f t="shared" si="297"/>
        <v/>
      </c>
      <c r="CO64" s="218" t="str">
        <f t="shared" si="298"/>
        <v/>
      </c>
      <c r="CP64" s="218" t="str">
        <f t="shared" si="299"/>
        <v/>
      </c>
      <c r="CQ64" s="218" t="str">
        <f t="shared" si="300"/>
        <v/>
      </c>
      <c r="CR64" s="218" t="str">
        <f t="shared" si="301"/>
        <v/>
      </c>
      <c r="CS64" s="218" t="str">
        <f t="shared" si="302"/>
        <v/>
      </c>
      <c r="CT64" s="218" t="str">
        <f t="shared" si="303"/>
        <v/>
      </c>
      <c r="CU64" s="218" t="str">
        <f t="shared" si="304"/>
        <v/>
      </c>
      <c r="CV64" s="218" t="str">
        <f t="shared" si="305"/>
        <v/>
      </c>
      <c r="CW64" s="218" t="str">
        <f t="shared" si="306"/>
        <v/>
      </c>
      <c r="CX64" s="218" t="str">
        <f t="shared" si="307"/>
        <v/>
      </c>
      <c r="CY64" s="218" t="str">
        <f t="shared" si="308"/>
        <v/>
      </c>
      <c r="CZ64" s="218" t="str">
        <f t="shared" si="309"/>
        <v/>
      </c>
      <c r="DA64" s="218" t="str">
        <f t="shared" si="310"/>
        <v/>
      </c>
      <c r="DB64" s="218" t="str">
        <f t="shared" si="64"/>
        <v/>
      </c>
      <c r="DC64" s="218" t="str">
        <f t="shared" si="311"/>
        <v/>
      </c>
      <c r="DD64" s="218" t="str">
        <f t="shared" si="312"/>
        <v/>
      </c>
      <c r="DF64" s="218" t="str">
        <f t="shared" si="313"/>
        <v/>
      </c>
      <c r="DG64" s="218" t="str">
        <f t="shared" si="314"/>
        <v/>
      </c>
      <c r="DH64" s="218" t="str">
        <f t="shared" si="315"/>
        <v/>
      </c>
      <c r="DI64" s="218" t="str">
        <f t="shared" si="316"/>
        <v/>
      </c>
      <c r="DJ64" s="218" t="str">
        <f t="shared" si="317"/>
        <v/>
      </c>
      <c r="DK64" s="218" t="str">
        <f t="shared" si="318"/>
        <v/>
      </c>
      <c r="DL64" s="218" t="str">
        <f t="shared" si="319"/>
        <v/>
      </c>
      <c r="DM64" s="218" t="str">
        <f t="shared" si="320"/>
        <v/>
      </c>
      <c r="DN64" s="218" t="str">
        <f t="shared" si="321"/>
        <v/>
      </c>
      <c r="DO64" s="218" t="str">
        <f t="shared" si="322"/>
        <v/>
      </c>
      <c r="DP64" s="218" t="str">
        <f t="shared" si="323"/>
        <v/>
      </c>
      <c r="DQ64" s="218" t="str">
        <f t="shared" si="324"/>
        <v/>
      </c>
      <c r="DR64" s="218" t="str">
        <f t="shared" si="325"/>
        <v/>
      </c>
      <c r="DS64" s="218" t="str">
        <f t="shared" si="326"/>
        <v/>
      </c>
      <c r="DT64" s="218" t="str">
        <f t="shared" si="327"/>
        <v/>
      </c>
      <c r="DU64" s="218" t="str">
        <f t="shared" si="328"/>
        <v/>
      </c>
      <c r="DV64" s="218" t="str">
        <f t="shared" si="329"/>
        <v/>
      </c>
      <c r="DW64" s="218" t="str">
        <f t="shared" si="330"/>
        <v/>
      </c>
      <c r="DX64" s="218" t="str">
        <f t="shared" si="331"/>
        <v/>
      </c>
      <c r="DY64" s="218" t="str">
        <f t="shared" si="332"/>
        <v/>
      </c>
      <c r="DZ64" s="218" t="str">
        <f t="shared" si="333"/>
        <v/>
      </c>
      <c r="EA64" s="218" t="str">
        <f t="shared" si="334"/>
        <v/>
      </c>
      <c r="EB64" s="218" t="str">
        <f t="shared" si="335"/>
        <v/>
      </c>
      <c r="EC64" s="218" t="str">
        <f t="shared" si="336"/>
        <v/>
      </c>
      <c r="EE64" s="218" t="str">
        <f t="shared" si="337"/>
        <v/>
      </c>
      <c r="EF64" s="218" t="str">
        <f t="shared" si="338"/>
        <v/>
      </c>
      <c r="EG64" s="218" t="str">
        <f t="shared" si="339"/>
        <v/>
      </c>
      <c r="EH64" s="218" t="str">
        <f t="shared" si="340"/>
        <v/>
      </c>
      <c r="EI64" s="218" t="str">
        <f t="shared" si="341"/>
        <v/>
      </c>
      <c r="EJ64" s="218" t="str">
        <f t="shared" si="342"/>
        <v/>
      </c>
      <c r="EK64" s="218" t="str">
        <f t="shared" si="343"/>
        <v/>
      </c>
      <c r="EL64" s="218" t="str">
        <f t="shared" si="344"/>
        <v/>
      </c>
      <c r="EM64" s="218" t="str">
        <f t="shared" si="345"/>
        <v/>
      </c>
      <c r="EN64" s="218" t="str">
        <f t="shared" si="346"/>
        <v/>
      </c>
      <c r="EO64" s="218" t="str">
        <f t="shared" si="347"/>
        <v/>
      </c>
      <c r="EP64" s="218" t="str">
        <f t="shared" si="348"/>
        <v/>
      </c>
      <c r="EQ64" s="218" t="str">
        <f t="shared" si="349"/>
        <v/>
      </c>
      <c r="ER64" s="218" t="str">
        <f t="shared" si="350"/>
        <v/>
      </c>
      <c r="ES64" s="218" t="str">
        <f t="shared" si="351"/>
        <v/>
      </c>
      <c r="ET64" s="218" t="str">
        <f t="shared" si="352"/>
        <v/>
      </c>
      <c r="EU64" s="218" t="str">
        <f t="shared" si="353"/>
        <v/>
      </c>
      <c r="EV64" s="218" t="str">
        <f t="shared" si="354"/>
        <v/>
      </c>
      <c r="EW64" s="218" t="str">
        <f t="shared" si="355"/>
        <v/>
      </c>
      <c r="EX64" s="218" t="str">
        <f t="shared" si="356"/>
        <v/>
      </c>
      <c r="EY64" s="218" t="str">
        <f t="shared" si="357"/>
        <v/>
      </c>
      <c r="FA64" s="218" t="str">
        <f t="shared" si="358"/>
        <v/>
      </c>
      <c r="FB64" s="218" t="str">
        <f t="shared" si="359"/>
        <v/>
      </c>
      <c r="FC64" s="218" t="str">
        <f t="shared" si="360"/>
        <v/>
      </c>
      <c r="FD64" s="218" t="str">
        <f t="shared" si="361"/>
        <v/>
      </c>
      <c r="FE64" s="218" t="str">
        <f t="shared" si="362"/>
        <v/>
      </c>
      <c r="FF64" s="218" t="str">
        <f t="shared" si="363"/>
        <v/>
      </c>
      <c r="FG64" s="218" t="str">
        <f t="shared" si="364"/>
        <v/>
      </c>
      <c r="FH64" s="218" t="str">
        <f t="shared" si="365"/>
        <v/>
      </c>
      <c r="FI64" s="218" t="str">
        <f t="shared" si="366"/>
        <v/>
      </c>
      <c r="FJ64" s="218" t="str">
        <f t="shared" si="367"/>
        <v/>
      </c>
      <c r="FK64" s="218" t="str">
        <f t="shared" si="368"/>
        <v/>
      </c>
      <c r="FL64" s="218" t="str">
        <f t="shared" si="369"/>
        <v/>
      </c>
      <c r="FM64" s="218" t="str">
        <f t="shared" si="370"/>
        <v/>
      </c>
      <c r="FN64" s="218" t="str">
        <f t="shared" si="371"/>
        <v/>
      </c>
      <c r="FO64" s="218" t="str">
        <f t="shared" si="372"/>
        <v/>
      </c>
      <c r="FP64" s="218" t="str">
        <f t="shared" si="373"/>
        <v/>
      </c>
      <c r="FQ64" s="218" t="str">
        <f t="shared" si="374"/>
        <v/>
      </c>
      <c r="FR64" s="218" t="str">
        <f t="shared" si="375"/>
        <v/>
      </c>
      <c r="FT64" s="218" t="str">
        <f t="shared" si="376"/>
        <v/>
      </c>
      <c r="FU64" s="218" t="str">
        <f t="shared" si="377"/>
        <v/>
      </c>
      <c r="FV64" s="218" t="str">
        <f t="shared" si="378"/>
        <v/>
      </c>
      <c r="FW64" s="218" t="str">
        <f t="shared" si="379"/>
        <v/>
      </c>
      <c r="FX64" s="218" t="str">
        <f t="shared" si="380"/>
        <v/>
      </c>
      <c r="FY64" s="218" t="str">
        <f t="shared" si="381"/>
        <v/>
      </c>
      <c r="FZ64" s="218" t="str">
        <f t="shared" si="382"/>
        <v/>
      </c>
      <c r="GA64" s="218" t="str">
        <f t="shared" si="383"/>
        <v/>
      </c>
      <c r="GB64" s="218" t="str">
        <f t="shared" si="384"/>
        <v/>
      </c>
      <c r="GC64" s="218" t="str">
        <f t="shared" si="385"/>
        <v/>
      </c>
      <c r="GD64" s="218" t="str">
        <f t="shared" si="386"/>
        <v/>
      </c>
      <c r="GE64" s="218" t="str">
        <f t="shared" si="387"/>
        <v/>
      </c>
      <c r="GF64" s="218" t="str">
        <f t="shared" si="388"/>
        <v/>
      </c>
      <c r="GG64" s="218" t="str">
        <f t="shared" si="389"/>
        <v/>
      </c>
      <c r="GH64" s="218" t="str">
        <f t="shared" si="390"/>
        <v/>
      </c>
      <c r="GJ64" s="218" t="str">
        <f t="shared" si="391"/>
        <v/>
      </c>
      <c r="GK64" s="218" t="str">
        <f t="shared" si="392"/>
        <v/>
      </c>
      <c r="GL64" s="218" t="str">
        <f t="shared" si="393"/>
        <v/>
      </c>
      <c r="GM64" s="218" t="str">
        <f t="shared" si="394"/>
        <v/>
      </c>
      <c r="GN64" s="218" t="str">
        <f t="shared" si="395"/>
        <v/>
      </c>
      <c r="GO64" s="218" t="str">
        <f t="shared" si="396"/>
        <v/>
      </c>
      <c r="GP64" s="218" t="str">
        <f t="shared" si="397"/>
        <v/>
      </c>
      <c r="GQ64" s="218" t="str">
        <f t="shared" si="398"/>
        <v/>
      </c>
      <c r="GR64" s="218" t="str">
        <f t="shared" si="399"/>
        <v/>
      </c>
      <c r="GS64" s="218" t="str">
        <f t="shared" si="400"/>
        <v/>
      </c>
      <c r="GT64" s="218" t="str">
        <f t="shared" si="401"/>
        <v/>
      </c>
      <c r="GU64" s="218" t="str">
        <f t="shared" si="402"/>
        <v/>
      </c>
      <c r="GW64" s="218" t="str">
        <f t="shared" si="403"/>
        <v/>
      </c>
      <c r="GX64" s="218" t="str">
        <f t="shared" si="404"/>
        <v/>
      </c>
      <c r="GY64" s="218" t="str">
        <f t="shared" si="405"/>
        <v/>
      </c>
      <c r="GZ64" s="218" t="str">
        <f t="shared" si="406"/>
        <v/>
      </c>
      <c r="HA64" s="218" t="str">
        <f t="shared" si="407"/>
        <v/>
      </c>
      <c r="HB64" s="218" t="str">
        <f t="shared" si="408"/>
        <v/>
      </c>
      <c r="HC64" s="218" t="str">
        <f t="shared" si="409"/>
        <v/>
      </c>
      <c r="HD64" s="218" t="str">
        <f t="shared" si="410"/>
        <v/>
      </c>
      <c r="HE64" s="218" t="str">
        <f t="shared" si="411"/>
        <v/>
      </c>
      <c r="HG64" s="218" t="str">
        <f t="shared" si="412"/>
        <v/>
      </c>
      <c r="HH64" s="218" t="str">
        <f t="shared" si="413"/>
        <v/>
      </c>
      <c r="HI64" s="218" t="str">
        <f t="shared" si="414"/>
        <v/>
      </c>
      <c r="HJ64" s="218" t="str">
        <f t="shared" si="415"/>
        <v/>
      </c>
      <c r="HK64" s="218" t="str">
        <f t="shared" si="416"/>
        <v/>
      </c>
      <c r="HL64" s="218" t="str">
        <f t="shared" si="417"/>
        <v/>
      </c>
      <c r="HN64" s="218" t="str">
        <f t="shared" si="418"/>
        <v/>
      </c>
      <c r="HO64" s="218" t="str">
        <f t="shared" si="419"/>
        <v/>
      </c>
      <c r="HP64" s="218" t="str">
        <f t="shared" si="420"/>
        <v/>
      </c>
      <c r="HR64" s="218" t="str">
        <f t="shared" si="421"/>
        <v/>
      </c>
      <c r="HS64" s="218" t="str">
        <f t="shared" si="225"/>
        <v/>
      </c>
      <c r="HT64" s="218" t="str">
        <f t="shared" si="422"/>
        <v/>
      </c>
      <c r="HU64" s="218" t="str">
        <f t="shared" si="176"/>
        <v/>
      </c>
      <c r="HV64" s="218" t="str">
        <f t="shared" si="423"/>
        <v/>
      </c>
      <c r="HW64" s="218" t="str">
        <f t="shared" si="424"/>
        <v/>
      </c>
      <c r="HX64" s="218" t="str">
        <f t="shared" si="425"/>
        <v/>
      </c>
      <c r="HY64" s="218" t="str">
        <f t="shared" si="180"/>
        <v/>
      </c>
      <c r="HZ64" s="218" t="str">
        <f t="shared" si="426"/>
        <v/>
      </c>
      <c r="IA64" s="218" t="str">
        <f t="shared" si="427"/>
        <v/>
      </c>
      <c r="IB64" s="218" t="str">
        <f t="shared" si="183"/>
        <v/>
      </c>
      <c r="IC64" s="218" t="str">
        <f t="shared" si="428"/>
        <v/>
      </c>
      <c r="ID64" s="218" t="str">
        <f t="shared" si="429"/>
        <v/>
      </c>
      <c r="IE64" s="218" t="str">
        <f t="shared" si="186"/>
        <v/>
      </c>
      <c r="IF64" s="218" t="str">
        <f t="shared" si="430"/>
        <v/>
      </c>
      <c r="IG64" s="218" t="str">
        <f t="shared" si="431"/>
        <v/>
      </c>
      <c r="IH64" s="218" t="str">
        <f t="shared" si="189"/>
        <v/>
      </c>
      <c r="II64" s="218" t="str">
        <f t="shared" si="432"/>
        <v/>
      </c>
      <c r="IJ64" s="218" t="str">
        <f t="shared" si="433"/>
        <v/>
      </c>
      <c r="IK64" s="218" t="str">
        <f t="shared" si="192"/>
        <v/>
      </c>
      <c r="IL64" s="218" t="str">
        <f t="shared" si="434"/>
        <v/>
      </c>
      <c r="IM64" s="218" t="str">
        <f t="shared" si="435"/>
        <v/>
      </c>
      <c r="IN64" s="218" t="str">
        <f t="shared" si="195"/>
        <v/>
      </c>
      <c r="IO64" s="218" t="str">
        <f t="shared" si="436"/>
        <v/>
      </c>
      <c r="IP64" s="218" t="str">
        <f t="shared" si="437"/>
        <v/>
      </c>
      <c r="IQ64" s="218" t="str">
        <f t="shared" si="198"/>
        <v/>
      </c>
      <c r="IR64" s="218" t="str">
        <f t="shared" si="438"/>
        <v/>
      </c>
      <c r="IS64" s="218" t="str">
        <f t="shared" si="439"/>
        <v/>
      </c>
      <c r="IT64" s="218" t="str">
        <f t="shared" si="201"/>
        <v/>
      </c>
      <c r="IU64" s="218" t="str">
        <f t="shared" si="440"/>
        <v/>
      </c>
    </row>
    <row r="65" spans="1:255" x14ac:dyDescent="0.2">
      <c r="A65" s="200" t="s">
        <v>68</v>
      </c>
      <c r="B65" s="178"/>
      <c r="C65" s="179"/>
      <c r="D65" s="197"/>
      <c r="E65" s="197"/>
      <c r="F65" s="197"/>
      <c r="G65" s="181"/>
      <c r="H65" s="181"/>
      <c r="I65" s="181"/>
      <c r="J65" s="181"/>
      <c r="K65" s="185"/>
      <c r="L65" s="217" t="str">
        <f t="shared" si="29"/>
        <v/>
      </c>
      <c r="M65" s="218" t="str">
        <f>'HKG vs. BK'!M65</f>
        <v/>
      </c>
      <c r="N65" s="218" t="str">
        <f>'HKG vs. BK'!N65</f>
        <v/>
      </c>
      <c r="O65" s="218" t="str">
        <f>'HKG vs. BK'!O65</f>
        <v/>
      </c>
      <c r="P65" s="218" t="str">
        <f>'HKG vs. BK'!P65</f>
        <v/>
      </c>
      <c r="Q65" s="219" t="str">
        <f t="shared" si="227"/>
        <v/>
      </c>
      <c r="R65" s="220" t="str">
        <f t="shared" si="228"/>
        <v/>
      </c>
      <c r="S65" s="220" t="str">
        <f t="shared" si="229"/>
        <v/>
      </c>
      <c r="T65" s="219" t="str">
        <f t="shared" si="230"/>
        <v/>
      </c>
      <c r="U65" s="220" t="str">
        <f t="shared" si="231"/>
        <v/>
      </c>
      <c r="V65" s="220" t="str">
        <f t="shared" si="232"/>
        <v/>
      </c>
      <c r="W65" s="219" t="str">
        <f t="shared" si="233"/>
        <v/>
      </c>
      <c r="X65" s="220" t="str">
        <f t="shared" si="234"/>
        <v/>
      </c>
      <c r="Y65" s="220" t="str">
        <f t="shared" si="235"/>
        <v/>
      </c>
      <c r="Z65" s="219" t="str">
        <f t="shared" si="236"/>
        <v/>
      </c>
      <c r="AA65" s="220" t="str">
        <f t="shared" si="237"/>
        <v/>
      </c>
      <c r="AB65" s="220" t="str">
        <f t="shared" si="238"/>
        <v/>
      </c>
      <c r="AC65" s="219" t="str">
        <f t="shared" si="239"/>
        <v/>
      </c>
      <c r="AD65" s="220" t="str">
        <f t="shared" si="240"/>
        <v/>
      </c>
      <c r="AE65" s="220" t="str">
        <f t="shared" si="241"/>
        <v/>
      </c>
      <c r="AF65" s="219" t="str">
        <f t="shared" si="242"/>
        <v/>
      </c>
      <c r="AG65" s="220" t="str">
        <f t="shared" si="243"/>
        <v/>
      </c>
      <c r="AH65" s="220" t="str">
        <f t="shared" si="244"/>
        <v/>
      </c>
      <c r="AI65" s="219" t="str">
        <f t="shared" si="245"/>
        <v/>
      </c>
      <c r="AJ65" s="220" t="str">
        <f t="shared" si="246"/>
        <v/>
      </c>
      <c r="AK65" s="220" t="str">
        <f t="shared" si="247"/>
        <v/>
      </c>
      <c r="AL65" s="219" t="str">
        <f t="shared" si="248"/>
        <v/>
      </c>
      <c r="AM65" s="220" t="str">
        <f t="shared" si="249"/>
        <v/>
      </c>
      <c r="AN65" s="220" t="str">
        <f t="shared" si="250"/>
        <v/>
      </c>
      <c r="AO65" s="219" t="str">
        <f t="shared" si="251"/>
        <v/>
      </c>
      <c r="AP65" s="220" t="str">
        <f t="shared" si="252"/>
        <v/>
      </c>
      <c r="AQ65" s="220" t="str">
        <f t="shared" si="253"/>
        <v/>
      </c>
      <c r="AR65" s="219" t="str">
        <f t="shared" si="254"/>
        <v/>
      </c>
      <c r="AS65" s="220" t="str">
        <f t="shared" si="255"/>
        <v/>
      </c>
      <c r="AT65" s="220" t="str">
        <f t="shared" si="256"/>
        <v/>
      </c>
      <c r="AU65" s="221"/>
      <c r="AV65" s="221"/>
      <c r="AW65" s="221"/>
      <c r="AY65" s="218" t="str">
        <f t="shared" si="257"/>
        <v/>
      </c>
      <c r="AZ65" s="218" t="str">
        <f t="shared" si="258"/>
        <v/>
      </c>
      <c r="BA65" s="218" t="str">
        <f t="shared" si="259"/>
        <v/>
      </c>
      <c r="BB65" s="218" t="str">
        <f t="shared" si="260"/>
        <v/>
      </c>
      <c r="BC65" s="218" t="str">
        <f t="shared" si="261"/>
        <v/>
      </c>
      <c r="BD65" s="218" t="str">
        <f t="shared" si="262"/>
        <v/>
      </c>
      <c r="BE65" s="218" t="str">
        <f t="shared" si="263"/>
        <v/>
      </c>
      <c r="BF65" s="218" t="str">
        <f t="shared" si="264"/>
        <v/>
      </c>
      <c r="BG65" s="218" t="str">
        <f t="shared" si="265"/>
        <v/>
      </c>
      <c r="BH65" s="218" t="str">
        <f t="shared" si="266"/>
        <v/>
      </c>
      <c r="BI65" s="218" t="str">
        <f t="shared" si="267"/>
        <v/>
      </c>
      <c r="BJ65" s="218" t="str">
        <f t="shared" si="268"/>
        <v/>
      </c>
      <c r="BK65" s="218" t="str">
        <f t="shared" si="269"/>
        <v/>
      </c>
      <c r="BL65" s="218" t="str">
        <f t="shared" si="270"/>
        <v/>
      </c>
      <c r="BM65" s="218" t="str">
        <f t="shared" si="271"/>
        <v/>
      </c>
      <c r="BN65" s="218" t="str">
        <f t="shared" si="272"/>
        <v/>
      </c>
      <c r="BO65" s="218" t="str">
        <f t="shared" si="273"/>
        <v/>
      </c>
      <c r="BP65" s="218" t="str">
        <f t="shared" si="274"/>
        <v/>
      </c>
      <c r="BQ65" s="218" t="str">
        <f t="shared" si="275"/>
        <v/>
      </c>
      <c r="BR65" s="218" t="str">
        <f t="shared" si="276"/>
        <v/>
      </c>
      <c r="BS65" s="218" t="str">
        <f t="shared" si="277"/>
        <v/>
      </c>
      <c r="BT65" s="218" t="str">
        <f t="shared" si="278"/>
        <v/>
      </c>
      <c r="BU65" s="218" t="str">
        <f t="shared" si="279"/>
        <v/>
      </c>
      <c r="BV65" s="218" t="str">
        <f t="shared" si="280"/>
        <v/>
      </c>
      <c r="BW65" s="218" t="str">
        <f t="shared" si="281"/>
        <v/>
      </c>
      <c r="BX65" s="218" t="str">
        <f t="shared" si="282"/>
        <v/>
      </c>
      <c r="BY65" s="218" t="str">
        <f t="shared" si="283"/>
        <v/>
      </c>
      <c r="BZ65" s="218" t="str">
        <f t="shared" si="284"/>
        <v/>
      </c>
      <c r="CA65" s="218" t="str">
        <f t="shared" si="285"/>
        <v/>
      </c>
      <c r="CB65" s="218" t="str">
        <f t="shared" si="286"/>
        <v/>
      </c>
      <c r="CD65" s="218" t="str">
        <f t="shared" si="287"/>
        <v/>
      </c>
      <c r="CE65" s="218" t="str">
        <f t="shared" si="288"/>
        <v/>
      </c>
      <c r="CF65" s="218" t="str">
        <f t="shared" si="289"/>
        <v/>
      </c>
      <c r="CG65" s="218" t="str">
        <f t="shared" si="290"/>
        <v/>
      </c>
      <c r="CH65" s="218" t="str">
        <f t="shared" si="291"/>
        <v/>
      </c>
      <c r="CI65" s="218" t="str">
        <f t="shared" si="292"/>
        <v/>
      </c>
      <c r="CJ65" s="218" t="str">
        <f t="shared" si="293"/>
        <v/>
      </c>
      <c r="CK65" s="218" t="str">
        <f t="shared" si="294"/>
        <v/>
      </c>
      <c r="CL65" s="218" t="str">
        <f t="shared" si="295"/>
        <v/>
      </c>
      <c r="CM65" s="218" t="str">
        <f t="shared" si="296"/>
        <v/>
      </c>
      <c r="CN65" s="218" t="str">
        <f t="shared" si="297"/>
        <v/>
      </c>
      <c r="CO65" s="218" t="str">
        <f t="shared" si="298"/>
        <v/>
      </c>
      <c r="CP65" s="218" t="str">
        <f t="shared" si="299"/>
        <v/>
      </c>
      <c r="CQ65" s="218" t="str">
        <f t="shared" si="300"/>
        <v/>
      </c>
      <c r="CR65" s="218" t="str">
        <f t="shared" si="301"/>
        <v/>
      </c>
      <c r="CS65" s="218" t="str">
        <f t="shared" si="302"/>
        <v/>
      </c>
      <c r="CT65" s="218" t="str">
        <f t="shared" si="303"/>
        <v/>
      </c>
      <c r="CU65" s="218" t="str">
        <f t="shared" si="304"/>
        <v/>
      </c>
      <c r="CV65" s="218" t="str">
        <f t="shared" si="305"/>
        <v/>
      </c>
      <c r="CW65" s="218" t="str">
        <f t="shared" si="306"/>
        <v/>
      </c>
      <c r="CX65" s="218" t="str">
        <f t="shared" si="307"/>
        <v/>
      </c>
      <c r="CY65" s="218" t="str">
        <f t="shared" si="308"/>
        <v/>
      </c>
      <c r="CZ65" s="218" t="str">
        <f t="shared" si="309"/>
        <v/>
      </c>
      <c r="DA65" s="218" t="str">
        <f t="shared" si="310"/>
        <v/>
      </c>
      <c r="DB65" s="218" t="str">
        <f t="shared" si="64"/>
        <v/>
      </c>
      <c r="DC65" s="218" t="str">
        <f t="shared" si="311"/>
        <v/>
      </c>
      <c r="DD65" s="218" t="str">
        <f t="shared" si="312"/>
        <v/>
      </c>
      <c r="DF65" s="218" t="str">
        <f t="shared" si="313"/>
        <v/>
      </c>
      <c r="DG65" s="218" t="str">
        <f t="shared" si="314"/>
        <v/>
      </c>
      <c r="DH65" s="218" t="str">
        <f t="shared" si="315"/>
        <v/>
      </c>
      <c r="DI65" s="218" t="str">
        <f t="shared" si="316"/>
        <v/>
      </c>
      <c r="DJ65" s="218" t="str">
        <f t="shared" si="317"/>
        <v/>
      </c>
      <c r="DK65" s="218" t="str">
        <f t="shared" si="318"/>
        <v/>
      </c>
      <c r="DL65" s="218" t="str">
        <f t="shared" si="319"/>
        <v/>
      </c>
      <c r="DM65" s="218" t="str">
        <f t="shared" si="320"/>
        <v/>
      </c>
      <c r="DN65" s="218" t="str">
        <f t="shared" si="321"/>
        <v/>
      </c>
      <c r="DO65" s="218" t="str">
        <f t="shared" si="322"/>
        <v/>
      </c>
      <c r="DP65" s="218" t="str">
        <f t="shared" si="323"/>
        <v/>
      </c>
      <c r="DQ65" s="218" t="str">
        <f t="shared" si="324"/>
        <v/>
      </c>
      <c r="DR65" s="218" t="str">
        <f t="shared" si="325"/>
        <v/>
      </c>
      <c r="DS65" s="218" t="str">
        <f t="shared" si="326"/>
        <v/>
      </c>
      <c r="DT65" s="218" t="str">
        <f t="shared" si="327"/>
        <v/>
      </c>
      <c r="DU65" s="218" t="str">
        <f t="shared" si="328"/>
        <v/>
      </c>
      <c r="DV65" s="218" t="str">
        <f t="shared" si="329"/>
        <v/>
      </c>
      <c r="DW65" s="218" t="str">
        <f t="shared" si="330"/>
        <v/>
      </c>
      <c r="DX65" s="218" t="str">
        <f t="shared" si="331"/>
        <v/>
      </c>
      <c r="DY65" s="218" t="str">
        <f t="shared" si="332"/>
        <v/>
      </c>
      <c r="DZ65" s="218" t="str">
        <f t="shared" si="333"/>
        <v/>
      </c>
      <c r="EA65" s="218" t="str">
        <f t="shared" si="334"/>
        <v/>
      </c>
      <c r="EB65" s="218" t="str">
        <f t="shared" si="335"/>
        <v/>
      </c>
      <c r="EC65" s="218" t="str">
        <f t="shared" si="336"/>
        <v/>
      </c>
      <c r="EE65" s="218" t="str">
        <f t="shared" si="337"/>
        <v/>
      </c>
      <c r="EF65" s="218" t="str">
        <f t="shared" si="338"/>
        <v/>
      </c>
      <c r="EG65" s="218" t="str">
        <f t="shared" si="339"/>
        <v/>
      </c>
      <c r="EH65" s="218" t="str">
        <f t="shared" si="340"/>
        <v/>
      </c>
      <c r="EI65" s="218" t="str">
        <f t="shared" si="341"/>
        <v/>
      </c>
      <c r="EJ65" s="218" t="str">
        <f t="shared" si="342"/>
        <v/>
      </c>
      <c r="EK65" s="218" t="str">
        <f t="shared" si="343"/>
        <v/>
      </c>
      <c r="EL65" s="218" t="str">
        <f t="shared" si="344"/>
        <v/>
      </c>
      <c r="EM65" s="218" t="str">
        <f t="shared" si="345"/>
        <v/>
      </c>
      <c r="EN65" s="218" t="str">
        <f t="shared" si="346"/>
        <v/>
      </c>
      <c r="EO65" s="218" t="str">
        <f t="shared" si="347"/>
        <v/>
      </c>
      <c r="EP65" s="218" t="str">
        <f t="shared" si="348"/>
        <v/>
      </c>
      <c r="EQ65" s="218" t="str">
        <f t="shared" si="349"/>
        <v/>
      </c>
      <c r="ER65" s="218" t="str">
        <f t="shared" si="350"/>
        <v/>
      </c>
      <c r="ES65" s="218" t="str">
        <f t="shared" si="351"/>
        <v/>
      </c>
      <c r="ET65" s="218" t="str">
        <f t="shared" si="352"/>
        <v/>
      </c>
      <c r="EU65" s="218" t="str">
        <f t="shared" si="353"/>
        <v/>
      </c>
      <c r="EV65" s="218" t="str">
        <f t="shared" si="354"/>
        <v/>
      </c>
      <c r="EW65" s="218" t="str">
        <f t="shared" si="355"/>
        <v/>
      </c>
      <c r="EX65" s="218" t="str">
        <f t="shared" si="356"/>
        <v/>
      </c>
      <c r="EY65" s="218" t="str">
        <f t="shared" si="357"/>
        <v/>
      </c>
      <c r="FA65" s="218" t="str">
        <f t="shared" si="358"/>
        <v/>
      </c>
      <c r="FB65" s="218" t="str">
        <f t="shared" si="359"/>
        <v/>
      </c>
      <c r="FC65" s="218" t="str">
        <f t="shared" si="360"/>
        <v/>
      </c>
      <c r="FD65" s="218" t="str">
        <f t="shared" si="361"/>
        <v/>
      </c>
      <c r="FE65" s="218" t="str">
        <f t="shared" si="362"/>
        <v/>
      </c>
      <c r="FF65" s="218" t="str">
        <f t="shared" si="363"/>
        <v/>
      </c>
      <c r="FG65" s="218" t="str">
        <f t="shared" si="364"/>
        <v/>
      </c>
      <c r="FH65" s="218" t="str">
        <f t="shared" si="365"/>
        <v/>
      </c>
      <c r="FI65" s="218" t="str">
        <f t="shared" si="366"/>
        <v/>
      </c>
      <c r="FJ65" s="218" t="str">
        <f t="shared" si="367"/>
        <v/>
      </c>
      <c r="FK65" s="218" t="str">
        <f t="shared" si="368"/>
        <v/>
      </c>
      <c r="FL65" s="218" t="str">
        <f t="shared" si="369"/>
        <v/>
      </c>
      <c r="FM65" s="218" t="str">
        <f t="shared" si="370"/>
        <v/>
      </c>
      <c r="FN65" s="218" t="str">
        <f t="shared" si="371"/>
        <v/>
      </c>
      <c r="FO65" s="218" t="str">
        <f t="shared" si="372"/>
        <v/>
      </c>
      <c r="FP65" s="218" t="str">
        <f t="shared" si="373"/>
        <v/>
      </c>
      <c r="FQ65" s="218" t="str">
        <f t="shared" si="374"/>
        <v/>
      </c>
      <c r="FR65" s="218" t="str">
        <f t="shared" si="375"/>
        <v/>
      </c>
      <c r="FT65" s="218" t="str">
        <f t="shared" si="376"/>
        <v/>
      </c>
      <c r="FU65" s="218" t="str">
        <f t="shared" si="377"/>
        <v/>
      </c>
      <c r="FV65" s="218" t="str">
        <f t="shared" si="378"/>
        <v/>
      </c>
      <c r="FW65" s="218" t="str">
        <f t="shared" si="379"/>
        <v/>
      </c>
      <c r="FX65" s="218" t="str">
        <f t="shared" si="380"/>
        <v/>
      </c>
      <c r="FY65" s="218" t="str">
        <f t="shared" si="381"/>
        <v/>
      </c>
      <c r="FZ65" s="218" t="str">
        <f t="shared" si="382"/>
        <v/>
      </c>
      <c r="GA65" s="218" t="str">
        <f t="shared" si="383"/>
        <v/>
      </c>
      <c r="GB65" s="218" t="str">
        <f t="shared" si="384"/>
        <v/>
      </c>
      <c r="GC65" s="218" t="str">
        <f t="shared" si="385"/>
        <v/>
      </c>
      <c r="GD65" s="218" t="str">
        <f t="shared" si="386"/>
        <v/>
      </c>
      <c r="GE65" s="218" t="str">
        <f t="shared" si="387"/>
        <v/>
      </c>
      <c r="GF65" s="218" t="str">
        <f t="shared" si="388"/>
        <v/>
      </c>
      <c r="GG65" s="218" t="str">
        <f t="shared" si="389"/>
        <v/>
      </c>
      <c r="GH65" s="218" t="str">
        <f t="shared" si="390"/>
        <v/>
      </c>
      <c r="GJ65" s="218" t="str">
        <f t="shared" si="391"/>
        <v/>
      </c>
      <c r="GK65" s="218" t="str">
        <f t="shared" si="392"/>
        <v/>
      </c>
      <c r="GL65" s="218" t="str">
        <f t="shared" si="393"/>
        <v/>
      </c>
      <c r="GM65" s="218" t="str">
        <f t="shared" si="394"/>
        <v/>
      </c>
      <c r="GN65" s="218" t="str">
        <f t="shared" si="395"/>
        <v/>
      </c>
      <c r="GO65" s="218" t="str">
        <f t="shared" si="396"/>
        <v/>
      </c>
      <c r="GP65" s="218" t="str">
        <f t="shared" si="397"/>
        <v/>
      </c>
      <c r="GQ65" s="218" t="str">
        <f t="shared" si="398"/>
        <v/>
      </c>
      <c r="GR65" s="218" t="str">
        <f t="shared" si="399"/>
        <v/>
      </c>
      <c r="GS65" s="218" t="str">
        <f t="shared" si="400"/>
        <v/>
      </c>
      <c r="GT65" s="218" t="str">
        <f t="shared" si="401"/>
        <v/>
      </c>
      <c r="GU65" s="218" t="str">
        <f t="shared" si="402"/>
        <v/>
      </c>
      <c r="GW65" s="218" t="str">
        <f t="shared" si="403"/>
        <v/>
      </c>
      <c r="GX65" s="218" t="str">
        <f t="shared" si="404"/>
        <v/>
      </c>
      <c r="GY65" s="218" t="str">
        <f t="shared" si="405"/>
        <v/>
      </c>
      <c r="GZ65" s="218" t="str">
        <f t="shared" si="406"/>
        <v/>
      </c>
      <c r="HA65" s="218" t="str">
        <f t="shared" si="407"/>
        <v/>
      </c>
      <c r="HB65" s="218" t="str">
        <f t="shared" si="408"/>
        <v/>
      </c>
      <c r="HC65" s="218" t="str">
        <f t="shared" si="409"/>
        <v/>
      </c>
      <c r="HD65" s="218" t="str">
        <f t="shared" si="410"/>
        <v/>
      </c>
      <c r="HE65" s="218" t="str">
        <f t="shared" si="411"/>
        <v/>
      </c>
      <c r="HG65" s="218" t="str">
        <f t="shared" si="412"/>
        <v/>
      </c>
      <c r="HH65" s="218" t="str">
        <f t="shared" si="413"/>
        <v/>
      </c>
      <c r="HI65" s="218" t="str">
        <f t="shared" si="414"/>
        <v/>
      </c>
      <c r="HJ65" s="218" t="str">
        <f t="shared" si="415"/>
        <v/>
      </c>
      <c r="HK65" s="218" t="str">
        <f t="shared" si="416"/>
        <v/>
      </c>
      <c r="HL65" s="218" t="str">
        <f t="shared" si="417"/>
        <v/>
      </c>
      <c r="HN65" s="218" t="str">
        <f t="shared" si="418"/>
        <v/>
      </c>
      <c r="HO65" s="218" t="str">
        <f t="shared" si="419"/>
        <v/>
      </c>
      <c r="HP65" s="218" t="str">
        <f t="shared" si="420"/>
        <v/>
      </c>
      <c r="HR65" s="218" t="str">
        <f t="shared" si="421"/>
        <v/>
      </c>
      <c r="HS65" s="218" t="str">
        <f t="shared" si="225"/>
        <v/>
      </c>
      <c r="HT65" s="218" t="str">
        <f t="shared" si="422"/>
        <v/>
      </c>
      <c r="HU65" s="218" t="str">
        <f t="shared" si="176"/>
        <v/>
      </c>
      <c r="HV65" s="218" t="str">
        <f t="shared" si="423"/>
        <v/>
      </c>
      <c r="HW65" s="218" t="str">
        <f t="shared" si="424"/>
        <v/>
      </c>
      <c r="HX65" s="218" t="str">
        <f t="shared" si="425"/>
        <v/>
      </c>
      <c r="HY65" s="218" t="str">
        <f t="shared" si="180"/>
        <v/>
      </c>
      <c r="HZ65" s="218" t="str">
        <f t="shared" si="426"/>
        <v/>
      </c>
      <c r="IA65" s="218" t="str">
        <f t="shared" si="427"/>
        <v/>
      </c>
      <c r="IB65" s="218" t="str">
        <f t="shared" si="183"/>
        <v/>
      </c>
      <c r="IC65" s="218" t="str">
        <f t="shared" si="428"/>
        <v/>
      </c>
      <c r="ID65" s="218" t="str">
        <f t="shared" si="429"/>
        <v/>
      </c>
      <c r="IE65" s="218" t="str">
        <f t="shared" si="186"/>
        <v/>
      </c>
      <c r="IF65" s="218" t="str">
        <f t="shared" si="430"/>
        <v/>
      </c>
      <c r="IG65" s="218" t="str">
        <f t="shared" si="431"/>
        <v/>
      </c>
      <c r="IH65" s="218" t="str">
        <f t="shared" si="189"/>
        <v/>
      </c>
      <c r="II65" s="218" t="str">
        <f t="shared" si="432"/>
        <v/>
      </c>
      <c r="IJ65" s="218" t="str">
        <f t="shared" si="433"/>
        <v/>
      </c>
      <c r="IK65" s="218" t="str">
        <f t="shared" si="192"/>
        <v/>
      </c>
      <c r="IL65" s="218" t="str">
        <f t="shared" si="434"/>
        <v/>
      </c>
      <c r="IM65" s="218" t="str">
        <f t="shared" si="435"/>
        <v/>
      </c>
      <c r="IN65" s="218" t="str">
        <f t="shared" si="195"/>
        <v/>
      </c>
      <c r="IO65" s="218" t="str">
        <f t="shared" si="436"/>
        <v/>
      </c>
      <c r="IP65" s="218" t="str">
        <f t="shared" si="437"/>
        <v/>
      </c>
      <c r="IQ65" s="218" t="str">
        <f t="shared" si="198"/>
        <v/>
      </c>
      <c r="IR65" s="218" t="str">
        <f t="shared" si="438"/>
        <v/>
      </c>
      <c r="IS65" s="218" t="str">
        <f t="shared" si="439"/>
        <v/>
      </c>
      <c r="IT65" s="218" t="str">
        <f t="shared" si="201"/>
        <v/>
      </c>
      <c r="IU65" s="218" t="str">
        <f t="shared" si="440"/>
        <v/>
      </c>
    </row>
    <row r="66" spans="1:255" x14ac:dyDescent="0.2">
      <c r="A66" s="200" t="s">
        <v>69</v>
      </c>
      <c r="B66" s="178"/>
      <c r="C66" s="179"/>
      <c r="D66" s="197"/>
      <c r="E66" s="197"/>
      <c r="F66" s="197"/>
      <c r="G66" s="181"/>
      <c r="H66" s="181"/>
      <c r="I66" s="181"/>
      <c r="J66" s="181"/>
      <c r="K66" s="185"/>
      <c r="L66" s="217" t="str">
        <f t="shared" si="29"/>
        <v/>
      </c>
      <c r="M66" s="218" t="str">
        <f>'HKG vs. BK'!M66</f>
        <v/>
      </c>
      <c r="N66" s="218" t="str">
        <f>'HKG vs. BK'!N66</f>
        <v/>
      </c>
      <c r="O66" s="218" t="str">
        <f>'HKG vs. BK'!O66</f>
        <v/>
      </c>
      <c r="P66" s="218" t="str">
        <f>'HKG vs. BK'!P66</f>
        <v/>
      </c>
      <c r="Q66" s="219" t="str">
        <f t="shared" si="227"/>
        <v/>
      </c>
      <c r="R66" s="220" t="str">
        <f t="shared" si="228"/>
        <v/>
      </c>
      <c r="S66" s="220" t="str">
        <f t="shared" si="229"/>
        <v/>
      </c>
      <c r="T66" s="219" t="str">
        <f t="shared" si="230"/>
        <v/>
      </c>
      <c r="U66" s="220" t="str">
        <f t="shared" si="231"/>
        <v/>
      </c>
      <c r="V66" s="220" t="str">
        <f t="shared" si="232"/>
        <v/>
      </c>
      <c r="W66" s="219" t="str">
        <f t="shared" si="233"/>
        <v/>
      </c>
      <c r="X66" s="220" t="str">
        <f t="shared" si="234"/>
        <v/>
      </c>
      <c r="Y66" s="220" t="str">
        <f t="shared" si="235"/>
        <v/>
      </c>
      <c r="Z66" s="219" t="str">
        <f t="shared" si="236"/>
        <v/>
      </c>
      <c r="AA66" s="220" t="str">
        <f t="shared" si="237"/>
        <v/>
      </c>
      <c r="AB66" s="220" t="str">
        <f t="shared" si="238"/>
        <v/>
      </c>
      <c r="AC66" s="219" t="str">
        <f t="shared" si="239"/>
        <v/>
      </c>
      <c r="AD66" s="220" t="str">
        <f t="shared" si="240"/>
        <v/>
      </c>
      <c r="AE66" s="220" t="str">
        <f t="shared" si="241"/>
        <v/>
      </c>
      <c r="AF66" s="219" t="str">
        <f t="shared" si="242"/>
        <v/>
      </c>
      <c r="AG66" s="220" t="str">
        <f t="shared" si="243"/>
        <v/>
      </c>
      <c r="AH66" s="220" t="str">
        <f t="shared" si="244"/>
        <v/>
      </c>
      <c r="AI66" s="219" t="str">
        <f t="shared" si="245"/>
        <v/>
      </c>
      <c r="AJ66" s="220" t="str">
        <f t="shared" si="246"/>
        <v/>
      </c>
      <c r="AK66" s="220" t="str">
        <f t="shared" si="247"/>
        <v/>
      </c>
      <c r="AL66" s="219" t="str">
        <f t="shared" si="248"/>
        <v/>
      </c>
      <c r="AM66" s="220" t="str">
        <f t="shared" si="249"/>
        <v/>
      </c>
      <c r="AN66" s="220" t="str">
        <f t="shared" si="250"/>
        <v/>
      </c>
      <c r="AO66" s="219" t="str">
        <f t="shared" si="251"/>
        <v/>
      </c>
      <c r="AP66" s="220" t="str">
        <f t="shared" si="252"/>
        <v/>
      </c>
      <c r="AQ66" s="220" t="str">
        <f t="shared" si="253"/>
        <v/>
      </c>
      <c r="AR66" s="219" t="str">
        <f t="shared" si="254"/>
        <v/>
      </c>
      <c r="AS66" s="220" t="str">
        <f t="shared" si="255"/>
        <v/>
      </c>
      <c r="AT66" s="220" t="str">
        <f t="shared" si="256"/>
        <v/>
      </c>
      <c r="AU66" s="221"/>
      <c r="AV66" s="221"/>
      <c r="AW66" s="221"/>
      <c r="AY66" s="218" t="str">
        <f t="shared" si="257"/>
        <v/>
      </c>
      <c r="AZ66" s="218" t="str">
        <f t="shared" si="258"/>
        <v/>
      </c>
      <c r="BA66" s="218" t="str">
        <f t="shared" si="259"/>
        <v/>
      </c>
      <c r="BB66" s="218" t="str">
        <f t="shared" si="260"/>
        <v/>
      </c>
      <c r="BC66" s="218" t="str">
        <f t="shared" si="261"/>
        <v/>
      </c>
      <c r="BD66" s="218" t="str">
        <f t="shared" si="262"/>
        <v/>
      </c>
      <c r="BE66" s="218" t="str">
        <f t="shared" si="263"/>
        <v/>
      </c>
      <c r="BF66" s="218" t="str">
        <f t="shared" si="264"/>
        <v/>
      </c>
      <c r="BG66" s="218" t="str">
        <f t="shared" si="265"/>
        <v/>
      </c>
      <c r="BH66" s="218" t="str">
        <f t="shared" si="266"/>
        <v/>
      </c>
      <c r="BI66" s="218" t="str">
        <f t="shared" si="267"/>
        <v/>
      </c>
      <c r="BJ66" s="218" t="str">
        <f t="shared" si="268"/>
        <v/>
      </c>
      <c r="BK66" s="218" t="str">
        <f t="shared" si="269"/>
        <v/>
      </c>
      <c r="BL66" s="218" t="str">
        <f t="shared" si="270"/>
        <v/>
      </c>
      <c r="BM66" s="218" t="str">
        <f t="shared" si="271"/>
        <v/>
      </c>
      <c r="BN66" s="218" t="str">
        <f t="shared" si="272"/>
        <v/>
      </c>
      <c r="BO66" s="218" t="str">
        <f t="shared" si="273"/>
        <v/>
      </c>
      <c r="BP66" s="218" t="str">
        <f t="shared" si="274"/>
        <v/>
      </c>
      <c r="BQ66" s="218" t="str">
        <f t="shared" si="275"/>
        <v/>
      </c>
      <c r="BR66" s="218" t="str">
        <f t="shared" si="276"/>
        <v/>
      </c>
      <c r="BS66" s="218" t="str">
        <f t="shared" si="277"/>
        <v/>
      </c>
      <c r="BT66" s="218" t="str">
        <f t="shared" si="278"/>
        <v/>
      </c>
      <c r="BU66" s="218" t="str">
        <f t="shared" si="279"/>
        <v/>
      </c>
      <c r="BV66" s="218" t="str">
        <f t="shared" si="280"/>
        <v/>
      </c>
      <c r="BW66" s="218" t="str">
        <f t="shared" si="281"/>
        <v/>
      </c>
      <c r="BX66" s="218" t="str">
        <f t="shared" si="282"/>
        <v/>
      </c>
      <c r="BY66" s="218" t="str">
        <f t="shared" si="283"/>
        <v/>
      </c>
      <c r="BZ66" s="218" t="str">
        <f t="shared" si="284"/>
        <v/>
      </c>
      <c r="CA66" s="218" t="str">
        <f t="shared" si="285"/>
        <v/>
      </c>
      <c r="CB66" s="218" t="str">
        <f t="shared" si="286"/>
        <v/>
      </c>
      <c r="CD66" s="218" t="str">
        <f t="shared" si="287"/>
        <v/>
      </c>
      <c r="CE66" s="218" t="str">
        <f t="shared" si="288"/>
        <v/>
      </c>
      <c r="CF66" s="218" t="str">
        <f t="shared" si="289"/>
        <v/>
      </c>
      <c r="CG66" s="218" t="str">
        <f t="shared" si="290"/>
        <v/>
      </c>
      <c r="CH66" s="218" t="str">
        <f t="shared" si="291"/>
        <v/>
      </c>
      <c r="CI66" s="218" t="str">
        <f t="shared" si="292"/>
        <v/>
      </c>
      <c r="CJ66" s="218" t="str">
        <f t="shared" si="293"/>
        <v/>
      </c>
      <c r="CK66" s="218" t="str">
        <f t="shared" si="294"/>
        <v/>
      </c>
      <c r="CL66" s="218" t="str">
        <f t="shared" si="295"/>
        <v/>
      </c>
      <c r="CM66" s="218" t="str">
        <f t="shared" si="296"/>
        <v/>
      </c>
      <c r="CN66" s="218" t="str">
        <f t="shared" si="297"/>
        <v/>
      </c>
      <c r="CO66" s="218" t="str">
        <f t="shared" si="298"/>
        <v/>
      </c>
      <c r="CP66" s="218" t="str">
        <f t="shared" si="299"/>
        <v/>
      </c>
      <c r="CQ66" s="218" t="str">
        <f t="shared" si="300"/>
        <v/>
      </c>
      <c r="CR66" s="218" t="str">
        <f t="shared" si="301"/>
        <v/>
      </c>
      <c r="CS66" s="218" t="str">
        <f t="shared" si="302"/>
        <v/>
      </c>
      <c r="CT66" s="218" t="str">
        <f t="shared" si="303"/>
        <v/>
      </c>
      <c r="CU66" s="218" t="str">
        <f t="shared" si="304"/>
        <v/>
      </c>
      <c r="CV66" s="218" t="str">
        <f t="shared" si="305"/>
        <v/>
      </c>
      <c r="CW66" s="218" t="str">
        <f t="shared" si="306"/>
        <v/>
      </c>
      <c r="CX66" s="218" t="str">
        <f t="shared" si="307"/>
        <v/>
      </c>
      <c r="CY66" s="218" t="str">
        <f t="shared" si="308"/>
        <v/>
      </c>
      <c r="CZ66" s="218" t="str">
        <f t="shared" si="309"/>
        <v/>
      </c>
      <c r="DA66" s="218" t="str">
        <f t="shared" si="310"/>
        <v/>
      </c>
      <c r="DB66" s="218" t="str">
        <f t="shared" si="64"/>
        <v/>
      </c>
      <c r="DC66" s="218" t="str">
        <f t="shared" si="311"/>
        <v/>
      </c>
      <c r="DD66" s="218" t="str">
        <f t="shared" si="312"/>
        <v/>
      </c>
      <c r="DF66" s="218" t="str">
        <f t="shared" si="313"/>
        <v/>
      </c>
      <c r="DG66" s="218" t="str">
        <f t="shared" si="314"/>
        <v/>
      </c>
      <c r="DH66" s="218" t="str">
        <f t="shared" si="315"/>
        <v/>
      </c>
      <c r="DI66" s="218" t="str">
        <f t="shared" si="316"/>
        <v/>
      </c>
      <c r="DJ66" s="218" t="str">
        <f t="shared" si="317"/>
        <v/>
      </c>
      <c r="DK66" s="218" t="str">
        <f t="shared" si="318"/>
        <v/>
      </c>
      <c r="DL66" s="218" t="str">
        <f t="shared" si="319"/>
        <v/>
      </c>
      <c r="DM66" s="218" t="str">
        <f t="shared" si="320"/>
        <v/>
      </c>
      <c r="DN66" s="218" t="str">
        <f t="shared" si="321"/>
        <v/>
      </c>
      <c r="DO66" s="218" t="str">
        <f t="shared" si="322"/>
        <v/>
      </c>
      <c r="DP66" s="218" t="str">
        <f t="shared" si="323"/>
        <v/>
      </c>
      <c r="DQ66" s="218" t="str">
        <f t="shared" si="324"/>
        <v/>
      </c>
      <c r="DR66" s="218" t="str">
        <f t="shared" si="325"/>
        <v/>
      </c>
      <c r="DS66" s="218" t="str">
        <f t="shared" si="326"/>
        <v/>
      </c>
      <c r="DT66" s="218" t="str">
        <f t="shared" si="327"/>
        <v/>
      </c>
      <c r="DU66" s="218" t="str">
        <f t="shared" si="328"/>
        <v/>
      </c>
      <c r="DV66" s="218" t="str">
        <f t="shared" si="329"/>
        <v/>
      </c>
      <c r="DW66" s="218" t="str">
        <f t="shared" si="330"/>
        <v/>
      </c>
      <c r="DX66" s="218" t="str">
        <f t="shared" si="331"/>
        <v/>
      </c>
      <c r="DY66" s="218" t="str">
        <f t="shared" si="332"/>
        <v/>
      </c>
      <c r="DZ66" s="218" t="str">
        <f t="shared" si="333"/>
        <v/>
      </c>
      <c r="EA66" s="218" t="str">
        <f t="shared" si="334"/>
        <v/>
      </c>
      <c r="EB66" s="218" t="str">
        <f t="shared" si="335"/>
        <v/>
      </c>
      <c r="EC66" s="218" t="str">
        <f t="shared" si="336"/>
        <v/>
      </c>
      <c r="EE66" s="218" t="str">
        <f t="shared" si="337"/>
        <v/>
      </c>
      <c r="EF66" s="218" t="str">
        <f t="shared" si="338"/>
        <v/>
      </c>
      <c r="EG66" s="218" t="str">
        <f t="shared" si="339"/>
        <v/>
      </c>
      <c r="EH66" s="218" t="str">
        <f t="shared" si="340"/>
        <v/>
      </c>
      <c r="EI66" s="218" t="str">
        <f t="shared" si="341"/>
        <v/>
      </c>
      <c r="EJ66" s="218" t="str">
        <f t="shared" si="342"/>
        <v/>
      </c>
      <c r="EK66" s="218" t="str">
        <f t="shared" si="343"/>
        <v/>
      </c>
      <c r="EL66" s="218" t="str">
        <f t="shared" si="344"/>
        <v/>
      </c>
      <c r="EM66" s="218" t="str">
        <f t="shared" si="345"/>
        <v/>
      </c>
      <c r="EN66" s="218" t="str">
        <f t="shared" si="346"/>
        <v/>
      </c>
      <c r="EO66" s="218" t="str">
        <f t="shared" si="347"/>
        <v/>
      </c>
      <c r="EP66" s="218" t="str">
        <f t="shared" si="348"/>
        <v/>
      </c>
      <c r="EQ66" s="218" t="str">
        <f t="shared" si="349"/>
        <v/>
      </c>
      <c r="ER66" s="218" t="str">
        <f t="shared" si="350"/>
        <v/>
      </c>
      <c r="ES66" s="218" t="str">
        <f t="shared" si="351"/>
        <v/>
      </c>
      <c r="ET66" s="218" t="str">
        <f t="shared" si="352"/>
        <v/>
      </c>
      <c r="EU66" s="218" t="str">
        <f t="shared" si="353"/>
        <v/>
      </c>
      <c r="EV66" s="218" t="str">
        <f t="shared" si="354"/>
        <v/>
      </c>
      <c r="EW66" s="218" t="str">
        <f t="shared" si="355"/>
        <v/>
      </c>
      <c r="EX66" s="218" t="str">
        <f t="shared" si="356"/>
        <v/>
      </c>
      <c r="EY66" s="218" t="str">
        <f t="shared" si="357"/>
        <v/>
      </c>
      <c r="FA66" s="218" t="str">
        <f t="shared" si="358"/>
        <v/>
      </c>
      <c r="FB66" s="218" t="str">
        <f t="shared" si="359"/>
        <v/>
      </c>
      <c r="FC66" s="218" t="str">
        <f t="shared" si="360"/>
        <v/>
      </c>
      <c r="FD66" s="218" t="str">
        <f t="shared" si="361"/>
        <v/>
      </c>
      <c r="FE66" s="218" t="str">
        <f t="shared" si="362"/>
        <v/>
      </c>
      <c r="FF66" s="218" t="str">
        <f t="shared" si="363"/>
        <v/>
      </c>
      <c r="FG66" s="218" t="str">
        <f t="shared" si="364"/>
        <v/>
      </c>
      <c r="FH66" s="218" t="str">
        <f t="shared" si="365"/>
        <v/>
      </c>
      <c r="FI66" s="218" t="str">
        <f t="shared" si="366"/>
        <v/>
      </c>
      <c r="FJ66" s="218" t="str">
        <f t="shared" si="367"/>
        <v/>
      </c>
      <c r="FK66" s="218" t="str">
        <f t="shared" si="368"/>
        <v/>
      </c>
      <c r="FL66" s="218" t="str">
        <f t="shared" si="369"/>
        <v/>
      </c>
      <c r="FM66" s="218" t="str">
        <f t="shared" si="370"/>
        <v/>
      </c>
      <c r="FN66" s="218" t="str">
        <f t="shared" si="371"/>
        <v/>
      </c>
      <c r="FO66" s="218" t="str">
        <f t="shared" si="372"/>
        <v/>
      </c>
      <c r="FP66" s="218" t="str">
        <f t="shared" si="373"/>
        <v/>
      </c>
      <c r="FQ66" s="218" t="str">
        <f t="shared" si="374"/>
        <v/>
      </c>
      <c r="FR66" s="218" t="str">
        <f t="shared" si="375"/>
        <v/>
      </c>
      <c r="FT66" s="218" t="str">
        <f t="shared" si="376"/>
        <v/>
      </c>
      <c r="FU66" s="218" t="str">
        <f t="shared" si="377"/>
        <v/>
      </c>
      <c r="FV66" s="218" t="str">
        <f t="shared" si="378"/>
        <v/>
      </c>
      <c r="FW66" s="218" t="str">
        <f t="shared" si="379"/>
        <v/>
      </c>
      <c r="FX66" s="218" t="str">
        <f t="shared" si="380"/>
        <v/>
      </c>
      <c r="FY66" s="218" t="str">
        <f t="shared" si="381"/>
        <v/>
      </c>
      <c r="FZ66" s="218" t="str">
        <f t="shared" si="382"/>
        <v/>
      </c>
      <c r="GA66" s="218" t="str">
        <f t="shared" si="383"/>
        <v/>
      </c>
      <c r="GB66" s="218" t="str">
        <f t="shared" si="384"/>
        <v/>
      </c>
      <c r="GC66" s="218" t="str">
        <f t="shared" si="385"/>
        <v/>
      </c>
      <c r="GD66" s="218" t="str">
        <f t="shared" si="386"/>
        <v/>
      </c>
      <c r="GE66" s="218" t="str">
        <f t="shared" si="387"/>
        <v/>
      </c>
      <c r="GF66" s="218" t="str">
        <f t="shared" si="388"/>
        <v/>
      </c>
      <c r="GG66" s="218" t="str">
        <f t="shared" si="389"/>
        <v/>
      </c>
      <c r="GH66" s="218" t="str">
        <f t="shared" si="390"/>
        <v/>
      </c>
      <c r="GJ66" s="218" t="str">
        <f t="shared" si="391"/>
        <v/>
      </c>
      <c r="GK66" s="218" t="str">
        <f t="shared" si="392"/>
        <v/>
      </c>
      <c r="GL66" s="218" t="str">
        <f t="shared" si="393"/>
        <v/>
      </c>
      <c r="GM66" s="218" t="str">
        <f t="shared" si="394"/>
        <v/>
      </c>
      <c r="GN66" s="218" t="str">
        <f t="shared" si="395"/>
        <v/>
      </c>
      <c r="GO66" s="218" t="str">
        <f t="shared" si="396"/>
        <v/>
      </c>
      <c r="GP66" s="218" t="str">
        <f t="shared" si="397"/>
        <v/>
      </c>
      <c r="GQ66" s="218" t="str">
        <f t="shared" si="398"/>
        <v/>
      </c>
      <c r="GR66" s="218" t="str">
        <f t="shared" si="399"/>
        <v/>
      </c>
      <c r="GS66" s="218" t="str">
        <f t="shared" si="400"/>
        <v/>
      </c>
      <c r="GT66" s="218" t="str">
        <f t="shared" si="401"/>
        <v/>
      </c>
      <c r="GU66" s="218" t="str">
        <f t="shared" si="402"/>
        <v/>
      </c>
      <c r="GW66" s="218" t="str">
        <f t="shared" si="403"/>
        <v/>
      </c>
      <c r="GX66" s="218" t="str">
        <f t="shared" si="404"/>
        <v/>
      </c>
      <c r="GY66" s="218" t="str">
        <f t="shared" si="405"/>
        <v/>
      </c>
      <c r="GZ66" s="218" t="str">
        <f t="shared" si="406"/>
        <v/>
      </c>
      <c r="HA66" s="218" t="str">
        <f t="shared" si="407"/>
        <v/>
      </c>
      <c r="HB66" s="218" t="str">
        <f t="shared" si="408"/>
        <v/>
      </c>
      <c r="HC66" s="218" t="str">
        <f t="shared" si="409"/>
        <v/>
      </c>
      <c r="HD66" s="218" t="str">
        <f t="shared" si="410"/>
        <v/>
      </c>
      <c r="HE66" s="218" t="str">
        <f t="shared" si="411"/>
        <v/>
      </c>
      <c r="HG66" s="218" t="str">
        <f t="shared" si="412"/>
        <v/>
      </c>
      <c r="HH66" s="218" t="str">
        <f t="shared" si="413"/>
        <v/>
      </c>
      <c r="HI66" s="218" t="str">
        <f t="shared" si="414"/>
        <v/>
      </c>
      <c r="HJ66" s="218" t="str">
        <f t="shared" si="415"/>
        <v/>
      </c>
      <c r="HK66" s="218" t="str">
        <f t="shared" si="416"/>
        <v/>
      </c>
      <c r="HL66" s="218" t="str">
        <f t="shared" si="417"/>
        <v/>
      </c>
      <c r="HN66" s="218" t="str">
        <f t="shared" si="418"/>
        <v/>
      </c>
      <c r="HO66" s="218" t="str">
        <f t="shared" si="419"/>
        <v/>
      </c>
      <c r="HP66" s="218" t="str">
        <f t="shared" si="420"/>
        <v/>
      </c>
      <c r="HR66" s="218" t="str">
        <f t="shared" si="421"/>
        <v/>
      </c>
      <c r="HS66" s="218" t="str">
        <f t="shared" si="225"/>
        <v/>
      </c>
      <c r="HT66" s="218" t="str">
        <f t="shared" si="422"/>
        <v/>
      </c>
      <c r="HU66" s="218" t="str">
        <f t="shared" si="176"/>
        <v/>
      </c>
      <c r="HV66" s="218" t="str">
        <f t="shared" si="423"/>
        <v/>
      </c>
      <c r="HW66" s="218" t="str">
        <f t="shared" si="424"/>
        <v/>
      </c>
      <c r="HX66" s="218" t="str">
        <f t="shared" si="425"/>
        <v/>
      </c>
      <c r="HY66" s="218" t="str">
        <f t="shared" si="180"/>
        <v/>
      </c>
      <c r="HZ66" s="218" t="str">
        <f t="shared" si="426"/>
        <v/>
      </c>
      <c r="IA66" s="218" t="str">
        <f t="shared" si="427"/>
        <v/>
      </c>
      <c r="IB66" s="218" t="str">
        <f t="shared" si="183"/>
        <v/>
      </c>
      <c r="IC66" s="218" t="str">
        <f t="shared" si="428"/>
        <v/>
      </c>
      <c r="ID66" s="218" t="str">
        <f t="shared" si="429"/>
        <v/>
      </c>
      <c r="IE66" s="218" t="str">
        <f t="shared" si="186"/>
        <v/>
      </c>
      <c r="IF66" s="218" t="str">
        <f t="shared" si="430"/>
        <v/>
      </c>
      <c r="IG66" s="218" t="str">
        <f t="shared" si="431"/>
        <v/>
      </c>
      <c r="IH66" s="218" t="str">
        <f t="shared" si="189"/>
        <v/>
      </c>
      <c r="II66" s="218" t="str">
        <f t="shared" si="432"/>
        <v/>
      </c>
      <c r="IJ66" s="218" t="str">
        <f t="shared" si="433"/>
        <v/>
      </c>
      <c r="IK66" s="218" t="str">
        <f t="shared" si="192"/>
        <v/>
      </c>
      <c r="IL66" s="218" t="str">
        <f t="shared" si="434"/>
        <v/>
      </c>
      <c r="IM66" s="218" t="str">
        <f t="shared" si="435"/>
        <v/>
      </c>
      <c r="IN66" s="218" t="str">
        <f t="shared" si="195"/>
        <v/>
      </c>
      <c r="IO66" s="218" t="str">
        <f t="shared" si="436"/>
        <v/>
      </c>
      <c r="IP66" s="218" t="str">
        <f t="shared" si="437"/>
        <v/>
      </c>
      <c r="IQ66" s="218" t="str">
        <f t="shared" si="198"/>
        <v/>
      </c>
      <c r="IR66" s="218" t="str">
        <f t="shared" si="438"/>
        <v/>
      </c>
      <c r="IS66" s="218" t="str">
        <f t="shared" si="439"/>
        <v/>
      </c>
      <c r="IT66" s="218" t="str">
        <f t="shared" si="201"/>
        <v/>
      </c>
      <c r="IU66" s="218" t="str">
        <f t="shared" si="440"/>
        <v/>
      </c>
    </row>
    <row r="67" spans="1:255" x14ac:dyDescent="0.2">
      <c r="A67" s="200" t="s">
        <v>70</v>
      </c>
      <c r="B67" s="178"/>
      <c r="C67" s="179"/>
      <c r="D67" s="197"/>
      <c r="E67" s="197"/>
      <c r="F67" s="197"/>
      <c r="G67" s="181"/>
      <c r="H67" s="181"/>
      <c r="I67" s="181"/>
      <c r="J67" s="181"/>
      <c r="K67" s="185"/>
      <c r="L67" s="217" t="str">
        <f t="shared" si="29"/>
        <v/>
      </c>
      <c r="M67" s="218" t="str">
        <f>'HKG vs. BK'!M67</f>
        <v/>
      </c>
      <c r="N67" s="218" t="str">
        <f>'HKG vs. BK'!N67</f>
        <v/>
      </c>
      <c r="O67" s="218" t="str">
        <f>'HKG vs. BK'!O67</f>
        <v/>
      </c>
      <c r="P67" s="218" t="str">
        <f>'HKG vs. BK'!P67</f>
        <v/>
      </c>
      <c r="Q67" s="219" t="str">
        <f t="shared" si="227"/>
        <v/>
      </c>
      <c r="R67" s="220" t="str">
        <f t="shared" si="228"/>
        <v/>
      </c>
      <c r="S67" s="220" t="str">
        <f t="shared" si="229"/>
        <v/>
      </c>
      <c r="T67" s="219" t="str">
        <f t="shared" si="230"/>
        <v/>
      </c>
      <c r="U67" s="220" t="str">
        <f t="shared" si="231"/>
        <v/>
      </c>
      <c r="V67" s="220" t="str">
        <f t="shared" si="232"/>
        <v/>
      </c>
      <c r="W67" s="219" t="str">
        <f t="shared" si="233"/>
        <v/>
      </c>
      <c r="X67" s="220" t="str">
        <f t="shared" si="234"/>
        <v/>
      </c>
      <c r="Y67" s="220" t="str">
        <f t="shared" si="235"/>
        <v/>
      </c>
      <c r="Z67" s="219" t="str">
        <f t="shared" si="236"/>
        <v/>
      </c>
      <c r="AA67" s="220" t="str">
        <f t="shared" si="237"/>
        <v/>
      </c>
      <c r="AB67" s="220" t="str">
        <f t="shared" si="238"/>
        <v/>
      </c>
      <c r="AC67" s="219" t="str">
        <f t="shared" si="239"/>
        <v/>
      </c>
      <c r="AD67" s="220" t="str">
        <f t="shared" si="240"/>
        <v/>
      </c>
      <c r="AE67" s="220" t="str">
        <f t="shared" si="241"/>
        <v/>
      </c>
      <c r="AF67" s="219" t="str">
        <f t="shared" si="242"/>
        <v/>
      </c>
      <c r="AG67" s="220" t="str">
        <f t="shared" si="243"/>
        <v/>
      </c>
      <c r="AH67" s="220" t="str">
        <f t="shared" si="244"/>
        <v/>
      </c>
      <c r="AI67" s="219" t="str">
        <f t="shared" si="245"/>
        <v/>
      </c>
      <c r="AJ67" s="220" t="str">
        <f t="shared" si="246"/>
        <v/>
      </c>
      <c r="AK67" s="220" t="str">
        <f t="shared" si="247"/>
        <v/>
      </c>
      <c r="AL67" s="219" t="str">
        <f t="shared" si="248"/>
        <v/>
      </c>
      <c r="AM67" s="220" t="str">
        <f t="shared" si="249"/>
        <v/>
      </c>
      <c r="AN67" s="220" t="str">
        <f t="shared" si="250"/>
        <v/>
      </c>
      <c r="AO67" s="219" t="str">
        <f t="shared" si="251"/>
        <v/>
      </c>
      <c r="AP67" s="220" t="str">
        <f t="shared" si="252"/>
        <v/>
      </c>
      <c r="AQ67" s="220" t="str">
        <f t="shared" si="253"/>
        <v/>
      </c>
      <c r="AR67" s="219" t="str">
        <f t="shared" si="254"/>
        <v/>
      </c>
      <c r="AS67" s="220" t="str">
        <f t="shared" si="255"/>
        <v/>
      </c>
      <c r="AT67" s="220" t="str">
        <f t="shared" si="256"/>
        <v/>
      </c>
      <c r="AU67" s="221"/>
      <c r="AV67" s="221"/>
      <c r="AW67" s="221"/>
      <c r="AY67" s="218" t="str">
        <f t="shared" si="257"/>
        <v/>
      </c>
      <c r="AZ67" s="218" t="str">
        <f t="shared" si="258"/>
        <v/>
      </c>
      <c r="BA67" s="218" t="str">
        <f t="shared" si="259"/>
        <v/>
      </c>
      <c r="BB67" s="218" t="str">
        <f t="shared" si="260"/>
        <v/>
      </c>
      <c r="BC67" s="218" t="str">
        <f t="shared" si="261"/>
        <v/>
      </c>
      <c r="BD67" s="218" t="str">
        <f t="shared" si="262"/>
        <v/>
      </c>
      <c r="BE67" s="218" t="str">
        <f t="shared" si="263"/>
        <v/>
      </c>
      <c r="BF67" s="218" t="str">
        <f t="shared" si="264"/>
        <v/>
      </c>
      <c r="BG67" s="218" t="str">
        <f t="shared" si="265"/>
        <v/>
      </c>
      <c r="BH67" s="218" t="str">
        <f t="shared" si="266"/>
        <v/>
      </c>
      <c r="BI67" s="218" t="str">
        <f t="shared" si="267"/>
        <v/>
      </c>
      <c r="BJ67" s="218" t="str">
        <f t="shared" si="268"/>
        <v/>
      </c>
      <c r="BK67" s="218" t="str">
        <f t="shared" si="269"/>
        <v/>
      </c>
      <c r="BL67" s="218" t="str">
        <f t="shared" si="270"/>
        <v/>
      </c>
      <c r="BM67" s="218" t="str">
        <f t="shared" si="271"/>
        <v/>
      </c>
      <c r="BN67" s="218" t="str">
        <f t="shared" si="272"/>
        <v/>
      </c>
      <c r="BO67" s="218" t="str">
        <f t="shared" si="273"/>
        <v/>
      </c>
      <c r="BP67" s="218" t="str">
        <f t="shared" si="274"/>
        <v/>
      </c>
      <c r="BQ67" s="218" t="str">
        <f t="shared" si="275"/>
        <v/>
      </c>
      <c r="BR67" s="218" t="str">
        <f t="shared" si="276"/>
        <v/>
      </c>
      <c r="BS67" s="218" t="str">
        <f t="shared" si="277"/>
        <v/>
      </c>
      <c r="BT67" s="218" t="str">
        <f t="shared" si="278"/>
        <v/>
      </c>
      <c r="BU67" s="218" t="str">
        <f t="shared" si="279"/>
        <v/>
      </c>
      <c r="BV67" s="218" t="str">
        <f t="shared" si="280"/>
        <v/>
      </c>
      <c r="BW67" s="218" t="str">
        <f t="shared" si="281"/>
        <v/>
      </c>
      <c r="BX67" s="218" t="str">
        <f t="shared" si="282"/>
        <v/>
      </c>
      <c r="BY67" s="218" t="str">
        <f t="shared" si="283"/>
        <v/>
      </c>
      <c r="BZ67" s="218" t="str">
        <f t="shared" si="284"/>
        <v/>
      </c>
      <c r="CA67" s="218" t="str">
        <f t="shared" si="285"/>
        <v/>
      </c>
      <c r="CB67" s="218" t="str">
        <f t="shared" si="286"/>
        <v/>
      </c>
      <c r="CD67" s="218" t="str">
        <f t="shared" si="287"/>
        <v/>
      </c>
      <c r="CE67" s="218" t="str">
        <f t="shared" si="288"/>
        <v/>
      </c>
      <c r="CF67" s="218" t="str">
        <f t="shared" si="289"/>
        <v/>
      </c>
      <c r="CG67" s="218" t="str">
        <f t="shared" si="290"/>
        <v/>
      </c>
      <c r="CH67" s="218" t="str">
        <f t="shared" si="291"/>
        <v/>
      </c>
      <c r="CI67" s="218" t="str">
        <f t="shared" si="292"/>
        <v/>
      </c>
      <c r="CJ67" s="218" t="str">
        <f t="shared" si="293"/>
        <v/>
      </c>
      <c r="CK67" s="218" t="str">
        <f t="shared" si="294"/>
        <v/>
      </c>
      <c r="CL67" s="218" t="str">
        <f t="shared" si="295"/>
        <v/>
      </c>
      <c r="CM67" s="218" t="str">
        <f t="shared" si="296"/>
        <v/>
      </c>
      <c r="CN67" s="218" t="str">
        <f t="shared" si="297"/>
        <v/>
      </c>
      <c r="CO67" s="218" t="str">
        <f t="shared" si="298"/>
        <v/>
      </c>
      <c r="CP67" s="218" t="str">
        <f t="shared" si="299"/>
        <v/>
      </c>
      <c r="CQ67" s="218" t="str">
        <f t="shared" si="300"/>
        <v/>
      </c>
      <c r="CR67" s="218" t="str">
        <f t="shared" si="301"/>
        <v/>
      </c>
      <c r="CS67" s="218" t="str">
        <f t="shared" si="302"/>
        <v/>
      </c>
      <c r="CT67" s="218" t="str">
        <f t="shared" si="303"/>
        <v/>
      </c>
      <c r="CU67" s="218" t="str">
        <f t="shared" si="304"/>
        <v/>
      </c>
      <c r="CV67" s="218" t="str">
        <f t="shared" si="305"/>
        <v/>
      </c>
      <c r="CW67" s="218" t="str">
        <f t="shared" si="306"/>
        <v/>
      </c>
      <c r="CX67" s="218" t="str">
        <f t="shared" si="307"/>
        <v/>
      </c>
      <c r="CY67" s="218" t="str">
        <f t="shared" si="308"/>
        <v/>
      </c>
      <c r="CZ67" s="218" t="str">
        <f t="shared" si="309"/>
        <v/>
      </c>
      <c r="DA67" s="218" t="str">
        <f t="shared" si="310"/>
        <v/>
      </c>
      <c r="DB67" s="218" t="str">
        <f t="shared" si="64"/>
        <v/>
      </c>
      <c r="DC67" s="218" t="str">
        <f t="shared" si="311"/>
        <v/>
      </c>
      <c r="DD67" s="218" t="str">
        <f t="shared" si="312"/>
        <v/>
      </c>
      <c r="DF67" s="218" t="str">
        <f t="shared" si="313"/>
        <v/>
      </c>
      <c r="DG67" s="218" t="str">
        <f t="shared" si="314"/>
        <v/>
      </c>
      <c r="DH67" s="218" t="str">
        <f t="shared" si="315"/>
        <v/>
      </c>
      <c r="DI67" s="218" t="str">
        <f t="shared" si="316"/>
        <v/>
      </c>
      <c r="DJ67" s="218" t="str">
        <f t="shared" si="317"/>
        <v/>
      </c>
      <c r="DK67" s="218" t="str">
        <f t="shared" si="318"/>
        <v/>
      </c>
      <c r="DL67" s="218" t="str">
        <f t="shared" si="319"/>
        <v/>
      </c>
      <c r="DM67" s="218" t="str">
        <f t="shared" si="320"/>
        <v/>
      </c>
      <c r="DN67" s="218" t="str">
        <f t="shared" si="321"/>
        <v/>
      </c>
      <c r="DO67" s="218" t="str">
        <f t="shared" si="322"/>
        <v/>
      </c>
      <c r="DP67" s="218" t="str">
        <f t="shared" si="323"/>
        <v/>
      </c>
      <c r="DQ67" s="218" t="str">
        <f t="shared" si="324"/>
        <v/>
      </c>
      <c r="DR67" s="218" t="str">
        <f t="shared" si="325"/>
        <v/>
      </c>
      <c r="DS67" s="218" t="str">
        <f t="shared" si="326"/>
        <v/>
      </c>
      <c r="DT67" s="218" t="str">
        <f t="shared" si="327"/>
        <v/>
      </c>
      <c r="DU67" s="218" t="str">
        <f t="shared" si="328"/>
        <v/>
      </c>
      <c r="DV67" s="218" t="str">
        <f t="shared" si="329"/>
        <v/>
      </c>
      <c r="DW67" s="218" t="str">
        <f t="shared" si="330"/>
        <v/>
      </c>
      <c r="DX67" s="218" t="str">
        <f t="shared" si="331"/>
        <v/>
      </c>
      <c r="DY67" s="218" t="str">
        <f t="shared" si="332"/>
        <v/>
      </c>
      <c r="DZ67" s="218" t="str">
        <f t="shared" si="333"/>
        <v/>
      </c>
      <c r="EA67" s="218" t="str">
        <f t="shared" si="334"/>
        <v/>
      </c>
      <c r="EB67" s="218" t="str">
        <f t="shared" si="335"/>
        <v/>
      </c>
      <c r="EC67" s="218" t="str">
        <f t="shared" si="336"/>
        <v/>
      </c>
      <c r="EE67" s="218" t="str">
        <f t="shared" si="337"/>
        <v/>
      </c>
      <c r="EF67" s="218" t="str">
        <f t="shared" si="338"/>
        <v/>
      </c>
      <c r="EG67" s="218" t="str">
        <f t="shared" si="339"/>
        <v/>
      </c>
      <c r="EH67" s="218" t="str">
        <f t="shared" si="340"/>
        <v/>
      </c>
      <c r="EI67" s="218" t="str">
        <f t="shared" si="341"/>
        <v/>
      </c>
      <c r="EJ67" s="218" t="str">
        <f t="shared" si="342"/>
        <v/>
      </c>
      <c r="EK67" s="218" t="str">
        <f t="shared" si="343"/>
        <v/>
      </c>
      <c r="EL67" s="218" t="str">
        <f t="shared" si="344"/>
        <v/>
      </c>
      <c r="EM67" s="218" t="str">
        <f t="shared" si="345"/>
        <v/>
      </c>
      <c r="EN67" s="218" t="str">
        <f t="shared" si="346"/>
        <v/>
      </c>
      <c r="EO67" s="218" t="str">
        <f t="shared" si="347"/>
        <v/>
      </c>
      <c r="EP67" s="218" t="str">
        <f t="shared" si="348"/>
        <v/>
      </c>
      <c r="EQ67" s="218" t="str">
        <f t="shared" si="349"/>
        <v/>
      </c>
      <c r="ER67" s="218" t="str">
        <f t="shared" si="350"/>
        <v/>
      </c>
      <c r="ES67" s="218" t="str">
        <f t="shared" si="351"/>
        <v/>
      </c>
      <c r="ET67" s="218" t="str">
        <f t="shared" si="352"/>
        <v/>
      </c>
      <c r="EU67" s="218" t="str">
        <f t="shared" si="353"/>
        <v/>
      </c>
      <c r="EV67" s="218" t="str">
        <f t="shared" si="354"/>
        <v/>
      </c>
      <c r="EW67" s="218" t="str">
        <f t="shared" si="355"/>
        <v/>
      </c>
      <c r="EX67" s="218" t="str">
        <f t="shared" si="356"/>
        <v/>
      </c>
      <c r="EY67" s="218" t="str">
        <f t="shared" si="357"/>
        <v/>
      </c>
      <c r="FA67" s="218" t="str">
        <f t="shared" si="358"/>
        <v/>
      </c>
      <c r="FB67" s="218" t="str">
        <f t="shared" si="359"/>
        <v/>
      </c>
      <c r="FC67" s="218" t="str">
        <f t="shared" si="360"/>
        <v/>
      </c>
      <c r="FD67" s="218" t="str">
        <f t="shared" si="361"/>
        <v/>
      </c>
      <c r="FE67" s="218" t="str">
        <f t="shared" si="362"/>
        <v/>
      </c>
      <c r="FF67" s="218" t="str">
        <f t="shared" si="363"/>
        <v/>
      </c>
      <c r="FG67" s="218" t="str">
        <f t="shared" si="364"/>
        <v/>
      </c>
      <c r="FH67" s="218" t="str">
        <f t="shared" si="365"/>
        <v/>
      </c>
      <c r="FI67" s="218" t="str">
        <f t="shared" si="366"/>
        <v/>
      </c>
      <c r="FJ67" s="218" t="str">
        <f t="shared" si="367"/>
        <v/>
      </c>
      <c r="FK67" s="218" t="str">
        <f t="shared" si="368"/>
        <v/>
      </c>
      <c r="FL67" s="218" t="str">
        <f t="shared" si="369"/>
        <v/>
      </c>
      <c r="FM67" s="218" t="str">
        <f t="shared" si="370"/>
        <v/>
      </c>
      <c r="FN67" s="218" t="str">
        <f t="shared" si="371"/>
        <v/>
      </c>
      <c r="FO67" s="218" t="str">
        <f t="shared" si="372"/>
        <v/>
      </c>
      <c r="FP67" s="218" t="str">
        <f t="shared" si="373"/>
        <v/>
      </c>
      <c r="FQ67" s="218" t="str">
        <f t="shared" si="374"/>
        <v/>
      </c>
      <c r="FR67" s="218" t="str">
        <f t="shared" si="375"/>
        <v/>
      </c>
      <c r="FT67" s="218" t="str">
        <f t="shared" si="376"/>
        <v/>
      </c>
      <c r="FU67" s="218" t="str">
        <f t="shared" si="377"/>
        <v/>
      </c>
      <c r="FV67" s="218" t="str">
        <f t="shared" si="378"/>
        <v/>
      </c>
      <c r="FW67" s="218" t="str">
        <f t="shared" si="379"/>
        <v/>
      </c>
      <c r="FX67" s="218" t="str">
        <f t="shared" si="380"/>
        <v/>
      </c>
      <c r="FY67" s="218" t="str">
        <f t="shared" si="381"/>
        <v/>
      </c>
      <c r="FZ67" s="218" t="str">
        <f t="shared" si="382"/>
        <v/>
      </c>
      <c r="GA67" s="218" t="str">
        <f t="shared" si="383"/>
        <v/>
      </c>
      <c r="GB67" s="218" t="str">
        <f t="shared" si="384"/>
        <v/>
      </c>
      <c r="GC67" s="218" t="str">
        <f t="shared" si="385"/>
        <v/>
      </c>
      <c r="GD67" s="218" t="str">
        <f t="shared" si="386"/>
        <v/>
      </c>
      <c r="GE67" s="218" t="str">
        <f t="shared" si="387"/>
        <v/>
      </c>
      <c r="GF67" s="218" t="str">
        <f t="shared" si="388"/>
        <v/>
      </c>
      <c r="GG67" s="218" t="str">
        <f t="shared" si="389"/>
        <v/>
      </c>
      <c r="GH67" s="218" t="str">
        <f t="shared" si="390"/>
        <v/>
      </c>
      <c r="GJ67" s="218" t="str">
        <f t="shared" si="391"/>
        <v/>
      </c>
      <c r="GK67" s="218" t="str">
        <f t="shared" si="392"/>
        <v/>
      </c>
      <c r="GL67" s="218" t="str">
        <f t="shared" si="393"/>
        <v/>
      </c>
      <c r="GM67" s="218" t="str">
        <f t="shared" si="394"/>
        <v/>
      </c>
      <c r="GN67" s="218" t="str">
        <f t="shared" si="395"/>
        <v/>
      </c>
      <c r="GO67" s="218" t="str">
        <f t="shared" si="396"/>
        <v/>
      </c>
      <c r="GP67" s="218" t="str">
        <f t="shared" si="397"/>
        <v/>
      </c>
      <c r="GQ67" s="218" t="str">
        <f t="shared" si="398"/>
        <v/>
      </c>
      <c r="GR67" s="218" t="str">
        <f t="shared" si="399"/>
        <v/>
      </c>
      <c r="GS67" s="218" t="str">
        <f t="shared" si="400"/>
        <v/>
      </c>
      <c r="GT67" s="218" t="str">
        <f t="shared" si="401"/>
        <v/>
      </c>
      <c r="GU67" s="218" t="str">
        <f t="shared" si="402"/>
        <v/>
      </c>
      <c r="GW67" s="218" t="str">
        <f t="shared" si="403"/>
        <v/>
      </c>
      <c r="GX67" s="218" t="str">
        <f t="shared" si="404"/>
        <v/>
      </c>
      <c r="GY67" s="218" t="str">
        <f t="shared" si="405"/>
        <v/>
      </c>
      <c r="GZ67" s="218" t="str">
        <f t="shared" si="406"/>
        <v/>
      </c>
      <c r="HA67" s="218" t="str">
        <f t="shared" si="407"/>
        <v/>
      </c>
      <c r="HB67" s="218" t="str">
        <f t="shared" si="408"/>
        <v/>
      </c>
      <c r="HC67" s="218" t="str">
        <f t="shared" si="409"/>
        <v/>
      </c>
      <c r="HD67" s="218" t="str">
        <f t="shared" si="410"/>
        <v/>
      </c>
      <c r="HE67" s="218" t="str">
        <f t="shared" si="411"/>
        <v/>
      </c>
      <c r="HG67" s="218" t="str">
        <f t="shared" si="412"/>
        <v/>
      </c>
      <c r="HH67" s="218" t="str">
        <f t="shared" si="413"/>
        <v/>
      </c>
      <c r="HI67" s="218" t="str">
        <f t="shared" si="414"/>
        <v/>
      </c>
      <c r="HJ67" s="218" t="str">
        <f t="shared" si="415"/>
        <v/>
      </c>
      <c r="HK67" s="218" t="str">
        <f t="shared" si="416"/>
        <v/>
      </c>
      <c r="HL67" s="218" t="str">
        <f t="shared" si="417"/>
        <v/>
      </c>
      <c r="HN67" s="218" t="str">
        <f t="shared" si="418"/>
        <v/>
      </c>
      <c r="HO67" s="218" t="str">
        <f t="shared" si="419"/>
        <v/>
      </c>
      <c r="HP67" s="218" t="str">
        <f t="shared" si="420"/>
        <v/>
      </c>
      <c r="HR67" s="218" t="str">
        <f t="shared" si="421"/>
        <v/>
      </c>
      <c r="HS67" s="218" t="str">
        <f t="shared" si="225"/>
        <v/>
      </c>
      <c r="HT67" s="218" t="str">
        <f t="shared" si="422"/>
        <v/>
      </c>
      <c r="HU67" s="218" t="str">
        <f t="shared" si="176"/>
        <v/>
      </c>
      <c r="HV67" s="218" t="str">
        <f t="shared" si="423"/>
        <v/>
      </c>
      <c r="HW67" s="218" t="str">
        <f t="shared" si="424"/>
        <v/>
      </c>
      <c r="HX67" s="218" t="str">
        <f t="shared" si="425"/>
        <v/>
      </c>
      <c r="HY67" s="218" t="str">
        <f t="shared" si="180"/>
        <v/>
      </c>
      <c r="HZ67" s="218" t="str">
        <f t="shared" si="426"/>
        <v/>
      </c>
      <c r="IA67" s="218" t="str">
        <f t="shared" si="427"/>
        <v/>
      </c>
      <c r="IB67" s="218" t="str">
        <f t="shared" si="183"/>
        <v/>
      </c>
      <c r="IC67" s="218" t="str">
        <f t="shared" si="428"/>
        <v/>
      </c>
      <c r="ID67" s="218" t="str">
        <f t="shared" si="429"/>
        <v/>
      </c>
      <c r="IE67" s="218" t="str">
        <f t="shared" si="186"/>
        <v/>
      </c>
      <c r="IF67" s="218" t="str">
        <f t="shared" si="430"/>
        <v/>
      </c>
      <c r="IG67" s="218" t="str">
        <f t="shared" si="431"/>
        <v/>
      </c>
      <c r="IH67" s="218" t="str">
        <f t="shared" si="189"/>
        <v/>
      </c>
      <c r="II67" s="218" t="str">
        <f t="shared" si="432"/>
        <v/>
      </c>
      <c r="IJ67" s="218" t="str">
        <f t="shared" si="433"/>
        <v/>
      </c>
      <c r="IK67" s="218" t="str">
        <f t="shared" si="192"/>
        <v/>
      </c>
      <c r="IL67" s="218" t="str">
        <f t="shared" si="434"/>
        <v/>
      </c>
      <c r="IM67" s="218" t="str">
        <f t="shared" si="435"/>
        <v/>
      </c>
      <c r="IN67" s="218" t="str">
        <f t="shared" si="195"/>
        <v/>
      </c>
      <c r="IO67" s="218" t="str">
        <f t="shared" si="436"/>
        <v/>
      </c>
      <c r="IP67" s="218" t="str">
        <f t="shared" si="437"/>
        <v/>
      </c>
      <c r="IQ67" s="218" t="str">
        <f t="shared" si="198"/>
        <v/>
      </c>
      <c r="IR67" s="218" t="str">
        <f t="shared" si="438"/>
        <v/>
      </c>
      <c r="IS67" s="218" t="str">
        <f t="shared" si="439"/>
        <v/>
      </c>
      <c r="IT67" s="218" t="str">
        <f t="shared" si="201"/>
        <v/>
      </c>
      <c r="IU67" s="218" t="str">
        <f t="shared" si="440"/>
        <v/>
      </c>
    </row>
    <row r="68" spans="1:255" x14ac:dyDescent="0.2">
      <c r="A68" s="200" t="s">
        <v>71</v>
      </c>
      <c r="B68" s="178"/>
      <c r="C68" s="179"/>
      <c r="D68" s="197"/>
      <c r="E68" s="197"/>
      <c r="F68" s="197"/>
      <c r="G68" s="181"/>
      <c r="H68" s="181"/>
      <c r="I68" s="181"/>
      <c r="J68" s="181"/>
      <c r="K68" s="185"/>
      <c r="L68" s="217" t="str">
        <f t="shared" si="29"/>
        <v/>
      </c>
      <c r="M68" s="218" t="str">
        <f>'HKG vs. BK'!M68</f>
        <v/>
      </c>
      <c r="N68" s="218" t="str">
        <f>'HKG vs. BK'!N68</f>
        <v/>
      </c>
      <c r="O68" s="218" t="str">
        <f>'HKG vs. BK'!O68</f>
        <v/>
      </c>
      <c r="P68" s="218" t="str">
        <f>'HKG vs. BK'!P68</f>
        <v/>
      </c>
      <c r="Q68" s="219" t="str">
        <f t="shared" si="227"/>
        <v/>
      </c>
      <c r="R68" s="220" t="str">
        <f t="shared" si="228"/>
        <v/>
      </c>
      <c r="S68" s="220" t="str">
        <f t="shared" si="229"/>
        <v/>
      </c>
      <c r="T68" s="219" t="str">
        <f t="shared" si="230"/>
        <v/>
      </c>
      <c r="U68" s="220" t="str">
        <f t="shared" si="231"/>
        <v/>
      </c>
      <c r="V68" s="220" t="str">
        <f t="shared" si="232"/>
        <v/>
      </c>
      <c r="W68" s="219" t="str">
        <f t="shared" si="233"/>
        <v/>
      </c>
      <c r="X68" s="220" t="str">
        <f t="shared" si="234"/>
        <v/>
      </c>
      <c r="Y68" s="220" t="str">
        <f t="shared" si="235"/>
        <v/>
      </c>
      <c r="Z68" s="219" t="str">
        <f t="shared" si="236"/>
        <v/>
      </c>
      <c r="AA68" s="220" t="str">
        <f t="shared" si="237"/>
        <v/>
      </c>
      <c r="AB68" s="220" t="str">
        <f t="shared" si="238"/>
        <v/>
      </c>
      <c r="AC68" s="219" t="str">
        <f t="shared" si="239"/>
        <v/>
      </c>
      <c r="AD68" s="220" t="str">
        <f t="shared" si="240"/>
        <v/>
      </c>
      <c r="AE68" s="220" t="str">
        <f t="shared" si="241"/>
        <v/>
      </c>
      <c r="AF68" s="219" t="str">
        <f t="shared" si="242"/>
        <v/>
      </c>
      <c r="AG68" s="220" t="str">
        <f t="shared" si="243"/>
        <v/>
      </c>
      <c r="AH68" s="220" t="str">
        <f t="shared" si="244"/>
        <v/>
      </c>
      <c r="AI68" s="219" t="str">
        <f t="shared" si="245"/>
        <v/>
      </c>
      <c r="AJ68" s="220" t="str">
        <f t="shared" si="246"/>
        <v/>
      </c>
      <c r="AK68" s="220" t="str">
        <f t="shared" si="247"/>
        <v/>
      </c>
      <c r="AL68" s="219" t="str">
        <f t="shared" si="248"/>
        <v/>
      </c>
      <c r="AM68" s="220" t="str">
        <f t="shared" si="249"/>
        <v/>
      </c>
      <c r="AN68" s="220" t="str">
        <f t="shared" si="250"/>
        <v/>
      </c>
      <c r="AO68" s="219" t="str">
        <f t="shared" si="251"/>
        <v/>
      </c>
      <c r="AP68" s="220" t="str">
        <f t="shared" si="252"/>
        <v/>
      </c>
      <c r="AQ68" s="220" t="str">
        <f t="shared" si="253"/>
        <v/>
      </c>
      <c r="AR68" s="219" t="str">
        <f t="shared" si="254"/>
        <v/>
      </c>
      <c r="AS68" s="220" t="str">
        <f t="shared" si="255"/>
        <v/>
      </c>
      <c r="AT68" s="220" t="str">
        <f t="shared" si="256"/>
        <v/>
      </c>
      <c r="AU68" s="221"/>
      <c r="AV68" s="221"/>
      <c r="AW68" s="221"/>
      <c r="AY68" s="218" t="str">
        <f t="shared" si="257"/>
        <v/>
      </c>
      <c r="AZ68" s="218" t="str">
        <f t="shared" si="258"/>
        <v/>
      </c>
      <c r="BA68" s="218" t="str">
        <f t="shared" si="259"/>
        <v/>
      </c>
      <c r="BB68" s="218" t="str">
        <f t="shared" si="260"/>
        <v/>
      </c>
      <c r="BC68" s="218" t="str">
        <f t="shared" si="261"/>
        <v/>
      </c>
      <c r="BD68" s="218" t="str">
        <f t="shared" si="262"/>
        <v/>
      </c>
      <c r="BE68" s="218" t="str">
        <f t="shared" si="263"/>
        <v/>
      </c>
      <c r="BF68" s="218" t="str">
        <f t="shared" si="264"/>
        <v/>
      </c>
      <c r="BG68" s="218" t="str">
        <f t="shared" si="265"/>
        <v/>
      </c>
      <c r="BH68" s="218" t="str">
        <f t="shared" si="266"/>
        <v/>
      </c>
      <c r="BI68" s="218" t="str">
        <f t="shared" si="267"/>
        <v/>
      </c>
      <c r="BJ68" s="218" t="str">
        <f t="shared" si="268"/>
        <v/>
      </c>
      <c r="BK68" s="218" t="str">
        <f t="shared" si="269"/>
        <v/>
      </c>
      <c r="BL68" s="218" t="str">
        <f t="shared" si="270"/>
        <v/>
      </c>
      <c r="BM68" s="218" t="str">
        <f t="shared" si="271"/>
        <v/>
      </c>
      <c r="BN68" s="218" t="str">
        <f t="shared" si="272"/>
        <v/>
      </c>
      <c r="BO68" s="218" t="str">
        <f t="shared" si="273"/>
        <v/>
      </c>
      <c r="BP68" s="218" t="str">
        <f t="shared" si="274"/>
        <v/>
      </c>
      <c r="BQ68" s="218" t="str">
        <f t="shared" si="275"/>
        <v/>
      </c>
      <c r="BR68" s="218" t="str">
        <f t="shared" si="276"/>
        <v/>
      </c>
      <c r="BS68" s="218" t="str">
        <f t="shared" si="277"/>
        <v/>
      </c>
      <c r="BT68" s="218" t="str">
        <f t="shared" si="278"/>
        <v/>
      </c>
      <c r="BU68" s="218" t="str">
        <f t="shared" si="279"/>
        <v/>
      </c>
      <c r="BV68" s="218" t="str">
        <f t="shared" si="280"/>
        <v/>
      </c>
      <c r="BW68" s="218" t="str">
        <f t="shared" si="281"/>
        <v/>
      </c>
      <c r="BX68" s="218" t="str">
        <f t="shared" si="282"/>
        <v/>
      </c>
      <c r="BY68" s="218" t="str">
        <f t="shared" si="283"/>
        <v/>
      </c>
      <c r="BZ68" s="218" t="str">
        <f t="shared" si="284"/>
        <v/>
      </c>
      <c r="CA68" s="218" t="str">
        <f t="shared" si="285"/>
        <v/>
      </c>
      <c r="CB68" s="218" t="str">
        <f t="shared" si="286"/>
        <v/>
      </c>
      <c r="CD68" s="218" t="str">
        <f t="shared" si="287"/>
        <v/>
      </c>
      <c r="CE68" s="218" t="str">
        <f t="shared" si="288"/>
        <v/>
      </c>
      <c r="CF68" s="218" t="str">
        <f t="shared" si="289"/>
        <v/>
      </c>
      <c r="CG68" s="218" t="str">
        <f t="shared" si="290"/>
        <v/>
      </c>
      <c r="CH68" s="218" t="str">
        <f t="shared" si="291"/>
        <v/>
      </c>
      <c r="CI68" s="218" t="str">
        <f t="shared" si="292"/>
        <v/>
      </c>
      <c r="CJ68" s="218" t="str">
        <f t="shared" si="293"/>
        <v/>
      </c>
      <c r="CK68" s="218" t="str">
        <f t="shared" si="294"/>
        <v/>
      </c>
      <c r="CL68" s="218" t="str">
        <f t="shared" si="295"/>
        <v/>
      </c>
      <c r="CM68" s="218" t="str">
        <f t="shared" si="296"/>
        <v/>
      </c>
      <c r="CN68" s="218" t="str">
        <f t="shared" si="297"/>
        <v/>
      </c>
      <c r="CO68" s="218" t="str">
        <f t="shared" si="298"/>
        <v/>
      </c>
      <c r="CP68" s="218" t="str">
        <f t="shared" si="299"/>
        <v/>
      </c>
      <c r="CQ68" s="218" t="str">
        <f t="shared" si="300"/>
        <v/>
      </c>
      <c r="CR68" s="218" t="str">
        <f t="shared" si="301"/>
        <v/>
      </c>
      <c r="CS68" s="218" t="str">
        <f t="shared" si="302"/>
        <v/>
      </c>
      <c r="CT68" s="218" t="str">
        <f t="shared" si="303"/>
        <v/>
      </c>
      <c r="CU68" s="218" t="str">
        <f t="shared" si="304"/>
        <v/>
      </c>
      <c r="CV68" s="218" t="str">
        <f t="shared" si="305"/>
        <v/>
      </c>
      <c r="CW68" s="218" t="str">
        <f t="shared" si="306"/>
        <v/>
      </c>
      <c r="CX68" s="218" t="str">
        <f t="shared" si="307"/>
        <v/>
      </c>
      <c r="CY68" s="218" t="str">
        <f t="shared" si="308"/>
        <v/>
      </c>
      <c r="CZ68" s="218" t="str">
        <f t="shared" si="309"/>
        <v/>
      </c>
      <c r="DA68" s="218" t="str">
        <f t="shared" si="310"/>
        <v/>
      </c>
      <c r="DB68" s="218" t="str">
        <f t="shared" si="64"/>
        <v/>
      </c>
      <c r="DC68" s="218" t="str">
        <f t="shared" si="311"/>
        <v/>
      </c>
      <c r="DD68" s="218" t="str">
        <f t="shared" si="312"/>
        <v/>
      </c>
      <c r="DF68" s="218" t="str">
        <f t="shared" si="313"/>
        <v/>
      </c>
      <c r="DG68" s="218" t="str">
        <f t="shared" si="314"/>
        <v/>
      </c>
      <c r="DH68" s="218" t="str">
        <f t="shared" si="315"/>
        <v/>
      </c>
      <c r="DI68" s="218" t="str">
        <f t="shared" si="316"/>
        <v/>
      </c>
      <c r="DJ68" s="218" t="str">
        <f t="shared" si="317"/>
        <v/>
      </c>
      <c r="DK68" s="218" t="str">
        <f t="shared" si="318"/>
        <v/>
      </c>
      <c r="DL68" s="218" t="str">
        <f t="shared" si="319"/>
        <v/>
      </c>
      <c r="DM68" s="218" t="str">
        <f t="shared" si="320"/>
        <v/>
      </c>
      <c r="DN68" s="218" t="str">
        <f t="shared" si="321"/>
        <v/>
      </c>
      <c r="DO68" s="218" t="str">
        <f t="shared" si="322"/>
        <v/>
      </c>
      <c r="DP68" s="218" t="str">
        <f t="shared" si="323"/>
        <v/>
      </c>
      <c r="DQ68" s="218" t="str">
        <f t="shared" si="324"/>
        <v/>
      </c>
      <c r="DR68" s="218" t="str">
        <f t="shared" si="325"/>
        <v/>
      </c>
      <c r="DS68" s="218" t="str">
        <f t="shared" si="326"/>
        <v/>
      </c>
      <c r="DT68" s="218" t="str">
        <f t="shared" si="327"/>
        <v/>
      </c>
      <c r="DU68" s="218" t="str">
        <f t="shared" si="328"/>
        <v/>
      </c>
      <c r="DV68" s="218" t="str">
        <f t="shared" si="329"/>
        <v/>
      </c>
      <c r="DW68" s="218" t="str">
        <f t="shared" si="330"/>
        <v/>
      </c>
      <c r="DX68" s="218" t="str">
        <f t="shared" si="331"/>
        <v/>
      </c>
      <c r="DY68" s="218" t="str">
        <f t="shared" si="332"/>
        <v/>
      </c>
      <c r="DZ68" s="218" t="str">
        <f t="shared" si="333"/>
        <v/>
      </c>
      <c r="EA68" s="218" t="str">
        <f t="shared" si="334"/>
        <v/>
      </c>
      <c r="EB68" s="218" t="str">
        <f t="shared" si="335"/>
        <v/>
      </c>
      <c r="EC68" s="218" t="str">
        <f t="shared" si="336"/>
        <v/>
      </c>
      <c r="EE68" s="218" t="str">
        <f t="shared" si="337"/>
        <v/>
      </c>
      <c r="EF68" s="218" t="str">
        <f t="shared" si="338"/>
        <v/>
      </c>
      <c r="EG68" s="218" t="str">
        <f t="shared" si="339"/>
        <v/>
      </c>
      <c r="EH68" s="218" t="str">
        <f t="shared" si="340"/>
        <v/>
      </c>
      <c r="EI68" s="218" t="str">
        <f t="shared" si="341"/>
        <v/>
      </c>
      <c r="EJ68" s="218" t="str">
        <f t="shared" si="342"/>
        <v/>
      </c>
      <c r="EK68" s="218" t="str">
        <f t="shared" si="343"/>
        <v/>
      </c>
      <c r="EL68" s="218" t="str">
        <f t="shared" si="344"/>
        <v/>
      </c>
      <c r="EM68" s="218" t="str">
        <f t="shared" si="345"/>
        <v/>
      </c>
      <c r="EN68" s="218" t="str">
        <f t="shared" si="346"/>
        <v/>
      </c>
      <c r="EO68" s="218" t="str">
        <f t="shared" si="347"/>
        <v/>
      </c>
      <c r="EP68" s="218" t="str">
        <f t="shared" si="348"/>
        <v/>
      </c>
      <c r="EQ68" s="218" t="str">
        <f t="shared" si="349"/>
        <v/>
      </c>
      <c r="ER68" s="218" t="str">
        <f t="shared" si="350"/>
        <v/>
      </c>
      <c r="ES68" s="218" t="str">
        <f t="shared" si="351"/>
        <v/>
      </c>
      <c r="ET68" s="218" t="str">
        <f t="shared" si="352"/>
        <v/>
      </c>
      <c r="EU68" s="218" t="str">
        <f t="shared" si="353"/>
        <v/>
      </c>
      <c r="EV68" s="218" t="str">
        <f t="shared" si="354"/>
        <v/>
      </c>
      <c r="EW68" s="218" t="str">
        <f t="shared" si="355"/>
        <v/>
      </c>
      <c r="EX68" s="218" t="str">
        <f t="shared" si="356"/>
        <v/>
      </c>
      <c r="EY68" s="218" t="str">
        <f t="shared" si="357"/>
        <v/>
      </c>
      <c r="FA68" s="218" t="str">
        <f t="shared" si="358"/>
        <v/>
      </c>
      <c r="FB68" s="218" t="str">
        <f t="shared" si="359"/>
        <v/>
      </c>
      <c r="FC68" s="218" t="str">
        <f t="shared" si="360"/>
        <v/>
      </c>
      <c r="FD68" s="218" t="str">
        <f t="shared" si="361"/>
        <v/>
      </c>
      <c r="FE68" s="218" t="str">
        <f t="shared" si="362"/>
        <v/>
      </c>
      <c r="FF68" s="218" t="str">
        <f t="shared" si="363"/>
        <v/>
      </c>
      <c r="FG68" s="218" t="str">
        <f t="shared" si="364"/>
        <v/>
      </c>
      <c r="FH68" s="218" t="str">
        <f t="shared" si="365"/>
        <v/>
      </c>
      <c r="FI68" s="218" t="str">
        <f t="shared" si="366"/>
        <v/>
      </c>
      <c r="FJ68" s="218" t="str">
        <f t="shared" si="367"/>
        <v/>
      </c>
      <c r="FK68" s="218" t="str">
        <f t="shared" si="368"/>
        <v/>
      </c>
      <c r="FL68" s="218" t="str">
        <f t="shared" si="369"/>
        <v/>
      </c>
      <c r="FM68" s="218" t="str">
        <f t="shared" si="370"/>
        <v/>
      </c>
      <c r="FN68" s="218" t="str">
        <f t="shared" si="371"/>
        <v/>
      </c>
      <c r="FO68" s="218" t="str">
        <f t="shared" si="372"/>
        <v/>
      </c>
      <c r="FP68" s="218" t="str">
        <f t="shared" si="373"/>
        <v/>
      </c>
      <c r="FQ68" s="218" t="str">
        <f t="shared" si="374"/>
        <v/>
      </c>
      <c r="FR68" s="218" t="str">
        <f t="shared" si="375"/>
        <v/>
      </c>
      <c r="FT68" s="218" t="str">
        <f t="shared" si="376"/>
        <v/>
      </c>
      <c r="FU68" s="218" t="str">
        <f t="shared" si="377"/>
        <v/>
      </c>
      <c r="FV68" s="218" t="str">
        <f t="shared" si="378"/>
        <v/>
      </c>
      <c r="FW68" s="218" t="str">
        <f t="shared" si="379"/>
        <v/>
      </c>
      <c r="FX68" s="218" t="str">
        <f t="shared" si="380"/>
        <v/>
      </c>
      <c r="FY68" s="218" t="str">
        <f t="shared" si="381"/>
        <v/>
      </c>
      <c r="FZ68" s="218" t="str">
        <f t="shared" si="382"/>
        <v/>
      </c>
      <c r="GA68" s="218" t="str">
        <f t="shared" si="383"/>
        <v/>
      </c>
      <c r="GB68" s="218" t="str">
        <f t="shared" si="384"/>
        <v/>
      </c>
      <c r="GC68" s="218" t="str">
        <f t="shared" si="385"/>
        <v/>
      </c>
      <c r="GD68" s="218" t="str">
        <f t="shared" si="386"/>
        <v/>
      </c>
      <c r="GE68" s="218" t="str">
        <f t="shared" si="387"/>
        <v/>
      </c>
      <c r="GF68" s="218" t="str">
        <f t="shared" si="388"/>
        <v/>
      </c>
      <c r="GG68" s="218" t="str">
        <f t="shared" si="389"/>
        <v/>
      </c>
      <c r="GH68" s="218" t="str">
        <f t="shared" si="390"/>
        <v/>
      </c>
      <c r="GJ68" s="218" t="str">
        <f t="shared" si="391"/>
        <v/>
      </c>
      <c r="GK68" s="218" t="str">
        <f t="shared" si="392"/>
        <v/>
      </c>
      <c r="GL68" s="218" t="str">
        <f t="shared" si="393"/>
        <v/>
      </c>
      <c r="GM68" s="218" t="str">
        <f t="shared" si="394"/>
        <v/>
      </c>
      <c r="GN68" s="218" t="str">
        <f t="shared" si="395"/>
        <v/>
      </c>
      <c r="GO68" s="218" t="str">
        <f t="shared" si="396"/>
        <v/>
      </c>
      <c r="GP68" s="218" t="str">
        <f t="shared" si="397"/>
        <v/>
      </c>
      <c r="GQ68" s="218" t="str">
        <f t="shared" si="398"/>
        <v/>
      </c>
      <c r="GR68" s="218" t="str">
        <f t="shared" si="399"/>
        <v/>
      </c>
      <c r="GS68" s="218" t="str">
        <f t="shared" si="400"/>
        <v/>
      </c>
      <c r="GT68" s="218" t="str">
        <f t="shared" si="401"/>
        <v/>
      </c>
      <c r="GU68" s="218" t="str">
        <f t="shared" si="402"/>
        <v/>
      </c>
      <c r="GW68" s="218" t="str">
        <f t="shared" si="403"/>
        <v/>
      </c>
      <c r="GX68" s="218" t="str">
        <f t="shared" si="404"/>
        <v/>
      </c>
      <c r="GY68" s="218" t="str">
        <f t="shared" si="405"/>
        <v/>
      </c>
      <c r="GZ68" s="218" t="str">
        <f t="shared" si="406"/>
        <v/>
      </c>
      <c r="HA68" s="218" t="str">
        <f t="shared" si="407"/>
        <v/>
      </c>
      <c r="HB68" s="218" t="str">
        <f t="shared" si="408"/>
        <v/>
      </c>
      <c r="HC68" s="218" t="str">
        <f t="shared" si="409"/>
        <v/>
      </c>
      <c r="HD68" s="218" t="str">
        <f t="shared" si="410"/>
        <v/>
      </c>
      <c r="HE68" s="218" t="str">
        <f t="shared" si="411"/>
        <v/>
      </c>
      <c r="HG68" s="218" t="str">
        <f t="shared" si="412"/>
        <v/>
      </c>
      <c r="HH68" s="218" t="str">
        <f t="shared" si="413"/>
        <v/>
      </c>
      <c r="HI68" s="218" t="str">
        <f t="shared" si="414"/>
        <v/>
      </c>
      <c r="HJ68" s="218" t="str">
        <f t="shared" si="415"/>
        <v/>
      </c>
      <c r="HK68" s="218" t="str">
        <f t="shared" si="416"/>
        <v/>
      </c>
      <c r="HL68" s="218" t="str">
        <f t="shared" si="417"/>
        <v/>
      </c>
      <c r="HN68" s="218" t="str">
        <f t="shared" si="418"/>
        <v/>
      </c>
      <c r="HO68" s="218" t="str">
        <f t="shared" si="419"/>
        <v/>
      </c>
      <c r="HP68" s="218" t="str">
        <f t="shared" si="420"/>
        <v/>
      </c>
      <c r="HR68" s="218" t="str">
        <f t="shared" si="421"/>
        <v/>
      </c>
      <c r="HS68" s="218" t="str">
        <f t="shared" si="225"/>
        <v/>
      </c>
      <c r="HT68" s="218" t="str">
        <f t="shared" si="422"/>
        <v/>
      </c>
      <c r="HU68" s="218" t="str">
        <f t="shared" si="176"/>
        <v/>
      </c>
      <c r="HV68" s="218" t="str">
        <f t="shared" si="423"/>
        <v/>
      </c>
      <c r="HW68" s="218" t="str">
        <f t="shared" si="424"/>
        <v/>
      </c>
      <c r="HX68" s="218" t="str">
        <f t="shared" si="425"/>
        <v/>
      </c>
      <c r="HY68" s="218" t="str">
        <f t="shared" si="180"/>
        <v/>
      </c>
      <c r="HZ68" s="218" t="str">
        <f t="shared" si="426"/>
        <v/>
      </c>
      <c r="IA68" s="218" t="str">
        <f t="shared" si="427"/>
        <v/>
      </c>
      <c r="IB68" s="218" t="str">
        <f t="shared" si="183"/>
        <v/>
      </c>
      <c r="IC68" s="218" t="str">
        <f t="shared" si="428"/>
        <v/>
      </c>
      <c r="ID68" s="218" t="str">
        <f t="shared" si="429"/>
        <v/>
      </c>
      <c r="IE68" s="218" t="str">
        <f t="shared" si="186"/>
        <v/>
      </c>
      <c r="IF68" s="218" t="str">
        <f t="shared" si="430"/>
        <v/>
      </c>
      <c r="IG68" s="218" t="str">
        <f t="shared" si="431"/>
        <v/>
      </c>
      <c r="IH68" s="218" t="str">
        <f t="shared" si="189"/>
        <v/>
      </c>
      <c r="II68" s="218" t="str">
        <f t="shared" si="432"/>
        <v/>
      </c>
      <c r="IJ68" s="218" t="str">
        <f t="shared" si="433"/>
        <v/>
      </c>
      <c r="IK68" s="218" t="str">
        <f t="shared" si="192"/>
        <v/>
      </c>
      <c r="IL68" s="218" t="str">
        <f t="shared" si="434"/>
        <v/>
      </c>
      <c r="IM68" s="218" t="str">
        <f t="shared" si="435"/>
        <v/>
      </c>
      <c r="IN68" s="218" t="str">
        <f t="shared" si="195"/>
        <v/>
      </c>
      <c r="IO68" s="218" t="str">
        <f t="shared" si="436"/>
        <v/>
      </c>
      <c r="IP68" s="218" t="str">
        <f t="shared" si="437"/>
        <v/>
      </c>
      <c r="IQ68" s="218" t="str">
        <f t="shared" si="198"/>
        <v/>
      </c>
      <c r="IR68" s="218" t="str">
        <f t="shared" si="438"/>
        <v/>
      </c>
      <c r="IS68" s="218" t="str">
        <f t="shared" si="439"/>
        <v/>
      </c>
      <c r="IT68" s="218" t="str">
        <f t="shared" si="201"/>
        <v/>
      </c>
      <c r="IU68" s="218" t="str">
        <f t="shared" si="440"/>
        <v/>
      </c>
    </row>
    <row r="69" spans="1:255" x14ac:dyDescent="0.2">
      <c r="A69" s="200" t="s">
        <v>72</v>
      </c>
      <c r="B69" s="184"/>
      <c r="C69" s="179"/>
      <c r="D69" s="198"/>
      <c r="E69" s="198"/>
      <c r="F69" s="198"/>
      <c r="G69" s="181"/>
      <c r="H69" s="181"/>
      <c r="I69" s="181"/>
      <c r="J69" s="181"/>
      <c r="K69" s="183"/>
      <c r="L69" s="217" t="str">
        <f t="shared" si="29"/>
        <v/>
      </c>
      <c r="M69" s="218" t="str">
        <f>'HKG vs. BK'!M69</f>
        <v/>
      </c>
      <c r="N69" s="218" t="str">
        <f>'HKG vs. BK'!N69</f>
        <v/>
      </c>
      <c r="O69" s="218" t="str">
        <f>'HKG vs. BK'!O69</f>
        <v/>
      </c>
      <c r="P69" s="218" t="str">
        <f>'HKG vs. BK'!P69</f>
        <v/>
      </c>
      <c r="Q69" s="219" t="str">
        <f t="shared" si="227"/>
        <v/>
      </c>
      <c r="R69" s="220" t="str">
        <f t="shared" si="228"/>
        <v/>
      </c>
      <c r="S69" s="220" t="str">
        <f t="shared" si="229"/>
        <v/>
      </c>
      <c r="T69" s="219" t="str">
        <f t="shared" si="230"/>
        <v/>
      </c>
      <c r="U69" s="220" t="str">
        <f t="shared" si="231"/>
        <v/>
      </c>
      <c r="V69" s="220" t="str">
        <f t="shared" si="232"/>
        <v/>
      </c>
      <c r="W69" s="219" t="str">
        <f t="shared" si="233"/>
        <v/>
      </c>
      <c r="X69" s="220" t="str">
        <f t="shared" si="234"/>
        <v/>
      </c>
      <c r="Y69" s="220" t="str">
        <f t="shared" si="235"/>
        <v/>
      </c>
      <c r="Z69" s="219" t="str">
        <f t="shared" si="236"/>
        <v/>
      </c>
      <c r="AA69" s="220" t="str">
        <f t="shared" si="237"/>
        <v/>
      </c>
      <c r="AB69" s="220" t="str">
        <f t="shared" si="238"/>
        <v/>
      </c>
      <c r="AC69" s="219" t="str">
        <f t="shared" si="239"/>
        <v/>
      </c>
      <c r="AD69" s="220" t="str">
        <f t="shared" si="240"/>
        <v/>
      </c>
      <c r="AE69" s="220" t="str">
        <f t="shared" si="241"/>
        <v/>
      </c>
      <c r="AF69" s="219" t="str">
        <f t="shared" si="242"/>
        <v/>
      </c>
      <c r="AG69" s="220" t="str">
        <f t="shared" si="243"/>
        <v/>
      </c>
      <c r="AH69" s="220" t="str">
        <f t="shared" si="244"/>
        <v/>
      </c>
      <c r="AI69" s="219" t="str">
        <f t="shared" si="245"/>
        <v/>
      </c>
      <c r="AJ69" s="220" t="str">
        <f t="shared" si="246"/>
        <v/>
      </c>
      <c r="AK69" s="220" t="str">
        <f t="shared" si="247"/>
        <v/>
      </c>
      <c r="AL69" s="219" t="str">
        <f t="shared" si="248"/>
        <v/>
      </c>
      <c r="AM69" s="220" t="str">
        <f t="shared" si="249"/>
        <v/>
      </c>
      <c r="AN69" s="220" t="str">
        <f t="shared" si="250"/>
        <v/>
      </c>
      <c r="AO69" s="219" t="str">
        <f t="shared" si="251"/>
        <v/>
      </c>
      <c r="AP69" s="220" t="str">
        <f t="shared" si="252"/>
        <v/>
      </c>
      <c r="AQ69" s="220" t="str">
        <f t="shared" si="253"/>
        <v/>
      </c>
      <c r="AR69" s="219" t="str">
        <f t="shared" si="254"/>
        <v/>
      </c>
      <c r="AS69" s="220" t="str">
        <f t="shared" si="255"/>
        <v/>
      </c>
      <c r="AT69" s="220" t="str">
        <f t="shared" si="256"/>
        <v/>
      </c>
      <c r="AU69" s="221"/>
      <c r="AV69" s="221"/>
      <c r="AW69" s="221"/>
      <c r="AY69" s="218" t="str">
        <f t="shared" si="257"/>
        <v/>
      </c>
      <c r="AZ69" s="218" t="str">
        <f t="shared" si="258"/>
        <v/>
      </c>
      <c r="BA69" s="218" t="str">
        <f t="shared" si="259"/>
        <v/>
      </c>
      <c r="BB69" s="218" t="str">
        <f t="shared" si="260"/>
        <v/>
      </c>
      <c r="BC69" s="218" t="str">
        <f t="shared" si="261"/>
        <v/>
      </c>
      <c r="BD69" s="218" t="str">
        <f t="shared" si="262"/>
        <v/>
      </c>
      <c r="BE69" s="218" t="str">
        <f t="shared" si="263"/>
        <v/>
      </c>
      <c r="BF69" s="218" t="str">
        <f t="shared" si="264"/>
        <v/>
      </c>
      <c r="BG69" s="218" t="str">
        <f t="shared" si="265"/>
        <v/>
      </c>
      <c r="BH69" s="218" t="str">
        <f t="shared" si="266"/>
        <v/>
      </c>
      <c r="BI69" s="218" t="str">
        <f t="shared" si="267"/>
        <v/>
      </c>
      <c r="BJ69" s="218" t="str">
        <f t="shared" si="268"/>
        <v/>
      </c>
      <c r="BK69" s="218" t="str">
        <f t="shared" si="269"/>
        <v/>
      </c>
      <c r="BL69" s="218" t="str">
        <f t="shared" si="270"/>
        <v/>
      </c>
      <c r="BM69" s="218" t="str">
        <f t="shared" si="271"/>
        <v/>
      </c>
      <c r="BN69" s="218" t="str">
        <f t="shared" si="272"/>
        <v/>
      </c>
      <c r="BO69" s="218" t="str">
        <f t="shared" si="273"/>
        <v/>
      </c>
      <c r="BP69" s="218" t="str">
        <f t="shared" si="274"/>
        <v/>
      </c>
      <c r="BQ69" s="218" t="str">
        <f t="shared" si="275"/>
        <v/>
      </c>
      <c r="BR69" s="218" t="str">
        <f t="shared" si="276"/>
        <v/>
      </c>
      <c r="BS69" s="218" t="str">
        <f t="shared" si="277"/>
        <v/>
      </c>
      <c r="BT69" s="218" t="str">
        <f t="shared" si="278"/>
        <v/>
      </c>
      <c r="BU69" s="218" t="str">
        <f t="shared" si="279"/>
        <v/>
      </c>
      <c r="BV69" s="218" t="str">
        <f t="shared" si="280"/>
        <v/>
      </c>
      <c r="BW69" s="218" t="str">
        <f t="shared" si="281"/>
        <v/>
      </c>
      <c r="BX69" s="218" t="str">
        <f t="shared" si="282"/>
        <v/>
      </c>
      <c r="BY69" s="218" t="str">
        <f t="shared" si="283"/>
        <v/>
      </c>
      <c r="BZ69" s="218" t="str">
        <f t="shared" si="284"/>
        <v/>
      </c>
      <c r="CA69" s="218" t="str">
        <f t="shared" si="285"/>
        <v/>
      </c>
      <c r="CB69" s="218" t="str">
        <f t="shared" si="286"/>
        <v/>
      </c>
      <c r="CD69" s="218" t="str">
        <f t="shared" si="287"/>
        <v/>
      </c>
      <c r="CE69" s="218" t="str">
        <f t="shared" si="288"/>
        <v/>
      </c>
      <c r="CF69" s="218" t="str">
        <f t="shared" si="289"/>
        <v/>
      </c>
      <c r="CG69" s="218" t="str">
        <f t="shared" si="290"/>
        <v/>
      </c>
      <c r="CH69" s="218" t="str">
        <f t="shared" si="291"/>
        <v/>
      </c>
      <c r="CI69" s="218" t="str">
        <f t="shared" si="292"/>
        <v/>
      </c>
      <c r="CJ69" s="218" t="str">
        <f t="shared" si="293"/>
        <v/>
      </c>
      <c r="CK69" s="218" t="str">
        <f t="shared" si="294"/>
        <v/>
      </c>
      <c r="CL69" s="218" t="str">
        <f t="shared" si="295"/>
        <v/>
      </c>
      <c r="CM69" s="218" t="str">
        <f t="shared" si="296"/>
        <v/>
      </c>
      <c r="CN69" s="218" t="str">
        <f t="shared" si="297"/>
        <v/>
      </c>
      <c r="CO69" s="218" t="str">
        <f t="shared" si="298"/>
        <v/>
      </c>
      <c r="CP69" s="218" t="str">
        <f t="shared" si="299"/>
        <v/>
      </c>
      <c r="CQ69" s="218" t="str">
        <f t="shared" si="300"/>
        <v/>
      </c>
      <c r="CR69" s="218" t="str">
        <f t="shared" si="301"/>
        <v/>
      </c>
      <c r="CS69" s="218" t="str">
        <f t="shared" si="302"/>
        <v/>
      </c>
      <c r="CT69" s="218" t="str">
        <f t="shared" si="303"/>
        <v/>
      </c>
      <c r="CU69" s="218" t="str">
        <f t="shared" si="304"/>
        <v/>
      </c>
      <c r="CV69" s="218" t="str">
        <f t="shared" si="305"/>
        <v/>
      </c>
      <c r="CW69" s="218" t="str">
        <f t="shared" si="306"/>
        <v/>
      </c>
      <c r="CX69" s="218" t="str">
        <f t="shared" si="307"/>
        <v/>
      </c>
      <c r="CY69" s="218" t="str">
        <f t="shared" si="308"/>
        <v/>
      </c>
      <c r="CZ69" s="218" t="str">
        <f t="shared" si="309"/>
        <v/>
      </c>
      <c r="DA69" s="218" t="str">
        <f t="shared" si="310"/>
        <v/>
      </c>
      <c r="DB69" s="218" t="str">
        <f t="shared" si="64"/>
        <v/>
      </c>
      <c r="DC69" s="218" t="str">
        <f t="shared" si="311"/>
        <v/>
      </c>
      <c r="DD69" s="218" t="str">
        <f t="shared" si="312"/>
        <v/>
      </c>
      <c r="DF69" s="218" t="str">
        <f t="shared" si="313"/>
        <v/>
      </c>
      <c r="DG69" s="218" t="str">
        <f t="shared" si="314"/>
        <v/>
      </c>
      <c r="DH69" s="218" t="str">
        <f t="shared" si="315"/>
        <v/>
      </c>
      <c r="DI69" s="218" t="str">
        <f t="shared" si="316"/>
        <v/>
      </c>
      <c r="DJ69" s="218" t="str">
        <f t="shared" si="317"/>
        <v/>
      </c>
      <c r="DK69" s="218" t="str">
        <f t="shared" si="318"/>
        <v/>
      </c>
      <c r="DL69" s="218" t="str">
        <f t="shared" si="319"/>
        <v/>
      </c>
      <c r="DM69" s="218" t="str">
        <f t="shared" si="320"/>
        <v/>
      </c>
      <c r="DN69" s="218" t="str">
        <f t="shared" si="321"/>
        <v/>
      </c>
      <c r="DO69" s="218" t="str">
        <f t="shared" si="322"/>
        <v/>
      </c>
      <c r="DP69" s="218" t="str">
        <f t="shared" si="323"/>
        <v/>
      </c>
      <c r="DQ69" s="218" t="str">
        <f t="shared" si="324"/>
        <v/>
      </c>
      <c r="DR69" s="218" t="str">
        <f t="shared" si="325"/>
        <v/>
      </c>
      <c r="DS69" s="218" t="str">
        <f t="shared" si="326"/>
        <v/>
      </c>
      <c r="DT69" s="218" t="str">
        <f t="shared" si="327"/>
        <v/>
      </c>
      <c r="DU69" s="218" t="str">
        <f t="shared" si="328"/>
        <v/>
      </c>
      <c r="DV69" s="218" t="str">
        <f t="shared" si="329"/>
        <v/>
      </c>
      <c r="DW69" s="218" t="str">
        <f t="shared" si="330"/>
        <v/>
      </c>
      <c r="DX69" s="218" t="str">
        <f t="shared" si="331"/>
        <v/>
      </c>
      <c r="DY69" s="218" t="str">
        <f t="shared" si="332"/>
        <v/>
      </c>
      <c r="DZ69" s="218" t="str">
        <f t="shared" si="333"/>
        <v/>
      </c>
      <c r="EA69" s="218" t="str">
        <f t="shared" si="334"/>
        <v/>
      </c>
      <c r="EB69" s="218" t="str">
        <f t="shared" si="335"/>
        <v/>
      </c>
      <c r="EC69" s="218" t="str">
        <f t="shared" si="336"/>
        <v/>
      </c>
      <c r="EE69" s="218" t="str">
        <f t="shared" si="337"/>
        <v/>
      </c>
      <c r="EF69" s="218" t="str">
        <f t="shared" si="338"/>
        <v/>
      </c>
      <c r="EG69" s="218" t="str">
        <f t="shared" si="339"/>
        <v/>
      </c>
      <c r="EH69" s="218" t="str">
        <f t="shared" si="340"/>
        <v/>
      </c>
      <c r="EI69" s="218" t="str">
        <f t="shared" si="341"/>
        <v/>
      </c>
      <c r="EJ69" s="218" t="str">
        <f t="shared" si="342"/>
        <v/>
      </c>
      <c r="EK69" s="218" t="str">
        <f t="shared" si="343"/>
        <v/>
      </c>
      <c r="EL69" s="218" t="str">
        <f t="shared" si="344"/>
        <v/>
      </c>
      <c r="EM69" s="218" t="str">
        <f t="shared" si="345"/>
        <v/>
      </c>
      <c r="EN69" s="218" t="str">
        <f t="shared" si="346"/>
        <v/>
      </c>
      <c r="EO69" s="218" t="str">
        <f t="shared" si="347"/>
        <v/>
      </c>
      <c r="EP69" s="218" t="str">
        <f t="shared" si="348"/>
        <v/>
      </c>
      <c r="EQ69" s="218" t="str">
        <f t="shared" si="349"/>
        <v/>
      </c>
      <c r="ER69" s="218" t="str">
        <f t="shared" si="350"/>
        <v/>
      </c>
      <c r="ES69" s="218" t="str">
        <f t="shared" si="351"/>
        <v/>
      </c>
      <c r="ET69" s="218" t="str">
        <f t="shared" si="352"/>
        <v/>
      </c>
      <c r="EU69" s="218" t="str">
        <f t="shared" si="353"/>
        <v/>
      </c>
      <c r="EV69" s="218" t="str">
        <f t="shared" si="354"/>
        <v/>
      </c>
      <c r="EW69" s="218" t="str">
        <f t="shared" si="355"/>
        <v/>
      </c>
      <c r="EX69" s="218" t="str">
        <f t="shared" si="356"/>
        <v/>
      </c>
      <c r="EY69" s="218" t="str">
        <f t="shared" si="357"/>
        <v/>
      </c>
      <c r="FA69" s="218" t="str">
        <f t="shared" si="358"/>
        <v/>
      </c>
      <c r="FB69" s="218" t="str">
        <f t="shared" si="359"/>
        <v/>
      </c>
      <c r="FC69" s="218" t="str">
        <f t="shared" si="360"/>
        <v/>
      </c>
      <c r="FD69" s="218" t="str">
        <f t="shared" si="361"/>
        <v/>
      </c>
      <c r="FE69" s="218" t="str">
        <f t="shared" si="362"/>
        <v/>
      </c>
      <c r="FF69" s="218" t="str">
        <f t="shared" si="363"/>
        <v/>
      </c>
      <c r="FG69" s="218" t="str">
        <f t="shared" si="364"/>
        <v/>
      </c>
      <c r="FH69" s="218" t="str">
        <f t="shared" si="365"/>
        <v/>
      </c>
      <c r="FI69" s="218" t="str">
        <f t="shared" si="366"/>
        <v/>
      </c>
      <c r="FJ69" s="218" t="str">
        <f t="shared" si="367"/>
        <v/>
      </c>
      <c r="FK69" s="218" t="str">
        <f t="shared" si="368"/>
        <v/>
      </c>
      <c r="FL69" s="218" t="str">
        <f t="shared" si="369"/>
        <v/>
      </c>
      <c r="FM69" s="218" t="str">
        <f t="shared" si="370"/>
        <v/>
      </c>
      <c r="FN69" s="218" t="str">
        <f t="shared" si="371"/>
        <v/>
      </c>
      <c r="FO69" s="218" t="str">
        <f t="shared" si="372"/>
        <v/>
      </c>
      <c r="FP69" s="218" t="str">
        <f t="shared" si="373"/>
        <v/>
      </c>
      <c r="FQ69" s="218" t="str">
        <f t="shared" si="374"/>
        <v/>
      </c>
      <c r="FR69" s="218" t="str">
        <f t="shared" si="375"/>
        <v/>
      </c>
      <c r="FT69" s="218" t="str">
        <f t="shared" si="376"/>
        <v/>
      </c>
      <c r="FU69" s="218" t="str">
        <f t="shared" si="377"/>
        <v/>
      </c>
      <c r="FV69" s="218" t="str">
        <f t="shared" si="378"/>
        <v/>
      </c>
      <c r="FW69" s="218" t="str">
        <f t="shared" si="379"/>
        <v/>
      </c>
      <c r="FX69" s="218" t="str">
        <f t="shared" si="380"/>
        <v/>
      </c>
      <c r="FY69" s="218" t="str">
        <f t="shared" si="381"/>
        <v/>
      </c>
      <c r="FZ69" s="218" t="str">
        <f t="shared" si="382"/>
        <v/>
      </c>
      <c r="GA69" s="218" t="str">
        <f t="shared" si="383"/>
        <v/>
      </c>
      <c r="GB69" s="218" t="str">
        <f t="shared" si="384"/>
        <v/>
      </c>
      <c r="GC69" s="218" t="str">
        <f t="shared" si="385"/>
        <v/>
      </c>
      <c r="GD69" s="218" t="str">
        <f t="shared" si="386"/>
        <v/>
      </c>
      <c r="GE69" s="218" t="str">
        <f t="shared" si="387"/>
        <v/>
      </c>
      <c r="GF69" s="218" t="str">
        <f t="shared" si="388"/>
        <v/>
      </c>
      <c r="GG69" s="218" t="str">
        <f t="shared" si="389"/>
        <v/>
      </c>
      <c r="GH69" s="218" t="str">
        <f t="shared" si="390"/>
        <v/>
      </c>
      <c r="GJ69" s="218" t="str">
        <f t="shared" si="391"/>
        <v/>
      </c>
      <c r="GK69" s="218" t="str">
        <f t="shared" si="392"/>
        <v/>
      </c>
      <c r="GL69" s="218" t="str">
        <f t="shared" si="393"/>
        <v/>
      </c>
      <c r="GM69" s="218" t="str">
        <f t="shared" si="394"/>
        <v/>
      </c>
      <c r="GN69" s="218" t="str">
        <f t="shared" si="395"/>
        <v/>
      </c>
      <c r="GO69" s="218" t="str">
        <f t="shared" si="396"/>
        <v/>
      </c>
      <c r="GP69" s="218" t="str">
        <f t="shared" si="397"/>
        <v/>
      </c>
      <c r="GQ69" s="218" t="str">
        <f t="shared" si="398"/>
        <v/>
      </c>
      <c r="GR69" s="218" t="str">
        <f t="shared" si="399"/>
        <v/>
      </c>
      <c r="GS69" s="218" t="str">
        <f t="shared" si="400"/>
        <v/>
      </c>
      <c r="GT69" s="218" t="str">
        <f t="shared" si="401"/>
        <v/>
      </c>
      <c r="GU69" s="218" t="str">
        <f t="shared" si="402"/>
        <v/>
      </c>
      <c r="GW69" s="218" t="str">
        <f t="shared" si="403"/>
        <v/>
      </c>
      <c r="GX69" s="218" t="str">
        <f t="shared" si="404"/>
        <v/>
      </c>
      <c r="GY69" s="218" t="str">
        <f t="shared" si="405"/>
        <v/>
      </c>
      <c r="GZ69" s="218" t="str">
        <f t="shared" si="406"/>
        <v/>
      </c>
      <c r="HA69" s="218" t="str">
        <f t="shared" si="407"/>
        <v/>
      </c>
      <c r="HB69" s="218" t="str">
        <f t="shared" si="408"/>
        <v/>
      </c>
      <c r="HC69" s="218" t="str">
        <f t="shared" si="409"/>
        <v/>
      </c>
      <c r="HD69" s="218" t="str">
        <f t="shared" si="410"/>
        <v/>
      </c>
      <c r="HE69" s="218" t="str">
        <f t="shared" si="411"/>
        <v/>
      </c>
      <c r="HG69" s="218" t="str">
        <f t="shared" si="412"/>
        <v/>
      </c>
      <c r="HH69" s="218" t="str">
        <f t="shared" si="413"/>
        <v/>
      </c>
      <c r="HI69" s="218" t="str">
        <f t="shared" si="414"/>
        <v/>
      </c>
      <c r="HJ69" s="218" t="str">
        <f t="shared" si="415"/>
        <v/>
      </c>
      <c r="HK69" s="218" t="str">
        <f t="shared" si="416"/>
        <v/>
      </c>
      <c r="HL69" s="218" t="str">
        <f t="shared" si="417"/>
        <v/>
      </c>
      <c r="HN69" s="218" t="str">
        <f t="shared" si="418"/>
        <v/>
      </c>
      <c r="HO69" s="218" t="str">
        <f t="shared" si="419"/>
        <v/>
      </c>
      <c r="HP69" s="218" t="str">
        <f t="shared" si="420"/>
        <v/>
      </c>
      <c r="HR69" s="218" t="str">
        <f t="shared" si="421"/>
        <v/>
      </c>
      <c r="HS69" s="218" t="str">
        <f t="shared" si="225"/>
        <v/>
      </c>
      <c r="HT69" s="218" t="str">
        <f t="shared" si="422"/>
        <v/>
      </c>
      <c r="HU69" s="218" t="str">
        <f t="shared" si="176"/>
        <v/>
      </c>
      <c r="HV69" s="218" t="str">
        <f t="shared" si="423"/>
        <v/>
      </c>
      <c r="HW69" s="218" t="str">
        <f t="shared" si="424"/>
        <v/>
      </c>
      <c r="HX69" s="218" t="str">
        <f t="shared" si="425"/>
        <v/>
      </c>
      <c r="HY69" s="218" t="str">
        <f t="shared" si="180"/>
        <v/>
      </c>
      <c r="HZ69" s="218" t="str">
        <f t="shared" si="426"/>
        <v/>
      </c>
      <c r="IA69" s="218" t="str">
        <f t="shared" si="427"/>
        <v/>
      </c>
      <c r="IB69" s="218" t="str">
        <f t="shared" si="183"/>
        <v/>
      </c>
      <c r="IC69" s="218" t="str">
        <f t="shared" si="428"/>
        <v/>
      </c>
      <c r="ID69" s="218" t="str">
        <f t="shared" si="429"/>
        <v/>
      </c>
      <c r="IE69" s="218" t="str">
        <f t="shared" si="186"/>
        <v/>
      </c>
      <c r="IF69" s="218" t="str">
        <f t="shared" si="430"/>
        <v/>
      </c>
      <c r="IG69" s="218" t="str">
        <f t="shared" si="431"/>
        <v/>
      </c>
      <c r="IH69" s="218" t="str">
        <f t="shared" si="189"/>
        <v/>
      </c>
      <c r="II69" s="218" t="str">
        <f t="shared" si="432"/>
        <v/>
      </c>
      <c r="IJ69" s="218" t="str">
        <f t="shared" si="433"/>
        <v/>
      </c>
      <c r="IK69" s="218" t="str">
        <f t="shared" si="192"/>
        <v/>
      </c>
      <c r="IL69" s="218" t="str">
        <f t="shared" si="434"/>
        <v/>
      </c>
      <c r="IM69" s="218" t="str">
        <f t="shared" si="435"/>
        <v/>
      </c>
      <c r="IN69" s="218" t="str">
        <f t="shared" si="195"/>
        <v/>
      </c>
      <c r="IO69" s="218" t="str">
        <f t="shared" si="436"/>
        <v/>
      </c>
      <c r="IP69" s="218" t="str">
        <f t="shared" si="437"/>
        <v/>
      </c>
      <c r="IQ69" s="218" t="str">
        <f t="shared" si="198"/>
        <v/>
      </c>
      <c r="IR69" s="218" t="str">
        <f t="shared" si="438"/>
        <v/>
      </c>
      <c r="IS69" s="218" t="str">
        <f t="shared" si="439"/>
        <v/>
      </c>
      <c r="IT69" s="218" t="str">
        <f t="shared" si="201"/>
        <v/>
      </c>
      <c r="IU69" s="218" t="str">
        <f t="shared" si="440"/>
        <v/>
      </c>
    </row>
    <row r="70" spans="1:255" x14ac:dyDescent="0.2">
      <c r="A70" s="200" t="s">
        <v>73</v>
      </c>
      <c r="B70" s="184"/>
      <c r="C70" s="179"/>
      <c r="D70" s="198"/>
      <c r="E70" s="198"/>
      <c r="F70" s="198"/>
      <c r="G70" s="180"/>
      <c r="H70" s="180"/>
      <c r="I70" s="180"/>
      <c r="J70" s="180"/>
      <c r="K70" s="186"/>
      <c r="L70" s="217" t="str">
        <f t="shared" si="29"/>
        <v/>
      </c>
      <c r="M70" s="218" t="str">
        <f>'HKG vs. BK'!M70</f>
        <v/>
      </c>
      <c r="N70" s="218" t="str">
        <f>'HKG vs. BK'!N70</f>
        <v/>
      </c>
      <c r="O70" s="218" t="str">
        <f>'HKG vs. BK'!O70</f>
        <v/>
      </c>
      <c r="P70" s="218" t="str">
        <f>'HKG vs. BK'!P70</f>
        <v/>
      </c>
      <c r="Q70" s="219" t="str">
        <f t="shared" si="227"/>
        <v/>
      </c>
      <c r="R70" s="220" t="str">
        <f t="shared" si="228"/>
        <v/>
      </c>
      <c r="S70" s="220" t="str">
        <f t="shared" si="229"/>
        <v/>
      </c>
      <c r="T70" s="219" t="str">
        <f t="shared" si="230"/>
        <v/>
      </c>
      <c r="U70" s="220" t="str">
        <f t="shared" si="231"/>
        <v/>
      </c>
      <c r="V70" s="220" t="str">
        <f t="shared" si="232"/>
        <v/>
      </c>
      <c r="W70" s="219" t="str">
        <f t="shared" si="233"/>
        <v/>
      </c>
      <c r="X70" s="220" t="str">
        <f t="shared" si="234"/>
        <v/>
      </c>
      <c r="Y70" s="220" t="str">
        <f t="shared" si="235"/>
        <v/>
      </c>
      <c r="Z70" s="219" t="str">
        <f t="shared" si="236"/>
        <v/>
      </c>
      <c r="AA70" s="220" t="str">
        <f t="shared" si="237"/>
        <v/>
      </c>
      <c r="AB70" s="220" t="str">
        <f t="shared" si="238"/>
        <v/>
      </c>
      <c r="AC70" s="219" t="str">
        <f t="shared" si="239"/>
        <v/>
      </c>
      <c r="AD70" s="220" t="str">
        <f t="shared" si="240"/>
        <v/>
      </c>
      <c r="AE70" s="220" t="str">
        <f t="shared" si="241"/>
        <v/>
      </c>
      <c r="AF70" s="219" t="str">
        <f t="shared" si="242"/>
        <v/>
      </c>
      <c r="AG70" s="220" t="str">
        <f t="shared" si="243"/>
        <v/>
      </c>
      <c r="AH70" s="220" t="str">
        <f t="shared" si="244"/>
        <v/>
      </c>
      <c r="AI70" s="219" t="str">
        <f t="shared" si="245"/>
        <v/>
      </c>
      <c r="AJ70" s="220" t="str">
        <f t="shared" si="246"/>
        <v/>
      </c>
      <c r="AK70" s="220" t="str">
        <f t="shared" si="247"/>
        <v/>
      </c>
      <c r="AL70" s="219" t="str">
        <f t="shared" si="248"/>
        <v/>
      </c>
      <c r="AM70" s="220" t="str">
        <f t="shared" si="249"/>
        <v/>
      </c>
      <c r="AN70" s="220" t="str">
        <f t="shared" si="250"/>
        <v/>
      </c>
      <c r="AO70" s="219" t="str">
        <f t="shared" si="251"/>
        <v/>
      </c>
      <c r="AP70" s="220" t="str">
        <f t="shared" si="252"/>
        <v/>
      </c>
      <c r="AQ70" s="220" t="str">
        <f t="shared" si="253"/>
        <v/>
      </c>
      <c r="AR70" s="219" t="str">
        <f t="shared" si="254"/>
        <v/>
      </c>
      <c r="AS70" s="220" t="str">
        <f t="shared" si="255"/>
        <v/>
      </c>
      <c r="AT70" s="220" t="str">
        <f t="shared" si="256"/>
        <v/>
      </c>
      <c r="AU70" s="221"/>
      <c r="AV70" s="221"/>
      <c r="AW70" s="221"/>
      <c r="AY70" s="218" t="str">
        <f t="shared" si="257"/>
        <v/>
      </c>
      <c r="AZ70" s="218" t="str">
        <f t="shared" si="258"/>
        <v/>
      </c>
      <c r="BA70" s="218" t="str">
        <f t="shared" si="259"/>
        <v/>
      </c>
      <c r="BB70" s="218" t="str">
        <f t="shared" si="260"/>
        <v/>
      </c>
      <c r="BC70" s="218" t="str">
        <f t="shared" si="261"/>
        <v/>
      </c>
      <c r="BD70" s="218" t="str">
        <f t="shared" si="262"/>
        <v/>
      </c>
      <c r="BE70" s="218" t="str">
        <f t="shared" si="263"/>
        <v/>
      </c>
      <c r="BF70" s="218" t="str">
        <f t="shared" si="264"/>
        <v/>
      </c>
      <c r="BG70" s="218" t="str">
        <f t="shared" si="265"/>
        <v/>
      </c>
      <c r="BH70" s="218" t="str">
        <f t="shared" si="266"/>
        <v/>
      </c>
      <c r="BI70" s="218" t="str">
        <f t="shared" si="267"/>
        <v/>
      </c>
      <c r="BJ70" s="218" t="str">
        <f t="shared" si="268"/>
        <v/>
      </c>
      <c r="BK70" s="218" t="str">
        <f t="shared" si="269"/>
        <v/>
      </c>
      <c r="BL70" s="218" t="str">
        <f t="shared" si="270"/>
        <v/>
      </c>
      <c r="BM70" s="218" t="str">
        <f t="shared" si="271"/>
        <v/>
      </c>
      <c r="BN70" s="218" t="str">
        <f t="shared" si="272"/>
        <v/>
      </c>
      <c r="BO70" s="218" t="str">
        <f t="shared" si="273"/>
        <v/>
      </c>
      <c r="BP70" s="218" t="str">
        <f t="shared" si="274"/>
        <v/>
      </c>
      <c r="BQ70" s="218" t="str">
        <f t="shared" si="275"/>
        <v/>
      </c>
      <c r="BR70" s="218" t="str">
        <f t="shared" si="276"/>
        <v/>
      </c>
      <c r="BS70" s="218" t="str">
        <f t="shared" si="277"/>
        <v/>
      </c>
      <c r="BT70" s="218" t="str">
        <f t="shared" si="278"/>
        <v/>
      </c>
      <c r="BU70" s="218" t="str">
        <f t="shared" si="279"/>
        <v/>
      </c>
      <c r="BV70" s="218" t="str">
        <f t="shared" si="280"/>
        <v/>
      </c>
      <c r="BW70" s="218" t="str">
        <f t="shared" si="281"/>
        <v/>
      </c>
      <c r="BX70" s="218" t="str">
        <f t="shared" si="282"/>
        <v/>
      </c>
      <c r="BY70" s="218" t="str">
        <f t="shared" si="283"/>
        <v/>
      </c>
      <c r="BZ70" s="218" t="str">
        <f t="shared" si="284"/>
        <v/>
      </c>
      <c r="CA70" s="218" t="str">
        <f t="shared" si="285"/>
        <v/>
      </c>
      <c r="CB70" s="218" t="str">
        <f t="shared" si="286"/>
        <v/>
      </c>
      <c r="CD70" s="218" t="str">
        <f t="shared" si="287"/>
        <v/>
      </c>
      <c r="CE70" s="218" t="str">
        <f t="shared" si="288"/>
        <v/>
      </c>
      <c r="CF70" s="218" t="str">
        <f t="shared" si="289"/>
        <v/>
      </c>
      <c r="CG70" s="218" t="str">
        <f t="shared" si="290"/>
        <v/>
      </c>
      <c r="CH70" s="218" t="str">
        <f t="shared" si="291"/>
        <v/>
      </c>
      <c r="CI70" s="218" t="str">
        <f t="shared" si="292"/>
        <v/>
      </c>
      <c r="CJ70" s="218" t="str">
        <f t="shared" si="293"/>
        <v/>
      </c>
      <c r="CK70" s="218" t="str">
        <f t="shared" si="294"/>
        <v/>
      </c>
      <c r="CL70" s="218" t="str">
        <f t="shared" si="295"/>
        <v/>
      </c>
      <c r="CM70" s="218" t="str">
        <f t="shared" si="296"/>
        <v/>
      </c>
      <c r="CN70" s="218" t="str">
        <f t="shared" si="297"/>
        <v/>
      </c>
      <c r="CO70" s="218" t="str">
        <f t="shared" si="298"/>
        <v/>
      </c>
      <c r="CP70" s="218" t="str">
        <f t="shared" si="299"/>
        <v/>
      </c>
      <c r="CQ70" s="218" t="str">
        <f t="shared" si="300"/>
        <v/>
      </c>
      <c r="CR70" s="218" t="str">
        <f t="shared" si="301"/>
        <v/>
      </c>
      <c r="CS70" s="218" t="str">
        <f t="shared" si="302"/>
        <v/>
      </c>
      <c r="CT70" s="218" t="str">
        <f t="shared" si="303"/>
        <v/>
      </c>
      <c r="CU70" s="218" t="str">
        <f t="shared" si="304"/>
        <v/>
      </c>
      <c r="CV70" s="218" t="str">
        <f t="shared" si="305"/>
        <v/>
      </c>
      <c r="CW70" s="218" t="str">
        <f t="shared" si="306"/>
        <v/>
      </c>
      <c r="CX70" s="218" t="str">
        <f t="shared" si="307"/>
        <v/>
      </c>
      <c r="CY70" s="218" t="str">
        <f t="shared" si="308"/>
        <v/>
      </c>
      <c r="CZ70" s="218" t="str">
        <f t="shared" si="309"/>
        <v/>
      </c>
      <c r="DA70" s="218" t="str">
        <f t="shared" si="310"/>
        <v/>
      </c>
      <c r="DB70" s="218" t="str">
        <f t="shared" si="64"/>
        <v/>
      </c>
      <c r="DC70" s="218" t="str">
        <f t="shared" si="311"/>
        <v/>
      </c>
      <c r="DD70" s="218" t="str">
        <f t="shared" si="312"/>
        <v/>
      </c>
      <c r="DF70" s="218" t="str">
        <f t="shared" si="313"/>
        <v/>
      </c>
      <c r="DG70" s="218" t="str">
        <f t="shared" si="314"/>
        <v/>
      </c>
      <c r="DH70" s="218" t="str">
        <f t="shared" si="315"/>
        <v/>
      </c>
      <c r="DI70" s="218" t="str">
        <f t="shared" si="316"/>
        <v/>
      </c>
      <c r="DJ70" s="218" t="str">
        <f t="shared" si="317"/>
        <v/>
      </c>
      <c r="DK70" s="218" t="str">
        <f t="shared" si="318"/>
        <v/>
      </c>
      <c r="DL70" s="218" t="str">
        <f t="shared" si="319"/>
        <v/>
      </c>
      <c r="DM70" s="218" t="str">
        <f t="shared" si="320"/>
        <v/>
      </c>
      <c r="DN70" s="218" t="str">
        <f t="shared" si="321"/>
        <v/>
      </c>
      <c r="DO70" s="218" t="str">
        <f t="shared" si="322"/>
        <v/>
      </c>
      <c r="DP70" s="218" t="str">
        <f t="shared" si="323"/>
        <v/>
      </c>
      <c r="DQ70" s="218" t="str">
        <f t="shared" si="324"/>
        <v/>
      </c>
      <c r="DR70" s="218" t="str">
        <f t="shared" si="325"/>
        <v/>
      </c>
      <c r="DS70" s="218" t="str">
        <f t="shared" si="326"/>
        <v/>
      </c>
      <c r="DT70" s="218" t="str">
        <f t="shared" si="327"/>
        <v/>
      </c>
      <c r="DU70" s="218" t="str">
        <f t="shared" si="328"/>
        <v/>
      </c>
      <c r="DV70" s="218" t="str">
        <f t="shared" si="329"/>
        <v/>
      </c>
      <c r="DW70" s="218" t="str">
        <f t="shared" si="330"/>
        <v/>
      </c>
      <c r="DX70" s="218" t="str">
        <f t="shared" si="331"/>
        <v/>
      </c>
      <c r="DY70" s="218" t="str">
        <f t="shared" si="332"/>
        <v/>
      </c>
      <c r="DZ70" s="218" t="str">
        <f t="shared" si="333"/>
        <v/>
      </c>
      <c r="EA70" s="218" t="str">
        <f t="shared" si="334"/>
        <v/>
      </c>
      <c r="EB70" s="218" t="str">
        <f t="shared" si="335"/>
        <v/>
      </c>
      <c r="EC70" s="218" t="str">
        <f t="shared" si="336"/>
        <v/>
      </c>
      <c r="EE70" s="218" t="str">
        <f t="shared" si="337"/>
        <v/>
      </c>
      <c r="EF70" s="218" t="str">
        <f t="shared" si="338"/>
        <v/>
      </c>
      <c r="EG70" s="218" t="str">
        <f t="shared" si="339"/>
        <v/>
      </c>
      <c r="EH70" s="218" t="str">
        <f t="shared" si="340"/>
        <v/>
      </c>
      <c r="EI70" s="218" t="str">
        <f t="shared" si="341"/>
        <v/>
      </c>
      <c r="EJ70" s="218" t="str">
        <f t="shared" si="342"/>
        <v/>
      </c>
      <c r="EK70" s="218" t="str">
        <f t="shared" si="343"/>
        <v/>
      </c>
      <c r="EL70" s="218" t="str">
        <f t="shared" si="344"/>
        <v/>
      </c>
      <c r="EM70" s="218" t="str">
        <f t="shared" si="345"/>
        <v/>
      </c>
      <c r="EN70" s="218" t="str">
        <f t="shared" si="346"/>
        <v/>
      </c>
      <c r="EO70" s="218" t="str">
        <f t="shared" si="347"/>
        <v/>
      </c>
      <c r="EP70" s="218" t="str">
        <f t="shared" si="348"/>
        <v/>
      </c>
      <c r="EQ70" s="218" t="str">
        <f t="shared" si="349"/>
        <v/>
      </c>
      <c r="ER70" s="218" t="str">
        <f t="shared" si="350"/>
        <v/>
      </c>
      <c r="ES70" s="218" t="str">
        <f t="shared" si="351"/>
        <v/>
      </c>
      <c r="ET70" s="218" t="str">
        <f t="shared" si="352"/>
        <v/>
      </c>
      <c r="EU70" s="218" t="str">
        <f t="shared" si="353"/>
        <v/>
      </c>
      <c r="EV70" s="218" t="str">
        <f t="shared" si="354"/>
        <v/>
      </c>
      <c r="EW70" s="218" t="str">
        <f t="shared" si="355"/>
        <v/>
      </c>
      <c r="EX70" s="218" t="str">
        <f t="shared" si="356"/>
        <v/>
      </c>
      <c r="EY70" s="218" t="str">
        <f t="shared" si="357"/>
        <v/>
      </c>
      <c r="FA70" s="218" t="str">
        <f t="shared" si="358"/>
        <v/>
      </c>
      <c r="FB70" s="218" t="str">
        <f t="shared" si="359"/>
        <v/>
      </c>
      <c r="FC70" s="218" t="str">
        <f t="shared" si="360"/>
        <v/>
      </c>
      <c r="FD70" s="218" t="str">
        <f t="shared" si="361"/>
        <v/>
      </c>
      <c r="FE70" s="218" t="str">
        <f t="shared" si="362"/>
        <v/>
      </c>
      <c r="FF70" s="218" t="str">
        <f t="shared" si="363"/>
        <v/>
      </c>
      <c r="FG70" s="218" t="str">
        <f t="shared" si="364"/>
        <v/>
      </c>
      <c r="FH70" s="218" t="str">
        <f t="shared" si="365"/>
        <v/>
      </c>
      <c r="FI70" s="218" t="str">
        <f t="shared" si="366"/>
        <v/>
      </c>
      <c r="FJ70" s="218" t="str">
        <f t="shared" si="367"/>
        <v/>
      </c>
      <c r="FK70" s="218" t="str">
        <f t="shared" si="368"/>
        <v/>
      </c>
      <c r="FL70" s="218" t="str">
        <f t="shared" si="369"/>
        <v/>
      </c>
      <c r="FM70" s="218" t="str">
        <f t="shared" si="370"/>
        <v/>
      </c>
      <c r="FN70" s="218" t="str">
        <f t="shared" si="371"/>
        <v/>
      </c>
      <c r="FO70" s="218" t="str">
        <f t="shared" si="372"/>
        <v/>
      </c>
      <c r="FP70" s="218" t="str">
        <f t="shared" si="373"/>
        <v/>
      </c>
      <c r="FQ70" s="218" t="str">
        <f t="shared" si="374"/>
        <v/>
      </c>
      <c r="FR70" s="218" t="str">
        <f t="shared" si="375"/>
        <v/>
      </c>
      <c r="FT70" s="218" t="str">
        <f t="shared" si="376"/>
        <v/>
      </c>
      <c r="FU70" s="218" t="str">
        <f t="shared" si="377"/>
        <v/>
      </c>
      <c r="FV70" s="218" t="str">
        <f t="shared" si="378"/>
        <v/>
      </c>
      <c r="FW70" s="218" t="str">
        <f t="shared" si="379"/>
        <v/>
      </c>
      <c r="FX70" s="218" t="str">
        <f t="shared" si="380"/>
        <v/>
      </c>
      <c r="FY70" s="218" t="str">
        <f t="shared" si="381"/>
        <v/>
      </c>
      <c r="FZ70" s="218" t="str">
        <f t="shared" si="382"/>
        <v/>
      </c>
      <c r="GA70" s="218" t="str">
        <f t="shared" si="383"/>
        <v/>
      </c>
      <c r="GB70" s="218" t="str">
        <f t="shared" si="384"/>
        <v/>
      </c>
      <c r="GC70" s="218" t="str">
        <f t="shared" si="385"/>
        <v/>
      </c>
      <c r="GD70" s="218" t="str">
        <f t="shared" si="386"/>
        <v/>
      </c>
      <c r="GE70" s="218" t="str">
        <f t="shared" si="387"/>
        <v/>
      </c>
      <c r="GF70" s="218" t="str">
        <f t="shared" si="388"/>
        <v/>
      </c>
      <c r="GG70" s="218" t="str">
        <f t="shared" si="389"/>
        <v/>
      </c>
      <c r="GH70" s="218" t="str">
        <f t="shared" si="390"/>
        <v/>
      </c>
      <c r="GJ70" s="218" t="str">
        <f t="shared" si="391"/>
        <v/>
      </c>
      <c r="GK70" s="218" t="str">
        <f t="shared" si="392"/>
        <v/>
      </c>
      <c r="GL70" s="218" t="str">
        <f t="shared" si="393"/>
        <v/>
      </c>
      <c r="GM70" s="218" t="str">
        <f t="shared" si="394"/>
        <v/>
      </c>
      <c r="GN70" s="218" t="str">
        <f t="shared" si="395"/>
        <v/>
      </c>
      <c r="GO70" s="218" t="str">
        <f t="shared" si="396"/>
        <v/>
      </c>
      <c r="GP70" s="218" t="str">
        <f t="shared" si="397"/>
        <v/>
      </c>
      <c r="GQ70" s="218" t="str">
        <f t="shared" si="398"/>
        <v/>
      </c>
      <c r="GR70" s="218" t="str">
        <f t="shared" si="399"/>
        <v/>
      </c>
      <c r="GS70" s="218" t="str">
        <f t="shared" si="400"/>
        <v/>
      </c>
      <c r="GT70" s="218" t="str">
        <f t="shared" si="401"/>
        <v/>
      </c>
      <c r="GU70" s="218" t="str">
        <f t="shared" si="402"/>
        <v/>
      </c>
      <c r="GW70" s="218" t="str">
        <f t="shared" si="403"/>
        <v/>
      </c>
      <c r="GX70" s="218" t="str">
        <f t="shared" si="404"/>
        <v/>
      </c>
      <c r="GY70" s="218" t="str">
        <f t="shared" si="405"/>
        <v/>
      </c>
      <c r="GZ70" s="218" t="str">
        <f t="shared" si="406"/>
        <v/>
      </c>
      <c r="HA70" s="218" t="str">
        <f t="shared" si="407"/>
        <v/>
      </c>
      <c r="HB70" s="218" t="str">
        <f t="shared" si="408"/>
        <v/>
      </c>
      <c r="HC70" s="218" t="str">
        <f t="shared" si="409"/>
        <v/>
      </c>
      <c r="HD70" s="218" t="str">
        <f t="shared" si="410"/>
        <v/>
      </c>
      <c r="HE70" s="218" t="str">
        <f t="shared" si="411"/>
        <v/>
      </c>
      <c r="HG70" s="218" t="str">
        <f t="shared" si="412"/>
        <v/>
      </c>
      <c r="HH70" s="218" t="str">
        <f t="shared" si="413"/>
        <v/>
      </c>
      <c r="HI70" s="218" t="str">
        <f t="shared" si="414"/>
        <v/>
      </c>
      <c r="HJ70" s="218" t="str">
        <f t="shared" si="415"/>
        <v/>
      </c>
      <c r="HK70" s="218" t="str">
        <f t="shared" si="416"/>
        <v/>
      </c>
      <c r="HL70" s="218" t="str">
        <f t="shared" si="417"/>
        <v/>
      </c>
      <c r="HN70" s="218" t="str">
        <f t="shared" si="418"/>
        <v/>
      </c>
      <c r="HO70" s="218" t="str">
        <f t="shared" si="419"/>
        <v/>
      </c>
      <c r="HP70" s="218" t="str">
        <f t="shared" si="420"/>
        <v/>
      </c>
      <c r="HR70" s="218" t="str">
        <f t="shared" si="421"/>
        <v/>
      </c>
      <c r="HS70" s="218" t="str">
        <f t="shared" si="225"/>
        <v/>
      </c>
      <c r="HT70" s="218" t="str">
        <f t="shared" si="422"/>
        <v/>
      </c>
      <c r="HU70" s="218" t="str">
        <f t="shared" si="176"/>
        <v/>
      </c>
      <c r="HV70" s="218" t="str">
        <f t="shared" si="423"/>
        <v/>
      </c>
      <c r="HW70" s="218" t="str">
        <f t="shared" si="424"/>
        <v/>
      </c>
      <c r="HX70" s="218" t="str">
        <f t="shared" si="425"/>
        <v/>
      </c>
      <c r="HY70" s="218" t="str">
        <f t="shared" si="180"/>
        <v/>
      </c>
      <c r="HZ70" s="218" t="str">
        <f t="shared" si="426"/>
        <v/>
      </c>
      <c r="IA70" s="218" t="str">
        <f t="shared" si="427"/>
        <v/>
      </c>
      <c r="IB70" s="218" t="str">
        <f t="shared" si="183"/>
        <v/>
      </c>
      <c r="IC70" s="218" t="str">
        <f t="shared" si="428"/>
        <v/>
      </c>
      <c r="ID70" s="218" t="str">
        <f t="shared" si="429"/>
        <v/>
      </c>
      <c r="IE70" s="218" t="str">
        <f t="shared" si="186"/>
        <v/>
      </c>
      <c r="IF70" s="218" t="str">
        <f t="shared" si="430"/>
        <v/>
      </c>
      <c r="IG70" s="218" t="str">
        <f t="shared" si="431"/>
        <v/>
      </c>
      <c r="IH70" s="218" t="str">
        <f t="shared" si="189"/>
        <v/>
      </c>
      <c r="II70" s="218" t="str">
        <f t="shared" si="432"/>
        <v/>
      </c>
      <c r="IJ70" s="218" t="str">
        <f t="shared" si="433"/>
        <v/>
      </c>
      <c r="IK70" s="218" t="str">
        <f t="shared" si="192"/>
        <v/>
      </c>
      <c r="IL70" s="218" t="str">
        <f t="shared" si="434"/>
        <v/>
      </c>
      <c r="IM70" s="218" t="str">
        <f t="shared" si="435"/>
        <v/>
      </c>
      <c r="IN70" s="218" t="str">
        <f t="shared" si="195"/>
        <v/>
      </c>
      <c r="IO70" s="218" t="str">
        <f t="shared" si="436"/>
        <v/>
      </c>
      <c r="IP70" s="218" t="str">
        <f t="shared" si="437"/>
        <v/>
      </c>
      <c r="IQ70" s="218" t="str">
        <f t="shared" si="198"/>
        <v/>
      </c>
      <c r="IR70" s="218" t="str">
        <f t="shared" si="438"/>
        <v/>
      </c>
      <c r="IS70" s="218" t="str">
        <f t="shared" si="439"/>
        <v/>
      </c>
      <c r="IT70" s="218" t="str">
        <f t="shared" si="201"/>
        <v/>
      </c>
      <c r="IU70" s="218" t="str">
        <f t="shared" si="440"/>
        <v/>
      </c>
    </row>
    <row r="71" spans="1:255" x14ac:dyDescent="0.2">
      <c r="A71" s="200" t="s">
        <v>74</v>
      </c>
      <c r="B71" s="184"/>
      <c r="C71" s="179"/>
      <c r="D71" s="198"/>
      <c r="E71" s="198"/>
      <c r="F71" s="198"/>
      <c r="G71" s="181"/>
      <c r="H71" s="181"/>
      <c r="I71" s="181"/>
      <c r="J71" s="181"/>
      <c r="K71" s="183"/>
      <c r="L71" s="217" t="str">
        <f t="shared" ref="L71:L105" si="441">IF(COUNT(B71:K71)&gt;0,COUNT(B71:K71),"")</f>
        <v/>
      </c>
      <c r="M71" s="218" t="str">
        <f>'HKG vs. BK'!M71</f>
        <v/>
      </c>
      <c r="N71" s="218" t="str">
        <f>'HKG vs. BK'!N71</f>
        <v/>
      </c>
      <c r="O71" s="218" t="str">
        <f>'HKG vs. BK'!O71</f>
        <v/>
      </c>
      <c r="P71" s="218" t="str">
        <f>'HKG vs. BK'!P71</f>
        <v/>
      </c>
      <c r="Q71" s="219" t="str">
        <f t="shared" si="227"/>
        <v/>
      </c>
      <c r="R71" s="220" t="str">
        <f t="shared" si="228"/>
        <v/>
      </c>
      <c r="S71" s="220" t="str">
        <f t="shared" si="229"/>
        <v/>
      </c>
      <c r="T71" s="219" t="str">
        <f t="shared" si="230"/>
        <v/>
      </c>
      <c r="U71" s="220" t="str">
        <f t="shared" si="231"/>
        <v/>
      </c>
      <c r="V71" s="220" t="str">
        <f t="shared" si="232"/>
        <v/>
      </c>
      <c r="W71" s="219" t="str">
        <f t="shared" si="233"/>
        <v/>
      </c>
      <c r="X71" s="220" t="str">
        <f t="shared" si="234"/>
        <v/>
      </c>
      <c r="Y71" s="220" t="str">
        <f t="shared" si="235"/>
        <v/>
      </c>
      <c r="Z71" s="219" t="str">
        <f t="shared" si="236"/>
        <v/>
      </c>
      <c r="AA71" s="220" t="str">
        <f t="shared" si="237"/>
        <v/>
      </c>
      <c r="AB71" s="220" t="str">
        <f t="shared" si="238"/>
        <v/>
      </c>
      <c r="AC71" s="219" t="str">
        <f t="shared" si="239"/>
        <v/>
      </c>
      <c r="AD71" s="220" t="str">
        <f t="shared" si="240"/>
        <v/>
      </c>
      <c r="AE71" s="220" t="str">
        <f t="shared" si="241"/>
        <v/>
      </c>
      <c r="AF71" s="219" t="str">
        <f t="shared" si="242"/>
        <v/>
      </c>
      <c r="AG71" s="220" t="str">
        <f t="shared" si="243"/>
        <v/>
      </c>
      <c r="AH71" s="220" t="str">
        <f t="shared" si="244"/>
        <v/>
      </c>
      <c r="AI71" s="219" t="str">
        <f t="shared" si="245"/>
        <v/>
      </c>
      <c r="AJ71" s="220" t="str">
        <f t="shared" si="246"/>
        <v/>
      </c>
      <c r="AK71" s="220" t="str">
        <f t="shared" si="247"/>
        <v/>
      </c>
      <c r="AL71" s="219" t="str">
        <f t="shared" si="248"/>
        <v/>
      </c>
      <c r="AM71" s="220" t="str">
        <f t="shared" si="249"/>
        <v/>
      </c>
      <c r="AN71" s="220" t="str">
        <f t="shared" si="250"/>
        <v/>
      </c>
      <c r="AO71" s="219" t="str">
        <f t="shared" si="251"/>
        <v/>
      </c>
      <c r="AP71" s="220" t="str">
        <f t="shared" si="252"/>
        <v/>
      </c>
      <c r="AQ71" s="220" t="str">
        <f t="shared" si="253"/>
        <v/>
      </c>
      <c r="AR71" s="219" t="str">
        <f t="shared" si="254"/>
        <v/>
      </c>
      <c r="AS71" s="220" t="str">
        <f t="shared" si="255"/>
        <v/>
      </c>
      <c r="AT71" s="220" t="str">
        <f t="shared" si="256"/>
        <v/>
      </c>
      <c r="AU71" s="221"/>
      <c r="AV71" s="221"/>
      <c r="AW71" s="221"/>
      <c r="AY71" s="218" t="str">
        <f t="shared" si="257"/>
        <v/>
      </c>
      <c r="AZ71" s="218" t="str">
        <f t="shared" si="258"/>
        <v/>
      </c>
      <c r="BA71" s="218" t="str">
        <f t="shared" si="259"/>
        <v/>
      </c>
      <c r="BB71" s="218" t="str">
        <f t="shared" si="260"/>
        <v/>
      </c>
      <c r="BC71" s="218" t="str">
        <f t="shared" si="261"/>
        <v/>
      </c>
      <c r="BD71" s="218" t="str">
        <f t="shared" si="262"/>
        <v/>
      </c>
      <c r="BE71" s="218" t="str">
        <f t="shared" si="263"/>
        <v/>
      </c>
      <c r="BF71" s="218" t="str">
        <f t="shared" si="264"/>
        <v/>
      </c>
      <c r="BG71" s="218" t="str">
        <f t="shared" si="265"/>
        <v/>
      </c>
      <c r="BH71" s="218" t="str">
        <f t="shared" si="266"/>
        <v/>
      </c>
      <c r="BI71" s="218" t="str">
        <f t="shared" si="267"/>
        <v/>
      </c>
      <c r="BJ71" s="218" t="str">
        <f t="shared" si="268"/>
        <v/>
      </c>
      <c r="BK71" s="218" t="str">
        <f t="shared" si="269"/>
        <v/>
      </c>
      <c r="BL71" s="218" t="str">
        <f t="shared" si="270"/>
        <v/>
      </c>
      <c r="BM71" s="218" t="str">
        <f t="shared" si="271"/>
        <v/>
      </c>
      <c r="BN71" s="218" t="str">
        <f t="shared" si="272"/>
        <v/>
      </c>
      <c r="BO71" s="218" t="str">
        <f t="shared" si="273"/>
        <v/>
      </c>
      <c r="BP71" s="218" t="str">
        <f t="shared" si="274"/>
        <v/>
      </c>
      <c r="BQ71" s="218" t="str">
        <f t="shared" si="275"/>
        <v/>
      </c>
      <c r="BR71" s="218" t="str">
        <f t="shared" si="276"/>
        <v/>
      </c>
      <c r="BS71" s="218" t="str">
        <f t="shared" si="277"/>
        <v/>
      </c>
      <c r="BT71" s="218" t="str">
        <f t="shared" si="278"/>
        <v/>
      </c>
      <c r="BU71" s="218" t="str">
        <f t="shared" si="279"/>
        <v/>
      </c>
      <c r="BV71" s="218" t="str">
        <f t="shared" si="280"/>
        <v/>
      </c>
      <c r="BW71" s="218" t="str">
        <f t="shared" si="281"/>
        <v/>
      </c>
      <c r="BX71" s="218" t="str">
        <f t="shared" si="282"/>
        <v/>
      </c>
      <c r="BY71" s="218" t="str">
        <f t="shared" si="283"/>
        <v/>
      </c>
      <c r="BZ71" s="218" t="str">
        <f t="shared" si="284"/>
        <v/>
      </c>
      <c r="CA71" s="218" t="str">
        <f t="shared" si="285"/>
        <v/>
      </c>
      <c r="CB71" s="218" t="str">
        <f t="shared" si="286"/>
        <v/>
      </c>
      <c r="CD71" s="218" t="str">
        <f t="shared" si="287"/>
        <v/>
      </c>
      <c r="CE71" s="218" t="str">
        <f t="shared" si="288"/>
        <v/>
      </c>
      <c r="CF71" s="218" t="str">
        <f t="shared" si="289"/>
        <v/>
      </c>
      <c r="CG71" s="218" t="str">
        <f t="shared" si="290"/>
        <v/>
      </c>
      <c r="CH71" s="218" t="str">
        <f t="shared" si="291"/>
        <v/>
      </c>
      <c r="CI71" s="218" t="str">
        <f t="shared" si="292"/>
        <v/>
      </c>
      <c r="CJ71" s="218" t="str">
        <f t="shared" si="293"/>
        <v/>
      </c>
      <c r="CK71" s="218" t="str">
        <f t="shared" si="294"/>
        <v/>
      </c>
      <c r="CL71" s="218" t="str">
        <f t="shared" si="295"/>
        <v/>
      </c>
      <c r="CM71" s="218" t="str">
        <f t="shared" si="296"/>
        <v/>
      </c>
      <c r="CN71" s="218" t="str">
        <f t="shared" si="297"/>
        <v/>
      </c>
      <c r="CO71" s="218" t="str">
        <f t="shared" si="298"/>
        <v/>
      </c>
      <c r="CP71" s="218" t="str">
        <f t="shared" si="299"/>
        <v/>
      </c>
      <c r="CQ71" s="218" t="str">
        <f t="shared" si="300"/>
        <v/>
      </c>
      <c r="CR71" s="218" t="str">
        <f t="shared" si="301"/>
        <v/>
      </c>
      <c r="CS71" s="218" t="str">
        <f t="shared" si="302"/>
        <v/>
      </c>
      <c r="CT71" s="218" t="str">
        <f t="shared" si="303"/>
        <v/>
      </c>
      <c r="CU71" s="218" t="str">
        <f t="shared" si="304"/>
        <v/>
      </c>
      <c r="CV71" s="218" t="str">
        <f t="shared" si="305"/>
        <v/>
      </c>
      <c r="CW71" s="218" t="str">
        <f t="shared" si="306"/>
        <v/>
      </c>
      <c r="CX71" s="218" t="str">
        <f t="shared" si="307"/>
        <v/>
      </c>
      <c r="CY71" s="218" t="str">
        <f t="shared" si="308"/>
        <v/>
      </c>
      <c r="CZ71" s="218" t="str">
        <f t="shared" si="309"/>
        <v/>
      </c>
      <c r="DA71" s="218" t="str">
        <f t="shared" si="310"/>
        <v/>
      </c>
      <c r="DB71" s="218" t="str">
        <f t="shared" ref="DB71:DB84" si="442">IF(AND(NOT($C71=""),NOT($M71="")),$C71,"")</f>
        <v/>
      </c>
      <c r="DC71" s="218" t="str">
        <f t="shared" si="311"/>
        <v/>
      </c>
      <c r="DD71" s="218" t="str">
        <f t="shared" si="312"/>
        <v/>
      </c>
      <c r="DF71" s="218" t="str">
        <f t="shared" si="313"/>
        <v/>
      </c>
      <c r="DG71" s="218" t="str">
        <f t="shared" si="314"/>
        <v/>
      </c>
      <c r="DH71" s="218" t="str">
        <f t="shared" si="315"/>
        <v/>
      </c>
      <c r="DI71" s="218" t="str">
        <f t="shared" si="316"/>
        <v/>
      </c>
      <c r="DJ71" s="218" t="str">
        <f t="shared" si="317"/>
        <v/>
      </c>
      <c r="DK71" s="218" t="str">
        <f t="shared" si="318"/>
        <v/>
      </c>
      <c r="DL71" s="218" t="str">
        <f t="shared" si="319"/>
        <v/>
      </c>
      <c r="DM71" s="218" t="str">
        <f t="shared" si="320"/>
        <v/>
      </c>
      <c r="DN71" s="218" t="str">
        <f t="shared" si="321"/>
        <v/>
      </c>
      <c r="DO71" s="218" t="str">
        <f t="shared" si="322"/>
        <v/>
      </c>
      <c r="DP71" s="218" t="str">
        <f t="shared" si="323"/>
        <v/>
      </c>
      <c r="DQ71" s="218" t="str">
        <f t="shared" si="324"/>
        <v/>
      </c>
      <c r="DR71" s="218" t="str">
        <f t="shared" si="325"/>
        <v/>
      </c>
      <c r="DS71" s="218" t="str">
        <f t="shared" si="326"/>
        <v/>
      </c>
      <c r="DT71" s="218" t="str">
        <f t="shared" si="327"/>
        <v/>
      </c>
      <c r="DU71" s="218" t="str">
        <f t="shared" si="328"/>
        <v/>
      </c>
      <c r="DV71" s="218" t="str">
        <f t="shared" si="329"/>
        <v/>
      </c>
      <c r="DW71" s="218" t="str">
        <f t="shared" si="330"/>
        <v/>
      </c>
      <c r="DX71" s="218" t="str">
        <f t="shared" si="331"/>
        <v/>
      </c>
      <c r="DY71" s="218" t="str">
        <f t="shared" si="332"/>
        <v/>
      </c>
      <c r="DZ71" s="218" t="str">
        <f t="shared" si="333"/>
        <v/>
      </c>
      <c r="EA71" s="218" t="str">
        <f t="shared" si="334"/>
        <v/>
      </c>
      <c r="EB71" s="218" t="str">
        <f t="shared" si="335"/>
        <v/>
      </c>
      <c r="EC71" s="218" t="str">
        <f t="shared" si="336"/>
        <v/>
      </c>
      <c r="EE71" s="218" t="str">
        <f t="shared" si="337"/>
        <v/>
      </c>
      <c r="EF71" s="218" t="str">
        <f t="shared" si="338"/>
        <v/>
      </c>
      <c r="EG71" s="218" t="str">
        <f t="shared" si="339"/>
        <v/>
      </c>
      <c r="EH71" s="218" t="str">
        <f t="shared" si="340"/>
        <v/>
      </c>
      <c r="EI71" s="218" t="str">
        <f t="shared" si="341"/>
        <v/>
      </c>
      <c r="EJ71" s="218" t="str">
        <f t="shared" si="342"/>
        <v/>
      </c>
      <c r="EK71" s="218" t="str">
        <f t="shared" si="343"/>
        <v/>
      </c>
      <c r="EL71" s="218" t="str">
        <f t="shared" si="344"/>
        <v/>
      </c>
      <c r="EM71" s="218" t="str">
        <f t="shared" si="345"/>
        <v/>
      </c>
      <c r="EN71" s="218" t="str">
        <f t="shared" si="346"/>
        <v/>
      </c>
      <c r="EO71" s="218" t="str">
        <f t="shared" si="347"/>
        <v/>
      </c>
      <c r="EP71" s="218" t="str">
        <f t="shared" si="348"/>
        <v/>
      </c>
      <c r="EQ71" s="218" t="str">
        <f t="shared" si="349"/>
        <v/>
      </c>
      <c r="ER71" s="218" t="str">
        <f t="shared" si="350"/>
        <v/>
      </c>
      <c r="ES71" s="218" t="str">
        <f t="shared" si="351"/>
        <v/>
      </c>
      <c r="ET71" s="218" t="str">
        <f t="shared" si="352"/>
        <v/>
      </c>
      <c r="EU71" s="218" t="str">
        <f t="shared" si="353"/>
        <v/>
      </c>
      <c r="EV71" s="218" t="str">
        <f t="shared" si="354"/>
        <v/>
      </c>
      <c r="EW71" s="218" t="str">
        <f t="shared" si="355"/>
        <v/>
      </c>
      <c r="EX71" s="218" t="str">
        <f t="shared" si="356"/>
        <v/>
      </c>
      <c r="EY71" s="218" t="str">
        <f t="shared" si="357"/>
        <v/>
      </c>
      <c r="FA71" s="218" t="str">
        <f t="shared" si="358"/>
        <v/>
      </c>
      <c r="FB71" s="218" t="str">
        <f t="shared" si="359"/>
        <v/>
      </c>
      <c r="FC71" s="218" t="str">
        <f t="shared" si="360"/>
        <v/>
      </c>
      <c r="FD71" s="218" t="str">
        <f t="shared" si="361"/>
        <v/>
      </c>
      <c r="FE71" s="218" t="str">
        <f t="shared" si="362"/>
        <v/>
      </c>
      <c r="FF71" s="218" t="str">
        <f t="shared" si="363"/>
        <v/>
      </c>
      <c r="FG71" s="218" t="str">
        <f t="shared" si="364"/>
        <v/>
      </c>
      <c r="FH71" s="218" t="str">
        <f t="shared" si="365"/>
        <v/>
      </c>
      <c r="FI71" s="218" t="str">
        <f t="shared" si="366"/>
        <v/>
      </c>
      <c r="FJ71" s="218" t="str">
        <f t="shared" si="367"/>
        <v/>
      </c>
      <c r="FK71" s="218" t="str">
        <f t="shared" si="368"/>
        <v/>
      </c>
      <c r="FL71" s="218" t="str">
        <f t="shared" si="369"/>
        <v/>
      </c>
      <c r="FM71" s="218" t="str">
        <f t="shared" si="370"/>
        <v/>
      </c>
      <c r="FN71" s="218" t="str">
        <f t="shared" si="371"/>
        <v/>
      </c>
      <c r="FO71" s="218" t="str">
        <f t="shared" si="372"/>
        <v/>
      </c>
      <c r="FP71" s="218" t="str">
        <f t="shared" si="373"/>
        <v/>
      </c>
      <c r="FQ71" s="218" t="str">
        <f t="shared" si="374"/>
        <v/>
      </c>
      <c r="FR71" s="218" t="str">
        <f t="shared" si="375"/>
        <v/>
      </c>
      <c r="FT71" s="218" t="str">
        <f t="shared" si="376"/>
        <v/>
      </c>
      <c r="FU71" s="218" t="str">
        <f t="shared" si="377"/>
        <v/>
      </c>
      <c r="FV71" s="218" t="str">
        <f t="shared" si="378"/>
        <v/>
      </c>
      <c r="FW71" s="218" t="str">
        <f t="shared" si="379"/>
        <v/>
      </c>
      <c r="FX71" s="218" t="str">
        <f t="shared" si="380"/>
        <v/>
      </c>
      <c r="FY71" s="218" t="str">
        <f t="shared" si="381"/>
        <v/>
      </c>
      <c r="FZ71" s="218" t="str">
        <f t="shared" si="382"/>
        <v/>
      </c>
      <c r="GA71" s="218" t="str">
        <f t="shared" si="383"/>
        <v/>
      </c>
      <c r="GB71" s="218" t="str">
        <f t="shared" si="384"/>
        <v/>
      </c>
      <c r="GC71" s="218" t="str">
        <f t="shared" si="385"/>
        <v/>
      </c>
      <c r="GD71" s="218" t="str">
        <f t="shared" si="386"/>
        <v/>
      </c>
      <c r="GE71" s="218" t="str">
        <f t="shared" si="387"/>
        <v/>
      </c>
      <c r="GF71" s="218" t="str">
        <f t="shared" si="388"/>
        <v/>
      </c>
      <c r="GG71" s="218" t="str">
        <f t="shared" si="389"/>
        <v/>
      </c>
      <c r="GH71" s="218" t="str">
        <f t="shared" si="390"/>
        <v/>
      </c>
      <c r="GJ71" s="218" t="str">
        <f t="shared" si="391"/>
        <v/>
      </c>
      <c r="GK71" s="218" t="str">
        <f t="shared" si="392"/>
        <v/>
      </c>
      <c r="GL71" s="218" t="str">
        <f t="shared" si="393"/>
        <v/>
      </c>
      <c r="GM71" s="218" t="str">
        <f t="shared" si="394"/>
        <v/>
      </c>
      <c r="GN71" s="218" t="str">
        <f t="shared" si="395"/>
        <v/>
      </c>
      <c r="GO71" s="218" t="str">
        <f t="shared" si="396"/>
        <v/>
      </c>
      <c r="GP71" s="218" t="str">
        <f t="shared" si="397"/>
        <v/>
      </c>
      <c r="GQ71" s="218" t="str">
        <f t="shared" si="398"/>
        <v/>
      </c>
      <c r="GR71" s="218" t="str">
        <f t="shared" si="399"/>
        <v/>
      </c>
      <c r="GS71" s="218" t="str">
        <f t="shared" si="400"/>
        <v/>
      </c>
      <c r="GT71" s="218" t="str">
        <f t="shared" si="401"/>
        <v/>
      </c>
      <c r="GU71" s="218" t="str">
        <f t="shared" si="402"/>
        <v/>
      </c>
      <c r="GW71" s="218" t="str">
        <f t="shared" si="403"/>
        <v/>
      </c>
      <c r="GX71" s="218" t="str">
        <f t="shared" si="404"/>
        <v/>
      </c>
      <c r="GY71" s="218" t="str">
        <f t="shared" si="405"/>
        <v/>
      </c>
      <c r="GZ71" s="218" t="str">
        <f t="shared" si="406"/>
        <v/>
      </c>
      <c r="HA71" s="218" t="str">
        <f t="shared" si="407"/>
        <v/>
      </c>
      <c r="HB71" s="218" t="str">
        <f t="shared" si="408"/>
        <v/>
      </c>
      <c r="HC71" s="218" t="str">
        <f t="shared" si="409"/>
        <v/>
      </c>
      <c r="HD71" s="218" t="str">
        <f t="shared" si="410"/>
        <v/>
      </c>
      <c r="HE71" s="218" t="str">
        <f t="shared" si="411"/>
        <v/>
      </c>
      <c r="HG71" s="218" t="str">
        <f t="shared" si="412"/>
        <v/>
      </c>
      <c r="HH71" s="218" t="str">
        <f t="shared" si="413"/>
        <v/>
      </c>
      <c r="HI71" s="218" t="str">
        <f t="shared" si="414"/>
        <v/>
      </c>
      <c r="HJ71" s="218" t="str">
        <f t="shared" si="415"/>
        <v/>
      </c>
      <c r="HK71" s="218" t="str">
        <f t="shared" si="416"/>
        <v/>
      </c>
      <c r="HL71" s="218" t="str">
        <f t="shared" si="417"/>
        <v/>
      </c>
      <c r="HN71" s="218" t="str">
        <f t="shared" si="418"/>
        <v/>
      </c>
      <c r="HO71" s="218" t="str">
        <f t="shared" si="419"/>
        <v/>
      </c>
      <c r="HP71" s="218" t="str">
        <f t="shared" si="420"/>
        <v/>
      </c>
      <c r="HR71" s="218" t="str">
        <f t="shared" si="421"/>
        <v/>
      </c>
      <c r="HS71" s="218" t="str">
        <f t="shared" ref="HS71:HS84" si="443">IF(AND(NOT($B71=""),NOT($M71="")),$B71,"")</f>
        <v/>
      </c>
      <c r="HT71" s="218" t="str">
        <f t="shared" si="422"/>
        <v/>
      </c>
      <c r="HU71" s="218" t="str">
        <f t="shared" ref="HU71:HU84" si="444">IF(AND(NOT($M71=""),NOT($C71="")),$M71,"")</f>
        <v/>
      </c>
      <c r="HV71" s="218" t="str">
        <f t="shared" si="423"/>
        <v/>
      </c>
      <c r="HW71" s="218" t="str">
        <f t="shared" si="424"/>
        <v/>
      </c>
      <c r="HX71" s="218" t="str">
        <f t="shared" si="425"/>
        <v/>
      </c>
      <c r="HY71" s="218" t="str">
        <f t="shared" ref="HY71:HY84" si="445">IF(AND(NOT($D71=""),NOT($M71="")),$D71,"")</f>
        <v/>
      </c>
      <c r="HZ71" s="218" t="str">
        <f t="shared" si="426"/>
        <v/>
      </c>
      <c r="IA71" s="218" t="str">
        <f t="shared" si="427"/>
        <v/>
      </c>
      <c r="IB71" s="218" t="str">
        <f t="shared" ref="IB71:IB84" si="446">IF(AND(NOT($E71=""),NOT($M71="")),$E71,"")</f>
        <v/>
      </c>
      <c r="IC71" s="218" t="str">
        <f t="shared" si="428"/>
        <v/>
      </c>
      <c r="ID71" s="218" t="str">
        <f t="shared" si="429"/>
        <v/>
      </c>
      <c r="IE71" s="218" t="str">
        <f t="shared" ref="IE71:IE84" si="447">IF(AND(NOT($F71=""),NOT($M71="")),$F71,"")</f>
        <v/>
      </c>
      <c r="IF71" s="218" t="str">
        <f t="shared" si="430"/>
        <v/>
      </c>
      <c r="IG71" s="218" t="str">
        <f t="shared" si="431"/>
        <v/>
      </c>
      <c r="IH71" s="218" t="str">
        <f t="shared" ref="IH71:IH84" si="448">IF(AND(NOT($G71=""),NOT($M71="")),$G71,"")</f>
        <v/>
      </c>
      <c r="II71" s="218" t="str">
        <f t="shared" si="432"/>
        <v/>
      </c>
      <c r="IJ71" s="218" t="str">
        <f t="shared" si="433"/>
        <v/>
      </c>
      <c r="IK71" s="218" t="str">
        <f t="shared" ref="IK71:IK84" si="449">IF(AND(NOT($H71=""),NOT($M71="")),$H71,"")</f>
        <v/>
      </c>
      <c r="IL71" s="218" t="str">
        <f t="shared" si="434"/>
        <v/>
      </c>
      <c r="IM71" s="218" t="str">
        <f t="shared" si="435"/>
        <v/>
      </c>
      <c r="IN71" s="218" t="str">
        <f t="shared" ref="IN71:IN84" si="450">IF(AND(NOT($I71=""),NOT($M71="")),$I71,"")</f>
        <v/>
      </c>
      <c r="IO71" s="218" t="str">
        <f t="shared" si="436"/>
        <v/>
      </c>
      <c r="IP71" s="218" t="str">
        <f t="shared" si="437"/>
        <v/>
      </c>
      <c r="IQ71" s="218" t="str">
        <f t="shared" ref="IQ71:IQ84" si="451">IF(AND(NOT($J71=""),NOT($M71="")),$J71,"")</f>
        <v/>
      </c>
      <c r="IR71" s="218" t="str">
        <f t="shared" si="438"/>
        <v/>
      </c>
      <c r="IS71" s="218" t="str">
        <f t="shared" si="439"/>
        <v/>
      </c>
      <c r="IT71" s="218" t="str">
        <f t="shared" ref="IT71:IT84" si="452">IF(AND(NOT($K71=""),NOT($M71="")),$K71,"")</f>
        <v/>
      </c>
      <c r="IU71" s="218" t="str">
        <f t="shared" si="440"/>
        <v/>
      </c>
    </row>
    <row r="72" spans="1:255" x14ac:dyDescent="0.2">
      <c r="A72" s="200" t="s">
        <v>75</v>
      </c>
      <c r="B72" s="178"/>
      <c r="C72" s="180"/>
      <c r="D72" s="181"/>
      <c r="E72" s="181"/>
      <c r="F72" s="181"/>
      <c r="G72" s="181"/>
      <c r="H72" s="181"/>
      <c r="I72" s="181"/>
      <c r="J72" s="181"/>
      <c r="K72" s="183"/>
      <c r="L72" s="217" t="str">
        <f t="shared" si="441"/>
        <v/>
      </c>
      <c r="M72" s="218" t="str">
        <f>'HKG vs. BK'!M72</f>
        <v/>
      </c>
      <c r="N72" s="218" t="str">
        <f>'HKG vs. BK'!N72</f>
        <v/>
      </c>
      <c r="O72" s="218" t="str">
        <f>'HKG vs. BK'!O72</f>
        <v/>
      </c>
      <c r="P72" s="218" t="str">
        <f>'HKG vs. BK'!P72</f>
        <v/>
      </c>
      <c r="Q72" s="219" t="str">
        <f t="shared" si="227"/>
        <v/>
      </c>
      <c r="R72" s="220" t="str">
        <f t="shared" si="228"/>
        <v/>
      </c>
      <c r="S72" s="220" t="str">
        <f t="shared" si="229"/>
        <v/>
      </c>
      <c r="T72" s="219" t="str">
        <f t="shared" si="230"/>
        <v/>
      </c>
      <c r="U72" s="220" t="str">
        <f t="shared" si="231"/>
        <v/>
      </c>
      <c r="V72" s="220" t="str">
        <f t="shared" si="232"/>
        <v/>
      </c>
      <c r="W72" s="219" t="str">
        <f t="shared" si="233"/>
        <v/>
      </c>
      <c r="X72" s="220" t="str">
        <f t="shared" si="234"/>
        <v/>
      </c>
      <c r="Y72" s="220" t="str">
        <f t="shared" si="235"/>
        <v/>
      </c>
      <c r="Z72" s="219" t="str">
        <f t="shared" si="236"/>
        <v/>
      </c>
      <c r="AA72" s="220" t="str">
        <f t="shared" si="237"/>
        <v/>
      </c>
      <c r="AB72" s="220" t="str">
        <f t="shared" si="238"/>
        <v/>
      </c>
      <c r="AC72" s="219" t="str">
        <f t="shared" si="239"/>
        <v/>
      </c>
      <c r="AD72" s="220" t="str">
        <f t="shared" si="240"/>
        <v/>
      </c>
      <c r="AE72" s="220" t="str">
        <f t="shared" si="241"/>
        <v/>
      </c>
      <c r="AF72" s="219" t="str">
        <f t="shared" si="242"/>
        <v/>
      </c>
      <c r="AG72" s="220" t="str">
        <f t="shared" si="243"/>
        <v/>
      </c>
      <c r="AH72" s="220" t="str">
        <f t="shared" si="244"/>
        <v/>
      </c>
      <c r="AI72" s="219" t="str">
        <f t="shared" si="245"/>
        <v/>
      </c>
      <c r="AJ72" s="220" t="str">
        <f t="shared" si="246"/>
        <v/>
      </c>
      <c r="AK72" s="220" t="str">
        <f t="shared" si="247"/>
        <v/>
      </c>
      <c r="AL72" s="219" t="str">
        <f t="shared" si="248"/>
        <v/>
      </c>
      <c r="AM72" s="220" t="str">
        <f t="shared" si="249"/>
        <v/>
      </c>
      <c r="AN72" s="220" t="str">
        <f t="shared" si="250"/>
        <v/>
      </c>
      <c r="AO72" s="219" t="str">
        <f t="shared" si="251"/>
        <v/>
      </c>
      <c r="AP72" s="220" t="str">
        <f t="shared" si="252"/>
        <v/>
      </c>
      <c r="AQ72" s="220" t="str">
        <f t="shared" si="253"/>
        <v/>
      </c>
      <c r="AR72" s="219" t="str">
        <f t="shared" si="254"/>
        <v/>
      </c>
      <c r="AS72" s="220" t="str">
        <f t="shared" si="255"/>
        <v/>
      </c>
      <c r="AT72" s="220" t="str">
        <f t="shared" si="256"/>
        <v/>
      </c>
      <c r="AU72" s="221"/>
      <c r="AV72" s="221"/>
      <c r="AW72" s="221"/>
      <c r="AY72" s="218" t="str">
        <f t="shared" si="257"/>
        <v/>
      </c>
      <c r="AZ72" s="218" t="str">
        <f t="shared" si="258"/>
        <v/>
      </c>
      <c r="BA72" s="218" t="str">
        <f t="shared" si="259"/>
        <v/>
      </c>
      <c r="BB72" s="218" t="str">
        <f t="shared" si="260"/>
        <v/>
      </c>
      <c r="BC72" s="218" t="str">
        <f t="shared" si="261"/>
        <v/>
      </c>
      <c r="BD72" s="218" t="str">
        <f t="shared" si="262"/>
        <v/>
      </c>
      <c r="BE72" s="218" t="str">
        <f t="shared" si="263"/>
        <v/>
      </c>
      <c r="BF72" s="218" t="str">
        <f t="shared" si="264"/>
        <v/>
      </c>
      <c r="BG72" s="218" t="str">
        <f t="shared" si="265"/>
        <v/>
      </c>
      <c r="BH72" s="218" t="str">
        <f t="shared" si="266"/>
        <v/>
      </c>
      <c r="BI72" s="218" t="str">
        <f t="shared" si="267"/>
        <v/>
      </c>
      <c r="BJ72" s="218" t="str">
        <f t="shared" si="268"/>
        <v/>
      </c>
      <c r="BK72" s="218" t="str">
        <f t="shared" si="269"/>
        <v/>
      </c>
      <c r="BL72" s="218" t="str">
        <f t="shared" si="270"/>
        <v/>
      </c>
      <c r="BM72" s="218" t="str">
        <f t="shared" si="271"/>
        <v/>
      </c>
      <c r="BN72" s="218" t="str">
        <f t="shared" si="272"/>
        <v/>
      </c>
      <c r="BO72" s="218" t="str">
        <f t="shared" si="273"/>
        <v/>
      </c>
      <c r="BP72" s="218" t="str">
        <f t="shared" si="274"/>
        <v/>
      </c>
      <c r="BQ72" s="218" t="str">
        <f t="shared" si="275"/>
        <v/>
      </c>
      <c r="BR72" s="218" t="str">
        <f t="shared" si="276"/>
        <v/>
      </c>
      <c r="BS72" s="218" t="str">
        <f t="shared" si="277"/>
        <v/>
      </c>
      <c r="BT72" s="218" t="str">
        <f t="shared" si="278"/>
        <v/>
      </c>
      <c r="BU72" s="218" t="str">
        <f t="shared" si="279"/>
        <v/>
      </c>
      <c r="BV72" s="218" t="str">
        <f t="shared" si="280"/>
        <v/>
      </c>
      <c r="BW72" s="218" t="str">
        <f t="shared" si="281"/>
        <v/>
      </c>
      <c r="BX72" s="218" t="str">
        <f t="shared" si="282"/>
        <v/>
      </c>
      <c r="BY72" s="218" t="str">
        <f t="shared" si="283"/>
        <v/>
      </c>
      <c r="BZ72" s="218" t="str">
        <f t="shared" si="284"/>
        <v/>
      </c>
      <c r="CA72" s="218" t="str">
        <f t="shared" si="285"/>
        <v/>
      </c>
      <c r="CB72" s="218" t="str">
        <f t="shared" si="286"/>
        <v/>
      </c>
      <c r="CD72" s="218" t="str">
        <f t="shared" si="287"/>
        <v/>
      </c>
      <c r="CE72" s="218" t="str">
        <f t="shared" si="288"/>
        <v/>
      </c>
      <c r="CF72" s="218" t="str">
        <f t="shared" si="289"/>
        <v/>
      </c>
      <c r="CG72" s="218" t="str">
        <f t="shared" si="290"/>
        <v/>
      </c>
      <c r="CH72" s="218" t="str">
        <f t="shared" si="291"/>
        <v/>
      </c>
      <c r="CI72" s="218" t="str">
        <f t="shared" si="292"/>
        <v/>
      </c>
      <c r="CJ72" s="218" t="str">
        <f t="shared" si="293"/>
        <v/>
      </c>
      <c r="CK72" s="218" t="str">
        <f t="shared" si="294"/>
        <v/>
      </c>
      <c r="CL72" s="218" t="str">
        <f t="shared" si="295"/>
        <v/>
      </c>
      <c r="CM72" s="218" t="str">
        <f t="shared" si="296"/>
        <v/>
      </c>
      <c r="CN72" s="218" t="str">
        <f t="shared" si="297"/>
        <v/>
      </c>
      <c r="CO72" s="218" t="str">
        <f t="shared" si="298"/>
        <v/>
      </c>
      <c r="CP72" s="218" t="str">
        <f t="shared" si="299"/>
        <v/>
      </c>
      <c r="CQ72" s="218" t="str">
        <f t="shared" si="300"/>
        <v/>
      </c>
      <c r="CR72" s="218" t="str">
        <f t="shared" si="301"/>
        <v/>
      </c>
      <c r="CS72" s="218" t="str">
        <f t="shared" si="302"/>
        <v/>
      </c>
      <c r="CT72" s="218" t="str">
        <f t="shared" si="303"/>
        <v/>
      </c>
      <c r="CU72" s="218" t="str">
        <f t="shared" si="304"/>
        <v/>
      </c>
      <c r="CV72" s="218" t="str">
        <f t="shared" si="305"/>
        <v/>
      </c>
      <c r="CW72" s="218" t="str">
        <f t="shared" si="306"/>
        <v/>
      </c>
      <c r="CX72" s="218" t="str">
        <f t="shared" si="307"/>
        <v/>
      </c>
      <c r="CY72" s="218" t="str">
        <f t="shared" si="308"/>
        <v/>
      </c>
      <c r="CZ72" s="218" t="str">
        <f t="shared" si="309"/>
        <v/>
      </c>
      <c r="DA72" s="218" t="str">
        <f t="shared" si="310"/>
        <v/>
      </c>
      <c r="DB72" s="218" t="str">
        <f t="shared" si="442"/>
        <v/>
      </c>
      <c r="DC72" s="218" t="str">
        <f t="shared" si="311"/>
        <v/>
      </c>
      <c r="DD72" s="218" t="str">
        <f t="shared" si="312"/>
        <v/>
      </c>
      <c r="DF72" s="218" t="str">
        <f t="shared" si="313"/>
        <v/>
      </c>
      <c r="DG72" s="218" t="str">
        <f t="shared" si="314"/>
        <v/>
      </c>
      <c r="DH72" s="218" t="str">
        <f t="shared" si="315"/>
        <v/>
      </c>
      <c r="DI72" s="218" t="str">
        <f t="shared" si="316"/>
        <v/>
      </c>
      <c r="DJ72" s="218" t="str">
        <f t="shared" si="317"/>
        <v/>
      </c>
      <c r="DK72" s="218" t="str">
        <f t="shared" si="318"/>
        <v/>
      </c>
      <c r="DL72" s="218" t="str">
        <f t="shared" si="319"/>
        <v/>
      </c>
      <c r="DM72" s="218" t="str">
        <f t="shared" si="320"/>
        <v/>
      </c>
      <c r="DN72" s="218" t="str">
        <f t="shared" si="321"/>
        <v/>
      </c>
      <c r="DO72" s="218" t="str">
        <f t="shared" si="322"/>
        <v/>
      </c>
      <c r="DP72" s="218" t="str">
        <f t="shared" si="323"/>
        <v/>
      </c>
      <c r="DQ72" s="218" t="str">
        <f t="shared" si="324"/>
        <v/>
      </c>
      <c r="DR72" s="218" t="str">
        <f t="shared" si="325"/>
        <v/>
      </c>
      <c r="DS72" s="218" t="str">
        <f t="shared" si="326"/>
        <v/>
      </c>
      <c r="DT72" s="218" t="str">
        <f t="shared" si="327"/>
        <v/>
      </c>
      <c r="DU72" s="218" t="str">
        <f t="shared" si="328"/>
        <v/>
      </c>
      <c r="DV72" s="218" t="str">
        <f t="shared" si="329"/>
        <v/>
      </c>
      <c r="DW72" s="218" t="str">
        <f t="shared" si="330"/>
        <v/>
      </c>
      <c r="DX72" s="218" t="str">
        <f t="shared" si="331"/>
        <v/>
      </c>
      <c r="DY72" s="218" t="str">
        <f t="shared" si="332"/>
        <v/>
      </c>
      <c r="DZ72" s="218" t="str">
        <f t="shared" si="333"/>
        <v/>
      </c>
      <c r="EA72" s="218" t="str">
        <f t="shared" si="334"/>
        <v/>
      </c>
      <c r="EB72" s="218" t="str">
        <f t="shared" si="335"/>
        <v/>
      </c>
      <c r="EC72" s="218" t="str">
        <f t="shared" si="336"/>
        <v/>
      </c>
      <c r="EE72" s="218" t="str">
        <f t="shared" si="337"/>
        <v/>
      </c>
      <c r="EF72" s="218" t="str">
        <f t="shared" si="338"/>
        <v/>
      </c>
      <c r="EG72" s="218" t="str">
        <f t="shared" si="339"/>
        <v/>
      </c>
      <c r="EH72" s="218" t="str">
        <f t="shared" si="340"/>
        <v/>
      </c>
      <c r="EI72" s="218" t="str">
        <f t="shared" si="341"/>
        <v/>
      </c>
      <c r="EJ72" s="218" t="str">
        <f t="shared" si="342"/>
        <v/>
      </c>
      <c r="EK72" s="218" t="str">
        <f t="shared" si="343"/>
        <v/>
      </c>
      <c r="EL72" s="218" t="str">
        <f t="shared" si="344"/>
        <v/>
      </c>
      <c r="EM72" s="218" t="str">
        <f t="shared" si="345"/>
        <v/>
      </c>
      <c r="EN72" s="218" t="str">
        <f t="shared" si="346"/>
        <v/>
      </c>
      <c r="EO72" s="218" t="str">
        <f t="shared" si="347"/>
        <v/>
      </c>
      <c r="EP72" s="218" t="str">
        <f t="shared" si="348"/>
        <v/>
      </c>
      <c r="EQ72" s="218" t="str">
        <f t="shared" si="349"/>
        <v/>
      </c>
      <c r="ER72" s="218" t="str">
        <f t="shared" si="350"/>
        <v/>
      </c>
      <c r="ES72" s="218" t="str">
        <f t="shared" si="351"/>
        <v/>
      </c>
      <c r="ET72" s="218" t="str">
        <f t="shared" si="352"/>
        <v/>
      </c>
      <c r="EU72" s="218" t="str">
        <f t="shared" si="353"/>
        <v/>
      </c>
      <c r="EV72" s="218" t="str">
        <f t="shared" si="354"/>
        <v/>
      </c>
      <c r="EW72" s="218" t="str">
        <f t="shared" si="355"/>
        <v/>
      </c>
      <c r="EX72" s="218" t="str">
        <f t="shared" si="356"/>
        <v/>
      </c>
      <c r="EY72" s="218" t="str">
        <f t="shared" si="357"/>
        <v/>
      </c>
      <c r="FA72" s="218" t="str">
        <f t="shared" si="358"/>
        <v/>
      </c>
      <c r="FB72" s="218" t="str">
        <f t="shared" si="359"/>
        <v/>
      </c>
      <c r="FC72" s="218" t="str">
        <f t="shared" si="360"/>
        <v/>
      </c>
      <c r="FD72" s="218" t="str">
        <f t="shared" si="361"/>
        <v/>
      </c>
      <c r="FE72" s="218" t="str">
        <f t="shared" si="362"/>
        <v/>
      </c>
      <c r="FF72" s="218" t="str">
        <f t="shared" si="363"/>
        <v/>
      </c>
      <c r="FG72" s="218" t="str">
        <f t="shared" si="364"/>
        <v/>
      </c>
      <c r="FH72" s="218" t="str">
        <f t="shared" si="365"/>
        <v/>
      </c>
      <c r="FI72" s="218" t="str">
        <f t="shared" si="366"/>
        <v/>
      </c>
      <c r="FJ72" s="218" t="str">
        <f t="shared" si="367"/>
        <v/>
      </c>
      <c r="FK72" s="218" t="str">
        <f t="shared" si="368"/>
        <v/>
      </c>
      <c r="FL72" s="218" t="str">
        <f t="shared" si="369"/>
        <v/>
      </c>
      <c r="FM72" s="218" t="str">
        <f t="shared" si="370"/>
        <v/>
      </c>
      <c r="FN72" s="218" t="str">
        <f t="shared" si="371"/>
        <v/>
      </c>
      <c r="FO72" s="218" t="str">
        <f t="shared" si="372"/>
        <v/>
      </c>
      <c r="FP72" s="218" t="str">
        <f t="shared" si="373"/>
        <v/>
      </c>
      <c r="FQ72" s="218" t="str">
        <f t="shared" si="374"/>
        <v/>
      </c>
      <c r="FR72" s="218" t="str">
        <f t="shared" si="375"/>
        <v/>
      </c>
      <c r="FT72" s="218" t="str">
        <f t="shared" si="376"/>
        <v/>
      </c>
      <c r="FU72" s="218" t="str">
        <f t="shared" si="377"/>
        <v/>
      </c>
      <c r="FV72" s="218" t="str">
        <f t="shared" si="378"/>
        <v/>
      </c>
      <c r="FW72" s="218" t="str">
        <f t="shared" si="379"/>
        <v/>
      </c>
      <c r="FX72" s="218" t="str">
        <f t="shared" si="380"/>
        <v/>
      </c>
      <c r="FY72" s="218" t="str">
        <f t="shared" si="381"/>
        <v/>
      </c>
      <c r="FZ72" s="218" t="str">
        <f t="shared" si="382"/>
        <v/>
      </c>
      <c r="GA72" s="218" t="str">
        <f t="shared" si="383"/>
        <v/>
      </c>
      <c r="GB72" s="218" t="str">
        <f t="shared" si="384"/>
        <v/>
      </c>
      <c r="GC72" s="218" t="str">
        <f t="shared" si="385"/>
        <v/>
      </c>
      <c r="GD72" s="218" t="str">
        <f t="shared" si="386"/>
        <v/>
      </c>
      <c r="GE72" s="218" t="str">
        <f t="shared" si="387"/>
        <v/>
      </c>
      <c r="GF72" s="218" t="str">
        <f t="shared" si="388"/>
        <v/>
      </c>
      <c r="GG72" s="218" t="str">
        <f t="shared" si="389"/>
        <v/>
      </c>
      <c r="GH72" s="218" t="str">
        <f t="shared" si="390"/>
        <v/>
      </c>
      <c r="GJ72" s="218" t="str">
        <f t="shared" si="391"/>
        <v/>
      </c>
      <c r="GK72" s="218" t="str">
        <f t="shared" si="392"/>
        <v/>
      </c>
      <c r="GL72" s="218" t="str">
        <f t="shared" si="393"/>
        <v/>
      </c>
      <c r="GM72" s="218" t="str">
        <f t="shared" si="394"/>
        <v/>
      </c>
      <c r="GN72" s="218" t="str">
        <f t="shared" si="395"/>
        <v/>
      </c>
      <c r="GO72" s="218" t="str">
        <f t="shared" si="396"/>
        <v/>
      </c>
      <c r="GP72" s="218" t="str">
        <f t="shared" si="397"/>
        <v/>
      </c>
      <c r="GQ72" s="218" t="str">
        <f t="shared" si="398"/>
        <v/>
      </c>
      <c r="GR72" s="218" t="str">
        <f t="shared" si="399"/>
        <v/>
      </c>
      <c r="GS72" s="218" t="str">
        <f t="shared" si="400"/>
        <v/>
      </c>
      <c r="GT72" s="218" t="str">
        <f t="shared" si="401"/>
        <v/>
      </c>
      <c r="GU72" s="218" t="str">
        <f t="shared" si="402"/>
        <v/>
      </c>
      <c r="GW72" s="218" t="str">
        <f t="shared" si="403"/>
        <v/>
      </c>
      <c r="GX72" s="218" t="str">
        <f t="shared" si="404"/>
        <v/>
      </c>
      <c r="GY72" s="218" t="str">
        <f t="shared" si="405"/>
        <v/>
      </c>
      <c r="GZ72" s="218" t="str">
        <f t="shared" si="406"/>
        <v/>
      </c>
      <c r="HA72" s="218" t="str">
        <f t="shared" si="407"/>
        <v/>
      </c>
      <c r="HB72" s="218" t="str">
        <f t="shared" si="408"/>
        <v/>
      </c>
      <c r="HC72" s="218" t="str">
        <f t="shared" si="409"/>
        <v/>
      </c>
      <c r="HD72" s="218" t="str">
        <f t="shared" si="410"/>
        <v/>
      </c>
      <c r="HE72" s="218" t="str">
        <f t="shared" si="411"/>
        <v/>
      </c>
      <c r="HG72" s="218" t="str">
        <f t="shared" si="412"/>
        <v/>
      </c>
      <c r="HH72" s="218" t="str">
        <f t="shared" si="413"/>
        <v/>
      </c>
      <c r="HI72" s="218" t="str">
        <f t="shared" si="414"/>
        <v/>
      </c>
      <c r="HJ72" s="218" t="str">
        <f t="shared" si="415"/>
        <v/>
      </c>
      <c r="HK72" s="218" t="str">
        <f t="shared" si="416"/>
        <v/>
      </c>
      <c r="HL72" s="218" t="str">
        <f t="shared" si="417"/>
        <v/>
      </c>
      <c r="HN72" s="218" t="str">
        <f t="shared" si="418"/>
        <v/>
      </c>
      <c r="HO72" s="218" t="str">
        <f t="shared" si="419"/>
        <v/>
      </c>
      <c r="HP72" s="218" t="str">
        <f t="shared" si="420"/>
        <v/>
      </c>
      <c r="HR72" s="218" t="str">
        <f t="shared" si="421"/>
        <v/>
      </c>
      <c r="HS72" s="218" t="str">
        <f t="shared" si="443"/>
        <v/>
      </c>
      <c r="HT72" s="218" t="str">
        <f t="shared" si="422"/>
        <v/>
      </c>
      <c r="HU72" s="218" t="str">
        <f t="shared" si="444"/>
        <v/>
      </c>
      <c r="HV72" s="218" t="str">
        <f t="shared" si="423"/>
        <v/>
      </c>
      <c r="HW72" s="218" t="str">
        <f t="shared" si="424"/>
        <v/>
      </c>
      <c r="HX72" s="218" t="str">
        <f t="shared" si="425"/>
        <v/>
      </c>
      <c r="HY72" s="218" t="str">
        <f t="shared" si="445"/>
        <v/>
      </c>
      <c r="HZ72" s="218" t="str">
        <f t="shared" si="426"/>
        <v/>
      </c>
      <c r="IA72" s="218" t="str">
        <f t="shared" si="427"/>
        <v/>
      </c>
      <c r="IB72" s="218" t="str">
        <f t="shared" si="446"/>
        <v/>
      </c>
      <c r="IC72" s="218" t="str">
        <f t="shared" si="428"/>
        <v/>
      </c>
      <c r="ID72" s="218" t="str">
        <f t="shared" si="429"/>
        <v/>
      </c>
      <c r="IE72" s="218" t="str">
        <f t="shared" si="447"/>
        <v/>
      </c>
      <c r="IF72" s="218" t="str">
        <f t="shared" si="430"/>
        <v/>
      </c>
      <c r="IG72" s="218" t="str">
        <f t="shared" si="431"/>
        <v/>
      </c>
      <c r="IH72" s="218" t="str">
        <f t="shared" si="448"/>
        <v/>
      </c>
      <c r="II72" s="218" t="str">
        <f t="shared" si="432"/>
        <v/>
      </c>
      <c r="IJ72" s="218" t="str">
        <f t="shared" si="433"/>
        <v/>
      </c>
      <c r="IK72" s="218" t="str">
        <f t="shared" si="449"/>
        <v/>
      </c>
      <c r="IL72" s="218" t="str">
        <f t="shared" si="434"/>
        <v/>
      </c>
      <c r="IM72" s="218" t="str">
        <f t="shared" si="435"/>
        <v/>
      </c>
      <c r="IN72" s="218" t="str">
        <f t="shared" si="450"/>
        <v/>
      </c>
      <c r="IO72" s="218" t="str">
        <f t="shared" si="436"/>
        <v/>
      </c>
      <c r="IP72" s="218" t="str">
        <f t="shared" si="437"/>
        <v/>
      </c>
      <c r="IQ72" s="218" t="str">
        <f t="shared" si="451"/>
        <v/>
      </c>
      <c r="IR72" s="218" t="str">
        <f t="shared" si="438"/>
        <v/>
      </c>
      <c r="IS72" s="218" t="str">
        <f t="shared" si="439"/>
        <v/>
      </c>
      <c r="IT72" s="218" t="str">
        <f t="shared" si="452"/>
        <v/>
      </c>
      <c r="IU72" s="218" t="str">
        <f t="shared" si="440"/>
        <v/>
      </c>
    </row>
    <row r="73" spans="1:255" x14ac:dyDescent="0.2">
      <c r="A73" s="200" t="s">
        <v>76</v>
      </c>
      <c r="B73" s="178"/>
      <c r="C73" s="180"/>
      <c r="D73" s="181"/>
      <c r="E73" s="181"/>
      <c r="F73" s="181"/>
      <c r="G73" s="181"/>
      <c r="H73" s="181"/>
      <c r="I73" s="181"/>
      <c r="J73" s="181"/>
      <c r="K73" s="183"/>
      <c r="L73" s="217" t="str">
        <f t="shared" si="441"/>
        <v/>
      </c>
      <c r="M73" s="218" t="str">
        <f>'HKG vs. BK'!M73</f>
        <v/>
      </c>
      <c r="N73" s="218" t="str">
        <f>'HKG vs. BK'!N73</f>
        <v/>
      </c>
      <c r="O73" s="218" t="str">
        <f>'HKG vs. BK'!O73</f>
        <v/>
      </c>
      <c r="P73" s="218" t="str">
        <f>'HKG vs. BK'!P73</f>
        <v/>
      </c>
      <c r="Q73" s="219" t="str">
        <f t="shared" si="227"/>
        <v/>
      </c>
      <c r="R73" s="220" t="str">
        <f t="shared" si="228"/>
        <v/>
      </c>
      <c r="S73" s="220" t="str">
        <f t="shared" si="229"/>
        <v/>
      </c>
      <c r="T73" s="219" t="str">
        <f t="shared" si="230"/>
        <v/>
      </c>
      <c r="U73" s="220" t="str">
        <f t="shared" si="231"/>
        <v/>
      </c>
      <c r="V73" s="220" t="str">
        <f t="shared" si="232"/>
        <v/>
      </c>
      <c r="W73" s="219" t="str">
        <f t="shared" si="233"/>
        <v/>
      </c>
      <c r="X73" s="220" t="str">
        <f t="shared" si="234"/>
        <v/>
      </c>
      <c r="Y73" s="220" t="str">
        <f t="shared" si="235"/>
        <v/>
      </c>
      <c r="Z73" s="219" t="str">
        <f t="shared" si="236"/>
        <v/>
      </c>
      <c r="AA73" s="220" t="str">
        <f t="shared" si="237"/>
        <v/>
      </c>
      <c r="AB73" s="220" t="str">
        <f t="shared" si="238"/>
        <v/>
      </c>
      <c r="AC73" s="219" t="str">
        <f t="shared" si="239"/>
        <v/>
      </c>
      <c r="AD73" s="220" t="str">
        <f t="shared" si="240"/>
        <v/>
      </c>
      <c r="AE73" s="220" t="str">
        <f t="shared" si="241"/>
        <v/>
      </c>
      <c r="AF73" s="219" t="str">
        <f t="shared" si="242"/>
        <v/>
      </c>
      <c r="AG73" s="220" t="str">
        <f t="shared" si="243"/>
        <v/>
      </c>
      <c r="AH73" s="220" t="str">
        <f t="shared" si="244"/>
        <v/>
      </c>
      <c r="AI73" s="219" t="str">
        <f t="shared" si="245"/>
        <v/>
      </c>
      <c r="AJ73" s="220" t="str">
        <f t="shared" si="246"/>
        <v/>
      </c>
      <c r="AK73" s="220" t="str">
        <f t="shared" si="247"/>
        <v/>
      </c>
      <c r="AL73" s="219" t="str">
        <f t="shared" si="248"/>
        <v/>
      </c>
      <c r="AM73" s="220" t="str">
        <f t="shared" si="249"/>
        <v/>
      </c>
      <c r="AN73" s="220" t="str">
        <f t="shared" si="250"/>
        <v/>
      </c>
      <c r="AO73" s="219" t="str">
        <f t="shared" si="251"/>
        <v/>
      </c>
      <c r="AP73" s="220" t="str">
        <f t="shared" si="252"/>
        <v/>
      </c>
      <c r="AQ73" s="220" t="str">
        <f t="shared" si="253"/>
        <v/>
      </c>
      <c r="AR73" s="219" t="str">
        <f t="shared" si="254"/>
        <v/>
      </c>
      <c r="AS73" s="220" t="str">
        <f t="shared" si="255"/>
        <v/>
      </c>
      <c r="AT73" s="220" t="str">
        <f t="shared" si="256"/>
        <v/>
      </c>
      <c r="AU73" s="221"/>
      <c r="AV73" s="221"/>
      <c r="AW73" s="221"/>
      <c r="AY73" s="218" t="str">
        <f t="shared" si="257"/>
        <v/>
      </c>
      <c r="AZ73" s="218" t="str">
        <f t="shared" si="258"/>
        <v/>
      </c>
      <c r="BA73" s="218" t="str">
        <f t="shared" si="259"/>
        <v/>
      </c>
      <c r="BB73" s="218" t="str">
        <f t="shared" si="260"/>
        <v/>
      </c>
      <c r="BC73" s="218" t="str">
        <f t="shared" si="261"/>
        <v/>
      </c>
      <c r="BD73" s="218" t="str">
        <f t="shared" si="262"/>
        <v/>
      </c>
      <c r="BE73" s="218" t="str">
        <f t="shared" si="263"/>
        <v/>
      </c>
      <c r="BF73" s="218" t="str">
        <f t="shared" si="264"/>
        <v/>
      </c>
      <c r="BG73" s="218" t="str">
        <f t="shared" si="265"/>
        <v/>
      </c>
      <c r="BH73" s="218" t="str">
        <f t="shared" si="266"/>
        <v/>
      </c>
      <c r="BI73" s="218" t="str">
        <f t="shared" si="267"/>
        <v/>
      </c>
      <c r="BJ73" s="218" t="str">
        <f t="shared" si="268"/>
        <v/>
      </c>
      <c r="BK73" s="218" t="str">
        <f t="shared" si="269"/>
        <v/>
      </c>
      <c r="BL73" s="218" t="str">
        <f t="shared" si="270"/>
        <v/>
      </c>
      <c r="BM73" s="218" t="str">
        <f t="shared" si="271"/>
        <v/>
      </c>
      <c r="BN73" s="218" t="str">
        <f t="shared" si="272"/>
        <v/>
      </c>
      <c r="BO73" s="218" t="str">
        <f t="shared" si="273"/>
        <v/>
      </c>
      <c r="BP73" s="218" t="str">
        <f t="shared" si="274"/>
        <v/>
      </c>
      <c r="BQ73" s="218" t="str">
        <f t="shared" si="275"/>
        <v/>
      </c>
      <c r="BR73" s="218" t="str">
        <f t="shared" si="276"/>
        <v/>
      </c>
      <c r="BS73" s="218" t="str">
        <f t="shared" si="277"/>
        <v/>
      </c>
      <c r="BT73" s="218" t="str">
        <f t="shared" si="278"/>
        <v/>
      </c>
      <c r="BU73" s="218" t="str">
        <f t="shared" si="279"/>
        <v/>
      </c>
      <c r="BV73" s="218" t="str">
        <f t="shared" si="280"/>
        <v/>
      </c>
      <c r="BW73" s="218" t="str">
        <f t="shared" si="281"/>
        <v/>
      </c>
      <c r="BX73" s="218" t="str">
        <f t="shared" si="282"/>
        <v/>
      </c>
      <c r="BY73" s="218" t="str">
        <f t="shared" si="283"/>
        <v/>
      </c>
      <c r="BZ73" s="218" t="str">
        <f t="shared" si="284"/>
        <v/>
      </c>
      <c r="CA73" s="218" t="str">
        <f t="shared" si="285"/>
        <v/>
      </c>
      <c r="CB73" s="218" t="str">
        <f t="shared" si="286"/>
        <v/>
      </c>
      <c r="CD73" s="218" t="str">
        <f t="shared" si="287"/>
        <v/>
      </c>
      <c r="CE73" s="218" t="str">
        <f t="shared" si="288"/>
        <v/>
      </c>
      <c r="CF73" s="218" t="str">
        <f t="shared" si="289"/>
        <v/>
      </c>
      <c r="CG73" s="218" t="str">
        <f t="shared" si="290"/>
        <v/>
      </c>
      <c r="CH73" s="218" t="str">
        <f t="shared" si="291"/>
        <v/>
      </c>
      <c r="CI73" s="218" t="str">
        <f t="shared" si="292"/>
        <v/>
      </c>
      <c r="CJ73" s="218" t="str">
        <f t="shared" si="293"/>
        <v/>
      </c>
      <c r="CK73" s="218" t="str">
        <f t="shared" si="294"/>
        <v/>
      </c>
      <c r="CL73" s="218" t="str">
        <f t="shared" si="295"/>
        <v/>
      </c>
      <c r="CM73" s="218" t="str">
        <f t="shared" si="296"/>
        <v/>
      </c>
      <c r="CN73" s="218" t="str">
        <f t="shared" si="297"/>
        <v/>
      </c>
      <c r="CO73" s="218" t="str">
        <f t="shared" si="298"/>
        <v/>
      </c>
      <c r="CP73" s="218" t="str">
        <f t="shared" si="299"/>
        <v/>
      </c>
      <c r="CQ73" s="218" t="str">
        <f t="shared" si="300"/>
        <v/>
      </c>
      <c r="CR73" s="218" t="str">
        <f t="shared" si="301"/>
        <v/>
      </c>
      <c r="CS73" s="218" t="str">
        <f t="shared" si="302"/>
        <v/>
      </c>
      <c r="CT73" s="218" t="str">
        <f t="shared" si="303"/>
        <v/>
      </c>
      <c r="CU73" s="218" t="str">
        <f t="shared" si="304"/>
        <v/>
      </c>
      <c r="CV73" s="218" t="str">
        <f t="shared" si="305"/>
        <v/>
      </c>
      <c r="CW73" s="218" t="str">
        <f t="shared" si="306"/>
        <v/>
      </c>
      <c r="CX73" s="218" t="str">
        <f t="shared" si="307"/>
        <v/>
      </c>
      <c r="CY73" s="218" t="str">
        <f t="shared" si="308"/>
        <v/>
      </c>
      <c r="CZ73" s="218" t="str">
        <f t="shared" si="309"/>
        <v/>
      </c>
      <c r="DA73" s="218" t="str">
        <f t="shared" si="310"/>
        <v/>
      </c>
      <c r="DB73" s="218" t="str">
        <f t="shared" si="442"/>
        <v/>
      </c>
      <c r="DC73" s="218" t="str">
        <f t="shared" si="311"/>
        <v/>
      </c>
      <c r="DD73" s="218" t="str">
        <f t="shared" si="312"/>
        <v/>
      </c>
      <c r="DF73" s="218" t="str">
        <f t="shared" si="313"/>
        <v/>
      </c>
      <c r="DG73" s="218" t="str">
        <f t="shared" si="314"/>
        <v/>
      </c>
      <c r="DH73" s="218" t="str">
        <f t="shared" si="315"/>
        <v/>
      </c>
      <c r="DI73" s="218" t="str">
        <f t="shared" si="316"/>
        <v/>
      </c>
      <c r="DJ73" s="218" t="str">
        <f t="shared" si="317"/>
        <v/>
      </c>
      <c r="DK73" s="218" t="str">
        <f t="shared" si="318"/>
        <v/>
      </c>
      <c r="DL73" s="218" t="str">
        <f t="shared" si="319"/>
        <v/>
      </c>
      <c r="DM73" s="218" t="str">
        <f t="shared" si="320"/>
        <v/>
      </c>
      <c r="DN73" s="218" t="str">
        <f t="shared" si="321"/>
        <v/>
      </c>
      <c r="DO73" s="218" t="str">
        <f t="shared" si="322"/>
        <v/>
      </c>
      <c r="DP73" s="218" t="str">
        <f t="shared" si="323"/>
        <v/>
      </c>
      <c r="DQ73" s="218" t="str">
        <f t="shared" si="324"/>
        <v/>
      </c>
      <c r="DR73" s="218" t="str">
        <f t="shared" si="325"/>
        <v/>
      </c>
      <c r="DS73" s="218" t="str">
        <f t="shared" si="326"/>
        <v/>
      </c>
      <c r="DT73" s="218" t="str">
        <f t="shared" si="327"/>
        <v/>
      </c>
      <c r="DU73" s="218" t="str">
        <f t="shared" si="328"/>
        <v/>
      </c>
      <c r="DV73" s="218" t="str">
        <f t="shared" si="329"/>
        <v/>
      </c>
      <c r="DW73" s="218" t="str">
        <f t="shared" si="330"/>
        <v/>
      </c>
      <c r="DX73" s="218" t="str">
        <f t="shared" si="331"/>
        <v/>
      </c>
      <c r="DY73" s="218" t="str">
        <f t="shared" si="332"/>
        <v/>
      </c>
      <c r="DZ73" s="218" t="str">
        <f t="shared" si="333"/>
        <v/>
      </c>
      <c r="EA73" s="218" t="str">
        <f t="shared" si="334"/>
        <v/>
      </c>
      <c r="EB73" s="218" t="str">
        <f t="shared" si="335"/>
        <v/>
      </c>
      <c r="EC73" s="218" t="str">
        <f t="shared" si="336"/>
        <v/>
      </c>
      <c r="EE73" s="218" t="str">
        <f t="shared" si="337"/>
        <v/>
      </c>
      <c r="EF73" s="218" t="str">
        <f t="shared" si="338"/>
        <v/>
      </c>
      <c r="EG73" s="218" t="str">
        <f t="shared" si="339"/>
        <v/>
      </c>
      <c r="EH73" s="218" t="str">
        <f t="shared" si="340"/>
        <v/>
      </c>
      <c r="EI73" s="218" t="str">
        <f t="shared" si="341"/>
        <v/>
      </c>
      <c r="EJ73" s="218" t="str">
        <f t="shared" si="342"/>
        <v/>
      </c>
      <c r="EK73" s="218" t="str">
        <f t="shared" si="343"/>
        <v/>
      </c>
      <c r="EL73" s="218" t="str">
        <f t="shared" si="344"/>
        <v/>
      </c>
      <c r="EM73" s="218" t="str">
        <f t="shared" si="345"/>
        <v/>
      </c>
      <c r="EN73" s="218" t="str">
        <f t="shared" si="346"/>
        <v/>
      </c>
      <c r="EO73" s="218" t="str">
        <f t="shared" si="347"/>
        <v/>
      </c>
      <c r="EP73" s="218" t="str">
        <f t="shared" si="348"/>
        <v/>
      </c>
      <c r="EQ73" s="218" t="str">
        <f t="shared" si="349"/>
        <v/>
      </c>
      <c r="ER73" s="218" t="str">
        <f t="shared" si="350"/>
        <v/>
      </c>
      <c r="ES73" s="218" t="str">
        <f t="shared" si="351"/>
        <v/>
      </c>
      <c r="ET73" s="218" t="str">
        <f t="shared" si="352"/>
        <v/>
      </c>
      <c r="EU73" s="218" t="str">
        <f t="shared" si="353"/>
        <v/>
      </c>
      <c r="EV73" s="218" t="str">
        <f t="shared" si="354"/>
        <v/>
      </c>
      <c r="EW73" s="218" t="str">
        <f t="shared" si="355"/>
        <v/>
      </c>
      <c r="EX73" s="218" t="str">
        <f t="shared" si="356"/>
        <v/>
      </c>
      <c r="EY73" s="218" t="str">
        <f t="shared" si="357"/>
        <v/>
      </c>
      <c r="FA73" s="218" t="str">
        <f t="shared" si="358"/>
        <v/>
      </c>
      <c r="FB73" s="218" t="str">
        <f t="shared" si="359"/>
        <v/>
      </c>
      <c r="FC73" s="218" t="str">
        <f t="shared" si="360"/>
        <v/>
      </c>
      <c r="FD73" s="218" t="str">
        <f t="shared" si="361"/>
        <v/>
      </c>
      <c r="FE73" s="218" t="str">
        <f t="shared" si="362"/>
        <v/>
      </c>
      <c r="FF73" s="218" t="str">
        <f t="shared" si="363"/>
        <v/>
      </c>
      <c r="FG73" s="218" t="str">
        <f t="shared" si="364"/>
        <v/>
      </c>
      <c r="FH73" s="218" t="str">
        <f t="shared" si="365"/>
        <v/>
      </c>
      <c r="FI73" s="218" t="str">
        <f t="shared" si="366"/>
        <v/>
      </c>
      <c r="FJ73" s="218" t="str">
        <f t="shared" si="367"/>
        <v/>
      </c>
      <c r="FK73" s="218" t="str">
        <f t="shared" si="368"/>
        <v/>
      </c>
      <c r="FL73" s="218" t="str">
        <f t="shared" si="369"/>
        <v/>
      </c>
      <c r="FM73" s="218" t="str">
        <f t="shared" si="370"/>
        <v/>
      </c>
      <c r="FN73" s="218" t="str">
        <f t="shared" si="371"/>
        <v/>
      </c>
      <c r="FO73" s="218" t="str">
        <f t="shared" si="372"/>
        <v/>
      </c>
      <c r="FP73" s="218" t="str">
        <f t="shared" si="373"/>
        <v/>
      </c>
      <c r="FQ73" s="218" t="str">
        <f t="shared" si="374"/>
        <v/>
      </c>
      <c r="FR73" s="218" t="str">
        <f t="shared" si="375"/>
        <v/>
      </c>
      <c r="FT73" s="218" t="str">
        <f t="shared" si="376"/>
        <v/>
      </c>
      <c r="FU73" s="218" t="str">
        <f t="shared" si="377"/>
        <v/>
      </c>
      <c r="FV73" s="218" t="str">
        <f t="shared" si="378"/>
        <v/>
      </c>
      <c r="FW73" s="218" t="str">
        <f t="shared" si="379"/>
        <v/>
      </c>
      <c r="FX73" s="218" t="str">
        <f t="shared" si="380"/>
        <v/>
      </c>
      <c r="FY73" s="218" t="str">
        <f t="shared" si="381"/>
        <v/>
      </c>
      <c r="FZ73" s="218" t="str">
        <f t="shared" si="382"/>
        <v/>
      </c>
      <c r="GA73" s="218" t="str">
        <f t="shared" si="383"/>
        <v/>
      </c>
      <c r="GB73" s="218" t="str">
        <f t="shared" si="384"/>
        <v/>
      </c>
      <c r="GC73" s="218" t="str">
        <f t="shared" si="385"/>
        <v/>
      </c>
      <c r="GD73" s="218" t="str">
        <f t="shared" si="386"/>
        <v/>
      </c>
      <c r="GE73" s="218" t="str">
        <f t="shared" si="387"/>
        <v/>
      </c>
      <c r="GF73" s="218" t="str">
        <f t="shared" si="388"/>
        <v/>
      </c>
      <c r="GG73" s="218" t="str">
        <f t="shared" si="389"/>
        <v/>
      </c>
      <c r="GH73" s="218" t="str">
        <f t="shared" si="390"/>
        <v/>
      </c>
      <c r="GJ73" s="218" t="str">
        <f t="shared" si="391"/>
        <v/>
      </c>
      <c r="GK73" s="218" t="str">
        <f t="shared" si="392"/>
        <v/>
      </c>
      <c r="GL73" s="218" t="str">
        <f t="shared" si="393"/>
        <v/>
      </c>
      <c r="GM73" s="218" t="str">
        <f t="shared" si="394"/>
        <v/>
      </c>
      <c r="GN73" s="218" t="str">
        <f t="shared" si="395"/>
        <v/>
      </c>
      <c r="GO73" s="218" t="str">
        <f t="shared" si="396"/>
        <v/>
      </c>
      <c r="GP73" s="218" t="str">
        <f t="shared" si="397"/>
        <v/>
      </c>
      <c r="GQ73" s="218" t="str">
        <f t="shared" si="398"/>
        <v/>
      </c>
      <c r="GR73" s="218" t="str">
        <f t="shared" si="399"/>
        <v/>
      </c>
      <c r="GS73" s="218" t="str">
        <f t="shared" si="400"/>
        <v/>
      </c>
      <c r="GT73" s="218" t="str">
        <f t="shared" si="401"/>
        <v/>
      </c>
      <c r="GU73" s="218" t="str">
        <f t="shared" si="402"/>
        <v/>
      </c>
      <c r="GW73" s="218" t="str">
        <f t="shared" si="403"/>
        <v/>
      </c>
      <c r="GX73" s="218" t="str">
        <f t="shared" si="404"/>
        <v/>
      </c>
      <c r="GY73" s="218" t="str">
        <f t="shared" si="405"/>
        <v/>
      </c>
      <c r="GZ73" s="218" t="str">
        <f t="shared" si="406"/>
        <v/>
      </c>
      <c r="HA73" s="218" t="str">
        <f t="shared" si="407"/>
        <v/>
      </c>
      <c r="HB73" s="218" t="str">
        <f t="shared" si="408"/>
        <v/>
      </c>
      <c r="HC73" s="218" t="str">
        <f t="shared" si="409"/>
        <v/>
      </c>
      <c r="HD73" s="218" t="str">
        <f t="shared" si="410"/>
        <v/>
      </c>
      <c r="HE73" s="218" t="str">
        <f t="shared" si="411"/>
        <v/>
      </c>
      <c r="HG73" s="218" t="str">
        <f t="shared" si="412"/>
        <v/>
      </c>
      <c r="HH73" s="218" t="str">
        <f t="shared" si="413"/>
        <v/>
      </c>
      <c r="HI73" s="218" t="str">
        <f t="shared" si="414"/>
        <v/>
      </c>
      <c r="HJ73" s="218" t="str">
        <f t="shared" si="415"/>
        <v/>
      </c>
      <c r="HK73" s="218" t="str">
        <f t="shared" si="416"/>
        <v/>
      </c>
      <c r="HL73" s="218" t="str">
        <f t="shared" si="417"/>
        <v/>
      </c>
      <c r="HN73" s="218" t="str">
        <f t="shared" si="418"/>
        <v/>
      </c>
      <c r="HO73" s="218" t="str">
        <f t="shared" si="419"/>
        <v/>
      </c>
      <c r="HP73" s="218" t="str">
        <f t="shared" si="420"/>
        <v/>
      </c>
      <c r="HR73" s="218" t="str">
        <f t="shared" si="421"/>
        <v/>
      </c>
      <c r="HS73" s="218" t="str">
        <f t="shared" si="443"/>
        <v/>
      </c>
      <c r="HT73" s="218" t="str">
        <f t="shared" si="422"/>
        <v/>
      </c>
      <c r="HU73" s="218" t="str">
        <f t="shared" si="444"/>
        <v/>
      </c>
      <c r="HV73" s="218" t="str">
        <f t="shared" si="423"/>
        <v/>
      </c>
      <c r="HW73" s="218" t="str">
        <f t="shared" si="424"/>
        <v/>
      </c>
      <c r="HX73" s="218" t="str">
        <f t="shared" si="425"/>
        <v/>
      </c>
      <c r="HY73" s="218" t="str">
        <f t="shared" si="445"/>
        <v/>
      </c>
      <c r="HZ73" s="218" t="str">
        <f t="shared" si="426"/>
        <v/>
      </c>
      <c r="IA73" s="218" t="str">
        <f t="shared" si="427"/>
        <v/>
      </c>
      <c r="IB73" s="218" t="str">
        <f t="shared" si="446"/>
        <v/>
      </c>
      <c r="IC73" s="218" t="str">
        <f t="shared" si="428"/>
        <v/>
      </c>
      <c r="ID73" s="218" t="str">
        <f t="shared" si="429"/>
        <v/>
      </c>
      <c r="IE73" s="218" t="str">
        <f t="shared" si="447"/>
        <v/>
      </c>
      <c r="IF73" s="218" t="str">
        <f t="shared" si="430"/>
        <v/>
      </c>
      <c r="IG73" s="218" t="str">
        <f t="shared" si="431"/>
        <v/>
      </c>
      <c r="IH73" s="218" t="str">
        <f t="shared" si="448"/>
        <v/>
      </c>
      <c r="II73" s="218" t="str">
        <f t="shared" si="432"/>
        <v/>
      </c>
      <c r="IJ73" s="218" t="str">
        <f t="shared" si="433"/>
        <v/>
      </c>
      <c r="IK73" s="218" t="str">
        <f t="shared" si="449"/>
        <v/>
      </c>
      <c r="IL73" s="218" t="str">
        <f t="shared" si="434"/>
        <v/>
      </c>
      <c r="IM73" s="218" t="str">
        <f t="shared" si="435"/>
        <v/>
      </c>
      <c r="IN73" s="218" t="str">
        <f t="shared" si="450"/>
        <v/>
      </c>
      <c r="IO73" s="218" t="str">
        <f t="shared" si="436"/>
        <v/>
      </c>
      <c r="IP73" s="218" t="str">
        <f t="shared" si="437"/>
        <v/>
      </c>
      <c r="IQ73" s="218" t="str">
        <f t="shared" si="451"/>
        <v/>
      </c>
      <c r="IR73" s="218" t="str">
        <f t="shared" si="438"/>
        <v/>
      </c>
      <c r="IS73" s="218" t="str">
        <f t="shared" si="439"/>
        <v/>
      </c>
      <c r="IT73" s="218" t="str">
        <f t="shared" si="452"/>
        <v/>
      </c>
      <c r="IU73" s="218" t="str">
        <f t="shared" si="440"/>
        <v/>
      </c>
    </row>
    <row r="74" spans="1:255" x14ac:dyDescent="0.2">
      <c r="A74" s="200" t="s">
        <v>77</v>
      </c>
      <c r="B74" s="178"/>
      <c r="C74" s="180"/>
      <c r="D74" s="181"/>
      <c r="E74" s="181"/>
      <c r="F74" s="181"/>
      <c r="G74" s="181"/>
      <c r="H74" s="181"/>
      <c r="I74" s="181"/>
      <c r="J74" s="181"/>
      <c r="K74" s="183"/>
      <c r="L74" s="217" t="str">
        <f t="shared" si="441"/>
        <v/>
      </c>
      <c r="M74" s="218" t="str">
        <f>'HKG vs. BK'!M74</f>
        <v/>
      </c>
      <c r="N74" s="218" t="str">
        <f>'HKG vs. BK'!N74</f>
        <v/>
      </c>
      <c r="O74" s="218" t="str">
        <f>'HKG vs. BK'!O74</f>
        <v/>
      </c>
      <c r="P74" s="218" t="str">
        <f>'HKG vs. BK'!P74</f>
        <v/>
      </c>
      <c r="Q74" s="219" t="str">
        <f t="shared" si="227"/>
        <v/>
      </c>
      <c r="R74" s="220" t="str">
        <f t="shared" si="228"/>
        <v/>
      </c>
      <c r="S74" s="220" t="str">
        <f t="shared" si="229"/>
        <v/>
      </c>
      <c r="T74" s="219" t="str">
        <f t="shared" si="230"/>
        <v/>
      </c>
      <c r="U74" s="220" t="str">
        <f t="shared" si="231"/>
        <v/>
      </c>
      <c r="V74" s="220" t="str">
        <f t="shared" si="232"/>
        <v/>
      </c>
      <c r="W74" s="219" t="str">
        <f t="shared" si="233"/>
        <v/>
      </c>
      <c r="X74" s="220" t="str">
        <f t="shared" si="234"/>
        <v/>
      </c>
      <c r="Y74" s="220" t="str">
        <f t="shared" si="235"/>
        <v/>
      </c>
      <c r="Z74" s="219" t="str">
        <f t="shared" si="236"/>
        <v/>
      </c>
      <c r="AA74" s="220" t="str">
        <f t="shared" si="237"/>
        <v/>
      </c>
      <c r="AB74" s="220" t="str">
        <f t="shared" si="238"/>
        <v/>
      </c>
      <c r="AC74" s="219" t="str">
        <f t="shared" si="239"/>
        <v/>
      </c>
      <c r="AD74" s="220" t="str">
        <f t="shared" si="240"/>
        <v/>
      </c>
      <c r="AE74" s="220" t="str">
        <f t="shared" si="241"/>
        <v/>
      </c>
      <c r="AF74" s="219" t="str">
        <f t="shared" si="242"/>
        <v/>
      </c>
      <c r="AG74" s="220" t="str">
        <f t="shared" si="243"/>
        <v/>
      </c>
      <c r="AH74" s="220" t="str">
        <f t="shared" si="244"/>
        <v/>
      </c>
      <c r="AI74" s="219" t="str">
        <f t="shared" si="245"/>
        <v/>
      </c>
      <c r="AJ74" s="220" t="str">
        <f t="shared" si="246"/>
        <v/>
      </c>
      <c r="AK74" s="220" t="str">
        <f t="shared" si="247"/>
        <v/>
      </c>
      <c r="AL74" s="219" t="str">
        <f t="shared" si="248"/>
        <v/>
      </c>
      <c r="AM74" s="220" t="str">
        <f t="shared" si="249"/>
        <v/>
      </c>
      <c r="AN74" s="220" t="str">
        <f t="shared" si="250"/>
        <v/>
      </c>
      <c r="AO74" s="219" t="str">
        <f t="shared" si="251"/>
        <v/>
      </c>
      <c r="AP74" s="220" t="str">
        <f t="shared" si="252"/>
        <v/>
      </c>
      <c r="AQ74" s="220" t="str">
        <f t="shared" si="253"/>
        <v/>
      </c>
      <c r="AR74" s="219" t="str">
        <f t="shared" si="254"/>
        <v/>
      </c>
      <c r="AS74" s="220" t="str">
        <f t="shared" si="255"/>
        <v/>
      </c>
      <c r="AT74" s="220" t="str">
        <f t="shared" si="256"/>
        <v/>
      </c>
      <c r="AU74" s="221"/>
      <c r="AV74" s="221"/>
      <c r="AW74" s="221"/>
      <c r="AY74" s="218" t="str">
        <f t="shared" si="257"/>
        <v/>
      </c>
      <c r="AZ74" s="218" t="str">
        <f t="shared" si="258"/>
        <v/>
      </c>
      <c r="BA74" s="218" t="str">
        <f t="shared" si="259"/>
        <v/>
      </c>
      <c r="BB74" s="218" t="str">
        <f t="shared" si="260"/>
        <v/>
      </c>
      <c r="BC74" s="218" t="str">
        <f t="shared" si="261"/>
        <v/>
      </c>
      <c r="BD74" s="218" t="str">
        <f t="shared" si="262"/>
        <v/>
      </c>
      <c r="BE74" s="218" t="str">
        <f t="shared" si="263"/>
        <v/>
      </c>
      <c r="BF74" s="218" t="str">
        <f t="shared" si="264"/>
        <v/>
      </c>
      <c r="BG74" s="218" t="str">
        <f t="shared" si="265"/>
        <v/>
      </c>
      <c r="BH74" s="218" t="str">
        <f t="shared" si="266"/>
        <v/>
      </c>
      <c r="BI74" s="218" t="str">
        <f t="shared" si="267"/>
        <v/>
      </c>
      <c r="BJ74" s="218" t="str">
        <f t="shared" si="268"/>
        <v/>
      </c>
      <c r="BK74" s="218" t="str">
        <f t="shared" si="269"/>
        <v/>
      </c>
      <c r="BL74" s="218" t="str">
        <f t="shared" si="270"/>
        <v/>
      </c>
      <c r="BM74" s="218" t="str">
        <f t="shared" si="271"/>
        <v/>
      </c>
      <c r="BN74" s="218" t="str">
        <f t="shared" si="272"/>
        <v/>
      </c>
      <c r="BO74" s="218" t="str">
        <f t="shared" si="273"/>
        <v/>
      </c>
      <c r="BP74" s="218" t="str">
        <f t="shared" si="274"/>
        <v/>
      </c>
      <c r="BQ74" s="218" t="str">
        <f t="shared" si="275"/>
        <v/>
      </c>
      <c r="BR74" s="218" t="str">
        <f t="shared" si="276"/>
        <v/>
      </c>
      <c r="BS74" s="218" t="str">
        <f t="shared" si="277"/>
        <v/>
      </c>
      <c r="BT74" s="218" t="str">
        <f t="shared" si="278"/>
        <v/>
      </c>
      <c r="BU74" s="218" t="str">
        <f t="shared" si="279"/>
        <v/>
      </c>
      <c r="BV74" s="218" t="str">
        <f t="shared" si="280"/>
        <v/>
      </c>
      <c r="BW74" s="218" t="str">
        <f t="shared" si="281"/>
        <v/>
      </c>
      <c r="BX74" s="218" t="str">
        <f t="shared" si="282"/>
        <v/>
      </c>
      <c r="BY74" s="218" t="str">
        <f t="shared" si="283"/>
        <v/>
      </c>
      <c r="BZ74" s="218" t="str">
        <f t="shared" si="284"/>
        <v/>
      </c>
      <c r="CA74" s="218" t="str">
        <f t="shared" si="285"/>
        <v/>
      </c>
      <c r="CB74" s="218" t="str">
        <f t="shared" si="286"/>
        <v/>
      </c>
      <c r="CD74" s="218" t="str">
        <f t="shared" si="287"/>
        <v/>
      </c>
      <c r="CE74" s="218" t="str">
        <f t="shared" si="288"/>
        <v/>
      </c>
      <c r="CF74" s="218" t="str">
        <f t="shared" si="289"/>
        <v/>
      </c>
      <c r="CG74" s="218" t="str">
        <f t="shared" si="290"/>
        <v/>
      </c>
      <c r="CH74" s="218" t="str">
        <f t="shared" si="291"/>
        <v/>
      </c>
      <c r="CI74" s="218" t="str">
        <f t="shared" si="292"/>
        <v/>
      </c>
      <c r="CJ74" s="218" t="str">
        <f t="shared" si="293"/>
        <v/>
      </c>
      <c r="CK74" s="218" t="str">
        <f t="shared" si="294"/>
        <v/>
      </c>
      <c r="CL74" s="218" t="str">
        <f t="shared" si="295"/>
        <v/>
      </c>
      <c r="CM74" s="218" t="str">
        <f t="shared" si="296"/>
        <v/>
      </c>
      <c r="CN74" s="218" t="str">
        <f t="shared" si="297"/>
        <v/>
      </c>
      <c r="CO74" s="218" t="str">
        <f t="shared" si="298"/>
        <v/>
      </c>
      <c r="CP74" s="218" t="str">
        <f t="shared" si="299"/>
        <v/>
      </c>
      <c r="CQ74" s="218" t="str">
        <f t="shared" si="300"/>
        <v/>
      </c>
      <c r="CR74" s="218" t="str">
        <f t="shared" si="301"/>
        <v/>
      </c>
      <c r="CS74" s="218" t="str">
        <f t="shared" si="302"/>
        <v/>
      </c>
      <c r="CT74" s="218" t="str">
        <f t="shared" si="303"/>
        <v/>
      </c>
      <c r="CU74" s="218" t="str">
        <f t="shared" si="304"/>
        <v/>
      </c>
      <c r="CV74" s="218" t="str">
        <f t="shared" si="305"/>
        <v/>
      </c>
      <c r="CW74" s="218" t="str">
        <f t="shared" si="306"/>
        <v/>
      </c>
      <c r="CX74" s="218" t="str">
        <f t="shared" si="307"/>
        <v/>
      </c>
      <c r="CY74" s="218" t="str">
        <f t="shared" si="308"/>
        <v/>
      </c>
      <c r="CZ74" s="218" t="str">
        <f t="shared" si="309"/>
        <v/>
      </c>
      <c r="DA74" s="218" t="str">
        <f t="shared" si="310"/>
        <v/>
      </c>
      <c r="DB74" s="218" t="str">
        <f t="shared" si="442"/>
        <v/>
      </c>
      <c r="DC74" s="218" t="str">
        <f t="shared" si="311"/>
        <v/>
      </c>
      <c r="DD74" s="218" t="str">
        <f t="shared" si="312"/>
        <v/>
      </c>
      <c r="DF74" s="218" t="str">
        <f t="shared" si="313"/>
        <v/>
      </c>
      <c r="DG74" s="218" t="str">
        <f t="shared" si="314"/>
        <v/>
      </c>
      <c r="DH74" s="218" t="str">
        <f t="shared" si="315"/>
        <v/>
      </c>
      <c r="DI74" s="218" t="str">
        <f t="shared" si="316"/>
        <v/>
      </c>
      <c r="DJ74" s="218" t="str">
        <f t="shared" si="317"/>
        <v/>
      </c>
      <c r="DK74" s="218" t="str">
        <f t="shared" si="318"/>
        <v/>
      </c>
      <c r="DL74" s="218" t="str">
        <f t="shared" si="319"/>
        <v/>
      </c>
      <c r="DM74" s="218" t="str">
        <f t="shared" si="320"/>
        <v/>
      </c>
      <c r="DN74" s="218" t="str">
        <f t="shared" si="321"/>
        <v/>
      </c>
      <c r="DO74" s="218" t="str">
        <f t="shared" si="322"/>
        <v/>
      </c>
      <c r="DP74" s="218" t="str">
        <f t="shared" si="323"/>
        <v/>
      </c>
      <c r="DQ74" s="218" t="str">
        <f t="shared" si="324"/>
        <v/>
      </c>
      <c r="DR74" s="218" t="str">
        <f t="shared" si="325"/>
        <v/>
      </c>
      <c r="DS74" s="218" t="str">
        <f t="shared" si="326"/>
        <v/>
      </c>
      <c r="DT74" s="218" t="str">
        <f t="shared" si="327"/>
        <v/>
      </c>
      <c r="DU74" s="218" t="str">
        <f t="shared" si="328"/>
        <v/>
      </c>
      <c r="DV74" s="218" t="str">
        <f t="shared" si="329"/>
        <v/>
      </c>
      <c r="DW74" s="218" t="str">
        <f t="shared" si="330"/>
        <v/>
      </c>
      <c r="DX74" s="218" t="str">
        <f t="shared" si="331"/>
        <v/>
      </c>
      <c r="DY74" s="218" t="str">
        <f t="shared" si="332"/>
        <v/>
      </c>
      <c r="DZ74" s="218" t="str">
        <f t="shared" si="333"/>
        <v/>
      </c>
      <c r="EA74" s="218" t="str">
        <f t="shared" si="334"/>
        <v/>
      </c>
      <c r="EB74" s="218" t="str">
        <f t="shared" si="335"/>
        <v/>
      </c>
      <c r="EC74" s="218" t="str">
        <f t="shared" si="336"/>
        <v/>
      </c>
      <c r="EE74" s="218" t="str">
        <f t="shared" si="337"/>
        <v/>
      </c>
      <c r="EF74" s="218" t="str">
        <f t="shared" si="338"/>
        <v/>
      </c>
      <c r="EG74" s="218" t="str">
        <f t="shared" si="339"/>
        <v/>
      </c>
      <c r="EH74" s="218" t="str">
        <f t="shared" si="340"/>
        <v/>
      </c>
      <c r="EI74" s="218" t="str">
        <f t="shared" si="341"/>
        <v/>
      </c>
      <c r="EJ74" s="218" t="str">
        <f t="shared" si="342"/>
        <v/>
      </c>
      <c r="EK74" s="218" t="str">
        <f t="shared" si="343"/>
        <v/>
      </c>
      <c r="EL74" s="218" t="str">
        <f t="shared" si="344"/>
        <v/>
      </c>
      <c r="EM74" s="218" t="str">
        <f t="shared" si="345"/>
        <v/>
      </c>
      <c r="EN74" s="218" t="str">
        <f t="shared" si="346"/>
        <v/>
      </c>
      <c r="EO74" s="218" t="str">
        <f t="shared" si="347"/>
        <v/>
      </c>
      <c r="EP74" s="218" t="str">
        <f t="shared" si="348"/>
        <v/>
      </c>
      <c r="EQ74" s="218" t="str">
        <f t="shared" si="349"/>
        <v/>
      </c>
      <c r="ER74" s="218" t="str">
        <f t="shared" si="350"/>
        <v/>
      </c>
      <c r="ES74" s="218" t="str">
        <f t="shared" si="351"/>
        <v/>
      </c>
      <c r="ET74" s="218" t="str">
        <f t="shared" si="352"/>
        <v/>
      </c>
      <c r="EU74" s="218" t="str">
        <f t="shared" si="353"/>
        <v/>
      </c>
      <c r="EV74" s="218" t="str">
        <f t="shared" si="354"/>
        <v/>
      </c>
      <c r="EW74" s="218" t="str">
        <f t="shared" si="355"/>
        <v/>
      </c>
      <c r="EX74" s="218" t="str">
        <f t="shared" si="356"/>
        <v/>
      </c>
      <c r="EY74" s="218" t="str">
        <f t="shared" si="357"/>
        <v/>
      </c>
      <c r="FA74" s="218" t="str">
        <f t="shared" si="358"/>
        <v/>
      </c>
      <c r="FB74" s="218" t="str">
        <f t="shared" si="359"/>
        <v/>
      </c>
      <c r="FC74" s="218" t="str">
        <f t="shared" si="360"/>
        <v/>
      </c>
      <c r="FD74" s="218" t="str">
        <f t="shared" si="361"/>
        <v/>
      </c>
      <c r="FE74" s="218" t="str">
        <f t="shared" si="362"/>
        <v/>
      </c>
      <c r="FF74" s="218" t="str">
        <f t="shared" si="363"/>
        <v/>
      </c>
      <c r="FG74" s="218" t="str">
        <f t="shared" si="364"/>
        <v/>
      </c>
      <c r="FH74" s="218" t="str">
        <f t="shared" si="365"/>
        <v/>
      </c>
      <c r="FI74" s="218" t="str">
        <f t="shared" si="366"/>
        <v/>
      </c>
      <c r="FJ74" s="218" t="str">
        <f t="shared" si="367"/>
        <v/>
      </c>
      <c r="FK74" s="218" t="str">
        <f t="shared" si="368"/>
        <v/>
      </c>
      <c r="FL74" s="218" t="str">
        <f t="shared" si="369"/>
        <v/>
      </c>
      <c r="FM74" s="218" t="str">
        <f t="shared" si="370"/>
        <v/>
      </c>
      <c r="FN74" s="218" t="str">
        <f t="shared" si="371"/>
        <v/>
      </c>
      <c r="FO74" s="218" t="str">
        <f t="shared" si="372"/>
        <v/>
      </c>
      <c r="FP74" s="218" t="str">
        <f t="shared" si="373"/>
        <v/>
      </c>
      <c r="FQ74" s="218" t="str">
        <f t="shared" si="374"/>
        <v/>
      </c>
      <c r="FR74" s="218" t="str">
        <f t="shared" si="375"/>
        <v/>
      </c>
      <c r="FT74" s="218" t="str">
        <f t="shared" si="376"/>
        <v/>
      </c>
      <c r="FU74" s="218" t="str">
        <f t="shared" si="377"/>
        <v/>
      </c>
      <c r="FV74" s="218" t="str">
        <f t="shared" si="378"/>
        <v/>
      </c>
      <c r="FW74" s="218" t="str">
        <f t="shared" si="379"/>
        <v/>
      </c>
      <c r="FX74" s="218" t="str">
        <f t="shared" si="380"/>
        <v/>
      </c>
      <c r="FY74" s="218" t="str">
        <f t="shared" si="381"/>
        <v/>
      </c>
      <c r="FZ74" s="218" t="str">
        <f t="shared" si="382"/>
        <v/>
      </c>
      <c r="GA74" s="218" t="str">
        <f t="shared" si="383"/>
        <v/>
      </c>
      <c r="GB74" s="218" t="str">
        <f t="shared" si="384"/>
        <v/>
      </c>
      <c r="GC74" s="218" t="str">
        <f t="shared" si="385"/>
        <v/>
      </c>
      <c r="GD74" s="218" t="str">
        <f t="shared" si="386"/>
        <v/>
      </c>
      <c r="GE74" s="218" t="str">
        <f t="shared" si="387"/>
        <v/>
      </c>
      <c r="GF74" s="218" t="str">
        <f t="shared" si="388"/>
        <v/>
      </c>
      <c r="GG74" s="218" t="str">
        <f t="shared" si="389"/>
        <v/>
      </c>
      <c r="GH74" s="218" t="str">
        <f t="shared" si="390"/>
        <v/>
      </c>
      <c r="GJ74" s="218" t="str">
        <f t="shared" si="391"/>
        <v/>
      </c>
      <c r="GK74" s="218" t="str">
        <f t="shared" si="392"/>
        <v/>
      </c>
      <c r="GL74" s="218" t="str">
        <f t="shared" si="393"/>
        <v/>
      </c>
      <c r="GM74" s="218" t="str">
        <f t="shared" si="394"/>
        <v/>
      </c>
      <c r="GN74" s="218" t="str">
        <f t="shared" si="395"/>
        <v/>
      </c>
      <c r="GO74" s="218" t="str">
        <f t="shared" si="396"/>
        <v/>
      </c>
      <c r="GP74" s="218" t="str">
        <f t="shared" si="397"/>
        <v/>
      </c>
      <c r="GQ74" s="218" t="str">
        <f t="shared" si="398"/>
        <v/>
      </c>
      <c r="GR74" s="218" t="str">
        <f t="shared" si="399"/>
        <v/>
      </c>
      <c r="GS74" s="218" t="str">
        <f t="shared" si="400"/>
        <v/>
      </c>
      <c r="GT74" s="218" t="str">
        <f t="shared" si="401"/>
        <v/>
      </c>
      <c r="GU74" s="218" t="str">
        <f t="shared" si="402"/>
        <v/>
      </c>
      <c r="GW74" s="218" t="str">
        <f t="shared" si="403"/>
        <v/>
      </c>
      <c r="GX74" s="218" t="str">
        <f t="shared" si="404"/>
        <v/>
      </c>
      <c r="GY74" s="218" t="str">
        <f t="shared" si="405"/>
        <v/>
      </c>
      <c r="GZ74" s="218" t="str">
        <f t="shared" si="406"/>
        <v/>
      </c>
      <c r="HA74" s="218" t="str">
        <f t="shared" si="407"/>
        <v/>
      </c>
      <c r="HB74" s="218" t="str">
        <f t="shared" si="408"/>
        <v/>
      </c>
      <c r="HC74" s="218" t="str">
        <f t="shared" si="409"/>
        <v/>
      </c>
      <c r="HD74" s="218" t="str">
        <f t="shared" si="410"/>
        <v/>
      </c>
      <c r="HE74" s="218" t="str">
        <f t="shared" si="411"/>
        <v/>
      </c>
      <c r="HG74" s="218" t="str">
        <f t="shared" si="412"/>
        <v/>
      </c>
      <c r="HH74" s="218" t="str">
        <f t="shared" si="413"/>
        <v/>
      </c>
      <c r="HI74" s="218" t="str">
        <f t="shared" si="414"/>
        <v/>
      </c>
      <c r="HJ74" s="218" t="str">
        <f t="shared" si="415"/>
        <v/>
      </c>
      <c r="HK74" s="218" t="str">
        <f t="shared" si="416"/>
        <v/>
      </c>
      <c r="HL74" s="218" t="str">
        <f t="shared" si="417"/>
        <v/>
      </c>
      <c r="HN74" s="218" t="str">
        <f t="shared" si="418"/>
        <v/>
      </c>
      <c r="HO74" s="218" t="str">
        <f t="shared" si="419"/>
        <v/>
      </c>
      <c r="HP74" s="218" t="str">
        <f t="shared" si="420"/>
        <v/>
      </c>
      <c r="HR74" s="218" t="str">
        <f t="shared" si="421"/>
        <v/>
      </c>
      <c r="HS74" s="218" t="str">
        <f t="shared" si="443"/>
        <v/>
      </c>
      <c r="HT74" s="218" t="str">
        <f t="shared" si="422"/>
        <v/>
      </c>
      <c r="HU74" s="218" t="str">
        <f t="shared" si="444"/>
        <v/>
      </c>
      <c r="HV74" s="218" t="str">
        <f t="shared" si="423"/>
        <v/>
      </c>
      <c r="HW74" s="218" t="str">
        <f t="shared" si="424"/>
        <v/>
      </c>
      <c r="HX74" s="218" t="str">
        <f t="shared" si="425"/>
        <v/>
      </c>
      <c r="HY74" s="218" t="str">
        <f t="shared" si="445"/>
        <v/>
      </c>
      <c r="HZ74" s="218" t="str">
        <f t="shared" si="426"/>
        <v/>
      </c>
      <c r="IA74" s="218" t="str">
        <f t="shared" si="427"/>
        <v/>
      </c>
      <c r="IB74" s="218" t="str">
        <f t="shared" si="446"/>
        <v/>
      </c>
      <c r="IC74" s="218" t="str">
        <f t="shared" si="428"/>
        <v/>
      </c>
      <c r="ID74" s="218" t="str">
        <f t="shared" si="429"/>
        <v/>
      </c>
      <c r="IE74" s="218" t="str">
        <f t="shared" si="447"/>
        <v/>
      </c>
      <c r="IF74" s="218" t="str">
        <f t="shared" si="430"/>
        <v/>
      </c>
      <c r="IG74" s="218" t="str">
        <f t="shared" si="431"/>
        <v/>
      </c>
      <c r="IH74" s="218" t="str">
        <f t="shared" si="448"/>
        <v/>
      </c>
      <c r="II74" s="218" t="str">
        <f t="shared" si="432"/>
        <v/>
      </c>
      <c r="IJ74" s="218" t="str">
        <f t="shared" si="433"/>
        <v/>
      </c>
      <c r="IK74" s="218" t="str">
        <f t="shared" si="449"/>
        <v/>
      </c>
      <c r="IL74" s="218" t="str">
        <f t="shared" si="434"/>
        <v/>
      </c>
      <c r="IM74" s="218" t="str">
        <f t="shared" si="435"/>
        <v/>
      </c>
      <c r="IN74" s="218" t="str">
        <f t="shared" si="450"/>
        <v/>
      </c>
      <c r="IO74" s="218" t="str">
        <f t="shared" si="436"/>
        <v/>
      </c>
      <c r="IP74" s="218" t="str">
        <f t="shared" si="437"/>
        <v/>
      </c>
      <c r="IQ74" s="218" t="str">
        <f t="shared" si="451"/>
        <v/>
      </c>
      <c r="IR74" s="218" t="str">
        <f t="shared" si="438"/>
        <v/>
      </c>
      <c r="IS74" s="218" t="str">
        <f t="shared" si="439"/>
        <v/>
      </c>
      <c r="IT74" s="218" t="str">
        <f t="shared" si="452"/>
        <v/>
      </c>
      <c r="IU74" s="218" t="str">
        <f t="shared" si="440"/>
        <v/>
      </c>
    </row>
    <row r="75" spans="1:255" x14ac:dyDescent="0.2">
      <c r="A75" s="200" t="s">
        <v>78</v>
      </c>
      <c r="B75" s="178"/>
      <c r="C75" s="179"/>
      <c r="D75" s="181"/>
      <c r="E75" s="181"/>
      <c r="F75" s="181"/>
      <c r="G75" s="181"/>
      <c r="H75" s="187"/>
      <c r="I75" s="181"/>
      <c r="J75" s="181"/>
      <c r="K75" s="183"/>
      <c r="L75" s="217" t="str">
        <f t="shared" si="441"/>
        <v/>
      </c>
      <c r="M75" s="218" t="str">
        <f>'HKG vs. BK'!M75</f>
        <v/>
      </c>
      <c r="N75" s="218" t="str">
        <f>'HKG vs. BK'!N75</f>
        <v/>
      </c>
      <c r="O75" s="218" t="str">
        <f>'HKG vs. BK'!O75</f>
        <v/>
      </c>
      <c r="P75" s="218" t="str">
        <f>'HKG vs. BK'!P75</f>
        <v/>
      </c>
      <c r="Q75" s="219" t="str">
        <f t="shared" si="227"/>
        <v/>
      </c>
      <c r="R75" s="220" t="str">
        <f t="shared" si="228"/>
        <v/>
      </c>
      <c r="S75" s="220" t="str">
        <f t="shared" si="229"/>
        <v/>
      </c>
      <c r="T75" s="219" t="str">
        <f t="shared" si="230"/>
        <v/>
      </c>
      <c r="U75" s="220" t="str">
        <f t="shared" si="231"/>
        <v/>
      </c>
      <c r="V75" s="220" t="str">
        <f t="shared" si="232"/>
        <v/>
      </c>
      <c r="W75" s="219" t="str">
        <f t="shared" si="233"/>
        <v/>
      </c>
      <c r="X75" s="220" t="str">
        <f t="shared" si="234"/>
        <v/>
      </c>
      <c r="Y75" s="220" t="str">
        <f t="shared" si="235"/>
        <v/>
      </c>
      <c r="Z75" s="219" t="str">
        <f t="shared" si="236"/>
        <v/>
      </c>
      <c r="AA75" s="220" t="str">
        <f t="shared" si="237"/>
        <v/>
      </c>
      <c r="AB75" s="220" t="str">
        <f t="shared" si="238"/>
        <v/>
      </c>
      <c r="AC75" s="219" t="str">
        <f t="shared" si="239"/>
        <v/>
      </c>
      <c r="AD75" s="220" t="str">
        <f t="shared" si="240"/>
        <v/>
      </c>
      <c r="AE75" s="220" t="str">
        <f t="shared" si="241"/>
        <v/>
      </c>
      <c r="AF75" s="219" t="str">
        <f t="shared" si="242"/>
        <v/>
      </c>
      <c r="AG75" s="220" t="str">
        <f t="shared" si="243"/>
        <v/>
      </c>
      <c r="AH75" s="220" t="str">
        <f t="shared" si="244"/>
        <v/>
      </c>
      <c r="AI75" s="219" t="str">
        <f t="shared" si="245"/>
        <v/>
      </c>
      <c r="AJ75" s="220" t="str">
        <f t="shared" si="246"/>
        <v/>
      </c>
      <c r="AK75" s="220" t="str">
        <f t="shared" si="247"/>
        <v/>
      </c>
      <c r="AL75" s="219" t="str">
        <f t="shared" si="248"/>
        <v/>
      </c>
      <c r="AM75" s="220" t="str">
        <f t="shared" si="249"/>
        <v/>
      </c>
      <c r="AN75" s="220" t="str">
        <f t="shared" si="250"/>
        <v/>
      </c>
      <c r="AO75" s="219" t="str">
        <f t="shared" si="251"/>
        <v/>
      </c>
      <c r="AP75" s="220" t="str">
        <f t="shared" si="252"/>
        <v/>
      </c>
      <c r="AQ75" s="220" t="str">
        <f t="shared" si="253"/>
        <v/>
      </c>
      <c r="AR75" s="219" t="str">
        <f t="shared" si="254"/>
        <v/>
      </c>
      <c r="AS75" s="220" t="str">
        <f t="shared" si="255"/>
        <v/>
      </c>
      <c r="AT75" s="220" t="str">
        <f t="shared" si="256"/>
        <v/>
      </c>
      <c r="AU75" s="221"/>
      <c r="AV75" s="221"/>
      <c r="AW75" s="221"/>
      <c r="AY75" s="218" t="str">
        <f t="shared" si="257"/>
        <v/>
      </c>
      <c r="AZ75" s="218" t="str">
        <f t="shared" si="258"/>
        <v/>
      </c>
      <c r="BA75" s="218" t="str">
        <f t="shared" si="259"/>
        <v/>
      </c>
      <c r="BB75" s="218" t="str">
        <f t="shared" si="260"/>
        <v/>
      </c>
      <c r="BC75" s="218" t="str">
        <f t="shared" si="261"/>
        <v/>
      </c>
      <c r="BD75" s="218" t="str">
        <f t="shared" si="262"/>
        <v/>
      </c>
      <c r="BE75" s="218" t="str">
        <f t="shared" si="263"/>
        <v/>
      </c>
      <c r="BF75" s="218" t="str">
        <f t="shared" si="264"/>
        <v/>
      </c>
      <c r="BG75" s="218" t="str">
        <f t="shared" si="265"/>
        <v/>
      </c>
      <c r="BH75" s="218" t="str">
        <f t="shared" si="266"/>
        <v/>
      </c>
      <c r="BI75" s="218" t="str">
        <f t="shared" si="267"/>
        <v/>
      </c>
      <c r="BJ75" s="218" t="str">
        <f t="shared" si="268"/>
        <v/>
      </c>
      <c r="BK75" s="218" t="str">
        <f t="shared" si="269"/>
        <v/>
      </c>
      <c r="BL75" s="218" t="str">
        <f t="shared" si="270"/>
        <v/>
      </c>
      <c r="BM75" s="218" t="str">
        <f t="shared" si="271"/>
        <v/>
      </c>
      <c r="BN75" s="218" t="str">
        <f t="shared" si="272"/>
        <v/>
      </c>
      <c r="BO75" s="218" t="str">
        <f t="shared" si="273"/>
        <v/>
      </c>
      <c r="BP75" s="218" t="str">
        <f t="shared" si="274"/>
        <v/>
      </c>
      <c r="BQ75" s="218" t="str">
        <f t="shared" si="275"/>
        <v/>
      </c>
      <c r="BR75" s="218" t="str">
        <f t="shared" si="276"/>
        <v/>
      </c>
      <c r="BS75" s="218" t="str">
        <f t="shared" si="277"/>
        <v/>
      </c>
      <c r="BT75" s="218" t="str">
        <f t="shared" si="278"/>
        <v/>
      </c>
      <c r="BU75" s="218" t="str">
        <f t="shared" si="279"/>
        <v/>
      </c>
      <c r="BV75" s="218" t="str">
        <f t="shared" si="280"/>
        <v/>
      </c>
      <c r="BW75" s="218" t="str">
        <f t="shared" si="281"/>
        <v/>
      </c>
      <c r="BX75" s="218" t="str">
        <f t="shared" si="282"/>
        <v/>
      </c>
      <c r="BY75" s="218" t="str">
        <f t="shared" si="283"/>
        <v/>
      </c>
      <c r="BZ75" s="218" t="str">
        <f t="shared" si="284"/>
        <v/>
      </c>
      <c r="CA75" s="218" t="str">
        <f t="shared" si="285"/>
        <v/>
      </c>
      <c r="CB75" s="218" t="str">
        <f t="shared" si="286"/>
        <v/>
      </c>
      <c r="CD75" s="218" t="str">
        <f t="shared" si="287"/>
        <v/>
      </c>
      <c r="CE75" s="218" t="str">
        <f t="shared" si="288"/>
        <v/>
      </c>
      <c r="CF75" s="218" t="str">
        <f t="shared" si="289"/>
        <v/>
      </c>
      <c r="CG75" s="218" t="str">
        <f t="shared" si="290"/>
        <v/>
      </c>
      <c r="CH75" s="218" t="str">
        <f t="shared" si="291"/>
        <v/>
      </c>
      <c r="CI75" s="218" t="str">
        <f t="shared" si="292"/>
        <v/>
      </c>
      <c r="CJ75" s="218" t="str">
        <f t="shared" si="293"/>
        <v/>
      </c>
      <c r="CK75" s="218" t="str">
        <f t="shared" si="294"/>
        <v/>
      </c>
      <c r="CL75" s="218" t="str">
        <f t="shared" si="295"/>
        <v/>
      </c>
      <c r="CM75" s="218" t="str">
        <f t="shared" si="296"/>
        <v/>
      </c>
      <c r="CN75" s="218" t="str">
        <f t="shared" si="297"/>
        <v/>
      </c>
      <c r="CO75" s="218" t="str">
        <f t="shared" si="298"/>
        <v/>
      </c>
      <c r="CP75" s="218" t="str">
        <f t="shared" si="299"/>
        <v/>
      </c>
      <c r="CQ75" s="218" t="str">
        <f t="shared" si="300"/>
        <v/>
      </c>
      <c r="CR75" s="218" t="str">
        <f t="shared" si="301"/>
        <v/>
      </c>
      <c r="CS75" s="218" t="str">
        <f t="shared" si="302"/>
        <v/>
      </c>
      <c r="CT75" s="218" t="str">
        <f t="shared" si="303"/>
        <v/>
      </c>
      <c r="CU75" s="218" t="str">
        <f t="shared" si="304"/>
        <v/>
      </c>
      <c r="CV75" s="218" t="str">
        <f t="shared" si="305"/>
        <v/>
      </c>
      <c r="CW75" s="218" t="str">
        <f t="shared" si="306"/>
        <v/>
      </c>
      <c r="CX75" s="218" t="str">
        <f t="shared" si="307"/>
        <v/>
      </c>
      <c r="CY75" s="218" t="str">
        <f t="shared" si="308"/>
        <v/>
      </c>
      <c r="CZ75" s="218" t="str">
        <f t="shared" si="309"/>
        <v/>
      </c>
      <c r="DA75" s="218" t="str">
        <f t="shared" si="310"/>
        <v/>
      </c>
      <c r="DB75" s="218" t="str">
        <f t="shared" si="442"/>
        <v/>
      </c>
      <c r="DC75" s="218" t="str">
        <f t="shared" si="311"/>
        <v/>
      </c>
      <c r="DD75" s="218" t="str">
        <f t="shared" si="312"/>
        <v/>
      </c>
      <c r="DF75" s="218" t="str">
        <f t="shared" si="313"/>
        <v/>
      </c>
      <c r="DG75" s="218" t="str">
        <f t="shared" si="314"/>
        <v/>
      </c>
      <c r="DH75" s="218" t="str">
        <f t="shared" si="315"/>
        <v/>
      </c>
      <c r="DI75" s="218" t="str">
        <f t="shared" si="316"/>
        <v/>
      </c>
      <c r="DJ75" s="218" t="str">
        <f t="shared" si="317"/>
        <v/>
      </c>
      <c r="DK75" s="218" t="str">
        <f t="shared" si="318"/>
        <v/>
      </c>
      <c r="DL75" s="218" t="str">
        <f t="shared" si="319"/>
        <v/>
      </c>
      <c r="DM75" s="218" t="str">
        <f t="shared" si="320"/>
        <v/>
      </c>
      <c r="DN75" s="218" t="str">
        <f t="shared" si="321"/>
        <v/>
      </c>
      <c r="DO75" s="218" t="str">
        <f t="shared" si="322"/>
        <v/>
      </c>
      <c r="DP75" s="218" t="str">
        <f t="shared" si="323"/>
        <v/>
      </c>
      <c r="DQ75" s="218" t="str">
        <f t="shared" si="324"/>
        <v/>
      </c>
      <c r="DR75" s="218" t="str">
        <f t="shared" si="325"/>
        <v/>
      </c>
      <c r="DS75" s="218" t="str">
        <f t="shared" si="326"/>
        <v/>
      </c>
      <c r="DT75" s="218" t="str">
        <f t="shared" si="327"/>
        <v/>
      </c>
      <c r="DU75" s="218" t="str">
        <f t="shared" si="328"/>
        <v/>
      </c>
      <c r="DV75" s="218" t="str">
        <f t="shared" si="329"/>
        <v/>
      </c>
      <c r="DW75" s="218" t="str">
        <f t="shared" si="330"/>
        <v/>
      </c>
      <c r="DX75" s="218" t="str">
        <f t="shared" si="331"/>
        <v/>
      </c>
      <c r="DY75" s="218" t="str">
        <f t="shared" si="332"/>
        <v/>
      </c>
      <c r="DZ75" s="218" t="str">
        <f t="shared" si="333"/>
        <v/>
      </c>
      <c r="EA75" s="218" t="str">
        <f t="shared" si="334"/>
        <v/>
      </c>
      <c r="EB75" s="218" t="str">
        <f t="shared" si="335"/>
        <v/>
      </c>
      <c r="EC75" s="218" t="str">
        <f t="shared" si="336"/>
        <v/>
      </c>
      <c r="EE75" s="218" t="str">
        <f t="shared" si="337"/>
        <v/>
      </c>
      <c r="EF75" s="218" t="str">
        <f t="shared" si="338"/>
        <v/>
      </c>
      <c r="EG75" s="218" t="str">
        <f t="shared" si="339"/>
        <v/>
      </c>
      <c r="EH75" s="218" t="str">
        <f t="shared" si="340"/>
        <v/>
      </c>
      <c r="EI75" s="218" t="str">
        <f t="shared" si="341"/>
        <v/>
      </c>
      <c r="EJ75" s="218" t="str">
        <f t="shared" si="342"/>
        <v/>
      </c>
      <c r="EK75" s="218" t="str">
        <f t="shared" si="343"/>
        <v/>
      </c>
      <c r="EL75" s="218" t="str">
        <f t="shared" si="344"/>
        <v/>
      </c>
      <c r="EM75" s="218" t="str">
        <f t="shared" si="345"/>
        <v/>
      </c>
      <c r="EN75" s="218" t="str">
        <f t="shared" si="346"/>
        <v/>
      </c>
      <c r="EO75" s="218" t="str">
        <f t="shared" si="347"/>
        <v/>
      </c>
      <c r="EP75" s="218" t="str">
        <f t="shared" si="348"/>
        <v/>
      </c>
      <c r="EQ75" s="218" t="str">
        <f t="shared" si="349"/>
        <v/>
      </c>
      <c r="ER75" s="218" t="str">
        <f t="shared" si="350"/>
        <v/>
      </c>
      <c r="ES75" s="218" t="str">
        <f t="shared" si="351"/>
        <v/>
      </c>
      <c r="ET75" s="218" t="str">
        <f t="shared" si="352"/>
        <v/>
      </c>
      <c r="EU75" s="218" t="str">
        <f t="shared" si="353"/>
        <v/>
      </c>
      <c r="EV75" s="218" t="str">
        <f t="shared" si="354"/>
        <v/>
      </c>
      <c r="EW75" s="218" t="str">
        <f t="shared" si="355"/>
        <v/>
      </c>
      <c r="EX75" s="218" t="str">
        <f t="shared" si="356"/>
        <v/>
      </c>
      <c r="EY75" s="218" t="str">
        <f t="shared" si="357"/>
        <v/>
      </c>
      <c r="FA75" s="218" t="str">
        <f t="shared" si="358"/>
        <v/>
      </c>
      <c r="FB75" s="218" t="str">
        <f t="shared" si="359"/>
        <v/>
      </c>
      <c r="FC75" s="218" t="str">
        <f t="shared" si="360"/>
        <v/>
      </c>
      <c r="FD75" s="218" t="str">
        <f t="shared" si="361"/>
        <v/>
      </c>
      <c r="FE75" s="218" t="str">
        <f t="shared" si="362"/>
        <v/>
      </c>
      <c r="FF75" s="218" t="str">
        <f t="shared" si="363"/>
        <v/>
      </c>
      <c r="FG75" s="218" t="str">
        <f t="shared" si="364"/>
        <v/>
      </c>
      <c r="FH75" s="218" t="str">
        <f t="shared" si="365"/>
        <v/>
      </c>
      <c r="FI75" s="218" t="str">
        <f t="shared" si="366"/>
        <v/>
      </c>
      <c r="FJ75" s="218" t="str">
        <f t="shared" si="367"/>
        <v/>
      </c>
      <c r="FK75" s="218" t="str">
        <f t="shared" si="368"/>
        <v/>
      </c>
      <c r="FL75" s="218" t="str">
        <f t="shared" si="369"/>
        <v/>
      </c>
      <c r="FM75" s="218" t="str">
        <f t="shared" si="370"/>
        <v/>
      </c>
      <c r="FN75" s="218" t="str">
        <f t="shared" si="371"/>
        <v/>
      </c>
      <c r="FO75" s="218" t="str">
        <f t="shared" si="372"/>
        <v/>
      </c>
      <c r="FP75" s="218" t="str">
        <f t="shared" si="373"/>
        <v/>
      </c>
      <c r="FQ75" s="218" t="str">
        <f t="shared" si="374"/>
        <v/>
      </c>
      <c r="FR75" s="218" t="str">
        <f t="shared" si="375"/>
        <v/>
      </c>
      <c r="FT75" s="218" t="str">
        <f t="shared" si="376"/>
        <v/>
      </c>
      <c r="FU75" s="218" t="str">
        <f t="shared" si="377"/>
        <v/>
      </c>
      <c r="FV75" s="218" t="str">
        <f t="shared" si="378"/>
        <v/>
      </c>
      <c r="FW75" s="218" t="str">
        <f t="shared" si="379"/>
        <v/>
      </c>
      <c r="FX75" s="218" t="str">
        <f t="shared" si="380"/>
        <v/>
      </c>
      <c r="FY75" s="218" t="str">
        <f t="shared" si="381"/>
        <v/>
      </c>
      <c r="FZ75" s="218" t="str">
        <f t="shared" si="382"/>
        <v/>
      </c>
      <c r="GA75" s="218" t="str">
        <f t="shared" si="383"/>
        <v/>
      </c>
      <c r="GB75" s="218" t="str">
        <f t="shared" si="384"/>
        <v/>
      </c>
      <c r="GC75" s="218" t="str">
        <f t="shared" si="385"/>
        <v/>
      </c>
      <c r="GD75" s="218" t="str">
        <f t="shared" si="386"/>
        <v/>
      </c>
      <c r="GE75" s="218" t="str">
        <f t="shared" si="387"/>
        <v/>
      </c>
      <c r="GF75" s="218" t="str">
        <f t="shared" si="388"/>
        <v/>
      </c>
      <c r="GG75" s="218" t="str">
        <f t="shared" si="389"/>
        <v/>
      </c>
      <c r="GH75" s="218" t="str">
        <f t="shared" si="390"/>
        <v/>
      </c>
      <c r="GJ75" s="218" t="str">
        <f t="shared" si="391"/>
        <v/>
      </c>
      <c r="GK75" s="218" t="str">
        <f t="shared" si="392"/>
        <v/>
      </c>
      <c r="GL75" s="218" t="str">
        <f t="shared" si="393"/>
        <v/>
      </c>
      <c r="GM75" s="218" t="str">
        <f t="shared" si="394"/>
        <v/>
      </c>
      <c r="GN75" s="218" t="str">
        <f t="shared" si="395"/>
        <v/>
      </c>
      <c r="GO75" s="218" t="str">
        <f t="shared" si="396"/>
        <v/>
      </c>
      <c r="GP75" s="218" t="str">
        <f t="shared" si="397"/>
        <v/>
      </c>
      <c r="GQ75" s="218" t="str">
        <f t="shared" si="398"/>
        <v/>
      </c>
      <c r="GR75" s="218" t="str">
        <f t="shared" si="399"/>
        <v/>
      </c>
      <c r="GS75" s="218" t="str">
        <f t="shared" si="400"/>
        <v/>
      </c>
      <c r="GT75" s="218" t="str">
        <f t="shared" si="401"/>
        <v/>
      </c>
      <c r="GU75" s="218" t="str">
        <f t="shared" si="402"/>
        <v/>
      </c>
      <c r="GW75" s="218" t="str">
        <f t="shared" si="403"/>
        <v/>
      </c>
      <c r="GX75" s="218" t="str">
        <f t="shared" si="404"/>
        <v/>
      </c>
      <c r="GY75" s="218" t="str">
        <f t="shared" si="405"/>
        <v/>
      </c>
      <c r="GZ75" s="218" t="str">
        <f t="shared" si="406"/>
        <v/>
      </c>
      <c r="HA75" s="218" t="str">
        <f t="shared" si="407"/>
        <v/>
      </c>
      <c r="HB75" s="218" t="str">
        <f t="shared" si="408"/>
        <v/>
      </c>
      <c r="HC75" s="218" t="str">
        <f t="shared" si="409"/>
        <v/>
      </c>
      <c r="HD75" s="218" t="str">
        <f t="shared" si="410"/>
        <v/>
      </c>
      <c r="HE75" s="218" t="str">
        <f t="shared" si="411"/>
        <v/>
      </c>
      <c r="HG75" s="218" t="str">
        <f t="shared" si="412"/>
        <v/>
      </c>
      <c r="HH75" s="218" t="str">
        <f t="shared" si="413"/>
        <v/>
      </c>
      <c r="HI75" s="218" t="str">
        <f t="shared" si="414"/>
        <v/>
      </c>
      <c r="HJ75" s="218" t="str">
        <f t="shared" si="415"/>
        <v/>
      </c>
      <c r="HK75" s="218" t="str">
        <f t="shared" si="416"/>
        <v/>
      </c>
      <c r="HL75" s="218" t="str">
        <f t="shared" si="417"/>
        <v/>
      </c>
      <c r="HN75" s="218" t="str">
        <f t="shared" si="418"/>
        <v/>
      </c>
      <c r="HO75" s="218" t="str">
        <f t="shared" si="419"/>
        <v/>
      </c>
      <c r="HP75" s="218" t="str">
        <f t="shared" si="420"/>
        <v/>
      </c>
      <c r="HR75" s="218" t="str">
        <f t="shared" si="421"/>
        <v/>
      </c>
      <c r="HS75" s="218" t="str">
        <f t="shared" si="443"/>
        <v/>
      </c>
      <c r="HT75" s="218" t="str">
        <f t="shared" si="422"/>
        <v/>
      </c>
      <c r="HU75" s="218" t="str">
        <f t="shared" si="444"/>
        <v/>
      </c>
      <c r="HV75" s="218" t="str">
        <f t="shared" si="423"/>
        <v/>
      </c>
      <c r="HW75" s="218" t="str">
        <f t="shared" si="424"/>
        <v/>
      </c>
      <c r="HX75" s="218" t="str">
        <f t="shared" si="425"/>
        <v/>
      </c>
      <c r="HY75" s="218" t="str">
        <f t="shared" si="445"/>
        <v/>
      </c>
      <c r="HZ75" s="218" t="str">
        <f t="shared" si="426"/>
        <v/>
      </c>
      <c r="IA75" s="218" t="str">
        <f t="shared" si="427"/>
        <v/>
      </c>
      <c r="IB75" s="218" t="str">
        <f t="shared" si="446"/>
        <v/>
      </c>
      <c r="IC75" s="218" t="str">
        <f t="shared" si="428"/>
        <v/>
      </c>
      <c r="ID75" s="218" t="str">
        <f t="shared" si="429"/>
        <v/>
      </c>
      <c r="IE75" s="218" t="str">
        <f t="shared" si="447"/>
        <v/>
      </c>
      <c r="IF75" s="218" t="str">
        <f t="shared" si="430"/>
        <v/>
      </c>
      <c r="IG75" s="218" t="str">
        <f t="shared" si="431"/>
        <v/>
      </c>
      <c r="IH75" s="218" t="str">
        <f t="shared" si="448"/>
        <v/>
      </c>
      <c r="II75" s="218" t="str">
        <f t="shared" si="432"/>
        <v/>
      </c>
      <c r="IJ75" s="218" t="str">
        <f t="shared" si="433"/>
        <v/>
      </c>
      <c r="IK75" s="218" t="str">
        <f t="shared" si="449"/>
        <v/>
      </c>
      <c r="IL75" s="218" t="str">
        <f t="shared" si="434"/>
        <v/>
      </c>
      <c r="IM75" s="218" t="str">
        <f t="shared" si="435"/>
        <v/>
      </c>
      <c r="IN75" s="218" t="str">
        <f t="shared" si="450"/>
        <v/>
      </c>
      <c r="IO75" s="218" t="str">
        <f t="shared" si="436"/>
        <v/>
      </c>
      <c r="IP75" s="218" t="str">
        <f t="shared" si="437"/>
        <v/>
      </c>
      <c r="IQ75" s="218" t="str">
        <f t="shared" si="451"/>
        <v/>
      </c>
      <c r="IR75" s="218" t="str">
        <f t="shared" si="438"/>
        <v/>
      </c>
      <c r="IS75" s="218" t="str">
        <f t="shared" si="439"/>
        <v/>
      </c>
      <c r="IT75" s="218" t="str">
        <f t="shared" si="452"/>
        <v/>
      </c>
      <c r="IU75" s="218" t="str">
        <f t="shared" si="440"/>
        <v/>
      </c>
    </row>
    <row r="76" spans="1:255" x14ac:dyDescent="0.2">
      <c r="A76" s="200" t="s">
        <v>79</v>
      </c>
      <c r="B76" s="178"/>
      <c r="C76" s="179"/>
      <c r="D76" s="181"/>
      <c r="E76" s="181"/>
      <c r="F76" s="181"/>
      <c r="G76" s="181"/>
      <c r="H76" s="187"/>
      <c r="I76" s="181"/>
      <c r="J76" s="181"/>
      <c r="K76" s="183"/>
      <c r="L76" s="217" t="str">
        <f t="shared" si="441"/>
        <v/>
      </c>
      <c r="M76" s="218" t="str">
        <f>'HKG vs. BK'!M76</f>
        <v/>
      </c>
      <c r="N76" s="218" t="str">
        <f>'HKG vs. BK'!N76</f>
        <v/>
      </c>
      <c r="O76" s="218" t="str">
        <f>'HKG vs. BK'!O76</f>
        <v/>
      </c>
      <c r="P76" s="218" t="str">
        <f>'HKG vs. BK'!P76</f>
        <v/>
      </c>
      <c r="Q76" s="219" t="str">
        <f t="shared" si="227"/>
        <v/>
      </c>
      <c r="R76" s="220" t="str">
        <f t="shared" si="228"/>
        <v/>
      </c>
      <c r="S76" s="220" t="str">
        <f t="shared" si="229"/>
        <v/>
      </c>
      <c r="T76" s="219" t="str">
        <f t="shared" si="230"/>
        <v/>
      </c>
      <c r="U76" s="220" t="str">
        <f t="shared" si="231"/>
        <v/>
      </c>
      <c r="V76" s="220" t="str">
        <f t="shared" si="232"/>
        <v/>
      </c>
      <c r="W76" s="219" t="str">
        <f t="shared" si="233"/>
        <v/>
      </c>
      <c r="X76" s="220" t="str">
        <f t="shared" si="234"/>
        <v/>
      </c>
      <c r="Y76" s="220" t="str">
        <f t="shared" si="235"/>
        <v/>
      </c>
      <c r="Z76" s="219" t="str">
        <f t="shared" si="236"/>
        <v/>
      </c>
      <c r="AA76" s="220" t="str">
        <f t="shared" si="237"/>
        <v/>
      </c>
      <c r="AB76" s="220" t="str">
        <f t="shared" si="238"/>
        <v/>
      </c>
      <c r="AC76" s="219" t="str">
        <f t="shared" si="239"/>
        <v/>
      </c>
      <c r="AD76" s="220" t="str">
        <f t="shared" si="240"/>
        <v/>
      </c>
      <c r="AE76" s="220" t="str">
        <f t="shared" si="241"/>
        <v/>
      </c>
      <c r="AF76" s="219" t="str">
        <f t="shared" si="242"/>
        <v/>
      </c>
      <c r="AG76" s="220" t="str">
        <f t="shared" si="243"/>
        <v/>
      </c>
      <c r="AH76" s="220" t="str">
        <f t="shared" si="244"/>
        <v/>
      </c>
      <c r="AI76" s="219" t="str">
        <f t="shared" si="245"/>
        <v/>
      </c>
      <c r="AJ76" s="220" t="str">
        <f t="shared" si="246"/>
        <v/>
      </c>
      <c r="AK76" s="220" t="str">
        <f t="shared" si="247"/>
        <v/>
      </c>
      <c r="AL76" s="219" t="str">
        <f t="shared" si="248"/>
        <v/>
      </c>
      <c r="AM76" s="220" t="str">
        <f t="shared" si="249"/>
        <v/>
      </c>
      <c r="AN76" s="220" t="str">
        <f t="shared" si="250"/>
        <v/>
      </c>
      <c r="AO76" s="219" t="str">
        <f t="shared" si="251"/>
        <v/>
      </c>
      <c r="AP76" s="220" t="str">
        <f t="shared" si="252"/>
        <v/>
      </c>
      <c r="AQ76" s="220" t="str">
        <f t="shared" si="253"/>
        <v/>
      </c>
      <c r="AR76" s="219" t="str">
        <f t="shared" si="254"/>
        <v/>
      </c>
      <c r="AS76" s="220" t="str">
        <f t="shared" si="255"/>
        <v/>
      </c>
      <c r="AT76" s="220" t="str">
        <f t="shared" si="256"/>
        <v/>
      </c>
      <c r="AU76" s="221"/>
      <c r="AV76" s="221"/>
      <c r="AW76" s="221"/>
      <c r="AY76" s="218" t="str">
        <f t="shared" si="257"/>
        <v/>
      </c>
      <c r="AZ76" s="218" t="str">
        <f t="shared" si="258"/>
        <v/>
      </c>
      <c r="BA76" s="218" t="str">
        <f t="shared" si="259"/>
        <v/>
      </c>
      <c r="BB76" s="218" t="str">
        <f t="shared" si="260"/>
        <v/>
      </c>
      <c r="BC76" s="218" t="str">
        <f t="shared" si="261"/>
        <v/>
      </c>
      <c r="BD76" s="218" t="str">
        <f t="shared" si="262"/>
        <v/>
      </c>
      <c r="BE76" s="218" t="str">
        <f t="shared" si="263"/>
        <v/>
      </c>
      <c r="BF76" s="218" t="str">
        <f t="shared" si="264"/>
        <v/>
      </c>
      <c r="BG76" s="218" t="str">
        <f t="shared" si="265"/>
        <v/>
      </c>
      <c r="BH76" s="218" t="str">
        <f t="shared" si="266"/>
        <v/>
      </c>
      <c r="BI76" s="218" t="str">
        <f t="shared" si="267"/>
        <v/>
      </c>
      <c r="BJ76" s="218" t="str">
        <f t="shared" si="268"/>
        <v/>
      </c>
      <c r="BK76" s="218" t="str">
        <f t="shared" si="269"/>
        <v/>
      </c>
      <c r="BL76" s="218" t="str">
        <f t="shared" si="270"/>
        <v/>
      </c>
      <c r="BM76" s="218" t="str">
        <f t="shared" si="271"/>
        <v/>
      </c>
      <c r="BN76" s="218" t="str">
        <f t="shared" si="272"/>
        <v/>
      </c>
      <c r="BO76" s="218" t="str">
        <f t="shared" si="273"/>
        <v/>
      </c>
      <c r="BP76" s="218" t="str">
        <f t="shared" si="274"/>
        <v/>
      </c>
      <c r="BQ76" s="218" t="str">
        <f t="shared" si="275"/>
        <v/>
      </c>
      <c r="BR76" s="218" t="str">
        <f t="shared" si="276"/>
        <v/>
      </c>
      <c r="BS76" s="218" t="str">
        <f t="shared" si="277"/>
        <v/>
      </c>
      <c r="BT76" s="218" t="str">
        <f t="shared" si="278"/>
        <v/>
      </c>
      <c r="BU76" s="218" t="str">
        <f t="shared" si="279"/>
        <v/>
      </c>
      <c r="BV76" s="218" t="str">
        <f t="shared" si="280"/>
        <v/>
      </c>
      <c r="BW76" s="218" t="str">
        <f t="shared" si="281"/>
        <v/>
      </c>
      <c r="BX76" s="218" t="str">
        <f t="shared" si="282"/>
        <v/>
      </c>
      <c r="BY76" s="218" t="str">
        <f t="shared" si="283"/>
        <v/>
      </c>
      <c r="BZ76" s="218" t="str">
        <f t="shared" si="284"/>
        <v/>
      </c>
      <c r="CA76" s="218" t="str">
        <f t="shared" si="285"/>
        <v/>
      </c>
      <c r="CB76" s="218" t="str">
        <f t="shared" si="286"/>
        <v/>
      </c>
      <c r="CD76" s="218" t="str">
        <f t="shared" si="287"/>
        <v/>
      </c>
      <c r="CE76" s="218" t="str">
        <f t="shared" si="288"/>
        <v/>
      </c>
      <c r="CF76" s="218" t="str">
        <f t="shared" si="289"/>
        <v/>
      </c>
      <c r="CG76" s="218" t="str">
        <f t="shared" si="290"/>
        <v/>
      </c>
      <c r="CH76" s="218" t="str">
        <f t="shared" si="291"/>
        <v/>
      </c>
      <c r="CI76" s="218" t="str">
        <f t="shared" si="292"/>
        <v/>
      </c>
      <c r="CJ76" s="218" t="str">
        <f t="shared" si="293"/>
        <v/>
      </c>
      <c r="CK76" s="218" t="str">
        <f t="shared" si="294"/>
        <v/>
      </c>
      <c r="CL76" s="218" t="str">
        <f t="shared" si="295"/>
        <v/>
      </c>
      <c r="CM76" s="218" t="str">
        <f t="shared" si="296"/>
        <v/>
      </c>
      <c r="CN76" s="218" t="str">
        <f t="shared" si="297"/>
        <v/>
      </c>
      <c r="CO76" s="218" t="str">
        <f t="shared" si="298"/>
        <v/>
      </c>
      <c r="CP76" s="218" t="str">
        <f t="shared" si="299"/>
        <v/>
      </c>
      <c r="CQ76" s="218" t="str">
        <f t="shared" si="300"/>
        <v/>
      </c>
      <c r="CR76" s="218" t="str">
        <f t="shared" si="301"/>
        <v/>
      </c>
      <c r="CS76" s="218" t="str">
        <f t="shared" si="302"/>
        <v/>
      </c>
      <c r="CT76" s="218" t="str">
        <f t="shared" si="303"/>
        <v/>
      </c>
      <c r="CU76" s="218" t="str">
        <f t="shared" si="304"/>
        <v/>
      </c>
      <c r="CV76" s="218" t="str">
        <f t="shared" si="305"/>
        <v/>
      </c>
      <c r="CW76" s="218" t="str">
        <f t="shared" si="306"/>
        <v/>
      </c>
      <c r="CX76" s="218" t="str">
        <f t="shared" si="307"/>
        <v/>
      </c>
      <c r="CY76" s="218" t="str">
        <f t="shared" si="308"/>
        <v/>
      </c>
      <c r="CZ76" s="218" t="str">
        <f t="shared" si="309"/>
        <v/>
      </c>
      <c r="DA76" s="218" t="str">
        <f t="shared" si="310"/>
        <v/>
      </c>
      <c r="DB76" s="218" t="str">
        <f t="shared" si="442"/>
        <v/>
      </c>
      <c r="DC76" s="218" t="str">
        <f t="shared" si="311"/>
        <v/>
      </c>
      <c r="DD76" s="218" t="str">
        <f t="shared" si="312"/>
        <v/>
      </c>
      <c r="DF76" s="218" t="str">
        <f t="shared" si="313"/>
        <v/>
      </c>
      <c r="DG76" s="218" t="str">
        <f t="shared" si="314"/>
        <v/>
      </c>
      <c r="DH76" s="218" t="str">
        <f t="shared" si="315"/>
        <v/>
      </c>
      <c r="DI76" s="218" t="str">
        <f t="shared" si="316"/>
        <v/>
      </c>
      <c r="DJ76" s="218" t="str">
        <f t="shared" si="317"/>
        <v/>
      </c>
      <c r="DK76" s="218" t="str">
        <f t="shared" si="318"/>
        <v/>
      </c>
      <c r="DL76" s="218" t="str">
        <f t="shared" si="319"/>
        <v/>
      </c>
      <c r="DM76" s="218" t="str">
        <f t="shared" si="320"/>
        <v/>
      </c>
      <c r="DN76" s="218" t="str">
        <f t="shared" si="321"/>
        <v/>
      </c>
      <c r="DO76" s="218" t="str">
        <f t="shared" si="322"/>
        <v/>
      </c>
      <c r="DP76" s="218" t="str">
        <f t="shared" si="323"/>
        <v/>
      </c>
      <c r="DQ76" s="218" t="str">
        <f t="shared" si="324"/>
        <v/>
      </c>
      <c r="DR76" s="218" t="str">
        <f t="shared" si="325"/>
        <v/>
      </c>
      <c r="DS76" s="218" t="str">
        <f t="shared" si="326"/>
        <v/>
      </c>
      <c r="DT76" s="218" t="str">
        <f t="shared" si="327"/>
        <v/>
      </c>
      <c r="DU76" s="218" t="str">
        <f t="shared" si="328"/>
        <v/>
      </c>
      <c r="DV76" s="218" t="str">
        <f t="shared" si="329"/>
        <v/>
      </c>
      <c r="DW76" s="218" t="str">
        <f t="shared" si="330"/>
        <v/>
      </c>
      <c r="DX76" s="218" t="str">
        <f t="shared" si="331"/>
        <v/>
      </c>
      <c r="DY76" s="218" t="str">
        <f t="shared" si="332"/>
        <v/>
      </c>
      <c r="DZ76" s="218" t="str">
        <f t="shared" si="333"/>
        <v/>
      </c>
      <c r="EA76" s="218" t="str">
        <f t="shared" si="334"/>
        <v/>
      </c>
      <c r="EB76" s="218" t="str">
        <f t="shared" si="335"/>
        <v/>
      </c>
      <c r="EC76" s="218" t="str">
        <f t="shared" si="336"/>
        <v/>
      </c>
      <c r="EE76" s="218" t="str">
        <f t="shared" si="337"/>
        <v/>
      </c>
      <c r="EF76" s="218" t="str">
        <f t="shared" si="338"/>
        <v/>
      </c>
      <c r="EG76" s="218" t="str">
        <f t="shared" si="339"/>
        <v/>
      </c>
      <c r="EH76" s="218" t="str">
        <f t="shared" si="340"/>
        <v/>
      </c>
      <c r="EI76" s="218" t="str">
        <f t="shared" si="341"/>
        <v/>
      </c>
      <c r="EJ76" s="218" t="str">
        <f t="shared" si="342"/>
        <v/>
      </c>
      <c r="EK76" s="218" t="str">
        <f t="shared" si="343"/>
        <v/>
      </c>
      <c r="EL76" s="218" t="str">
        <f t="shared" si="344"/>
        <v/>
      </c>
      <c r="EM76" s="218" t="str">
        <f t="shared" si="345"/>
        <v/>
      </c>
      <c r="EN76" s="218" t="str">
        <f t="shared" si="346"/>
        <v/>
      </c>
      <c r="EO76" s="218" t="str">
        <f t="shared" si="347"/>
        <v/>
      </c>
      <c r="EP76" s="218" t="str">
        <f t="shared" si="348"/>
        <v/>
      </c>
      <c r="EQ76" s="218" t="str">
        <f t="shared" si="349"/>
        <v/>
      </c>
      <c r="ER76" s="218" t="str">
        <f t="shared" si="350"/>
        <v/>
      </c>
      <c r="ES76" s="218" t="str">
        <f t="shared" si="351"/>
        <v/>
      </c>
      <c r="ET76" s="218" t="str">
        <f t="shared" si="352"/>
        <v/>
      </c>
      <c r="EU76" s="218" t="str">
        <f t="shared" si="353"/>
        <v/>
      </c>
      <c r="EV76" s="218" t="str">
        <f t="shared" si="354"/>
        <v/>
      </c>
      <c r="EW76" s="218" t="str">
        <f t="shared" si="355"/>
        <v/>
      </c>
      <c r="EX76" s="218" t="str">
        <f t="shared" si="356"/>
        <v/>
      </c>
      <c r="EY76" s="218" t="str">
        <f t="shared" si="357"/>
        <v/>
      </c>
      <c r="FA76" s="218" t="str">
        <f t="shared" si="358"/>
        <v/>
      </c>
      <c r="FB76" s="218" t="str">
        <f t="shared" si="359"/>
        <v/>
      </c>
      <c r="FC76" s="218" t="str">
        <f t="shared" si="360"/>
        <v/>
      </c>
      <c r="FD76" s="218" t="str">
        <f t="shared" si="361"/>
        <v/>
      </c>
      <c r="FE76" s="218" t="str">
        <f t="shared" si="362"/>
        <v/>
      </c>
      <c r="FF76" s="218" t="str">
        <f t="shared" si="363"/>
        <v/>
      </c>
      <c r="FG76" s="218" t="str">
        <f t="shared" si="364"/>
        <v/>
      </c>
      <c r="FH76" s="218" t="str">
        <f t="shared" si="365"/>
        <v/>
      </c>
      <c r="FI76" s="218" t="str">
        <f t="shared" si="366"/>
        <v/>
      </c>
      <c r="FJ76" s="218" t="str">
        <f t="shared" si="367"/>
        <v/>
      </c>
      <c r="FK76" s="218" t="str">
        <f t="shared" si="368"/>
        <v/>
      </c>
      <c r="FL76" s="218" t="str">
        <f t="shared" si="369"/>
        <v/>
      </c>
      <c r="FM76" s="218" t="str">
        <f t="shared" si="370"/>
        <v/>
      </c>
      <c r="FN76" s="218" t="str">
        <f t="shared" si="371"/>
        <v/>
      </c>
      <c r="FO76" s="218" t="str">
        <f t="shared" si="372"/>
        <v/>
      </c>
      <c r="FP76" s="218" t="str">
        <f t="shared" si="373"/>
        <v/>
      </c>
      <c r="FQ76" s="218" t="str">
        <f t="shared" si="374"/>
        <v/>
      </c>
      <c r="FR76" s="218" t="str">
        <f t="shared" si="375"/>
        <v/>
      </c>
      <c r="FT76" s="218" t="str">
        <f t="shared" si="376"/>
        <v/>
      </c>
      <c r="FU76" s="218" t="str">
        <f t="shared" si="377"/>
        <v/>
      </c>
      <c r="FV76" s="218" t="str">
        <f t="shared" si="378"/>
        <v/>
      </c>
      <c r="FW76" s="218" t="str">
        <f t="shared" si="379"/>
        <v/>
      </c>
      <c r="FX76" s="218" t="str">
        <f t="shared" si="380"/>
        <v/>
      </c>
      <c r="FY76" s="218" t="str">
        <f t="shared" si="381"/>
        <v/>
      </c>
      <c r="FZ76" s="218" t="str">
        <f t="shared" si="382"/>
        <v/>
      </c>
      <c r="GA76" s="218" t="str">
        <f t="shared" si="383"/>
        <v/>
      </c>
      <c r="GB76" s="218" t="str">
        <f t="shared" si="384"/>
        <v/>
      </c>
      <c r="GC76" s="218" t="str">
        <f t="shared" si="385"/>
        <v/>
      </c>
      <c r="GD76" s="218" t="str">
        <f t="shared" si="386"/>
        <v/>
      </c>
      <c r="GE76" s="218" t="str">
        <f t="shared" si="387"/>
        <v/>
      </c>
      <c r="GF76" s="218" t="str">
        <f t="shared" si="388"/>
        <v/>
      </c>
      <c r="GG76" s="218" t="str">
        <f t="shared" si="389"/>
        <v/>
      </c>
      <c r="GH76" s="218" t="str">
        <f t="shared" si="390"/>
        <v/>
      </c>
      <c r="GJ76" s="218" t="str">
        <f t="shared" si="391"/>
        <v/>
      </c>
      <c r="GK76" s="218" t="str">
        <f t="shared" si="392"/>
        <v/>
      </c>
      <c r="GL76" s="218" t="str">
        <f t="shared" si="393"/>
        <v/>
      </c>
      <c r="GM76" s="218" t="str">
        <f t="shared" si="394"/>
        <v/>
      </c>
      <c r="GN76" s="218" t="str">
        <f t="shared" si="395"/>
        <v/>
      </c>
      <c r="GO76" s="218" t="str">
        <f t="shared" si="396"/>
        <v/>
      </c>
      <c r="GP76" s="218" t="str">
        <f t="shared" si="397"/>
        <v/>
      </c>
      <c r="GQ76" s="218" t="str">
        <f t="shared" si="398"/>
        <v/>
      </c>
      <c r="GR76" s="218" t="str">
        <f t="shared" si="399"/>
        <v/>
      </c>
      <c r="GS76" s="218" t="str">
        <f t="shared" si="400"/>
        <v/>
      </c>
      <c r="GT76" s="218" t="str">
        <f t="shared" si="401"/>
        <v/>
      </c>
      <c r="GU76" s="218" t="str">
        <f t="shared" si="402"/>
        <v/>
      </c>
      <c r="GW76" s="218" t="str">
        <f t="shared" si="403"/>
        <v/>
      </c>
      <c r="GX76" s="218" t="str">
        <f t="shared" si="404"/>
        <v/>
      </c>
      <c r="GY76" s="218" t="str">
        <f t="shared" si="405"/>
        <v/>
      </c>
      <c r="GZ76" s="218" t="str">
        <f t="shared" si="406"/>
        <v/>
      </c>
      <c r="HA76" s="218" t="str">
        <f t="shared" si="407"/>
        <v/>
      </c>
      <c r="HB76" s="218" t="str">
        <f t="shared" si="408"/>
        <v/>
      </c>
      <c r="HC76" s="218" t="str">
        <f t="shared" si="409"/>
        <v/>
      </c>
      <c r="HD76" s="218" t="str">
        <f t="shared" si="410"/>
        <v/>
      </c>
      <c r="HE76" s="218" t="str">
        <f t="shared" si="411"/>
        <v/>
      </c>
      <c r="HG76" s="218" t="str">
        <f t="shared" si="412"/>
        <v/>
      </c>
      <c r="HH76" s="218" t="str">
        <f t="shared" si="413"/>
        <v/>
      </c>
      <c r="HI76" s="218" t="str">
        <f t="shared" si="414"/>
        <v/>
      </c>
      <c r="HJ76" s="218" t="str">
        <f t="shared" si="415"/>
        <v/>
      </c>
      <c r="HK76" s="218" t="str">
        <f t="shared" si="416"/>
        <v/>
      </c>
      <c r="HL76" s="218" t="str">
        <f t="shared" si="417"/>
        <v/>
      </c>
      <c r="HN76" s="218" t="str">
        <f t="shared" si="418"/>
        <v/>
      </c>
      <c r="HO76" s="218" t="str">
        <f t="shared" si="419"/>
        <v/>
      </c>
      <c r="HP76" s="218" t="str">
        <f t="shared" si="420"/>
        <v/>
      </c>
      <c r="HR76" s="218" t="str">
        <f t="shared" si="421"/>
        <v/>
      </c>
      <c r="HS76" s="218" t="str">
        <f t="shared" si="443"/>
        <v/>
      </c>
      <c r="HT76" s="218" t="str">
        <f t="shared" si="422"/>
        <v/>
      </c>
      <c r="HU76" s="218" t="str">
        <f t="shared" si="444"/>
        <v/>
      </c>
      <c r="HV76" s="218" t="str">
        <f t="shared" si="423"/>
        <v/>
      </c>
      <c r="HW76" s="218" t="str">
        <f t="shared" si="424"/>
        <v/>
      </c>
      <c r="HX76" s="218" t="str">
        <f t="shared" si="425"/>
        <v/>
      </c>
      <c r="HY76" s="218" t="str">
        <f t="shared" si="445"/>
        <v/>
      </c>
      <c r="HZ76" s="218" t="str">
        <f t="shared" si="426"/>
        <v/>
      </c>
      <c r="IA76" s="218" t="str">
        <f t="shared" si="427"/>
        <v/>
      </c>
      <c r="IB76" s="218" t="str">
        <f t="shared" si="446"/>
        <v/>
      </c>
      <c r="IC76" s="218" t="str">
        <f t="shared" si="428"/>
        <v/>
      </c>
      <c r="ID76" s="218" t="str">
        <f t="shared" si="429"/>
        <v/>
      </c>
      <c r="IE76" s="218" t="str">
        <f t="shared" si="447"/>
        <v/>
      </c>
      <c r="IF76" s="218" t="str">
        <f t="shared" si="430"/>
        <v/>
      </c>
      <c r="IG76" s="218" t="str">
        <f t="shared" si="431"/>
        <v/>
      </c>
      <c r="IH76" s="218" t="str">
        <f t="shared" si="448"/>
        <v/>
      </c>
      <c r="II76" s="218" t="str">
        <f t="shared" si="432"/>
        <v/>
      </c>
      <c r="IJ76" s="218" t="str">
        <f t="shared" si="433"/>
        <v/>
      </c>
      <c r="IK76" s="218" t="str">
        <f t="shared" si="449"/>
        <v/>
      </c>
      <c r="IL76" s="218" t="str">
        <f t="shared" si="434"/>
        <v/>
      </c>
      <c r="IM76" s="218" t="str">
        <f t="shared" si="435"/>
        <v/>
      </c>
      <c r="IN76" s="218" t="str">
        <f t="shared" si="450"/>
        <v/>
      </c>
      <c r="IO76" s="218" t="str">
        <f t="shared" si="436"/>
        <v/>
      </c>
      <c r="IP76" s="218" t="str">
        <f t="shared" si="437"/>
        <v/>
      </c>
      <c r="IQ76" s="218" t="str">
        <f t="shared" si="451"/>
        <v/>
      </c>
      <c r="IR76" s="218" t="str">
        <f t="shared" si="438"/>
        <v/>
      </c>
      <c r="IS76" s="218" t="str">
        <f t="shared" si="439"/>
        <v/>
      </c>
      <c r="IT76" s="218" t="str">
        <f t="shared" si="452"/>
        <v/>
      </c>
      <c r="IU76" s="218" t="str">
        <f t="shared" si="440"/>
        <v/>
      </c>
    </row>
    <row r="77" spans="1:255" x14ac:dyDescent="0.2">
      <c r="A77" s="200" t="s">
        <v>80</v>
      </c>
      <c r="B77" s="178"/>
      <c r="C77" s="179"/>
      <c r="D77" s="181"/>
      <c r="E77" s="181"/>
      <c r="F77" s="181"/>
      <c r="G77" s="181"/>
      <c r="H77" s="187"/>
      <c r="I77" s="181"/>
      <c r="J77" s="181"/>
      <c r="K77" s="183"/>
      <c r="L77" s="217" t="str">
        <f t="shared" si="441"/>
        <v/>
      </c>
      <c r="M77" s="218" t="str">
        <f>'HKG vs. BK'!M77</f>
        <v/>
      </c>
      <c r="N77" s="218" t="str">
        <f>'HKG vs. BK'!N77</f>
        <v/>
      </c>
      <c r="O77" s="218" t="str">
        <f>'HKG vs. BK'!O77</f>
        <v/>
      </c>
      <c r="P77" s="218" t="str">
        <f>'HKG vs. BK'!P77</f>
        <v/>
      </c>
      <c r="Q77" s="219" t="str">
        <f t="shared" si="227"/>
        <v/>
      </c>
      <c r="R77" s="220" t="str">
        <f t="shared" si="228"/>
        <v/>
      </c>
      <c r="S77" s="220" t="str">
        <f t="shared" si="229"/>
        <v/>
      </c>
      <c r="T77" s="219" t="str">
        <f t="shared" si="230"/>
        <v/>
      </c>
      <c r="U77" s="220" t="str">
        <f t="shared" si="231"/>
        <v/>
      </c>
      <c r="V77" s="220" t="str">
        <f t="shared" si="232"/>
        <v/>
      </c>
      <c r="W77" s="219" t="str">
        <f t="shared" si="233"/>
        <v/>
      </c>
      <c r="X77" s="220" t="str">
        <f t="shared" si="234"/>
        <v/>
      </c>
      <c r="Y77" s="220" t="str">
        <f t="shared" si="235"/>
        <v/>
      </c>
      <c r="Z77" s="219" t="str">
        <f t="shared" si="236"/>
        <v/>
      </c>
      <c r="AA77" s="220" t="str">
        <f t="shared" si="237"/>
        <v/>
      </c>
      <c r="AB77" s="220" t="str">
        <f t="shared" si="238"/>
        <v/>
      </c>
      <c r="AC77" s="219" t="str">
        <f t="shared" si="239"/>
        <v/>
      </c>
      <c r="AD77" s="220" t="str">
        <f t="shared" si="240"/>
        <v/>
      </c>
      <c r="AE77" s="220" t="str">
        <f t="shared" si="241"/>
        <v/>
      </c>
      <c r="AF77" s="219" t="str">
        <f t="shared" si="242"/>
        <v/>
      </c>
      <c r="AG77" s="220" t="str">
        <f t="shared" si="243"/>
        <v/>
      </c>
      <c r="AH77" s="220" t="str">
        <f t="shared" si="244"/>
        <v/>
      </c>
      <c r="AI77" s="219" t="str">
        <f t="shared" si="245"/>
        <v/>
      </c>
      <c r="AJ77" s="220" t="str">
        <f t="shared" si="246"/>
        <v/>
      </c>
      <c r="AK77" s="220" t="str">
        <f t="shared" si="247"/>
        <v/>
      </c>
      <c r="AL77" s="219" t="str">
        <f t="shared" si="248"/>
        <v/>
      </c>
      <c r="AM77" s="220" t="str">
        <f t="shared" si="249"/>
        <v/>
      </c>
      <c r="AN77" s="220" t="str">
        <f t="shared" si="250"/>
        <v/>
      </c>
      <c r="AO77" s="219" t="str">
        <f t="shared" si="251"/>
        <v/>
      </c>
      <c r="AP77" s="220" t="str">
        <f t="shared" si="252"/>
        <v/>
      </c>
      <c r="AQ77" s="220" t="str">
        <f t="shared" si="253"/>
        <v/>
      </c>
      <c r="AR77" s="219" t="str">
        <f t="shared" si="254"/>
        <v/>
      </c>
      <c r="AS77" s="220" t="str">
        <f t="shared" si="255"/>
        <v/>
      </c>
      <c r="AT77" s="220" t="str">
        <f t="shared" si="256"/>
        <v/>
      </c>
      <c r="AU77" s="221"/>
      <c r="AV77" s="221"/>
      <c r="AW77" s="221"/>
      <c r="AY77" s="218" t="str">
        <f t="shared" si="257"/>
        <v/>
      </c>
      <c r="AZ77" s="218" t="str">
        <f t="shared" si="258"/>
        <v/>
      </c>
      <c r="BA77" s="218" t="str">
        <f t="shared" si="259"/>
        <v/>
      </c>
      <c r="BB77" s="218" t="str">
        <f t="shared" si="260"/>
        <v/>
      </c>
      <c r="BC77" s="218" t="str">
        <f t="shared" si="261"/>
        <v/>
      </c>
      <c r="BD77" s="218" t="str">
        <f t="shared" si="262"/>
        <v/>
      </c>
      <c r="BE77" s="218" t="str">
        <f t="shared" si="263"/>
        <v/>
      </c>
      <c r="BF77" s="218" t="str">
        <f t="shared" si="264"/>
        <v/>
      </c>
      <c r="BG77" s="218" t="str">
        <f t="shared" si="265"/>
        <v/>
      </c>
      <c r="BH77" s="218" t="str">
        <f t="shared" si="266"/>
        <v/>
      </c>
      <c r="BI77" s="218" t="str">
        <f t="shared" si="267"/>
        <v/>
      </c>
      <c r="BJ77" s="218" t="str">
        <f t="shared" si="268"/>
        <v/>
      </c>
      <c r="BK77" s="218" t="str">
        <f t="shared" si="269"/>
        <v/>
      </c>
      <c r="BL77" s="218" t="str">
        <f t="shared" si="270"/>
        <v/>
      </c>
      <c r="BM77" s="218" t="str">
        <f t="shared" si="271"/>
        <v/>
      </c>
      <c r="BN77" s="218" t="str">
        <f t="shared" si="272"/>
        <v/>
      </c>
      <c r="BO77" s="218" t="str">
        <f t="shared" si="273"/>
        <v/>
      </c>
      <c r="BP77" s="218" t="str">
        <f t="shared" si="274"/>
        <v/>
      </c>
      <c r="BQ77" s="218" t="str">
        <f t="shared" si="275"/>
        <v/>
      </c>
      <c r="BR77" s="218" t="str">
        <f t="shared" si="276"/>
        <v/>
      </c>
      <c r="BS77" s="218" t="str">
        <f t="shared" si="277"/>
        <v/>
      </c>
      <c r="BT77" s="218" t="str">
        <f t="shared" si="278"/>
        <v/>
      </c>
      <c r="BU77" s="218" t="str">
        <f t="shared" si="279"/>
        <v/>
      </c>
      <c r="BV77" s="218" t="str">
        <f t="shared" si="280"/>
        <v/>
      </c>
      <c r="BW77" s="218" t="str">
        <f t="shared" si="281"/>
        <v/>
      </c>
      <c r="BX77" s="218" t="str">
        <f t="shared" si="282"/>
        <v/>
      </c>
      <c r="BY77" s="218" t="str">
        <f t="shared" si="283"/>
        <v/>
      </c>
      <c r="BZ77" s="218" t="str">
        <f t="shared" si="284"/>
        <v/>
      </c>
      <c r="CA77" s="218" t="str">
        <f t="shared" si="285"/>
        <v/>
      </c>
      <c r="CB77" s="218" t="str">
        <f t="shared" si="286"/>
        <v/>
      </c>
      <c r="CD77" s="218" t="str">
        <f t="shared" si="287"/>
        <v/>
      </c>
      <c r="CE77" s="218" t="str">
        <f t="shared" si="288"/>
        <v/>
      </c>
      <c r="CF77" s="218" t="str">
        <f t="shared" si="289"/>
        <v/>
      </c>
      <c r="CG77" s="218" t="str">
        <f t="shared" si="290"/>
        <v/>
      </c>
      <c r="CH77" s="218" t="str">
        <f t="shared" si="291"/>
        <v/>
      </c>
      <c r="CI77" s="218" t="str">
        <f t="shared" si="292"/>
        <v/>
      </c>
      <c r="CJ77" s="218" t="str">
        <f t="shared" si="293"/>
        <v/>
      </c>
      <c r="CK77" s="218" t="str">
        <f t="shared" si="294"/>
        <v/>
      </c>
      <c r="CL77" s="218" t="str">
        <f t="shared" si="295"/>
        <v/>
      </c>
      <c r="CM77" s="218" t="str">
        <f t="shared" si="296"/>
        <v/>
      </c>
      <c r="CN77" s="218" t="str">
        <f t="shared" si="297"/>
        <v/>
      </c>
      <c r="CO77" s="218" t="str">
        <f t="shared" si="298"/>
        <v/>
      </c>
      <c r="CP77" s="218" t="str">
        <f t="shared" si="299"/>
        <v/>
      </c>
      <c r="CQ77" s="218" t="str">
        <f t="shared" si="300"/>
        <v/>
      </c>
      <c r="CR77" s="218" t="str">
        <f t="shared" si="301"/>
        <v/>
      </c>
      <c r="CS77" s="218" t="str">
        <f t="shared" si="302"/>
        <v/>
      </c>
      <c r="CT77" s="218" t="str">
        <f t="shared" si="303"/>
        <v/>
      </c>
      <c r="CU77" s="218" t="str">
        <f t="shared" si="304"/>
        <v/>
      </c>
      <c r="CV77" s="218" t="str">
        <f t="shared" si="305"/>
        <v/>
      </c>
      <c r="CW77" s="218" t="str">
        <f t="shared" si="306"/>
        <v/>
      </c>
      <c r="CX77" s="218" t="str">
        <f t="shared" si="307"/>
        <v/>
      </c>
      <c r="CY77" s="218" t="str">
        <f t="shared" si="308"/>
        <v/>
      </c>
      <c r="CZ77" s="218" t="str">
        <f t="shared" si="309"/>
        <v/>
      </c>
      <c r="DA77" s="218" t="str">
        <f t="shared" si="310"/>
        <v/>
      </c>
      <c r="DB77" s="218" t="str">
        <f t="shared" si="442"/>
        <v/>
      </c>
      <c r="DC77" s="218" t="str">
        <f t="shared" si="311"/>
        <v/>
      </c>
      <c r="DD77" s="218" t="str">
        <f t="shared" si="312"/>
        <v/>
      </c>
      <c r="DF77" s="218" t="str">
        <f t="shared" si="313"/>
        <v/>
      </c>
      <c r="DG77" s="218" t="str">
        <f t="shared" si="314"/>
        <v/>
      </c>
      <c r="DH77" s="218" t="str">
        <f t="shared" si="315"/>
        <v/>
      </c>
      <c r="DI77" s="218" t="str">
        <f t="shared" si="316"/>
        <v/>
      </c>
      <c r="DJ77" s="218" t="str">
        <f t="shared" si="317"/>
        <v/>
      </c>
      <c r="DK77" s="218" t="str">
        <f t="shared" si="318"/>
        <v/>
      </c>
      <c r="DL77" s="218" t="str">
        <f t="shared" si="319"/>
        <v/>
      </c>
      <c r="DM77" s="218" t="str">
        <f t="shared" si="320"/>
        <v/>
      </c>
      <c r="DN77" s="218" t="str">
        <f t="shared" si="321"/>
        <v/>
      </c>
      <c r="DO77" s="218" t="str">
        <f t="shared" si="322"/>
        <v/>
      </c>
      <c r="DP77" s="218" t="str">
        <f t="shared" si="323"/>
        <v/>
      </c>
      <c r="DQ77" s="218" t="str">
        <f t="shared" si="324"/>
        <v/>
      </c>
      <c r="DR77" s="218" t="str">
        <f t="shared" si="325"/>
        <v/>
      </c>
      <c r="DS77" s="218" t="str">
        <f t="shared" si="326"/>
        <v/>
      </c>
      <c r="DT77" s="218" t="str">
        <f t="shared" si="327"/>
        <v/>
      </c>
      <c r="DU77" s="218" t="str">
        <f t="shared" si="328"/>
        <v/>
      </c>
      <c r="DV77" s="218" t="str">
        <f t="shared" si="329"/>
        <v/>
      </c>
      <c r="DW77" s="218" t="str">
        <f t="shared" si="330"/>
        <v/>
      </c>
      <c r="DX77" s="218" t="str">
        <f t="shared" si="331"/>
        <v/>
      </c>
      <c r="DY77" s="218" t="str">
        <f t="shared" si="332"/>
        <v/>
      </c>
      <c r="DZ77" s="218" t="str">
        <f t="shared" si="333"/>
        <v/>
      </c>
      <c r="EA77" s="218" t="str">
        <f t="shared" si="334"/>
        <v/>
      </c>
      <c r="EB77" s="218" t="str">
        <f t="shared" si="335"/>
        <v/>
      </c>
      <c r="EC77" s="218" t="str">
        <f t="shared" si="336"/>
        <v/>
      </c>
      <c r="EE77" s="218" t="str">
        <f t="shared" si="337"/>
        <v/>
      </c>
      <c r="EF77" s="218" t="str">
        <f t="shared" si="338"/>
        <v/>
      </c>
      <c r="EG77" s="218" t="str">
        <f t="shared" si="339"/>
        <v/>
      </c>
      <c r="EH77" s="218" t="str">
        <f t="shared" si="340"/>
        <v/>
      </c>
      <c r="EI77" s="218" t="str">
        <f t="shared" si="341"/>
        <v/>
      </c>
      <c r="EJ77" s="218" t="str">
        <f t="shared" si="342"/>
        <v/>
      </c>
      <c r="EK77" s="218" t="str">
        <f t="shared" si="343"/>
        <v/>
      </c>
      <c r="EL77" s="218" t="str">
        <f t="shared" si="344"/>
        <v/>
      </c>
      <c r="EM77" s="218" t="str">
        <f t="shared" si="345"/>
        <v/>
      </c>
      <c r="EN77" s="218" t="str">
        <f t="shared" si="346"/>
        <v/>
      </c>
      <c r="EO77" s="218" t="str">
        <f t="shared" si="347"/>
        <v/>
      </c>
      <c r="EP77" s="218" t="str">
        <f t="shared" si="348"/>
        <v/>
      </c>
      <c r="EQ77" s="218" t="str">
        <f t="shared" si="349"/>
        <v/>
      </c>
      <c r="ER77" s="218" t="str">
        <f t="shared" si="350"/>
        <v/>
      </c>
      <c r="ES77" s="218" t="str">
        <f t="shared" si="351"/>
        <v/>
      </c>
      <c r="ET77" s="218" t="str">
        <f t="shared" si="352"/>
        <v/>
      </c>
      <c r="EU77" s="218" t="str">
        <f t="shared" si="353"/>
        <v/>
      </c>
      <c r="EV77" s="218" t="str">
        <f t="shared" si="354"/>
        <v/>
      </c>
      <c r="EW77" s="218" t="str">
        <f t="shared" si="355"/>
        <v/>
      </c>
      <c r="EX77" s="218" t="str">
        <f t="shared" si="356"/>
        <v/>
      </c>
      <c r="EY77" s="218" t="str">
        <f t="shared" si="357"/>
        <v/>
      </c>
      <c r="FA77" s="218" t="str">
        <f t="shared" si="358"/>
        <v/>
      </c>
      <c r="FB77" s="218" t="str">
        <f t="shared" si="359"/>
        <v/>
      </c>
      <c r="FC77" s="218" t="str">
        <f t="shared" si="360"/>
        <v/>
      </c>
      <c r="FD77" s="218" t="str">
        <f t="shared" si="361"/>
        <v/>
      </c>
      <c r="FE77" s="218" t="str">
        <f t="shared" si="362"/>
        <v/>
      </c>
      <c r="FF77" s="218" t="str">
        <f t="shared" si="363"/>
        <v/>
      </c>
      <c r="FG77" s="218" t="str">
        <f t="shared" si="364"/>
        <v/>
      </c>
      <c r="FH77" s="218" t="str">
        <f t="shared" si="365"/>
        <v/>
      </c>
      <c r="FI77" s="218" t="str">
        <f t="shared" si="366"/>
        <v/>
      </c>
      <c r="FJ77" s="218" t="str">
        <f t="shared" si="367"/>
        <v/>
      </c>
      <c r="FK77" s="218" t="str">
        <f t="shared" si="368"/>
        <v/>
      </c>
      <c r="FL77" s="218" t="str">
        <f t="shared" si="369"/>
        <v/>
      </c>
      <c r="FM77" s="218" t="str">
        <f t="shared" si="370"/>
        <v/>
      </c>
      <c r="FN77" s="218" t="str">
        <f t="shared" si="371"/>
        <v/>
      </c>
      <c r="FO77" s="218" t="str">
        <f t="shared" si="372"/>
        <v/>
      </c>
      <c r="FP77" s="218" t="str">
        <f t="shared" si="373"/>
        <v/>
      </c>
      <c r="FQ77" s="218" t="str">
        <f t="shared" si="374"/>
        <v/>
      </c>
      <c r="FR77" s="218" t="str">
        <f t="shared" si="375"/>
        <v/>
      </c>
      <c r="FT77" s="218" t="str">
        <f t="shared" si="376"/>
        <v/>
      </c>
      <c r="FU77" s="218" t="str">
        <f t="shared" si="377"/>
        <v/>
      </c>
      <c r="FV77" s="218" t="str">
        <f t="shared" si="378"/>
        <v/>
      </c>
      <c r="FW77" s="218" t="str">
        <f t="shared" si="379"/>
        <v/>
      </c>
      <c r="FX77" s="218" t="str">
        <f t="shared" si="380"/>
        <v/>
      </c>
      <c r="FY77" s="218" t="str">
        <f t="shared" si="381"/>
        <v/>
      </c>
      <c r="FZ77" s="218" t="str">
        <f t="shared" si="382"/>
        <v/>
      </c>
      <c r="GA77" s="218" t="str">
        <f t="shared" si="383"/>
        <v/>
      </c>
      <c r="GB77" s="218" t="str">
        <f t="shared" si="384"/>
        <v/>
      </c>
      <c r="GC77" s="218" t="str">
        <f t="shared" si="385"/>
        <v/>
      </c>
      <c r="GD77" s="218" t="str">
        <f t="shared" si="386"/>
        <v/>
      </c>
      <c r="GE77" s="218" t="str">
        <f t="shared" si="387"/>
        <v/>
      </c>
      <c r="GF77" s="218" t="str">
        <f t="shared" si="388"/>
        <v/>
      </c>
      <c r="GG77" s="218" t="str">
        <f t="shared" si="389"/>
        <v/>
      </c>
      <c r="GH77" s="218" t="str">
        <f t="shared" si="390"/>
        <v/>
      </c>
      <c r="GJ77" s="218" t="str">
        <f t="shared" si="391"/>
        <v/>
      </c>
      <c r="GK77" s="218" t="str">
        <f t="shared" si="392"/>
        <v/>
      </c>
      <c r="GL77" s="218" t="str">
        <f t="shared" si="393"/>
        <v/>
      </c>
      <c r="GM77" s="218" t="str">
        <f t="shared" si="394"/>
        <v/>
      </c>
      <c r="GN77" s="218" t="str">
        <f t="shared" si="395"/>
        <v/>
      </c>
      <c r="GO77" s="218" t="str">
        <f t="shared" si="396"/>
        <v/>
      </c>
      <c r="GP77" s="218" t="str">
        <f t="shared" si="397"/>
        <v/>
      </c>
      <c r="GQ77" s="218" t="str">
        <f t="shared" si="398"/>
        <v/>
      </c>
      <c r="GR77" s="218" t="str">
        <f t="shared" si="399"/>
        <v/>
      </c>
      <c r="GS77" s="218" t="str">
        <f t="shared" si="400"/>
        <v/>
      </c>
      <c r="GT77" s="218" t="str">
        <f t="shared" si="401"/>
        <v/>
      </c>
      <c r="GU77" s="218" t="str">
        <f t="shared" si="402"/>
        <v/>
      </c>
      <c r="GW77" s="218" t="str">
        <f t="shared" si="403"/>
        <v/>
      </c>
      <c r="GX77" s="218" t="str">
        <f t="shared" si="404"/>
        <v/>
      </c>
      <c r="GY77" s="218" t="str">
        <f t="shared" si="405"/>
        <v/>
      </c>
      <c r="GZ77" s="218" t="str">
        <f t="shared" si="406"/>
        <v/>
      </c>
      <c r="HA77" s="218" t="str">
        <f t="shared" si="407"/>
        <v/>
      </c>
      <c r="HB77" s="218" t="str">
        <f t="shared" si="408"/>
        <v/>
      </c>
      <c r="HC77" s="218" t="str">
        <f t="shared" si="409"/>
        <v/>
      </c>
      <c r="HD77" s="218" t="str">
        <f t="shared" si="410"/>
        <v/>
      </c>
      <c r="HE77" s="218" t="str">
        <f t="shared" si="411"/>
        <v/>
      </c>
      <c r="HG77" s="218" t="str">
        <f t="shared" si="412"/>
        <v/>
      </c>
      <c r="HH77" s="218" t="str">
        <f t="shared" si="413"/>
        <v/>
      </c>
      <c r="HI77" s="218" t="str">
        <f t="shared" si="414"/>
        <v/>
      </c>
      <c r="HJ77" s="218" t="str">
        <f t="shared" si="415"/>
        <v/>
      </c>
      <c r="HK77" s="218" t="str">
        <f t="shared" si="416"/>
        <v/>
      </c>
      <c r="HL77" s="218" t="str">
        <f t="shared" si="417"/>
        <v/>
      </c>
      <c r="HN77" s="218" t="str">
        <f t="shared" si="418"/>
        <v/>
      </c>
      <c r="HO77" s="218" t="str">
        <f t="shared" si="419"/>
        <v/>
      </c>
      <c r="HP77" s="218" t="str">
        <f t="shared" si="420"/>
        <v/>
      </c>
      <c r="HR77" s="218" t="str">
        <f t="shared" si="421"/>
        <v/>
      </c>
      <c r="HS77" s="218" t="str">
        <f t="shared" si="443"/>
        <v/>
      </c>
      <c r="HT77" s="218" t="str">
        <f t="shared" si="422"/>
        <v/>
      </c>
      <c r="HU77" s="218" t="str">
        <f t="shared" si="444"/>
        <v/>
      </c>
      <c r="HV77" s="218" t="str">
        <f t="shared" si="423"/>
        <v/>
      </c>
      <c r="HW77" s="218" t="str">
        <f t="shared" si="424"/>
        <v/>
      </c>
      <c r="HX77" s="218" t="str">
        <f t="shared" si="425"/>
        <v/>
      </c>
      <c r="HY77" s="218" t="str">
        <f t="shared" si="445"/>
        <v/>
      </c>
      <c r="HZ77" s="218" t="str">
        <f t="shared" si="426"/>
        <v/>
      </c>
      <c r="IA77" s="218" t="str">
        <f t="shared" si="427"/>
        <v/>
      </c>
      <c r="IB77" s="218" t="str">
        <f t="shared" si="446"/>
        <v/>
      </c>
      <c r="IC77" s="218" t="str">
        <f t="shared" si="428"/>
        <v/>
      </c>
      <c r="ID77" s="218" t="str">
        <f t="shared" si="429"/>
        <v/>
      </c>
      <c r="IE77" s="218" t="str">
        <f t="shared" si="447"/>
        <v/>
      </c>
      <c r="IF77" s="218" t="str">
        <f t="shared" si="430"/>
        <v/>
      </c>
      <c r="IG77" s="218" t="str">
        <f t="shared" si="431"/>
        <v/>
      </c>
      <c r="IH77" s="218" t="str">
        <f t="shared" si="448"/>
        <v/>
      </c>
      <c r="II77" s="218" t="str">
        <f t="shared" si="432"/>
        <v/>
      </c>
      <c r="IJ77" s="218" t="str">
        <f t="shared" si="433"/>
        <v/>
      </c>
      <c r="IK77" s="218" t="str">
        <f t="shared" si="449"/>
        <v/>
      </c>
      <c r="IL77" s="218" t="str">
        <f t="shared" si="434"/>
        <v/>
      </c>
      <c r="IM77" s="218" t="str">
        <f t="shared" si="435"/>
        <v/>
      </c>
      <c r="IN77" s="218" t="str">
        <f t="shared" si="450"/>
        <v/>
      </c>
      <c r="IO77" s="218" t="str">
        <f t="shared" si="436"/>
        <v/>
      </c>
      <c r="IP77" s="218" t="str">
        <f t="shared" si="437"/>
        <v/>
      </c>
      <c r="IQ77" s="218" t="str">
        <f t="shared" si="451"/>
        <v/>
      </c>
      <c r="IR77" s="218" t="str">
        <f t="shared" si="438"/>
        <v/>
      </c>
      <c r="IS77" s="218" t="str">
        <f t="shared" si="439"/>
        <v/>
      </c>
      <c r="IT77" s="218" t="str">
        <f t="shared" si="452"/>
        <v/>
      </c>
      <c r="IU77" s="218" t="str">
        <f t="shared" si="440"/>
        <v/>
      </c>
    </row>
    <row r="78" spans="1:255" x14ac:dyDescent="0.2">
      <c r="A78" s="200" t="s">
        <v>81</v>
      </c>
      <c r="B78" s="178"/>
      <c r="C78" s="179"/>
      <c r="D78" s="181"/>
      <c r="E78" s="181"/>
      <c r="F78" s="181"/>
      <c r="G78" s="181"/>
      <c r="H78" s="181"/>
      <c r="I78" s="181"/>
      <c r="J78" s="181"/>
      <c r="K78" s="183"/>
      <c r="L78" s="217" t="str">
        <f t="shared" si="441"/>
        <v/>
      </c>
      <c r="M78" s="218" t="str">
        <f>'HKG vs. BK'!M78</f>
        <v/>
      </c>
      <c r="N78" s="218" t="str">
        <f>'HKG vs. BK'!N78</f>
        <v/>
      </c>
      <c r="O78" s="218" t="str">
        <f>'HKG vs. BK'!O78</f>
        <v/>
      </c>
      <c r="P78" s="218" t="str">
        <f>'HKG vs. BK'!P78</f>
        <v/>
      </c>
      <c r="Q78" s="219" t="str">
        <f t="shared" si="227"/>
        <v/>
      </c>
      <c r="R78" s="220" t="str">
        <f t="shared" si="228"/>
        <v/>
      </c>
      <c r="S78" s="220" t="str">
        <f t="shared" si="229"/>
        <v/>
      </c>
      <c r="T78" s="219" t="str">
        <f t="shared" si="230"/>
        <v/>
      </c>
      <c r="U78" s="220" t="str">
        <f t="shared" si="231"/>
        <v/>
      </c>
      <c r="V78" s="220" t="str">
        <f t="shared" si="232"/>
        <v/>
      </c>
      <c r="W78" s="219" t="str">
        <f t="shared" si="233"/>
        <v/>
      </c>
      <c r="X78" s="220" t="str">
        <f t="shared" si="234"/>
        <v/>
      </c>
      <c r="Y78" s="220" t="str">
        <f t="shared" si="235"/>
        <v/>
      </c>
      <c r="Z78" s="219" t="str">
        <f t="shared" si="236"/>
        <v/>
      </c>
      <c r="AA78" s="220" t="str">
        <f t="shared" si="237"/>
        <v/>
      </c>
      <c r="AB78" s="220" t="str">
        <f t="shared" si="238"/>
        <v/>
      </c>
      <c r="AC78" s="219" t="str">
        <f t="shared" si="239"/>
        <v/>
      </c>
      <c r="AD78" s="220" t="str">
        <f t="shared" si="240"/>
        <v/>
      </c>
      <c r="AE78" s="220" t="str">
        <f t="shared" si="241"/>
        <v/>
      </c>
      <c r="AF78" s="219" t="str">
        <f t="shared" si="242"/>
        <v/>
      </c>
      <c r="AG78" s="220" t="str">
        <f t="shared" si="243"/>
        <v/>
      </c>
      <c r="AH78" s="220" t="str">
        <f t="shared" si="244"/>
        <v/>
      </c>
      <c r="AI78" s="219" t="str">
        <f t="shared" si="245"/>
        <v/>
      </c>
      <c r="AJ78" s="220" t="str">
        <f t="shared" si="246"/>
        <v/>
      </c>
      <c r="AK78" s="220" t="str">
        <f t="shared" si="247"/>
        <v/>
      </c>
      <c r="AL78" s="219" t="str">
        <f t="shared" si="248"/>
        <v/>
      </c>
      <c r="AM78" s="220" t="str">
        <f t="shared" si="249"/>
        <v/>
      </c>
      <c r="AN78" s="220" t="str">
        <f t="shared" si="250"/>
        <v/>
      </c>
      <c r="AO78" s="219" t="str">
        <f t="shared" si="251"/>
        <v/>
      </c>
      <c r="AP78" s="220" t="str">
        <f t="shared" si="252"/>
        <v/>
      </c>
      <c r="AQ78" s="220" t="str">
        <f t="shared" si="253"/>
        <v/>
      </c>
      <c r="AR78" s="219" t="str">
        <f t="shared" si="254"/>
        <v/>
      </c>
      <c r="AS78" s="220" t="str">
        <f t="shared" si="255"/>
        <v/>
      </c>
      <c r="AT78" s="220" t="str">
        <f t="shared" si="256"/>
        <v/>
      </c>
      <c r="AU78" s="221"/>
      <c r="AV78" s="221"/>
      <c r="AW78" s="221"/>
      <c r="AY78" s="218" t="str">
        <f t="shared" si="257"/>
        <v/>
      </c>
      <c r="AZ78" s="218" t="str">
        <f t="shared" si="258"/>
        <v/>
      </c>
      <c r="BA78" s="218" t="str">
        <f t="shared" si="259"/>
        <v/>
      </c>
      <c r="BB78" s="218" t="str">
        <f t="shared" si="260"/>
        <v/>
      </c>
      <c r="BC78" s="218" t="str">
        <f t="shared" si="261"/>
        <v/>
      </c>
      <c r="BD78" s="218" t="str">
        <f t="shared" si="262"/>
        <v/>
      </c>
      <c r="BE78" s="218" t="str">
        <f t="shared" si="263"/>
        <v/>
      </c>
      <c r="BF78" s="218" t="str">
        <f t="shared" si="264"/>
        <v/>
      </c>
      <c r="BG78" s="218" t="str">
        <f t="shared" si="265"/>
        <v/>
      </c>
      <c r="BH78" s="218" t="str">
        <f t="shared" si="266"/>
        <v/>
      </c>
      <c r="BI78" s="218" t="str">
        <f t="shared" si="267"/>
        <v/>
      </c>
      <c r="BJ78" s="218" t="str">
        <f t="shared" si="268"/>
        <v/>
      </c>
      <c r="BK78" s="218" t="str">
        <f t="shared" si="269"/>
        <v/>
      </c>
      <c r="BL78" s="218" t="str">
        <f t="shared" si="270"/>
        <v/>
      </c>
      <c r="BM78" s="218" t="str">
        <f t="shared" si="271"/>
        <v/>
      </c>
      <c r="BN78" s="218" t="str">
        <f t="shared" si="272"/>
        <v/>
      </c>
      <c r="BO78" s="218" t="str">
        <f t="shared" si="273"/>
        <v/>
      </c>
      <c r="BP78" s="218" t="str">
        <f t="shared" si="274"/>
        <v/>
      </c>
      <c r="BQ78" s="218" t="str">
        <f t="shared" si="275"/>
        <v/>
      </c>
      <c r="BR78" s="218" t="str">
        <f t="shared" si="276"/>
        <v/>
      </c>
      <c r="BS78" s="218" t="str">
        <f t="shared" si="277"/>
        <v/>
      </c>
      <c r="BT78" s="218" t="str">
        <f t="shared" si="278"/>
        <v/>
      </c>
      <c r="BU78" s="218" t="str">
        <f t="shared" si="279"/>
        <v/>
      </c>
      <c r="BV78" s="218" t="str">
        <f t="shared" si="280"/>
        <v/>
      </c>
      <c r="BW78" s="218" t="str">
        <f t="shared" si="281"/>
        <v/>
      </c>
      <c r="BX78" s="218" t="str">
        <f t="shared" si="282"/>
        <v/>
      </c>
      <c r="BY78" s="218" t="str">
        <f t="shared" si="283"/>
        <v/>
      </c>
      <c r="BZ78" s="218" t="str">
        <f t="shared" si="284"/>
        <v/>
      </c>
      <c r="CA78" s="218" t="str">
        <f t="shared" si="285"/>
        <v/>
      </c>
      <c r="CB78" s="218" t="str">
        <f t="shared" si="286"/>
        <v/>
      </c>
      <c r="CD78" s="218" t="str">
        <f t="shared" si="287"/>
        <v/>
      </c>
      <c r="CE78" s="218" t="str">
        <f t="shared" si="288"/>
        <v/>
      </c>
      <c r="CF78" s="218" t="str">
        <f t="shared" si="289"/>
        <v/>
      </c>
      <c r="CG78" s="218" t="str">
        <f t="shared" si="290"/>
        <v/>
      </c>
      <c r="CH78" s="218" t="str">
        <f t="shared" si="291"/>
        <v/>
      </c>
      <c r="CI78" s="218" t="str">
        <f t="shared" si="292"/>
        <v/>
      </c>
      <c r="CJ78" s="218" t="str">
        <f t="shared" si="293"/>
        <v/>
      </c>
      <c r="CK78" s="218" t="str">
        <f t="shared" si="294"/>
        <v/>
      </c>
      <c r="CL78" s="218" t="str">
        <f t="shared" si="295"/>
        <v/>
      </c>
      <c r="CM78" s="218" t="str">
        <f t="shared" si="296"/>
        <v/>
      </c>
      <c r="CN78" s="218" t="str">
        <f t="shared" si="297"/>
        <v/>
      </c>
      <c r="CO78" s="218" t="str">
        <f t="shared" si="298"/>
        <v/>
      </c>
      <c r="CP78" s="218" t="str">
        <f t="shared" si="299"/>
        <v/>
      </c>
      <c r="CQ78" s="218" t="str">
        <f t="shared" si="300"/>
        <v/>
      </c>
      <c r="CR78" s="218" t="str">
        <f t="shared" si="301"/>
        <v/>
      </c>
      <c r="CS78" s="218" t="str">
        <f t="shared" si="302"/>
        <v/>
      </c>
      <c r="CT78" s="218" t="str">
        <f t="shared" si="303"/>
        <v/>
      </c>
      <c r="CU78" s="218" t="str">
        <f t="shared" si="304"/>
        <v/>
      </c>
      <c r="CV78" s="218" t="str">
        <f t="shared" si="305"/>
        <v/>
      </c>
      <c r="CW78" s="218" t="str">
        <f t="shared" si="306"/>
        <v/>
      </c>
      <c r="CX78" s="218" t="str">
        <f t="shared" si="307"/>
        <v/>
      </c>
      <c r="CY78" s="218" t="str">
        <f t="shared" si="308"/>
        <v/>
      </c>
      <c r="CZ78" s="218" t="str">
        <f t="shared" si="309"/>
        <v/>
      </c>
      <c r="DA78" s="218" t="str">
        <f t="shared" si="310"/>
        <v/>
      </c>
      <c r="DB78" s="218" t="str">
        <f t="shared" si="442"/>
        <v/>
      </c>
      <c r="DC78" s="218" t="str">
        <f t="shared" si="311"/>
        <v/>
      </c>
      <c r="DD78" s="218" t="str">
        <f t="shared" si="312"/>
        <v/>
      </c>
      <c r="DF78" s="218" t="str">
        <f t="shared" si="313"/>
        <v/>
      </c>
      <c r="DG78" s="218" t="str">
        <f t="shared" si="314"/>
        <v/>
      </c>
      <c r="DH78" s="218" t="str">
        <f t="shared" si="315"/>
        <v/>
      </c>
      <c r="DI78" s="218" t="str">
        <f t="shared" si="316"/>
        <v/>
      </c>
      <c r="DJ78" s="218" t="str">
        <f t="shared" si="317"/>
        <v/>
      </c>
      <c r="DK78" s="218" t="str">
        <f t="shared" si="318"/>
        <v/>
      </c>
      <c r="DL78" s="218" t="str">
        <f t="shared" si="319"/>
        <v/>
      </c>
      <c r="DM78" s="218" t="str">
        <f t="shared" si="320"/>
        <v/>
      </c>
      <c r="DN78" s="218" t="str">
        <f t="shared" si="321"/>
        <v/>
      </c>
      <c r="DO78" s="218" t="str">
        <f t="shared" si="322"/>
        <v/>
      </c>
      <c r="DP78" s="218" t="str">
        <f t="shared" si="323"/>
        <v/>
      </c>
      <c r="DQ78" s="218" t="str">
        <f t="shared" si="324"/>
        <v/>
      </c>
      <c r="DR78" s="218" t="str">
        <f t="shared" si="325"/>
        <v/>
      </c>
      <c r="DS78" s="218" t="str">
        <f t="shared" si="326"/>
        <v/>
      </c>
      <c r="DT78" s="218" t="str">
        <f t="shared" si="327"/>
        <v/>
      </c>
      <c r="DU78" s="218" t="str">
        <f t="shared" si="328"/>
        <v/>
      </c>
      <c r="DV78" s="218" t="str">
        <f t="shared" si="329"/>
        <v/>
      </c>
      <c r="DW78" s="218" t="str">
        <f t="shared" si="330"/>
        <v/>
      </c>
      <c r="DX78" s="218" t="str">
        <f t="shared" si="331"/>
        <v/>
      </c>
      <c r="DY78" s="218" t="str">
        <f t="shared" si="332"/>
        <v/>
      </c>
      <c r="DZ78" s="218" t="str">
        <f t="shared" si="333"/>
        <v/>
      </c>
      <c r="EA78" s="218" t="str">
        <f t="shared" si="334"/>
        <v/>
      </c>
      <c r="EB78" s="218" t="str">
        <f t="shared" si="335"/>
        <v/>
      </c>
      <c r="EC78" s="218" t="str">
        <f t="shared" si="336"/>
        <v/>
      </c>
      <c r="EE78" s="218" t="str">
        <f t="shared" si="337"/>
        <v/>
      </c>
      <c r="EF78" s="218" t="str">
        <f t="shared" si="338"/>
        <v/>
      </c>
      <c r="EG78" s="218" t="str">
        <f t="shared" si="339"/>
        <v/>
      </c>
      <c r="EH78" s="218" t="str">
        <f t="shared" si="340"/>
        <v/>
      </c>
      <c r="EI78" s="218" t="str">
        <f t="shared" si="341"/>
        <v/>
      </c>
      <c r="EJ78" s="218" t="str">
        <f t="shared" si="342"/>
        <v/>
      </c>
      <c r="EK78" s="218" t="str">
        <f t="shared" si="343"/>
        <v/>
      </c>
      <c r="EL78" s="218" t="str">
        <f t="shared" si="344"/>
        <v/>
      </c>
      <c r="EM78" s="218" t="str">
        <f t="shared" si="345"/>
        <v/>
      </c>
      <c r="EN78" s="218" t="str">
        <f t="shared" si="346"/>
        <v/>
      </c>
      <c r="EO78" s="218" t="str">
        <f t="shared" si="347"/>
        <v/>
      </c>
      <c r="EP78" s="218" t="str">
        <f t="shared" si="348"/>
        <v/>
      </c>
      <c r="EQ78" s="218" t="str">
        <f t="shared" si="349"/>
        <v/>
      </c>
      <c r="ER78" s="218" t="str">
        <f t="shared" si="350"/>
        <v/>
      </c>
      <c r="ES78" s="218" t="str">
        <f t="shared" si="351"/>
        <v/>
      </c>
      <c r="ET78" s="218" t="str">
        <f t="shared" si="352"/>
        <v/>
      </c>
      <c r="EU78" s="218" t="str">
        <f t="shared" si="353"/>
        <v/>
      </c>
      <c r="EV78" s="218" t="str">
        <f t="shared" si="354"/>
        <v/>
      </c>
      <c r="EW78" s="218" t="str">
        <f t="shared" si="355"/>
        <v/>
      </c>
      <c r="EX78" s="218" t="str">
        <f t="shared" si="356"/>
        <v/>
      </c>
      <c r="EY78" s="218" t="str">
        <f t="shared" si="357"/>
        <v/>
      </c>
      <c r="FA78" s="218" t="str">
        <f t="shared" si="358"/>
        <v/>
      </c>
      <c r="FB78" s="218" t="str">
        <f t="shared" si="359"/>
        <v/>
      </c>
      <c r="FC78" s="218" t="str">
        <f t="shared" si="360"/>
        <v/>
      </c>
      <c r="FD78" s="218" t="str">
        <f t="shared" si="361"/>
        <v/>
      </c>
      <c r="FE78" s="218" t="str">
        <f t="shared" si="362"/>
        <v/>
      </c>
      <c r="FF78" s="218" t="str">
        <f t="shared" si="363"/>
        <v/>
      </c>
      <c r="FG78" s="218" t="str">
        <f t="shared" si="364"/>
        <v/>
      </c>
      <c r="FH78" s="218" t="str">
        <f t="shared" si="365"/>
        <v/>
      </c>
      <c r="FI78" s="218" t="str">
        <f t="shared" si="366"/>
        <v/>
      </c>
      <c r="FJ78" s="218" t="str">
        <f t="shared" si="367"/>
        <v/>
      </c>
      <c r="FK78" s="218" t="str">
        <f t="shared" si="368"/>
        <v/>
      </c>
      <c r="FL78" s="218" t="str">
        <f t="shared" si="369"/>
        <v/>
      </c>
      <c r="FM78" s="218" t="str">
        <f t="shared" si="370"/>
        <v/>
      </c>
      <c r="FN78" s="218" t="str">
        <f t="shared" si="371"/>
        <v/>
      </c>
      <c r="FO78" s="218" t="str">
        <f t="shared" si="372"/>
        <v/>
      </c>
      <c r="FP78" s="218" t="str">
        <f t="shared" si="373"/>
        <v/>
      </c>
      <c r="FQ78" s="218" t="str">
        <f t="shared" si="374"/>
        <v/>
      </c>
      <c r="FR78" s="218" t="str">
        <f t="shared" si="375"/>
        <v/>
      </c>
      <c r="FT78" s="218" t="str">
        <f t="shared" si="376"/>
        <v/>
      </c>
      <c r="FU78" s="218" t="str">
        <f t="shared" si="377"/>
        <v/>
      </c>
      <c r="FV78" s="218" t="str">
        <f t="shared" si="378"/>
        <v/>
      </c>
      <c r="FW78" s="218" t="str">
        <f t="shared" si="379"/>
        <v/>
      </c>
      <c r="FX78" s="218" t="str">
        <f t="shared" si="380"/>
        <v/>
      </c>
      <c r="FY78" s="218" t="str">
        <f t="shared" si="381"/>
        <v/>
      </c>
      <c r="FZ78" s="218" t="str">
        <f t="shared" si="382"/>
        <v/>
      </c>
      <c r="GA78" s="218" t="str">
        <f t="shared" si="383"/>
        <v/>
      </c>
      <c r="GB78" s="218" t="str">
        <f t="shared" si="384"/>
        <v/>
      </c>
      <c r="GC78" s="218" t="str">
        <f t="shared" si="385"/>
        <v/>
      </c>
      <c r="GD78" s="218" t="str">
        <f t="shared" si="386"/>
        <v/>
      </c>
      <c r="GE78" s="218" t="str">
        <f t="shared" si="387"/>
        <v/>
      </c>
      <c r="GF78" s="218" t="str">
        <f t="shared" si="388"/>
        <v/>
      </c>
      <c r="GG78" s="218" t="str">
        <f t="shared" si="389"/>
        <v/>
      </c>
      <c r="GH78" s="218" t="str">
        <f t="shared" si="390"/>
        <v/>
      </c>
      <c r="GJ78" s="218" t="str">
        <f t="shared" si="391"/>
        <v/>
      </c>
      <c r="GK78" s="218" t="str">
        <f t="shared" si="392"/>
        <v/>
      </c>
      <c r="GL78" s="218" t="str">
        <f t="shared" si="393"/>
        <v/>
      </c>
      <c r="GM78" s="218" t="str">
        <f t="shared" si="394"/>
        <v/>
      </c>
      <c r="GN78" s="218" t="str">
        <f t="shared" si="395"/>
        <v/>
      </c>
      <c r="GO78" s="218" t="str">
        <f t="shared" si="396"/>
        <v/>
      </c>
      <c r="GP78" s="218" t="str">
        <f t="shared" si="397"/>
        <v/>
      </c>
      <c r="GQ78" s="218" t="str">
        <f t="shared" si="398"/>
        <v/>
      </c>
      <c r="GR78" s="218" t="str">
        <f t="shared" si="399"/>
        <v/>
      </c>
      <c r="GS78" s="218" t="str">
        <f t="shared" si="400"/>
        <v/>
      </c>
      <c r="GT78" s="218" t="str">
        <f t="shared" si="401"/>
        <v/>
      </c>
      <c r="GU78" s="218" t="str">
        <f t="shared" si="402"/>
        <v/>
      </c>
      <c r="GW78" s="218" t="str">
        <f t="shared" si="403"/>
        <v/>
      </c>
      <c r="GX78" s="218" t="str">
        <f t="shared" si="404"/>
        <v/>
      </c>
      <c r="GY78" s="218" t="str">
        <f t="shared" si="405"/>
        <v/>
      </c>
      <c r="GZ78" s="218" t="str">
        <f t="shared" si="406"/>
        <v/>
      </c>
      <c r="HA78" s="218" t="str">
        <f t="shared" si="407"/>
        <v/>
      </c>
      <c r="HB78" s="218" t="str">
        <f t="shared" si="408"/>
        <v/>
      </c>
      <c r="HC78" s="218" t="str">
        <f t="shared" si="409"/>
        <v/>
      </c>
      <c r="HD78" s="218" t="str">
        <f t="shared" si="410"/>
        <v/>
      </c>
      <c r="HE78" s="218" t="str">
        <f t="shared" si="411"/>
        <v/>
      </c>
      <c r="HG78" s="218" t="str">
        <f t="shared" si="412"/>
        <v/>
      </c>
      <c r="HH78" s="218" t="str">
        <f t="shared" si="413"/>
        <v/>
      </c>
      <c r="HI78" s="218" t="str">
        <f t="shared" si="414"/>
        <v/>
      </c>
      <c r="HJ78" s="218" t="str">
        <f t="shared" si="415"/>
        <v/>
      </c>
      <c r="HK78" s="218" t="str">
        <f t="shared" si="416"/>
        <v/>
      </c>
      <c r="HL78" s="218" t="str">
        <f t="shared" si="417"/>
        <v/>
      </c>
      <c r="HN78" s="218" t="str">
        <f t="shared" si="418"/>
        <v/>
      </c>
      <c r="HO78" s="218" t="str">
        <f t="shared" si="419"/>
        <v/>
      </c>
      <c r="HP78" s="218" t="str">
        <f t="shared" si="420"/>
        <v/>
      </c>
      <c r="HR78" s="218" t="str">
        <f t="shared" si="421"/>
        <v/>
      </c>
      <c r="HS78" s="218" t="str">
        <f t="shared" si="443"/>
        <v/>
      </c>
      <c r="HT78" s="218" t="str">
        <f t="shared" si="422"/>
        <v/>
      </c>
      <c r="HU78" s="218" t="str">
        <f t="shared" si="444"/>
        <v/>
      </c>
      <c r="HV78" s="218" t="str">
        <f t="shared" si="423"/>
        <v/>
      </c>
      <c r="HW78" s="218" t="str">
        <f t="shared" si="424"/>
        <v/>
      </c>
      <c r="HX78" s="218" t="str">
        <f t="shared" si="425"/>
        <v/>
      </c>
      <c r="HY78" s="218" t="str">
        <f t="shared" si="445"/>
        <v/>
      </c>
      <c r="HZ78" s="218" t="str">
        <f t="shared" si="426"/>
        <v/>
      </c>
      <c r="IA78" s="218" t="str">
        <f t="shared" si="427"/>
        <v/>
      </c>
      <c r="IB78" s="218" t="str">
        <f t="shared" si="446"/>
        <v/>
      </c>
      <c r="IC78" s="218" t="str">
        <f t="shared" si="428"/>
        <v/>
      </c>
      <c r="ID78" s="218" t="str">
        <f t="shared" si="429"/>
        <v/>
      </c>
      <c r="IE78" s="218" t="str">
        <f t="shared" si="447"/>
        <v/>
      </c>
      <c r="IF78" s="218" t="str">
        <f t="shared" si="430"/>
        <v/>
      </c>
      <c r="IG78" s="218" t="str">
        <f t="shared" si="431"/>
        <v/>
      </c>
      <c r="IH78" s="218" t="str">
        <f t="shared" si="448"/>
        <v/>
      </c>
      <c r="II78" s="218" t="str">
        <f t="shared" si="432"/>
        <v/>
      </c>
      <c r="IJ78" s="218" t="str">
        <f t="shared" si="433"/>
        <v/>
      </c>
      <c r="IK78" s="218" t="str">
        <f t="shared" si="449"/>
        <v/>
      </c>
      <c r="IL78" s="218" t="str">
        <f t="shared" si="434"/>
        <v/>
      </c>
      <c r="IM78" s="218" t="str">
        <f t="shared" si="435"/>
        <v/>
      </c>
      <c r="IN78" s="218" t="str">
        <f t="shared" si="450"/>
        <v/>
      </c>
      <c r="IO78" s="218" t="str">
        <f t="shared" si="436"/>
        <v/>
      </c>
      <c r="IP78" s="218" t="str">
        <f t="shared" si="437"/>
        <v/>
      </c>
      <c r="IQ78" s="218" t="str">
        <f t="shared" si="451"/>
        <v/>
      </c>
      <c r="IR78" s="218" t="str">
        <f t="shared" si="438"/>
        <v/>
      </c>
      <c r="IS78" s="218" t="str">
        <f t="shared" si="439"/>
        <v/>
      </c>
      <c r="IT78" s="218" t="str">
        <f t="shared" si="452"/>
        <v/>
      </c>
      <c r="IU78" s="218" t="str">
        <f t="shared" si="440"/>
        <v/>
      </c>
    </row>
    <row r="79" spans="1:255" x14ac:dyDescent="0.2">
      <c r="A79" s="200" t="s">
        <v>82</v>
      </c>
      <c r="B79" s="178"/>
      <c r="C79" s="179"/>
      <c r="D79" s="181"/>
      <c r="E79" s="181"/>
      <c r="F79" s="181"/>
      <c r="G79" s="181"/>
      <c r="H79" s="181"/>
      <c r="I79" s="181"/>
      <c r="J79" s="181"/>
      <c r="K79" s="183"/>
      <c r="L79" s="217" t="str">
        <f t="shared" si="441"/>
        <v/>
      </c>
      <c r="M79" s="218" t="str">
        <f>'HKG vs. BK'!M79</f>
        <v/>
      </c>
      <c r="N79" s="218" t="str">
        <f>'HKG vs. BK'!N79</f>
        <v/>
      </c>
      <c r="O79" s="218" t="str">
        <f>'HKG vs. BK'!O79</f>
        <v/>
      </c>
      <c r="P79" s="218" t="str">
        <f>'HKG vs. BK'!P79</f>
        <v/>
      </c>
      <c r="Q79" s="219" t="str">
        <f t="shared" si="227"/>
        <v/>
      </c>
      <c r="R79" s="220" t="str">
        <f t="shared" si="228"/>
        <v/>
      </c>
      <c r="S79" s="220" t="str">
        <f t="shared" si="229"/>
        <v/>
      </c>
      <c r="T79" s="219" t="str">
        <f t="shared" si="230"/>
        <v/>
      </c>
      <c r="U79" s="220" t="str">
        <f t="shared" si="231"/>
        <v/>
      </c>
      <c r="V79" s="220" t="str">
        <f t="shared" si="232"/>
        <v/>
      </c>
      <c r="W79" s="219" t="str">
        <f t="shared" si="233"/>
        <v/>
      </c>
      <c r="X79" s="220" t="str">
        <f t="shared" si="234"/>
        <v/>
      </c>
      <c r="Y79" s="220" t="str">
        <f t="shared" si="235"/>
        <v/>
      </c>
      <c r="Z79" s="219" t="str">
        <f t="shared" si="236"/>
        <v/>
      </c>
      <c r="AA79" s="220" t="str">
        <f t="shared" si="237"/>
        <v/>
      </c>
      <c r="AB79" s="220" t="str">
        <f t="shared" si="238"/>
        <v/>
      </c>
      <c r="AC79" s="219" t="str">
        <f t="shared" si="239"/>
        <v/>
      </c>
      <c r="AD79" s="220" t="str">
        <f t="shared" si="240"/>
        <v/>
      </c>
      <c r="AE79" s="220" t="str">
        <f t="shared" si="241"/>
        <v/>
      </c>
      <c r="AF79" s="219" t="str">
        <f t="shared" si="242"/>
        <v/>
      </c>
      <c r="AG79" s="220" t="str">
        <f t="shared" si="243"/>
        <v/>
      </c>
      <c r="AH79" s="220" t="str">
        <f t="shared" si="244"/>
        <v/>
      </c>
      <c r="AI79" s="219" t="str">
        <f t="shared" si="245"/>
        <v/>
      </c>
      <c r="AJ79" s="220" t="str">
        <f t="shared" si="246"/>
        <v/>
      </c>
      <c r="AK79" s="220" t="str">
        <f t="shared" si="247"/>
        <v/>
      </c>
      <c r="AL79" s="219" t="str">
        <f t="shared" si="248"/>
        <v/>
      </c>
      <c r="AM79" s="220" t="str">
        <f t="shared" si="249"/>
        <v/>
      </c>
      <c r="AN79" s="220" t="str">
        <f t="shared" si="250"/>
        <v/>
      </c>
      <c r="AO79" s="219" t="str">
        <f t="shared" si="251"/>
        <v/>
      </c>
      <c r="AP79" s="220" t="str">
        <f t="shared" si="252"/>
        <v/>
      </c>
      <c r="AQ79" s="220" t="str">
        <f t="shared" si="253"/>
        <v/>
      </c>
      <c r="AR79" s="219" t="str">
        <f t="shared" si="254"/>
        <v/>
      </c>
      <c r="AS79" s="220" t="str">
        <f t="shared" si="255"/>
        <v/>
      </c>
      <c r="AT79" s="220" t="str">
        <f t="shared" si="256"/>
        <v/>
      </c>
      <c r="AU79" s="221"/>
      <c r="AV79" s="221"/>
      <c r="AW79" s="221"/>
      <c r="AY79" s="218" t="str">
        <f t="shared" si="257"/>
        <v/>
      </c>
      <c r="AZ79" s="218" t="str">
        <f t="shared" si="258"/>
        <v/>
      </c>
      <c r="BA79" s="218" t="str">
        <f t="shared" si="259"/>
        <v/>
      </c>
      <c r="BB79" s="218" t="str">
        <f t="shared" si="260"/>
        <v/>
      </c>
      <c r="BC79" s="218" t="str">
        <f t="shared" si="261"/>
        <v/>
      </c>
      <c r="BD79" s="218" t="str">
        <f t="shared" si="262"/>
        <v/>
      </c>
      <c r="BE79" s="218" t="str">
        <f t="shared" si="263"/>
        <v/>
      </c>
      <c r="BF79" s="218" t="str">
        <f t="shared" si="264"/>
        <v/>
      </c>
      <c r="BG79" s="218" t="str">
        <f t="shared" si="265"/>
        <v/>
      </c>
      <c r="BH79" s="218" t="str">
        <f t="shared" si="266"/>
        <v/>
      </c>
      <c r="BI79" s="218" t="str">
        <f t="shared" si="267"/>
        <v/>
      </c>
      <c r="BJ79" s="218" t="str">
        <f t="shared" si="268"/>
        <v/>
      </c>
      <c r="BK79" s="218" t="str">
        <f t="shared" si="269"/>
        <v/>
      </c>
      <c r="BL79" s="218" t="str">
        <f t="shared" si="270"/>
        <v/>
      </c>
      <c r="BM79" s="218" t="str">
        <f t="shared" si="271"/>
        <v/>
      </c>
      <c r="BN79" s="218" t="str">
        <f t="shared" si="272"/>
        <v/>
      </c>
      <c r="BO79" s="218" t="str">
        <f t="shared" si="273"/>
        <v/>
      </c>
      <c r="BP79" s="218" t="str">
        <f t="shared" si="274"/>
        <v/>
      </c>
      <c r="BQ79" s="218" t="str">
        <f t="shared" si="275"/>
        <v/>
      </c>
      <c r="BR79" s="218" t="str">
        <f t="shared" si="276"/>
        <v/>
      </c>
      <c r="BS79" s="218" t="str">
        <f t="shared" si="277"/>
        <v/>
      </c>
      <c r="BT79" s="218" t="str">
        <f t="shared" si="278"/>
        <v/>
      </c>
      <c r="BU79" s="218" t="str">
        <f t="shared" si="279"/>
        <v/>
      </c>
      <c r="BV79" s="218" t="str">
        <f t="shared" si="280"/>
        <v/>
      </c>
      <c r="BW79" s="218" t="str">
        <f t="shared" si="281"/>
        <v/>
      </c>
      <c r="BX79" s="218" t="str">
        <f t="shared" si="282"/>
        <v/>
      </c>
      <c r="BY79" s="218" t="str">
        <f t="shared" si="283"/>
        <v/>
      </c>
      <c r="BZ79" s="218" t="str">
        <f t="shared" si="284"/>
        <v/>
      </c>
      <c r="CA79" s="218" t="str">
        <f t="shared" si="285"/>
        <v/>
      </c>
      <c r="CB79" s="218" t="str">
        <f t="shared" si="286"/>
        <v/>
      </c>
      <c r="CD79" s="218" t="str">
        <f t="shared" si="287"/>
        <v/>
      </c>
      <c r="CE79" s="218" t="str">
        <f t="shared" si="288"/>
        <v/>
      </c>
      <c r="CF79" s="218" t="str">
        <f t="shared" si="289"/>
        <v/>
      </c>
      <c r="CG79" s="218" t="str">
        <f t="shared" si="290"/>
        <v/>
      </c>
      <c r="CH79" s="218" t="str">
        <f t="shared" si="291"/>
        <v/>
      </c>
      <c r="CI79" s="218" t="str">
        <f t="shared" si="292"/>
        <v/>
      </c>
      <c r="CJ79" s="218" t="str">
        <f t="shared" si="293"/>
        <v/>
      </c>
      <c r="CK79" s="218" t="str">
        <f t="shared" si="294"/>
        <v/>
      </c>
      <c r="CL79" s="218" t="str">
        <f t="shared" si="295"/>
        <v/>
      </c>
      <c r="CM79" s="218" t="str">
        <f t="shared" si="296"/>
        <v/>
      </c>
      <c r="CN79" s="218" t="str">
        <f t="shared" si="297"/>
        <v/>
      </c>
      <c r="CO79" s="218" t="str">
        <f t="shared" si="298"/>
        <v/>
      </c>
      <c r="CP79" s="218" t="str">
        <f t="shared" si="299"/>
        <v/>
      </c>
      <c r="CQ79" s="218" t="str">
        <f t="shared" si="300"/>
        <v/>
      </c>
      <c r="CR79" s="218" t="str">
        <f t="shared" si="301"/>
        <v/>
      </c>
      <c r="CS79" s="218" t="str">
        <f t="shared" si="302"/>
        <v/>
      </c>
      <c r="CT79" s="218" t="str">
        <f t="shared" si="303"/>
        <v/>
      </c>
      <c r="CU79" s="218" t="str">
        <f t="shared" si="304"/>
        <v/>
      </c>
      <c r="CV79" s="218" t="str">
        <f t="shared" si="305"/>
        <v/>
      </c>
      <c r="CW79" s="218" t="str">
        <f t="shared" si="306"/>
        <v/>
      </c>
      <c r="CX79" s="218" t="str">
        <f t="shared" si="307"/>
        <v/>
      </c>
      <c r="CY79" s="218" t="str">
        <f t="shared" si="308"/>
        <v/>
      </c>
      <c r="CZ79" s="218" t="str">
        <f t="shared" si="309"/>
        <v/>
      </c>
      <c r="DA79" s="218" t="str">
        <f t="shared" si="310"/>
        <v/>
      </c>
      <c r="DB79" s="218" t="str">
        <f t="shared" si="442"/>
        <v/>
      </c>
      <c r="DC79" s="218" t="str">
        <f t="shared" si="311"/>
        <v/>
      </c>
      <c r="DD79" s="218" t="str">
        <f t="shared" si="312"/>
        <v/>
      </c>
      <c r="DF79" s="218" t="str">
        <f t="shared" si="313"/>
        <v/>
      </c>
      <c r="DG79" s="218" t="str">
        <f t="shared" si="314"/>
        <v/>
      </c>
      <c r="DH79" s="218" t="str">
        <f t="shared" si="315"/>
        <v/>
      </c>
      <c r="DI79" s="218" t="str">
        <f t="shared" si="316"/>
        <v/>
      </c>
      <c r="DJ79" s="218" t="str">
        <f t="shared" si="317"/>
        <v/>
      </c>
      <c r="DK79" s="218" t="str">
        <f t="shared" si="318"/>
        <v/>
      </c>
      <c r="DL79" s="218" t="str">
        <f t="shared" si="319"/>
        <v/>
      </c>
      <c r="DM79" s="218" t="str">
        <f t="shared" si="320"/>
        <v/>
      </c>
      <c r="DN79" s="218" t="str">
        <f t="shared" si="321"/>
        <v/>
      </c>
      <c r="DO79" s="218" t="str">
        <f t="shared" si="322"/>
        <v/>
      </c>
      <c r="DP79" s="218" t="str">
        <f t="shared" si="323"/>
        <v/>
      </c>
      <c r="DQ79" s="218" t="str">
        <f t="shared" si="324"/>
        <v/>
      </c>
      <c r="DR79" s="218" t="str">
        <f t="shared" si="325"/>
        <v/>
      </c>
      <c r="DS79" s="218" t="str">
        <f t="shared" si="326"/>
        <v/>
      </c>
      <c r="DT79" s="218" t="str">
        <f t="shared" si="327"/>
        <v/>
      </c>
      <c r="DU79" s="218" t="str">
        <f t="shared" si="328"/>
        <v/>
      </c>
      <c r="DV79" s="218" t="str">
        <f t="shared" si="329"/>
        <v/>
      </c>
      <c r="DW79" s="218" t="str">
        <f t="shared" si="330"/>
        <v/>
      </c>
      <c r="DX79" s="218" t="str">
        <f t="shared" si="331"/>
        <v/>
      </c>
      <c r="DY79" s="218" t="str">
        <f t="shared" si="332"/>
        <v/>
      </c>
      <c r="DZ79" s="218" t="str">
        <f t="shared" si="333"/>
        <v/>
      </c>
      <c r="EA79" s="218" t="str">
        <f t="shared" si="334"/>
        <v/>
      </c>
      <c r="EB79" s="218" t="str">
        <f t="shared" si="335"/>
        <v/>
      </c>
      <c r="EC79" s="218" t="str">
        <f t="shared" si="336"/>
        <v/>
      </c>
      <c r="EE79" s="218" t="str">
        <f t="shared" si="337"/>
        <v/>
      </c>
      <c r="EF79" s="218" t="str">
        <f t="shared" si="338"/>
        <v/>
      </c>
      <c r="EG79" s="218" t="str">
        <f t="shared" si="339"/>
        <v/>
      </c>
      <c r="EH79" s="218" t="str">
        <f t="shared" si="340"/>
        <v/>
      </c>
      <c r="EI79" s="218" t="str">
        <f t="shared" si="341"/>
        <v/>
      </c>
      <c r="EJ79" s="218" t="str">
        <f t="shared" si="342"/>
        <v/>
      </c>
      <c r="EK79" s="218" t="str">
        <f t="shared" si="343"/>
        <v/>
      </c>
      <c r="EL79" s="218" t="str">
        <f t="shared" si="344"/>
        <v/>
      </c>
      <c r="EM79" s="218" t="str">
        <f t="shared" si="345"/>
        <v/>
      </c>
      <c r="EN79" s="218" t="str">
        <f t="shared" si="346"/>
        <v/>
      </c>
      <c r="EO79" s="218" t="str">
        <f t="shared" si="347"/>
        <v/>
      </c>
      <c r="EP79" s="218" t="str">
        <f t="shared" si="348"/>
        <v/>
      </c>
      <c r="EQ79" s="218" t="str">
        <f t="shared" si="349"/>
        <v/>
      </c>
      <c r="ER79" s="218" t="str">
        <f t="shared" si="350"/>
        <v/>
      </c>
      <c r="ES79" s="218" t="str">
        <f t="shared" si="351"/>
        <v/>
      </c>
      <c r="ET79" s="218" t="str">
        <f t="shared" si="352"/>
        <v/>
      </c>
      <c r="EU79" s="218" t="str">
        <f t="shared" si="353"/>
        <v/>
      </c>
      <c r="EV79" s="218" t="str">
        <f t="shared" si="354"/>
        <v/>
      </c>
      <c r="EW79" s="218" t="str">
        <f t="shared" si="355"/>
        <v/>
      </c>
      <c r="EX79" s="218" t="str">
        <f t="shared" si="356"/>
        <v/>
      </c>
      <c r="EY79" s="218" t="str">
        <f t="shared" si="357"/>
        <v/>
      </c>
      <c r="FA79" s="218" t="str">
        <f t="shared" si="358"/>
        <v/>
      </c>
      <c r="FB79" s="218" t="str">
        <f t="shared" si="359"/>
        <v/>
      </c>
      <c r="FC79" s="218" t="str">
        <f t="shared" si="360"/>
        <v/>
      </c>
      <c r="FD79" s="218" t="str">
        <f t="shared" si="361"/>
        <v/>
      </c>
      <c r="FE79" s="218" t="str">
        <f t="shared" si="362"/>
        <v/>
      </c>
      <c r="FF79" s="218" t="str">
        <f t="shared" si="363"/>
        <v/>
      </c>
      <c r="FG79" s="218" t="str">
        <f t="shared" si="364"/>
        <v/>
      </c>
      <c r="FH79" s="218" t="str">
        <f t="shared" si="365"/>
        <v/>
      </c>
      <c r="FI79" s="218" t="str">
        <f t="shared" si="366"/>
        <v/>
      </c>
      <c r="FJ79" s="218" t="str">
        <f t="shared" si="367"/>
        <v/>
      </c>
      <c r="FK79" s="218" t="str">
        <f t="shared" si="368"/>
        <v/>
      </c>
      <c r="FL79" s="218" t="str">
        <f t="shared" si="369"/>
        <v/>
      </c>
      <c r="FM79" s="218" t="str">
        <f t="shared" si="370"/>
        <v/>
      </c>
      <c r="FN79" s="218" t="str">
        <f t="shared" si="371"/>
        <v/>
      </c>
      <c r="FO79" s="218" t="str">
        <f t="shared" si="372"/>
        <v/>
      </c>
      <c r="FP79" s="218" t="str">
        <f t="shared" si="373"/>
        <v/>
      </c>
      <c r="FQ79" s="218" t="str">
        <f t="shared" si="374"/>
        <v/>
      </c>
      <c r="FR79" s="218" t="str">
        <f t="shared" si="375"/>
        <v/>
      </c>
      <c r="FT79" s="218" t="str">
        <f t="shared" si="376"/>
        <v/>
      </c>
      <c r="FU79" s="218" t="str">
        <f t="shared" si="377"/>
        <v/>
      </c>
      <c r="FV79" s="218" t="str">
        <f t="shared" si="378"/>
        <v/>
      </c>
      <c r="FW79" s="218" t="str">
        <f t="shared" si="379"/>
        <v/>
      </c>
      <c r="FX79" s="218" t="str">
        <f t="shared" si="380"/>
        <v/>
      </c>
      <c r="FY79" s="218" t="str">
        <f t="shared" si="381"/>
        <v/>
      </c>
      <c r="FZ79" s="218" t="str">
        <f t="shared" si="382"/>
        <v/>
      </c>
      <c r="GA79" s="218" t="str">
        <f t="shared" si="383"/>
        <v/>
      </c>
      <c r="GB79" s="218" t="str">
        <f t="shared" si="384"/>
        <v/>
      </c>
      <c r="GC79" s="218" t="str">
        <f t="shared" si="385"/>
        <v/>
      </c>
      <c r="GD79" s="218" t="str">
        <f t="shared" si="386"/>
        <v/>
      </c>
      <c r="GE79" s="218" t="str">
        <f t="shared" si="387"/>
        <v/>
      </c>
      <c r="GF79" s="218" t="str">
        <f t="shared" si="388"/>
        <v/>
      </c>
      <c r="GG79" s="218" t="str">
        <f t="shared" si="389"/>
        <v/>
      </c>
      <c r="GH79" s="218" t="str">
        <f t="shared" si="390"/>
        <v/>
      </c>
      <c r="GJ79" s="218" t="str">
        <f t="shared" si="391"/>
        <v/>
      </c>
      <c r="GK79" s="218" t="str">
        <f t="shared" si="392"/>
        <v/>
      </c>
      <c r="GL79" s="218" t="str">
        <f t="shared" si="393"/>
        <v/>
      </c>
      <c r="GM79" s="218" t="str">
        <f t="shared" si="394"/>
        <v/>
      </c>
      <c r="GN79" s="218" t="str">
        <f t="shared" si="395"/>
        <v/>
      </c>
      <c r="GO79" s="218" t="str">
        <f t="shared" si="396"/>
        <v/>
      </c>
      <c r="GP79" s="218" t="str">
        <f t="shared" si="397"/>
        <v/>
      </c>
      <c r="GQ79" s="218" t="str">
        <f t="shared" si="398"/>
        <v/>
      </c>
      <c r="GR79" s="218" t="str">
        <f t="shared" si="399"/>
        <v/>
      </c>
      <c r="GS79" s="218" t="str">
        <f t="shared" si="400"/>
        <v/>
      </c>
      <c r="GT79" s="218" t="str">
        <f t="shared" si="401"/>
        <v/>
      </c>
      <c r="GU79" s="218" t="str">
        <f t="shared" si="402"/>
        <v/>
      </c>
      <c r="GW79" s="218" t="str">
        <f t="shared" si="403"/>
        <v/>
      </c>
      <c r="GX79" s="218" t="str">
        <f t="shared" si="404"/>
        <v/>
      </c>
      <c r="GY79" s="218" t="str">
        <f t="shared" si="405"/>
        <v/>
      </c>
      <c r="GZ79" s="218" t="str">
        <f t="shared" si="406"/>
        <v/>
      </c>
      <c r="HA79" s="218" t="str">
        <f t="shared" si="407"/>
        <v/>
      </c>
      <c r="HB79" s="218" t="str">
        <f t="shared" si="408"/>
        <v/>
      </c>
      <c r="HC79" s="218" t="str">
        <f t="shared" si="409"/>
        <v/>
      </c>
      <c r="HD79" s="218" t="str">
        <f t="shared" si="410"/>
        <v/>
      </c>
      <c r="HE79" s="218" t="str">
        <f t="shared" si="411"/>
        <v/>
      </c>
      <c r="HG79" s="218" t="str">
        <f t="shared" si="412"/>
        <v/>
      </c>
      <c r="HH79" s="218" t="str">
        <f t="shared" si="413"/>
        <v/>
      </c>
      <c r="HI79" s="218" t="str">
        <f t="shared" si="414"/>
        <v/>
      </c>
      <c r="HJ79" s="218" t="str">
        <f t="shared" si="415"/>
        <v/>
      </c>
      <c r="HK79" s="218" t="str">
        <f t="shared" si="416"/>
        <v/>
      </c>
      <c r="HL79" s="218" t="str">
        <f t="shared" si="417"/>
        <v/>
      </c>
      <c r="HN79" s="218" t="str">
        <f t="shared" si="418"/>
        <v/>
      </c>
      <c r="HO79" s="218" t="str">
        <f t="shared" si="419"/>
        <v/>
      </c>
      <c r="HP79" s="218" t="str">
        <f t="shared" si="420"/>
        <v/>
      </c>
      <c r="HR79" s="218" t="str">
        <f t="shared" si="421"/>
        <v/>
      </c>
      <c r="HS79" s="218" t="str">
        <f t="shared" si="443"/>
        <v/>
      </c>
      <c r="HT79" s="218" t="str">
        <f t="shared" si="422"/>
        <v/>
      </c>
      <c r="HU79" s="218" t="str">
        <f t="shared" si="444"/>
        <v/>
      </c>
      <c r="HV79" s="218" t="str">
        <f t="shared" si="423"/>
        <v/>
      </c>
      <c r="HW79" s="218" t="str">
        <f t="shared" si="424"/>
        <v/>
      </c>
      <c r="HX79" s="218" t="str">
        <f t="shared" si="425"/>
        <v/>
      </c>
      <c r="HY79" s="218" t="str">
        <f t="shared" si="445"/>
        <v/>
      </c>
      <c r="HZ79" s="218" t="str">
        <f t="shared" si="426"/>
        <v/>
      </c>
      <c r="IA79" s="218" t="str">
        <f t="shared" si="427"/>
        <v/>
      </c>
      <c r="IB79" s="218" t="str">
        <f t="shared" si="446"/>
        <v/>
      </c>
      <c r="IC79" s="218" t="str">
        <f t="shared" si="428"/>
        <v/>
      </c>
      <c r="ID79" s="218" t="str">
        <f t="shared" si="429"/>
        <v/>
      </c>
      <c r="IE79" s="218" t="str">
        <f t="shared" si="447"/>
        <v/>
      </c>
      <c r="IF79" s="218" t="str">
        <f t="shared" si="430"/>
        <v/>
      </c>
      <c r="IG79" s="218" t="str">
        <f t="shared" si="431"/>
        <v/>
      </c>
      <c r="IH79" s="218" t="str">
        <f t="shared" si="448"/>
        <v/>
      </c>
      <c r="II79" s="218" t="str">
        <f t="shared" si="432"/>
        <v/>
      </c>
      <c r="IJ79" s="218" t="str">
        <f t="shared" si="433"/>
        <v/>
      </c>
      <c r="IK79" s="218" t="str">
        <f t="shared" si="449"/>
        <v/>
      </c>
      <c r="IL79" s="218" t="str">
        <f t="shared" si="434"/>
        <v/>
      </c>
      <c r="IM79" s="218" t="str">
        <f t="shared" si="435"/>
        <v/>
      </c>
      <c r="IN79" s="218" t="str">
        <f t="shared" si="450"/>
        <v/>
      </c>
      <c r="IO79" s="218" t="str">
        <f t="shared" si="436"/>
        <v/>
      </c>
      <c r="IP79" s="218" t="str">
        <f t="shared" si="437"/>
        <v/>
      </c>
      <c r="IQ79" s="218" t="str">
        <f t="shared" si="451"/>
        <v/>
      </c>
      <c r="IR79" s="218" t="str">
        <f t="shared" si="438"/>
        <v/>
      </c>
      <c r="IS79" s="218" t="str">
        <f t="shared" si="439"/>
        <v/>
      </c>
      <c r="IT79" s="218" t="str">
        <f t="shared" si="452"/>
        <v/>
      </c>
      <c r="IU79" s="218" t="str">
        <f t="shared" si="440"/>
        <v/>
      </c>
    </row>
    <row r="80" spans="1:255" x14ac:dyDescent="0.2">
      <c r="A80" s="200" t="s">
        <v>83</v>
      </c>
      <c r="B80" s="178"/>
      <c r="C80" s="179"/>
      <c r="D80" s="181"/>
      <c r="E80" s="181"/>
      <c r="F80" s="181"/>
      <c r="G80" s="181"/>
      <c r="H80" s="181"/>
      <c r="I80" s="181"/>
      <c r="J80" s="181"/>
      <c r="K80" s="183"/>
      <c r="L80" s="217" t="str">
        <f t="shared" si="441"/>
        <v/>
      </c>
      <c r="M80" s="218" t="str">
        <f>'HKG vs. BK'!M80</f>
        <v/>
      </c>
      <c r="N80" s="218" t="str">
        <f>'HKG vs. BK'!N80</f>
        <v/>
      </c>
      <c r="O80" s="218" t="str">
        <f>'HKG vs. BK'!O80</f>
        <v/>
      </c>
      <c r="P80" s="218" t="str">
        <f>'HKG vs. BK'!P80</f>
        <v/>
      </c>
      <c r="Q80" s="219" t="str">
        <f t="shared" si="227"/>
        <v/>
      </c>
      <c r="R80" s="220" t="str">
        <f t="shared" si="228"/>
        <v/>
      </c>
      <c r="S80" s="220" t="str">
        <f t="shared" si="229"/>
        <v/>
      </c>
      <c r="T80" s="219" t="str">
        <f t="shared" si="230"/>
        <v/>
      </c>
      <c r="U80" s="220" t="str">
        <f t="shared" si="231"/>
        <v/>
      </c>
      <c r="V80" s="220" t="str">
        <f t="shared" si="232"/>
        <v/>
      </c>
      <c r="W80" s="219" t="str">
        <f t="shared" si="233"/>
        <v/>
      </c>
      <c r="X80" s="220" t="str">
        <f t="shared" si="234"/>
        <v/>
      </c>
      <c r="Y80" s="220" t="str">
        <f t="shared" si="235"/>
        <v/>
      </c>
      <c r="Z80" s="219" t="str">
        <f t="shared" si="236"/>
        <v/>
      </c>
      <c r="AA80" s="220" t="str">
        <f t="shared" si="237"/>
        <v/>
      </c>
      <c r="AB80" s="220" t="str">
        <f t="shared" si="238"/>
        <v/>
      </c>
      <c r="AC80" s="219" t="str">
        <f t="shared" si="239"/>
        <v/>
      </c>
      <c r="AD80" s="220" t="str">
        <f t="shared" si="240"/>
        <v/>
      </c>
      <c r="AE80" s="220" t="str">
        <f t="shared" si="241"/>
        <v/>
      </c>
      <c r="AF80" s="219" t="str">
        <f t="shared" si="242"/>
        <v/>
      </c>
      <c r="AG80" s="220" t="str">
        <f t="shared" si="243"/>
        <v/>
      </c>
      <c r="AH80" s="220" t="str">
        <f t="shared" si="244"/>
        <v/>
      </c>
      <c r="AI80" s="219" t="str">
        <f t="shared" si="245"/>
        <v/>
      </c>
      <c r="AJ80" s="220" t="str">
        <f t="shared" si="246"/>
        <v/>
      </c>
      <c r="AK80" s="220" t="str">
        <f t="shared" si="247"/>
        <v/>
      </c>
      <c r="AL80" s="219" t="str">
        <f t="shared" si="248"/>
        <v/>
      </c>
      <c r="AM80" s="220" t="str">
        <f t="shared" si="249"/>
        <v/>
      </c>
      <c r="AN80" s="220" t="str">
        <f t="shared" si="250"/>
        <v/>
      </c>
      <c r="AO80" s="219" t="str">
        <f t="shared" si="251"/>
        <v/>
      </c>
      <c r="AP80" s="220" t="str">
        <f t="shared" si="252"/>
        <v/>
      </c>
      <c r="AQ80" s="220" t="str">
        <f t="shared" si="253"/>
        <v/>
      </c>
      <c r="AR80" s="219" t="str">
        <f t="shared" si="254"/>
        <v/>
      </c>
      <c r="AS80" s="220" t="str">
        <f t="shared" si="255"/>
        <v/>
      </c>
      <c r="AT80" s="220" t="str">
        <f t="shared" si="256"/>
        <v/>
      </c>
      <c r="AU80" s="221"/>
      <c r="AV80" s="221"/>
      <c r="AW80" s="221"/>
      <c r="AY80" s="218" t="str">
        <f t="shared" si="257"/>
        <v/>
      </c>
      <c r="AZ80" s="218" t="str">
        <f t="shared" si="258"/>
        <v/>
      </c>
      <c r="BA80" s="218" t="str">
        <f t="shared" si="259"/>
        <v/>
      </c>
      <c r="BB80" s="218" t="str">
        <f t="shared" si="260"/>
        <v/>
      </c>
      <c r="BC80" s="218" t="str">
        <f t="shared" si="261"/>
        <v/>
      </c>
      <c r="BD80" s="218" t="str">
        <f t="shared" si="262"/>
        <v/>
      </c>
      <c r="BE80" s="218" t="str">
        <f t="shared" si="263"/>
        <v/>
      </c>
      <c r="BF80" s="218" t="str">
        <f t="shared" si="264"/>
        <v/>
      </c>
      <c r="BG80" s="218" t="str">
        <f t="shared" si="265"/>
        <v/>
      </c>
      <c r="BH80" s="218" t="str">
        <f t="shared" si="266"/>
        <v/>
      </c>
      <c r="BI80" s="218" t="str">
        <f t="shared" si="267"/>
        <v/>
      </c>
      <c r="BJ80" s="218" t="str">
        <f t="shared" si="268"/>
        <v/>
      </c>
      <c r="BK80" s="218" t="str">
        <f t="shared" si="269"/>
        <v/>
      </c>
      <c r="BL80" s="218" t="str">
        <f t="shared" si="270"/>
        <v/>
      </c>
      <c r="BM80" s="218" t="str">
        <f t="shared" si="271"/>
        <v/>
      </c>
      <c r="BN80" s="218" t="str">
        <f t="shared" si="272"/>
        <v/>
      </c>
      <c r="BO80" s="218" t="str">
        <f t="shared" si="273"/>
        <v/>
      </c>
      <c r="BP80" s="218" t="str">
        <f t="shared" si="274"/>
        <v/>
      </c>
      <c r="BQ80" s="218" t="str">
        <f t="shared" si="275"/>
        <v/>
      </c>
      <c r="BR80" s="218" t="str">
        <f t="shared" si="276"/>
        <v/>
      </c>
      <c r="BS80" s="218" t="str">
        <f t="shared" si="277"/>
        <v/>
      </c>
      <c r="BT80" s="218" t="str">
        <f t="shared" si="278"/>
        <v/>
      </c>
      <c r="BU80" s="218" t="str">
        <f t="shared" si="279"/>
        <v/>
      </c>
      <c r="BV80" s="218" t="str">
        <f t="shared" si="280"/>
        <v/>
      </c>
      <c r="BW80" s="218" t="str">
        <f t="shared" si="281"/>
        <v/>
      </c>
      <c r="BX80" s="218" t="str">
        <f t="shared" si="282"/>
        <v/>
      </c>
      <c r="BY80" s="218" t="str">
        <f t="shared" si="283"/>
        <v/>
      </c>
      <c r="BZ80" s="218" t="str">
        <f t="shared" si="284"/>
        <v/>
      </c>
      <c r="CA80" s="218" t="str">
        <f t="shared" si="285"/>
        <v/>
      </c>
      <c r="CB80" s="218" t="str">
        <f t="shared" si="286"/>
        <v/>
      </c>
      <c r="CD80" s="218" t="str">
        <f t="shared" si="287"/>
        <v/>
      </c>
      <c r="CE80" s="218" t="str">
        <f t="shared" si="288"/>
        <v/>
      </c>
      <c r="CF80" s="218" t="str">
        <f t="shared" si="289"/>
        <v/>
      </c>
      <c r="CG80" s="218" t="str">
        <f t="shared" si="290"/>
        <v/>
      </c>
      <c r="CH80" s="218" t="str">
        <f t="shared" si="291"/>
        <v/>
      </c>
      <c r="CI80" s="218" t="str">
        <f t="shared" si="292"/>
        <v/>
      </c>
      <c r="CJ80" s="218" t="str">
        <f t="shared" si="293"/>
        <v/>
      </c>
      <c r="CK80" s="218" t="str">
        <f t="shared" si="294"/>
        <v/>
      </c>
      <c r="CL80" s="218" t="str">
        <f t="shared" si="295"/>
        <v/>
      </c>
      <c r="CM80" s="218" t="str">
        <f t="shared" si="296"/>
        <v/>
      </c>
      <c r="CN80" s="218" t="str">
        <f t="shared" si="297"/>
        <v/>
      </c>
      <c r="CO80" s="218" t="str">
        <f t="shared" si="298"/>
        <v/>
      </c>
      <c r="CP80" s="218" t="str">
        <f t="shared" si="299"/>
        <v/>
      </c>
      <c r="CQ80" s="218" t="str">
        <f t="shared" si="300"/>
        <v/>
      </c>
      <c r="CR80" s="218" t="str">
        <f t="shared" si="301"/>
        <v/>
      </c>
      <c r="CS80" s="218" t="str">
        <f t="shared" si="302"/>
        <v/>
      </c>
      <c r="CT80" s="218" t="str">
        <f t="shared" si="303"/>
        <v/>
      </c>
      <c r="CU80" s="218" t="str">
        <f t="shared" si="304"/>
        <v/>
      </c>
      <c r="CV80" s="218" t="str">
        <f t="shared" si="305"/>
        <v/>
      </c>
      <c r="CW80" s="218" t="str">
        <f t="shared" si="306"/>
        <v/>
      </c>
      <c r="CX80" s="218" t="str">
        <f t="shared" si="307"/>
        <v/>
      </c>
      <c r="CY80" s="218" t="str">
        <f t="shared" si="308"/>
        <v/>
      </c>
      <c r="CZ80" s="218" t="str">
        <f t="shared" si="309"/>
        <v/>
      </c>
      <c r="DA80" s="218" t="str">
        <f t="shared" si="310"/>
        <v/>
      </c>
      <c r="DB80" s="218" t="str">
        <f t="shared" si="442"/>
        <v/>
      </c>
      <c r="DC80" s="218" t="str">
        <f t="shared" si="311"/>
        <v/>
      </c>
      <c r="DD80" s="218" t="str">
        <f t="shared" si="312"/>
        <v/>
      </c>
      <c r="DF80" s="218" t="str">
        <f t="shared" si="313"/>
        <v/>
      </c>
      <c r="DG80" s="218" t="str">
        <f t="shared" si="314"/>
        <v/>
      </c>
      <c r="DH80" s="218" t="str">
        <f t="shared" si="315"/>
        <v/>
      </c>
      <c r="DI80" s="218" t="str">
        <f t="shared" si="316"/>
        <v/>
      </c>
      <c r="DJ80" s="218" t="str">
        <f t="shared" si="317"/>
        <v/>
      </c>
      <c r="DK80" s="218" t="str">
        <f t="shared" si="318"/>
        <v/>
      </c>
      <c r="DL80" s="218" t="str">
        <f t="shared" si="319"/>
        <v/>
      </c>
      <c r="DM80" s="218" t="str">
        <f t="shared" si="320"/>
        <v/>
      </c>
      <c r="DN80" s="218" t="str">
        <f t="shared" si="321"/>
        <v/>
      </c>
      <c r="DO80" s="218" t="str">
        <f t="shared" si="322"/>
        <v/>
      </c>
      <c r="DP80" s="218" t="str">
        <f t="shared" si="323"/>
        <v/>
      </c>
      <c r="DQ80" s="218" t="str">
        <f t="shared" si="324"/>
        <v/>
      </c>
      <c r="DR80" s="218" t="str">
        <f t="shared" si="325"/>
        <v/>
      </c>
      <c r="DS80" s="218" t="str">
        <f t="shared" si="326"/>
        <v/>
      </c>
      <c r="DT80" s="218" t="str">
        <f t="shared" si="327"/>
        <v/>
      </c>
      <c r="DU80" s="218" t="str">
        <f t="shared" si="328"/>
        <v/>
      </c>
      <c r="DV80" s="218" t="str">
        <f t="shared" si="329"/>
        <v/>
      </c>
      <c r="DW80" s="218" t="str">
        <f t="shared" si="330"/>
        <v/>
      </c>
      <c r="DX80" s="218" t="str">
        <f t="shared" si="331"/>
        <v/>
      </c>
      <c r="DY80" s="218" t="str">
        <f t="shared" si="332"/>
        <v/>
      </c>
      <c r="DZ80" s="218" t="str">
        <f t="shared" si="333"/>
        <v/>
      </c>
      <c r="EA80" s="218" t="str">
        <f t="shared" si="334"/>
        <v/>
      </c>
      <c r="EB80" s="218" t="str">
        <f t="shared" si="335"/>
        <v/>
      </c>
      <c r="EC80" s="218" t="str">
        <f t="shared" si="336"/>
        <v/>
      </c>
      <c r="EE80" s="218" t="str">
        <f t="shared" si="337"/>
        <v/>
      </c>
      <c r="EF80" s="218" t="str">
        <f t="shared" si="338"/>
        <v/>
      </c>
      <c r="EG80" s="218" t="str">
        <f t="shared" si="339"/>
        <v/>
      </c>
      <c r="EH80" s="218" t="str">
        <f t="shared" si="340"/>
        <v/>
      </c>
      <c r="EI80" s="218" t="str">
        <f t="shared" si="341"/>
        <v/>
      </c>
      <c r="EJ80" s="218" t="str">
        <f t="shared" si="342"/>
        <v/>
      </c>
      <c r="EK80" s="218" t="str">
        <f t="shared" si="343"/>
        <v/>
      </c>
      <c r="EL80" s="218" t="str">
        <f t="shared" si="344"/>
        <v/>
      </c>
      <c r="EM80" s="218" t="str">
        <f t="shared" si="345"/>
        <v/>
      </c>
      <c r="EN80" s="218" t="str">
        <f t="shared" si="346"/>
        <v/>
      </c>
      <c r="EO80" s="218" t="str">
        <f t="shared" si="347"/>
        <v/>
      </c>
      <c r="EP80" s="218" t="str">
        <f t="shared" si="348"/>
        <v/>
      </c>
      <c r="EQ80" s="218" t="str">
        <f t="shared" si="349"/>
        <v/>
      </c>
      <c r="ER80" s="218" t="str">
        <f t="shared" si="350"/>
        <v/>
      </c>
      <c r="ES80" s="218" t="str">
        <f t="shared" si="351"/>
        <v/>
      </c>
      <c r="ET80" s="218" t="str">
        <f t="shared" si="352"/>
        <v/>
      </c>
      <c r="EU80" s="218" t="str">
        <f t="shared" si="353"/>
        <v/>
      </c>
      <c r="EV80" s="218" t="str">
        <f t="shared" si="354"/>
        <v/>
      </c>
      <c r="EW80" s="218" t="str">
        <f t="shared" si="355"/>
        <v/>
      </c>
      <c r="EX80" s="218" t="str">
        <f t="shared" si="356"/>
        <v/>
      </c>
      <c r="EY80" s="218" t="str">
        <f t="shared" si="357"/>
        <v/>
      </c>
      <c r="FA80" s="218" t="str">
        <f t="shared" si="358"/>
        <v/>
      </c>
      <c r="FB80" s="218" t="str">
        <f t="shared" si="359"/>
        <v/>
      </c>
      <c r="FC80" s="218" t="str">
        <f t="shared" si="360"/>
        <v/>
      </c>
      <c r="FD80" s="218" t="str">
        <f t="shared" si="361"/>
        <v/>
      </c>
      <c r="FE80" s="218" t="str">
        <f t="shared" si="362"/>
        <v/>
      </c>
      <c r="FF80" s="218" t="str">
        <f t="shared" si="363"/>
        <v/>
      </c>
      <c r="FG80" s="218" t="str">
        <f t="shared" si="364"/>
        <v/>
      </c>
      <c r="FH80" s="218" t="str">
        <f t="shared" si="365"/>
        <v/>
      </c>
      <c r="FI80" s="218" t="str">
        <f t="shared" si="366"/>
        <v/>
      </c>
      <c r="FJ80" s="218" t="str">
        <f t="shared" si="367"/>
        <v/>
      </c>
      <c r="FK80" s="218" t="str">
        <f t="shared" si="368"/>
        <v/>
      </c>
      <c r="FL80" s="218" t="str">
        <f t="shared" si="369"/>
        <v/>
      </c>
      <c r="FM80" s="218" t="str">
        <f t="shared" si="370"/>
        <v/>
      </c>
      <c r="FN80" s="218" t="str">
        <f t="shared" si="371"/>
        <v/>
      </c>
      <c r="FO80" s="218" t="str">
        <f t="shared" si="372"/>
        <v/>
      </c>
      <c r="FP80" s="218" t="str">
        <f t="shared" si="373"/>
        <v/>
      </c>
      <c r="FQ80" s="218" t="str">
        <f t="shared" si="374"/>
        <v/>
      </c>
      <c r="FR80" s="218" t="str">
        <f t="shared" si="375"/>
        <v/>
      </c>
      <c r="FT80" s="218" t="str">
        <f t="shared" si="376"/>
        <v/>
      </c>
      <c r="FU80" s="218" t="str">
        <f t="shared" si="377"/>
        <v/>
      </c>
      <c r="FV80" s="218" t="str">
        <f t="shared" si="378"/>
        <v/>
      </c>
      <c r="FW80" s="218" t="str">
        <f t="shared" si="379"/>
        <v/>
      </c>
      <c r="FX80" s="218" t="str">
        <f t="shared" si="380"/>
        <v/>
      </c>
      <c r="FY80" s="218" t="str">
        <f t="shared" si="381"/>
        <v/>
      </c>
      <c r="FZ80" s="218" t="str">
        <f t="shared" si="382"/>
        <v/>
      </c>
      <c r="GA80" s="218" t="str">
        <f t="shared" si="383"/>
        <v/>
      </c>
      <c r="GB80" s="218" t="str">
        <f t="shared" si="384"/>
        <v/>
      </c>
      <c r="GC80" s="218" t="str">
        <f t="shared" si="385"/>
        <v/>
      </c>
      <c r="GD80" s="218" t="str">
        <f t="shared" si="386"/>
        <v/>
      </c>
      <c r="GE80" s="218" t="str">
        <f t="shared" si="387"/>
        <v/>
      </c>
      <c r="GF80" s="218" t="str">
        <f t="shared" si="388"/>
        <v/>
      </c>
      <c r="GG80" s="218" t="str">
        <f t="shared" si="389"/>
        <v/>
      </c>
      <c r="GH80" s="218" t="str">
        <f t="shared" si="390"/>
        <v/>
      </c>
      <c r="GJ80" s="218" t="str">
        <f t="shared" si="391"/>
        <v/>
      </c>
      <c r="GK80" s="218" t="str">
        <f t="shared" si="392"/>
        <v/>
      </c>
      <c r="GL80" s="218" t="str">
        <f t="shared" si="393"/>
        <v/>
      </c>
      <c r="GM80" s="218" t="str">
        <f t="shared" si="394"/>
        <v/>
      </c>
      <c r="GN80" s="218" t="str">
        <f t="shared" si="395"/>
        <v/>
      </c>
      <c r="GO80" s="218" t="str">
        <f t="shared" si="396"/>
        <v/>
      </c>
      <c r="GP80" s="218" t="str">
        <f t="shared" si="397"/>
        <v/>
      </c>
      <c r="GQ80" s="218" t="str">
        <f t="shared" si="398"/>
        <v/>
      </c>
      <c r="GR80" s="218" t="str">
        <f t="shared" si="399"/>
        <v/>
      </c>
      <c r="GS80" s="218" t="str">
        <f t="shared" si="400"/>
        <v/>
      </c>
      <c r="GT80" s="218" t="str">
        <f t="shared" si="401"/>
        <v/>
      </c>
      <c r="GU80" s="218" t="str">
        <f t="shared" si="402"/>
        <v/>
      </c>
      <c r="GW80" s="218" t="str">
        <f t="shared" si="403"/>
        <v/>
      </c>
      <c r="GX80" s="218" t="str">
        <f t="shared" si="404"/>
        <v/>
      </c>
      <c r="GY80" s="218" t="str">
        <f t="shared" si="405"/>
        <v/>
      </c>
      <c r="GZ80" s="218" t="str">
        <f t="shared" si="406"/>
        <v/>
      </c>
      <c r="HA80" s="218" t="str">
        <f t="shared" si="407"/>
        <v/>
      </c>
      <c r="HB80" s="218" t="str">
        <f t="shared" si="408"/>
        <v/>
      </c>
      <c r="HC80" s="218" t="str">
        <f t="shared" si="409"/>
        <v/>
      </c>
      <c r="HD80" s="218" t="str">
        <f t="shared" si="410"/>
        <v/>
      </c>
      <c r="HE80" s="218" t="str">
        <f t="shared" si="411"/>
        <v/>
      </c>
      <c r="HG80" s="218" t="str">
        <f t="shared" si="412"/>
        <v/>
      </c>
      <c r="HH80" s="218" t="str">
        <f t="shared" si="413"/>
        <v/>
      </c>
      <c r="HI80" s="218" t="str">
        <f t="shared" si="414"/>
        <v/>
      </c>
      <c r="HJ80" s="218" t="str">
        <f t="shared" si="415"/>
        <v/>
      </c>
      <c r="HK80" s="218" t="str">
        <f t="shared" si="416"/>
        <v/>
      </c>
      <c r="HL80" s="218" t="str">
        <f t="shared" si="417"/>
        <v/>
      </c>
      <c r="HN80" s="218" t="str">
        <f t="shared" si="418"/>
        <v/>
      </c>
      <c r="HO80" s="218" t="str">
        <f t="shared" si="419"/>
        <v/>
      </c>
      <c r="HP80" s="218" t="str">
        <f t="shared" si="420"/>
        <v/>
      </c>
      <c r="HR80" s="218" t="str">
        <f t="shared" si="421"/>
        <v/>
      </c>
      <c r="HS80" s="218" t="str">
        <f t="shared" si="443"/>
        <v/>
      </c>
      <c r="HT80" s="218" t="str">
        <f t="shared" si="422"/>
        <v/>
      </c>
      <c r="HU80" s="218" t="str">
        <f t="shared" si="444"/>
        <v/>
      </c>
      <c r="HV80" s="218" t="str">
        <f t="shared" si="423"/>
        <v/>
      </c>
      <c r="HW80" s="218" t="str">
        <f t="shared" si="424"/>
        <v/>
      </c>
      <c r="HX80" s="218" t="str">
        <f t="shared" si="425"/>
        <v/>
      </c>
      <c r="HY80" s="218" t="str">
        <f t="shared" si="445"/>
        <v/>
      </c>
      <c r="HZ80" s="218" t="str">
        <f t="shared" si="426"/>
        <v/>
      </c>
      <c r="IA80" s="218" t="str">
        <f t="shared" si="427"/>
        <v/>
      </c>
      <c r="IB80" s="218" t="str">
        <f t="shared" si="446"/>
        <v/>
      </c>
      <c r="IC80" s="218" t="str">
        <f t="shared" si="428"/>
        <v/>
      </c>
      <c r="ID80" s="218" t="str">
        <f t="shared" si="429"/>
        <v/>
      </c>
      <c r="IE80" s="218" t="str">
        <f t="shared" si="447"/>
        <v/>
      </c>
      <c r="IF80" s="218" t="str">
        <f t="shared" si="430"/>
        <v/>
      </c>
      <c r="IG80" s="218" t="str">
        <f t="shared" si="431"/>
        <v/>
      </c>
      <c r="IH80" s="218" t="str">
        <f t="shared" si="448"/>
        <v/>
      </c>
      <c r="II80" s="218" t="str">
        <f t="shared" si="432"/>
        <v/>
      </c>
      <c r="IJ80" s="218" t="str">
        <f t="shared" si="433"/>
        <v/>
      </c>
      <c r="IK80" s="218" t="str">
        <f t="shared" si="449"/>
        <v/>
      </c>
      <c r="IL80" s="218" t="str">
        <f t="shared" si="434"/>
        <v/>
      </c>
      <c r="IM80" s="218" t="str">
        <f t="shared" si="435"/>
        <v/>
      </c>
      <c r="IN80" s="218" t="str">
        <f t="shared" si="450"/>
        <v/>
      </c>
      <c r="IO80" s="218" t="str">
        <f t="shared" si="436"/>
        <v/>
      </c>
      <c r="IP80" s="218" t="str">
        <f t="shared" si="437"/>
        <v/>
      </c>
      <c r="IQ80" s="218" t="str">
        <f t="shared" si="451"/>
        <v/>
      </c>
      <c r="IR80" s="218" t="str">
        <f t="shared" si="438"/>
        <v/>
      </c>
      <c r="IS80" s="218" t="str">
        <f t="shared" si="439"/>
        <v/>
      </c>
      <c r="IT80" s="218" t="str">
        <f t="shared" si="452"/>
        <v/>
      </c>
      <c r="IU80" s="218" t="str">
        <f t="shared" si="440"/>
        <v/>
      </c>
    </row>
    <row r="81" spans="1:255" x14ac:dyDescent="0.2">
      <c r="A81" s="200" t="s">
        <v>84</v>
      </c>
      <c r="B81" s="184"/>
      <c r="C81" s="179"/>
      <c r="D81" s="181"/>
      <c r="E81" s="181"/>
      <c r="F81" s="181"/>
      <c r="G81" s="181"/>
      <c r="H81" s="181"/>
      <c r="I81" s="181"/>
      <c r="J81" s="181"/>
      <c r="K81" s="183"/>
      <c r="L81" s="217" t="str">
        <f t="shared" si="441"/>
        <v/>
      </c>
      <c r="M81" s="218" t="str">
        <f>'HKG vs. BK'!M81</f>
        <v/>
      </c>
      <c r="N81" s="218" t="str">
        <f>'HKG vs. BK'!N81</f>
        <v/>
      </c>
      <c r="O81" s="218" t="str">
        <f>'HKG vs. BK'!O81</f>
        <v/>
      </c>
      <c r="P81" s="218" t="str">
        <f>'HKG vs. BK'!P81</f>
        <v/>
      </c>
      <c r="Q81" s="219" t="str">
        <f t="shared" si="227"/>
        <v/>
      </c>
      <c r="R81" s="220" t="str">
        <f t="shared" si="228"/>
        <v/>
      </c>
      <c r="S81" s="220" t="str">
        <f t="shared" si="229"/>
        <v/>
      </c>
      <c r="T81" s="219" t="str">
        <f t="shared" si="230"/>
        <v/>
      </c>
      <c r="U81" s="220" t="str">
        <f t="shared" si="231"/>
        <v/>
      </c>
      <c r="V81" s="220" t="str">
        <f t="shared" si="232"/>
        <v/>
      </c>
      <c r="W81" s="219" t="str">
        <f t="shared" si="233"/>
        <v/>
      </c>
      <c r="X81" s="220" t="str">
        <f t="shared" si="234"/>
        <v/>
      </c>
      <c r="Y81" s="220" t="str">
        <f t="shared" si="235"/>
        <v/>
      </c>
      <c r="Z81" s="219" t="str">
        <f t="shared" si="236"/>
        <v/>
      </c>
      <c r="AA81" s="220" t="str">
        <f t="shared" si="237"/>
        <v/>
      </c>
      <c r="AB81" s="220" t="str">
        <f t="shared" si="238"/>
        <v/>
      </c>
      <c r="AC81" s="219" t="str">
        <f t="shared" si="239"/>
        <v/>
      </c>
      <c r="AD81" s="220" t="str">
        <f t="shared" si="240"/>
        <v/>
      </c>
      <c r="AE81" s="220" t="str">
        <f t="shared" si="241"/>
        <v/>
      </c>
      <c r="AF81" s="219" t="str">
        <f t="shared" si="242"/>
        <v/>
      </c>
      <c r="AG81" s="220" t="str">
        <f t="shared" si="243"/>
        <v/>
      </c>
      <c r="AH81" s="220" t="str">
        <f t="shared" si="244"/>
        <v/>
      </c>
      <c r="AI81" s="219" t="str">
        <f t="shared" si="245"/>
        <v/>
      </c>
      <c r="AJ81" s="220" t="str">
        <f t="shared" si="246"/>
        <v/>
      </c>
      <c r="AK81" s="220" t="str">
        <f t="shared" si="247"/>
        <v/>
      </c>
      <c r="AL81" s="219" t="str">
        <f t="shared" si="248"/>
        <v/>
      </c>
      <c r="AM81" s="220" t="str">
        <f t="shared" si="249"/>
        <v/>
      </c>
      <c r="AN81" s="220" t="str">
        <f t="shared" si="250"/>
        <v/>
      </c>
      <c r="AO81" s="219" t="str">
        <f t="shared" si="251"/>
        <v/>
      </c>
      <c r="AP81" s="220" t="str">
        <f t="shared" si="252"/>
        <v/>
      </c>
      <c r="AQ81" s="220" t="str">
        <f t="shared" si="253"/>
        <v/>
      </c>
      <c r="AR81" s="219" t="str">
        <f t="shared" si="254"/>
        <v/>
      </c>
      <c r="AS81" s="220" t="str">
        <f t="shared" si="255"/>
        <v/>
      </c>
      <c r="AT81" s="220" t="str">
        <f t="shared" si="256"/>
        <v/>
      </c>
      <c r="AU81" s="221"/>
      <c r="AV81" s="221"/>
      <c r="AW81" s="221"/>
      <c r="AY81" s="218" t="str">
        <f t="shared" si="257"/>
        <v/>
      </c>
      <c r="AZ81" s="218" t="str">
        <f t="shared" si="258"/>
        <v/>
      </c>
      <c r="BA81" s="218" t="str">
        <f t="shared" si="259"/>
        <v/>
      </c>
      <c r="BB81" s="218" t="str">
        <f t="shared" si="260"/>
        <v/>
      </c>
      <c r="BC81" s="218" t="str">
        <f t="shared" si="261"/>
        <v/>
      </c>
      <c r="BD81" s="218" t="str">
        <f t="shared" si="262"/>
        <v/>
      </c>
      <c r="BE81" s="218" t="str">
        <f t="shared" si="263"/>
        <v/>
      </c>
      <c r="BF81" s="218" t="str">
        <f t="shared" si="264"/>
        <v/>
      </c>
      <c r="BG81" s="218" t="str">
        <f t="shared" si="265"/>
        <v/>
      </c>
      <c r="BH81" s="218" t="str">
        <f t="shared" si="266"/>
        <v/>
      </c>
      <c r="BI81" s="218" t="str">
        <f t="shared" si="267"/>
        <v/>
      </c>
      <c r="BJ81" s="218" t="str">
        <f t="shared" si="268"/>
        <v/>
      </c>
      <c r="BK81" s="218" t="str">
        <f t="shared" si="269"/>
        <v/>
      </c>
      <c r="BL81" s="218" t="str">
        <f t="shared" si="270"/>
        <v/>
      </c>
      <c r="BM81" s="218" t="str">
        <f t="shared" si="271"/>
        <v/>
      </c>
      <c r="BN81" s="218" t="str">
        <f t="shared" si="272"/>
        <v/>
      </c>
      <c r="BO81" s="218" t="str">
        <f t="shared" si="273"/>
        <v/>
      </c>
      <c r="BP81" s="218" t="str">
        <f t="shared" si="274"/>
        <v/>
      </c>
      <c r="BQ81" s="218" t="str">
        <f t="shared" si="275"/>
        <v/>
      </c>
      <c r="BR81" s="218" t="str">
        <f t="shared" si="276"/>
        <v/>
      </c>
      <c r="BS81" s="218" t="str">
        <f t="shared" si="277"/>
        <v/>
      </c>
      <c r="BT81" s="218" t="str">
        <f t="shared" si="278"/>
        <v/>
      </c>
      <c r="BU81" s="218" t="str">
        <f t="shared" si="279"/>
        <v/>
      </c>
      <c r="BV81" s="218" t="str">
        <f t="shared" si="280"/>
        <v/>
      </c>
      <c r="BW81" s="218" t="str">
        <f t="shared" si="281"/>
        <v/>
      </c>
      <c r="BX81" s="218" t="str">
        <f t="shared" si="282"/>
        <v/>
      </c>
      <c r="BY81" s="218" t="str">
        <f t="shared" si="283"/>
        <v/>
      </c>
      <c r="BZ81" s="218" t="str">
        <f t="shared" si="284"/>
        <v/>
      </c>
      <c r="CA81" s="218" t="str">
        <f t="shared" si="285"/>
        <v/>
      </c>
      <c r="CB81" s="218" t="str">
        <f t="shared" si="286"/>
        <v/>
      </c>
      <c r="CD81" s="218" t="str">
        <f t="shared" si="287"/>
        <v/>
      </c>
      <c r="CE81" s="218" t="str">
        <f t="shared" si="288"/>
        <v/>
      </c>
      <c r="CF81" s="218" t="str">
        <f t="shared" si="289"/>
        <v/>
      </c>
      <c r="CG81" s="218" t="str">
        <f t="shared" si="290"/>
        <v/>
      </c>
      <c r="CH81" s="218" t="str">
        <f t="shared" si="291"/>
        <v/>
      </c>
      <c r="CI81" s="218" t="str">
        <f t="shared" si="292"/>
        <v/>
      </c>
      <c r="CJ81" s="218" t="str">
        <f t="shared" si="293"/>
        <v/>
      </c>
      <c r="CK81" s="218" t="str">
        <f t="shared" si="294"/>
        <v/>
      </c>
      <c r="CL81" s="218" t="str">
        <f t="shared" si="295"/>
        <v/>
      </c>
      <c r="CM81" s="218" t="str">
        <f t="shared" si="296"/>
        <v/>
      </c>
      <c r="CN81" s="218" t="str">
        <f t="shared" si="297"/>
        <v/>
      </c>
      <c r="CO81" s="218" t="str">
        <f t="shared" si="298"/>
        <v/>
      </c>
      <c r="CP81" s="218" t="str">
        <f t="shared" si="299"/>
        <v/>
      </c>
      <c r="CQ81" s="218" t="str">
        <f t="shared" si="300"/>
        <v/>
      </c>
      <c r="CR81" s="218" t="str">
        <f t="shared" si="301"/>
        <v/>
      </c>
      <c r="CS81" s="218" t="str">
        <f t="shared" si="302"/>
        <v/>
      </c>
      <c r="CT81" s="218" t="str">
        <f t="shared" si="303"/>
        <v/>
      </c>
      <c r="CU81" s="218" t="str">
        <f t="shared" si="304"/>
        <v/>
      </c>
      <c r="CV81" s="218" t="str">
        <f t="shared" si="305"/>
        <v/>
      </c>
      <c r="CW81" s="218" t="str">
        <f t="shared" si="306"/>
        <v/>
      </c>
      <c r="CX81" s="218" t="str">
        <f t="shared" si="307"/>
        <v/>
      </c>
      <c r="CY81" s="218" t="str">
        <f t="shared" si="308"/>
        <v/>
      </c>
      <c r="CZ81" s="218" t="str">
        <f t="shared" si="309"/>
        <v/>
      </c>
      <c r="DA81" s="218" t="str">
        <f t="shared" si="310"/>
        <v/>
      </c>
      <c r="DB81" s="218" t="str">
        <f t="shared" si="442"/>
        <v/>
      </c>
      <c r="DC81" s="218" t="str">
        <f t="shared" si="311"/>
        <v/>
      </c>
      <c r="DD81" s="218" t="str">
        <f t="shared" si="312"/>
        <v/>
      </c>
      <c r="DF81" s="218" t="str">
        <f t="shared" si="313"/>
        <v/>
      </c>
      <c r="DG81" s="218" t="str">
        <f t="shared" si="314"/>
        <v/>
      </c>
      <c r="DH81" s="218" t="str">
        <f t="shared" si="315"/>
        <v/>
      </c>
      <c r="DI81" s="218" t="str">
        <f t="shared" si="316"/>
        <v/>
      </c>
      <c r="DJ81" s="218" t="str">
        <f t="shared" si="317"/>
        <v/>
      </c>
      <c r="DK81" s="218" t="str">
        <f t="shared" si="318"/>
        <v/>
      </c>
      <c r="DL81" s="218" t="str">
        <f t="shared" si="319"/>
        <v/>
      </c>
      <c r="DM81" s="218" t="str">
        <f t="shared" si="320"/>
        <v/>
      </c>
      <c r="DN81" s="218" t="str">
        <f t="shared" si="321"/>
        <v/>
      </c>
      <c r="DO81" s="218" t="str">
        <f t="shared" si="322"/>
        <v/>
      </c>
      <c r="DP81" s="218" t="str">
        <f t="shared" si="323"/>
        <v/>
      </c>
      <c r="DQ81" s="218" t="str">
        <f t="shared" si="324"/>
        <v/>
      </c>
      <c r="DR81" s="218" t="str">
        <f t="shared" si="325"/>
        <v/>
      </c>
      <c r="DS81" s="218" t="str">
        <f t="shared" si="326"/>
        <v/>
      </c>
      <c r="DT81" s="218" t="str">
        <f t="shared" si="327"/>
        <v/>
      </c>
      <c r="DU81" s="218" t="str">
        <f t="shared" si="328"/>
        <v/>
      </c>
      <c r="DV81" s="218" t="str">
        <f t="shared" si="329"/>
        <v/>
      </c>
      <c r="DW81" s="218" t="str">
        <f t="shared" si="330"/>
        <v/>
      </c>
      <c r="DX81" s="218" t="str">
        <f t="shared" si="331"/>
        <v/>
      </c>
      <c r="DY81" s="218" t="str">
        <f t="shared" si="332"/>
        <v/>
      </c>
      <c r="DZ81" s="218" t="str">
        <f t="shared" si="333"/>
        <v/>
      </c>
      <c r="EA81" s="218" t="str">
        <f t="shared" si="334"/>
        <v/>
      </c>
      <c r="EB81" s="218" t="str">
        <f t="shared" si="335"/>
        <v/>
      </c>
      <c r="EC81" s="218" t="str">
        <f t="shared" si="336"/>
        <v/>
      </c>
      <c r="EE81" s="218" t="str">
        <f t="shared" si="337"/>
        <v/>
      </c>
      <c r="EF81" s="218" t="str">
        <f t="shared" si="338"/>
        <v/>
      </c>
      <c r="EG81" s="218" t="str">
        <f t="shared" si="339"/>
        <v/>
      </c>
      <c r="EH81" s="218" t="str">
        <f t="shared" si="340"/>
        <v/>
      </c>
      <c r="EI81" s="218" t="str">
        <f t="shared" si="341"/>
        <v/>
      </c>
      <c r="EJ81" s="218" t="str">
        <f t="shared" si="342"/>
        <v/>
      </c>
      <c r="EK81" s="218" t="str">
        <f t="shared" si="343"/>
        <v/>
      </c>
      <c r="EL81" s="218" t="str">
        <f t="shared" si="344"/>
        <v/>
      </c>
      <c r="EM81" s="218" t="str">
        <f t="shared" si="345"/>
        <v/>
      </c>
      <c r="EN81" s="218" t="str">
        <f t="shared" si="346"/>
        <v/>
      </c>
      <c r="EO81" s="218" t="str">
        <f t="shared" si="347"/>
        <v/>
      </c>
      <c r="EP81" s="218" t="str">
        <f t="shared" si="348"/>
        <v/>
      </c>
      <c r="EQ81" s="218" t="str">
        <f t="shared" si="349"/>
        <v/>
      </c>
      <c r="ER81" s="218" t="str">
        <f t="shared" si="350"/>
        <v/>
      </c>
      <c r="ES81" s="218" t="str">
        <f t="shared" si="351"/>
        <v/>
      </c>
      <c r="ET81" s="218" t="str">
        <f t="shared" si="352"/>
        <v/>
      </c>
      <c r="EU81" s="218" t="str">
        <f t="shared" si="353"/>
        <v/>
      </c>
      <c r="EV81" s="218" t="str">
        <f t="shared" si="354"/>
        <v/>
      </c>
      <c r="EW81" s="218" t="str">
        <f t="shared" si="355"/>
        <v/>
      </c>
      <c r="EX81" s="218" t="str">
        <f t="shared" si="356"/>
        <v/>
      </c>
      <c r="EY81" s="218" t="str">
        <f t="shared" si="357"/>
        <v/>
      </c>
      <c r="FA81" s="218" t="str">
        <f t="shared" si="358"/>
        <v/>
      </c>
      <c r="FB81" s="218" t="str">
        <f t="shared" si="359"/>
        <v/>
      </c>
      <c r="FC81" s="218" t="str">
        <f t="shared" si="360"/>
        <v/>
      </c>
      <c r="FD81" s="218" t="str">
        <f t="shared" si="361"/>
        <v/>
      </c>
      <c r="FE81" s="218" t="str">
        <f t="shared" si="362"/>
        <v/>
      </c>
      <c r="FF81" s="218" t="str">
        <f t="shared" si="363"/>
        <v/>
      </c>
      <c r="FG81" s="218" t="str">
        <f t="shared" si="364"/>
        <v/>
      </c>
      <c r="FH81" s="218" t="str">
        <f t="shared" si="365"/>
        <v/>
      </c>
      <c r="FI81" s="218" t="str">
        <f t="shared" si="366"/>
        <v/>
      </c>
      <c r="FJ81" s="218" t="str">
        <f t="shared" si="367"/>
        <v/>
      </c>
      <c r="FK81" s="218" t="str">
        <f t="shared" si="368"/>
        <v/>
      </c>
      <c r="FL81" s="218" t="str">
        <f t="shared" si="369"/>
        <v/>
      </c>
      <c r="FM81" s="218" t="str">
        <f t="shared" si="370"/>
        <v/>
      </c>
      <c r="FN81" s="218" t="str">
        <f t="shared" si="371"/>
        <v/>
      </c>
      <c r="FO81" s="218" t="str">
        <f t="shared" si="372"/>
        <v/>
      </c>
      <c r="FP81" s="218" t="str">
        <f t="shared" si="373"/>
        <v/>
      </c>
      <c r="FQ81" s="218" t="str">
        <f t="shared" si="374"/>
        <v/>
      </c>
      <c r="FR81" s="218" t="str">
        <f t="shared" si="375"/>
        <v/>
      </c>
      <c r="FT81" s="218" t="str">
        <f t="shared" si="376"/>
        <v/>
      </c>
      <c r="FU81" s="218" t="str">
        <f t="shared" si="377"/>
        <v/>
      </c>
      <c r="FV81" s="218" t="str">
        <f t="shared" si="378"/>
        <v/>
      </c>
      <c r="FW81" s="218" t="str">
        <f t="shared" si="379"/>
        <v/>
      </c>
      <c r="FX81" s="218" t="str">
        <f t="shared" si="380"/>
        <v/>
      </c>
      <c r="FY81" s="218" t="str">
        <f t="shared" si="381"/>
        <v/>
      </c>
      <c r="FZ81" s="218" t="str">
        <f t="shared" si="382"/>
        <v/>
      </c>
      <c r="GA81" s="218" t="str">
        <f t="shared" si="383"/>
        <v/>
      </c>
      <c r="GB81" s="218" t="str">
        <f t="shared" si="384"/>
        <v/>
      </c>
      <c r="GC81" s="218" t="str">
        <f t="shared" si="385"/>
        <v/>
      </c>
      <c r="GD81" s="218" t="str">
        <f t="shared" si="386"/>
        <v/>
      </c>
      <c r="GE81" s="218" t="str">
        <f t="shared" si="387"/>
        <v/>
      </c>
      <c r="GF81" s="218" t="str">
        <f t="shared" si="388"/>
        <v/>
      </c>
      <c r="GG81" s="218" t="str">
        <f t="shared" si="389"/>
        <v/>
      </c>
      <c r="GH81" s="218" t="str">
        <f t="shared" si="390"/>
        <v/>
      </c>
      <c r="GJ81" s="218" t="str">
        <f t="shared" si="391"/>
        <v/>
      </c>
      <c r="GK81" s="218" t="str">
        <f t="shared" si="392"/>
        <v/>
      </c>
      <c r="GL81" s="218" t="str">
        <f t="shared" si="393"/>
        <v/>
      </c>
      <c r="GM81" s="218" t="str">
        <f t="shared" si="394"/>
        <v/>
      </c>
      <c r="GN81" s="218" t="str">
        <f t="shared" si="395"/>
        <v/>
      </c>
      <c r="GO81" s="218" t="str">
        <f t="shared" si="396"/>
        <v/>
      </c>
      <c r="GP81" s="218" t="str">
        <f t="shared" si="397"/>
        <v/>
      </c>
      <c r="GQ81" s="218" t="str">
        <f t="shared" si="398"/>
        <v/>
      </c>
      <c r="GR81" s="218" t="str">
        <f t="shared" si="399"/>
        <v/>
      </c>
      <c r="GS81" s="218" t="str">
        <f t="shared" si="400"/>
        <v/>
      </c>
      <c r="GT81" s="218" t="str">
        <f t="shared" si="401"/>
        <v/>
      </c>
      <c r="GU81" s="218" t="str">
        <f t="shared" si="402"/>
        <v/>
      </c>
      <c r="GW81" s="218" t="str">
        <f t="shared" si="403"/>
        <v/>
      </c>
      <c r="GX81" s="218" t="str">
        <f t="shared" si="404"/>
        <v/>
      </c>
      <c r="GY81" s="218" t="str">
        <f t="shared" si="405"/>
        <v/>
      </c>
      <c r="GZ81" s="218" t="str">
        <f t="shared" si="406"/>
        <v/>
      </c>
      <c r="HA81" s="218" t="str">
        <f t="shared" si="407"/>
        <v/>
      </c>
      <c r="HB81" s="218" t="str">
        <f t="shared" si="408"/>
        <v/>
      </c>
      <c r="HC81" s="218" t="str">
        <f t="shared" si="409"/>
        <v/>
      </c>
      <c r="HD81" s="218" t="str">
        <f t="shared" si="410"/>
        <v/>
      </c>
      <c r="HE81" s="218" t="str">
        <f t="shared" si="411"/>
        <v/>
      </c>
      <c r="HG81" s="218" t="str">
        <f t="shared" si="412"/>
        <v/>
      </c>
      <c r="HH81" s="218" t="str">
        <f t="shared" si="413"/>
        <v/>
      </c>
      <c r="HI81" s="218" t="str">
        <f t="shared" si="414"/>
        <v/>
      </c>
      <c r="HJ81" s="218" t="str">
        <f t="shared" si="415"/>
        <v/>
      </c>
      <c r="HK81" s="218" t="str">
        <f t="shared" si="416"/>
        <v/>
      </c>
      <c r="HL81" s="218" t="str">
        <f t="shared" si="417"/>
        <v/>
      </c>
      <c r="HN81" s="218" t="str">
        <f t="shared" si="418"/>
        <v/>
      </c>
      <c r="HO81" s="218" t="str">
        <f t="shared" si="419"/>
        <v/>
      </c>
      <c r="HP81" s="218" t="str">
        <f t="shared" si="420"/>
        <v/>
      </c>
      <c r="HR81" s="218" t="str">
        <f t="shared" si="421"/>
        <v/>
      </c>
      <c r="HS81" s="218" t="str">
        <f t="shared" si="443"/>
        <v/>
      </c>
      <c r="HT81" s="218" t="str">
        <f t="shared" si="422"/>
        <v/>
      </c>
      <c r="HU81" s="218" t="str">
        <f t="shared" si="444"/>
        <v/>
      </c>
      <c r="HV81" s="218" t="str">
        <f t="shared" si="423"/>
        <v/>
      </c>
      <c r="HW81" s="218" t="str">
        <f t="shared" si="424"/>
        <v/>
      </c>
      <c r="HX81" s="218" t="str">
        <f t="shared" si="425"/>
        <v/>
      </c>
      <c r="HY81" s="218" t="str">
        <f t="shared" si="445"/>
        <v/>
      </c>
      <c r="HZ81" s="218" t="str">
        <f t="shared" si="426"/>
        <v/>
      </c>
      <c r="IA81" s="218" t="str">
        <f t="shared" si="427"/>
        <v/>
      </c>
      <c r="IB81" s="218" t="str">
        <f t="shared" si="446"/>
        <v/>
      </c>
      <c r="IC81" s="218" t="str">
        <f t="shared" si="428"/>
        <v/>
      </c>
      <c r="ID81" s="218" t="str">
        <f t="shared" si="429"/>
        <v/>
      </c>
      <c r="IE81" s="218" t="str">
        <f t="shared" si="447"/>
        <v/>
      </c>
      <c r="IF81" s="218" t="str">
        <f t="shared" si="430"/>
        <v/>
      </c>
      <c r="IG81" s="218" t="str">
        <f t="shared" si="431"/>
        <v/>
      </c>
      <c r="IH81" s="218" t="str">
        <f t="shared" si="448"/>
        <v/>
      </c>
      <c r="II81" s="218" t="str">
        <f t="shared" si="432"/>
        <v/>
      </c>
      <c r="IJ81" s="218" t="str">
        <f t="shared" si="433"/>
        <v/>
      </c>
      <c r="IK81" s="218" t="str">
        <f t="shared" si="449"/>
        <v/>
      </c>
      <c r="IL81" s="218" t="str">
        <f t="shared" si="434"/>
        <v/>
      </c>
      <c r="IM81" s="218" t="str">
        <f t="shared" si="435"/>
        <v/>
      </c>
      <c r="IN81" s="218" t="str">
        <f t="shared" si="450"/>
        <v/>
      </c>
      <c r="IO81" s="218" t="str">
        <f t="shared" si="436"/>
        <v/>
      </c>
      <c r="IP81" s="218" t="str">
        <f t="shared" si="437"/>
        <v/>
      </c>
      <c r="IQ81" s="218" t="str">
        <f t="shared" si="451"/>
        <v/>
      </c>
      <c r="IR81" s="218" t="str">
        <f t="shared" si="438"/>
        <v/>
      </c>
      <c r="IS81" s="218" t="str">
        <f t="shared" si="439"/>
        <v/>
      </c>
      <c r="IT81" s="218" t="str">
        <f t="shared" si="452"/>
        <v/>
      </c>
      <c r="IU81" s="218" t="str">
        <f t="shared" si="440"/>
        <v/>
      </c>
    </row>
    <row r="82" spans="1:255" x14ac:dyDescent="0.2">
      <c r="A82" s="200" t="s">
        <v>85</v>
      </c>
      <c r="B82" s="184"/>
      <c r="C82" s="179"/>
      <c r="D82" s="181"/>
      <c r="E82" s="181"/>
      <c r="F82" s="181"/>
      <c r="G82" s="181"/>
      <c r="H82" s="181"/>
      <c r="I82" s="181"/>
      <c r="J82" s="181"/>
      <c r="K82" s="183"/>
      <c r="L82" s="217" t="str">
        <f t="shared" si="441"/>
        <v/>
      </c>
      <c r="M82" s="218" t="str">
        <f>'HKG vs. BK'!M82</f>
        <v/>
      </c>
      <c r="N82" s="218" t="str">
        <f>'HKG vs. BK'!N82</f>
        <v/>
      </c>
      <c r="O82" s="218" t="str">
        <f>'HKG vs. BK'!O82</f>
        <v/>
      </c>
      <c r="P82" s="218" t="str">
        <f>'HKG vs. BK'!P82</f>
        <v/>
      </c>
      <c r="Q82" s="219" t="str">
        <f t="shared" si="227"/>
        <v/>
      </c>
      <c r="R82" s="220" t="str">
        <f t="shared" si="228"/>
        <v/>
      </c>
      <c r="S82" s="220" t="str">
        <f t="shared" si="229"/>
        <v/>
      </c>
      <c r="T82" s="219" t="str">
        <f t="shared" si="230"/>
        <v/>
      </c>
      <c r="U82" s="220" t="str">
        <f t="shared" si="231"/>
        <v/>
      </c>
      <c r="V82" s="220" t="str">
        <f t="shared" si="232"/>
        <v/>
      </c>
      <c r="W82" s="219" t="str">
        <f t="shared" si="233"/>
        <v/>
      </c>
      <c r="X82" s="220" t="str">
        <f t="shared" si="234"/>
        <v/>
      </c>
      <c r="Y82" s="220" t="str">
        <f t="shared" si="235"/>
        <v/>
      </c>
      <c r="Z82" s="219" t="str">
        <f t="shared" si="236"/>
        <v/>
      </c>
      <c r="AA82" s="220" t="str">
        <f t="shared" si="237"/>
        <v/>
      </c>
      <c r="AB82" s="220" t="str">
        <f t="shared" si="238"/>
        <v/>
      </c>
      <c r="AC82" s="219" t="str">
        <f t="shared" si="239"/>
        <v/>
      </c>
      <c r="AD82" s="220" t="str">
        <f t="shared" si="240"/>
        <v/>
      </c>
      <c r="AE82" s="220" t="str">
        <f t="shared" si="241"/>
        <v/>
      </c>
      <c r="AF82" s="219" t="str">
        <f t="shared" si="242"/>
        <v/>
      </c>
      <c r="AG82" s="220" t="str">
        <f t="shared" si="243"/>
        <v/>
      </c>
      <c r="AH82" s="220" t="str">
        <f t="shared" si="244"/>
        <v/>
      </c>
      <c r="AI82" s="219" t="str">
        <f t="shared" si="245"/>
        <v/>
      </c>
      <c r="AJ82" s="220" t="str">
        <f t="shared" si="246"/>
        <v/>
      </c>
      <c r="AK82" s="220" t="str">
        <f t="shared" si="247"/>
        <v/>
      </c>
      <c r="AL82" s="219" t="str">
        <f t="shared" si="248"/>
        <v/>
      </c>
      <c r="AM82" s="220" t="str">
        <f t="shared" si="249"/>
        <v/>
      </c>
      <c r="AN82" s="220" t="str">
        <f t="shared" si="250"/>
        <v/>
      </c>
      <c r="AO82" s="219" t="str">
        <f t="shared" si="251"/>
        <v/>
      </c>
      <c r="AP82" s="220" t="str">
        <f t="shared" si="252"/>
        <v/>
      </c>
      <c r="AQ82" s="220" t="str">
        <f t="shared" si="253"/>
        <v/>
      </c>
      <c r="AR82" s="219" t="str">
        <f t="shared" si="254"/>
        <v/>
      </c>
      <c r="AS82" s="220" t="str">
        <f t="shared" si="255"/>
        <v/>
      </c>
      <c r="AT82" s="220" t="str">
        <f t="shared" si="256"/>
        <v/>
      </c>
      <c r="AU82" s="221"/>
      <c r="AV82" s="221"/>
      <c r="AW82" s="221"/>
      <c r="AY82" s="218" t="str">
        <f t="shared" si="257"/>
        <v/>
      </c>
      <c r="AZ82" s="218" t="str">
        <f t="shared" si="258"/>
        <v/>
      </c>
      <c r="BA82" s="218" t="str">
        <f t="shared" si="259"/>
        <v/>
      </c>
      <c r="BB82" s="218" t="str">
        <f t="shared" si="260"/>
        <v/>
      </c>
      <c r="BC82" s="218" t="str">
        <f t="shared" si="261"/>
        <v/>
      </c>
      <c r="BD82" s="218" t="str">
        <f t="shared" si="262"/>
        <v/>
      </c>
      <c r="BE82" s="218" t="str">
        <f t="shared" si="263"/>
        <v/>
      </c>
      <c r="BF82" s="218" t="str">
        <f t="shared" si="264"/>
        <v/>
      </c>
      <c r="BG82" s="218" t="str">
        <f t="shared" si="265"/>
        <v/>
      </c>
      <c r="BH82" s="218" t="str">
        <f t="shared" si="266"/>
        <v/>
      </c>
      <c r="BI82" s="218" t="str">
        <f t="shared" si="267"/>
        <v/>
      </c>
      <c r="BJ82" s="218" t="str">
        <f t="shared" si="268"/>
        <v/>
      </c>
      <c r="BK82" s="218" t="str">
        <f t="shared" si="269"/>
        <v/>
      </c>
      <c r="BL82" s="218" t="str">
        <f t="shared" si="270"/>
        <v/>
      </c>
      <c r="BM82" s="218" t="str">
        <f t="shared" si="271"/>
        <v/>
      </c>
      <c r="BN82" s="218" t="str">
        <f t="shared" si="272"/>
        <v/>
      </c>
      <c r="BO82" s="218" t="str">
        <f t="shared" si="273"/>
        <v/>
      </c>
      <c r="BP82" s="218" t="str">
        <f t="shared" si="274"/>
        <v/>
      </c>
      <c r="BQ82" s="218" t="str">
        <f t="shared" si="275"/>
        <v/>
      </c>
      <c r="BR82" s="218" t="str">
        <f t="shared" si="276"/>
        <v/>
      </c>
      <c r="BS82" s="218" t="str">
        <f t="shared" si="277"/>
        <v/>
      </c>
      <c r="BT82" s="218" t="str">
        <f t="shared" si="278"/>
        <v/>
      </c>
      <c r="BU82" s="218" t="str">
        <f t="shared" si="279"/>
        <v/>
      </c>
      <c r="BV82" s="218" t="str">
        <f t="shared" si="280"/>
        <v/>
      </c>
      <c r="BW82" s="218" t="str">
        <f t="shared" si="281"/>
        <v/>
      </c>
      <c r="BX82" s="218" t="str">
        <f t="shared" si="282"/>
        <v/>
      </c>
      <c r="BY82" s="218" t="str">
        <f t="shared" si="283"/>
        <v/>
      </c>
      <c r="BZ82" s="218" t="str">
        <f t="shared" si="284"/>
        <v/>
      </c>
      <c r="CA82" s="218" t="str">
        <f t="shared" si="285"/>
        <v/>
      </c>
      <c r="CB82" s="218" t="str">
        <f t="shared" si="286"/>
        <v/>
      </c>
      <c r="CD82" s="218" t="str">
        <f t="shared" si="287"/>
        <v/>
      </c>
      <c r="CE82" s="218" t="str">
        <f t="shared" si="288"/>
        <v/>
      </c>
      <c r="CF82" s="218" t="str">
        <f t="shared" si="289"/>
        <v/>
      </c>
      <c r="CG82" s="218" t="str">
        <f t="shared" si="290"/>
        <v/>
      </c>
      <c r="CH82" s="218" t="str">
        <f t="shared" si="291"/>
        <v/>
      </c>
      <c r="CI82" s="218" t="str">
        <f t="shared" si="292"/>
        <v/>
      </c>
      <c r="CJ82" s="218" t="str">
        <f t="shared" si="293"/>
        <v/>
      </c>
      <c r="CK82" s="218" t="str">
        <f t="shared" si="294"/>
        <v/>
      </c>
      <c r="CL82" s="218" t="str">
        <f t="shared" si="295"/>
        <v/>
      </c>
      <c r="CM82" s="218" t="str">
        <f t="shared" si="296"/>
        <v/>
      </c>
      <c r="CN82" s="218" t="str">
        <f t="shared" si="297"/>
        <v/>
      </c>
      <c r="CO82" s="218" t="str">
        <f t="shared" si="298"/>
        <v/>
      </c>
      <c r="CP82" s="218" t="str">
        <f t="shared" si="299"/>
        <v/>
      </c>
      <c r="CQ82" s="218" t="str">
        <f t="shared" si="300"/>
        <v/>
      </c>
      <c r="CR82" s="218" t="str">
        <f t="shared" si="301"/>
        <v/>
      </c>
      <c r="CS82" s="218" t="str">
        <f t="shared" si="302"/>
        <v/>
      </c>
      <c r="CT82" s="218" t="str">
        <f t="shared" si="303"/>
        <v/>
      </c>
      <c r="CU82" s="218" t="str">
        <f t="shared" si="304"/>
        <v/>
      </c>
      <c r="CV82" s="218" t="str">
        <f t="shared" si="305"/>
        <v/>
      </c>
      <c r="CW82" s="218" t="str">
        <f t="shared" si="306"/>
        <v/>
      </c>
      <c r="CX82" s="218" t="str">
        <f t="shared" si="307"/>
        <v/>
      </c>
      <c r="CY82" s="218" t="str">
        <f t="shared" si="308"/>
        <v/>
      </c>
      <c r="CZ82" s="218" t="str">
        <f t="shared" si="309"/>
        <v/>
      </c>
      <c r="DA82" s="218" t="str">
        <f t="shared" si="310"/>
        <v/>
      </c>
      <c r="DB82" s="218" t="str">
        <f t="shared" si="442"/>
        <v/>
      </c>
      <c r="DC82" s="218" t="str">
        <f t="shared" si="311"/>
        <v/>
      </c>
      <c r="DD82" s="218" t="str">
        <f t="shared" si="312"/>
        <v/>
      </c>
      <c r="DF82" s="218" t="str">
        <f t="shared" si="313"/>
        <v/>
      </c>
      <c r="DG82" s="218" t="str">
        <f t="shared" si="314"/>
        <v/>
      </c>
      <c r="DH82" s="218" t="str">
        <f t="shared" si="315"/>
        <v/>
      </c>
      <c r="DI82" s="218" t="str">
        <f t="shared" si="316"/>
        <v/>
      </c>
      <c r="DJ82" s="218" t="str">
        <f t="shared" si="317"/>
        <v/>
      </c>
      <c r="DK82" s="218" t="str">
        <f t="shared" si="318"/>
        <v/>
      </c>
      <c r="DL82" s="218" t="str">
        <f t="shared" si="319"/>
        <v/>
      </c>
      <c r="DM82" s="218" t="str">
        <f t="shared" si="320"/>
        <v/>
      </c>
      <c r="DN82" s="218" t="str">
        <f t="shared" si="321"/>
        <v/>
      </c>
      <c r="DO82" s="218" t="str">
        <f t="shared" si="322"/>
        <v/>
      </c>
      <c r="DP82" s="218" t="str">
        <f t="shared" si="323"/>
        <v/>
      </c>
      <c r="DQ82" s="218" t="str">
        <f t="shared" si="324"/>
        <v/>
      </c>
      <c r="DR82" s="218" t="str">
        <f t="shared" si="325"/>
        <v/>
      </c>
      <c r="DS82" s="218" t="str">
        <f t="shared" si="326"/>
        <v/>
      </c>
      <c r="DT82" s="218" t="str">
        <f t="shared" si="327"/>
        <v/>
      </c>
      <c r="DU82" s="218" t="str">
        <f t="shared" si="328"/>
        <v/>
      </c>
      <c r="DV82" s="218" t="str">
        <f t="shared" si="329"/>
        <v/>
      </c>
      <c r="DW82" s="218" t="str">
        <f t="shared" si="330"/>
        <v/>
      </c>
      <c r="DX82" s="218" t="str">
        <f t="shared" si="331"/>
        <v/>
      </c>
      <c r="DY82" s="218" t="str">
        <f t="shared" si="332"/>
        <v/>
      </c>
      <c r="DZ82" s="218" t="str">
        <f t="shared" si="333"/>
        <v/>
      </c>
      <c r="EA82" s="218" t="str">
        <f t="shared" si="334"/>
        <v/>
      </c>
      <c r="EB82" s="218" t="str">
        <f t="shared" si="335"/>
        <v/>
      </c>
      <c r="EC82" s="218" t="str">
        <f t="shared" si="336"/>
        <v/>
      </c>
      <c r="EE82" s="218" t="str">
        <f t="shared" si="337"/>
        <v/>
      </c>
      <c r="EF82" s="218" t="str">
        <f t="shared" si="338"/>
        <v/>
      </c>
      <c r="EG82" s="218" t="str">
        <f t="shared" si="339"/>
        <v/>
      </c>
      <c r="EH82" s="218" t="str">
        <f t="shared" si="340"/>
        <v/>
      </c>
      <c r="EI82" s="218" t="str">
        <f t="shared" si="341"/>
        <v/>
      </c>
      <c r="EJ82" s="218" t="str">
        <f t="shared" si="342"/>
        <v/>
      </c>
      <c r="EK82" s="218" t="str">
        <f t="shared" si="343"/>
        <v/>
      </c>
      <c r="EL82" s="218" t="str">
        <f t="shared" si="344"/>
        <v/>
      </c>
      <c r="EM82" s="218" t="str">
        <f t="shared" si="345"/>
        <v/>
      </c>
      <c r="EN82" s="218" t="str">
        <f t="shared" si="346"/>
        <v/>
      </c>
      <c r="EO82" s="218" t="str">
        <f t="shared" si="347"/>
        <v/>
      </c>
      <c r="EP82" s="218" t="str">
        <f t="shared" si="348"/>
        <v/>
      </c>
      <c r="EQ82" s="218" t="str">
        <f t="shared" si="349"/>
        <v/>
      </c>
      <c r="ER82" s="218" t="str">
        <f t="shared" si="350"/>
        <v/>
      </c>
      <c r="ES82" s="218" t="str">
        <f t="shared" si="351"/>
        <v/>
      </c>
      <c r="ET82" s="218" t="str">
        <f t="shared" si="352"/>
        <v/>
      </c>
      <c r="EU82" s="218" t="str">
        <f t="shared" si="353"/>
        <v/>
      </c>
      <c r="EV82" s="218" t="str">
        <f t="shared" si="354"/>
        <v/>
      </c>
      <c r="EW82" s="218" t="str">
        <f t="shared" si="355"/>
        <v/>
      </c>
      <c r="EX82" s="218" t="str">
        <f t="shared" si="356"/>
        <v/>
      </c>
      <c r="EY82" s="218" t="str">
        <f t="shared" si="357"/>
        <v/>
      </c>
      <c r="FA82" s="218" t="str">
        <f t="shared" si="358"/>
        <v/>
      </c>
      <c r="FB82" s="218" t="str">
        <f t="shared" si="359"/>
        <v/>
      </c>
      <c r="FC82" s="218" t="str">
        <f t="shared" si="360"/>
        <v/>
      </c>
      <c r="FD82" s="218" t="str">
        <f t="shared" si="361"/>
        <v/>
      </c>
      <c r="FE82" s="218" t="str">
        <f t="shared" si="362"/>
        <v/>
      </c>
      <c r="FF82" s="218" t="str">
        <f t="shared" si="363"/>
        <v/>
      </c>
      <c r="FG82" s="218" t="str">
        <f t="shared" si="364"/>
        <v/>
      </c>
      <c r="FH82" s="218" t="str">
        <f t="shared" si="365"/>
        <v/>
      </c>
      <c r="FI82" s="218" t="str">
        <f t="shared" si="366"/>
        <v/>
      </c>
      <c r="FJ82" s="218" t="str">
        <f t="shared" si="367"/>
        <v/>
      </c>
      <c r="FK82" s="218" t="str">
        <f t="shared" si="368"/>
        <v/>
      </c>
      <c r="FL82" s="218" t="str">
        <f t="shared" si="369"/>
        <v/>
      </c>
      <c r="FM82" s="218" t="str">
        <f t="shared" si="370"/>
        <v/>
      </c>
      <c r="FN82" s="218" t="str">
        <f t="shared" si="371"/>
        <v/>
      </c>
      <c r="FO82" s="218" t="str">
        <f t="shared" si="372"/>
        <v/>
      </c>
      <c r="FP82" s="218" t="str">
        <f t="shared" si="373"/>
        <v/>
      </c>
      <c r="FQ82" s="218" t="str">
        <f t="shared" si="374"/>
        <v/>
      </c>
      <c r="FR82" s="218" t="str">
        <f t="shared" si="375"/>
        <v/>
      </c>
      <c r="FT82" s="218" t="str">
        <f t="shared" si="376"/>
        <v/>
      </c>
      <c r="FU82" s="218" t="str">
        <f t="shared" si="377"/>
        <v/>
      </c>
      <c r="FV82" s="218" t="str">
        <f t="shared" si="378"/>
        <v/>
      </c>
      <c r="FW82" s="218" t="str">
        <f t="shared" si="379"/>
        <v/>
      </c>
      <c r="FX82" s="218" t="str">
        <f t="shared" si="380"/>
        <v/>
      </c>
      <c r="FY82" s="218" t="str">
        <f t="shared" si="381"/>
        <v/>
      </c>
      <c r="FZ82" s="218" t="str">
        <f t="shared" si="382"/>
        <v/>
      </c>
      <c r="GA82" s="218" t="str">
        <f t="shared" si="383"/>
        <v/>
      </c>
      <c r="GB82" s="218" t="str">
        <f t="shared" si="384"/>
        <v/>
      </c>
      <c r="GC82" s="218" t="str">
        <f t="shared" si="385"/>
        <v/>
      </c>
      <c r="GD82" s="218" t="str">
        <f t="shared" si="386"/>
        <v/>
      </c>
      <c r="GE82" s="218" t="str">
        <f t="shared" si="387"/>
        <v/>
      </c>
      <c r="GF82" s="218" t="str">
        <f t="shared" si="388"/>
        <v/>
      </c>
      <c r="GG82" s="218" t="str">
        <f t="shared" si="389"/>
        <v/>
      </c>
      <c r="GH82" s="218" t="str">
        <f t="shared" si="390"/>
        <v/>
      </c>
      <c r="GJ82" s="218" t="str">
        <f t="shared" si="391"/>
        <v/>
      </c>
      <c r="GK82" s="218" t="str">
        <f t="shared" si="392"/>
        <v/>
      </c>
      <c r="GL82" s="218" t="str">
        <f t="shared" si="393"/>
        <v/>
      </c>
      <c r="GM82" s="218" t="str">
        <f t="shared" si="394"/>
        <v/>
      </c>
      <c r="GN82" s="218" t="str">
        <f t="shared" si="395"/>
        <v/>
      </c>
      <c r="GO82" s="218" t="str">
        <f t="shared" si="396"/>
        <v/>
      </c>
      <c r="GP82" s="218" t="str">
        <f t="shared" si="397"/>
        <v/>
      </c>
      <c r="GQ82" s="218" t="str">
        <f t="shared" si="398"/>
        <v/>
      </c>
      <c r="GR82" s="218" t="str">
        <f t="shared" si="399"/>
        <v/>
      </c>
      <c r="GS82" s="218" t="str">
        <f t="shared" si="400"/>
        <v/>
      </c>
      <c r="GT82" s="218" t="str">
        <f t="shared" si="401"/>
        <v/>
      </c>
      <c r="GU82" s="218" t="str">
        <f t="shared" si="402"/>
        <v/>
      </c>
      <c r="GW82" s="218" t="str">
        <f t="shared" si="403"/>
        <v/>
      </c>
      <c r="GX82" s="218" t="str">
        <f t="shared" si="404"/>
        <v/>
      </c>
      <c r="GY82" s="218" t="str">
        <f t="shared" si="405"/>
        <v/>
      </c>
      <c r="GZ82" s="218" t="str">
        <f t="shared" si="406"/>
        <v/>
      </c>
      <c r="HA82" s="218" t="str">
        <f t="shared" si="407"/>
        <v/>
      </c>
      <c r="HB82" s="218" t="str">
        <f t="shared" si="408"/>
        <v/>
      </c>
      <c r="HC82" s="218" t="str">
        <f t="shared" si="409"/>
        <v/>
      </c>
      <c r="HD82" s="218" t="str">
        <f t="shared" si="410"/>
        <v/>
      </c>
      <c r="HE82" s="218" t="str">
        <f t="shared" si="411"/>
        <v/>
      </c>
      <c r="HG82" s="218" t="str">
        <f t="shared" si="412"/>
        <v/>
      </c>
      <c r="HH82" s="218" t="str">
        <f t="shared" si="413"/>
        <v/>
      </c>
      <c r="HI82" s="218" t="str">
        <f t="shared" si="414"/>
        <v/>
      </c>
      <c r="HJ82" s="218" t="str">
        <f t="shared" si="415"/>
        <v/>
      </c>
      <c r="HK82" s="218" t="str">
        <f t="shared" si="416"/>
        <v/>
      </c>
      <c r="HL82" s="218" t="str">
        <f t="shared" si="417"/>
        <v/>
      </c>
      <c r="HN82" s="218" t="str">
        <f t="shared" si="418"/>
        <v/>
      </c>
      <c r="HO82" s="218" t="str">
        <f t="shared" si="419"/>
        <v/>
      </c>
      <c r="HP82" s="218" t="str">
        <f t="shared" si="420"/>
        <v/>
      </c>
      <c r="HR82" s="218" t="str">
        <f t="shared" si="421"/>
        <v/>
      </c>
      <c r="HS82" s="218" t="str">
        <f t="shared" si="443"/>
        <v/>
      </c>
      <c r="HT82" s="218" t="str">
        <f t="shared" si="422"/>
        <v/>
      </c>
      <c r="HU82" s="218" t="str">
        <f t="shared" si="444"/>
        <v/>
      </c>
      <c r="HV82" s="218" t="str">
        <f t="shared" si="423"/>
        <v/>
      </c>
      <c r="HW82" s="218" t="str">
        <f t="shared" si="424"/>
        <v/>
      </c>
      <c r="HX82" s="218" t="str">
        <f t="shared" si="425"/>
        <v/>
      </c>
      <c r="HY82" s="218" t="str">
        <f t="shared" si="445"/>
        <v/>
      </c>
      <c r="HZ82" s="218" t="str">
        <f t="shared" si="426"/>
        <v/>
      </c>
      <c r="IA82" s="218" t="str">
        <f t="shared" si="427"/>
        <v/>
      </c>
      <c r="IB82" s="218" t="str">
        <f t="shared" si="446"/>
        <v/>
      </c>
      <c r="IC82" s="218" t="str">
        <f t="shared" si="428"/>
        <v/>
      </c>
      <c r="ID82" s="218" t="str">
        <f t="shared" si="429"/>
        <v/>
      </c>
      <c r="IE82" s="218" t="str">
        <f t="shared" si="447"/>
        <v/>
      </c>
      <c r="IF82" s="218" t="str">
        <f t="shared" si="430"/>
        <v/>
      </c>
      <c r="IG82" s="218" t="str">
        <f t="shared" si="431"/>
        <v/>
      </c>
      <c r="IH82" s="218" t="str">
        <f t="shared" si="448"/>
        <v/>
      </c>
      <c r="II82" s="218" t="str">
        <f t="shared" si="432"/>
        <v/>
      </c>
      <c r="IJ82" s="218" t="str">
        <f t="shared" si="433"/>
        <v/>
      </c>
      <c r="IK82" s="218" t="str">
        <f t="shared" si="449"/>
        <v/>
      </c>
      <c r="IL82" s="218" t="str">
        <f t="shared" si="434"/>
        <v/>
      </c>
      <c r="IM82" s="218" t="str">
        <f t="shared" si="435"/>
        <v/>
      </c>
      <c r="IN82" s="218" t="str">
        <f t="shared" si="450"/>
        <v/>
      </c>
      <c r="IO82" s="218" t="str">
        <f t="shared" si="436"/>
        <v/>
      </c>
      <c r="IP82" s="218" t="str">
        <f t="shared" si="437"/>
        <v/>
      </c>
      <c r="IQ82" s="218" t="str">
        <f t="shared" si="451"/>
        <v/>
      </c>
      <c r="IR82" s="218" t="str">
        <f t="shared" si="438"/>
        <v/>
      </c>
      <c r="IS82" s="218" t="str">
        <f t="shared" si="439"/>
        <v/>
      </c>
      <c r="IT82" s="218" t="str">
        <f t="shared" si="452"/>
        <v/>
      </c>
      <c r="IU82" s="218" t="str">
        <f t="shared" si="440"/>
        <v/>
      </c>
    </row>
    <row r="83" spans="1:255" x14ac:dyDescent="0.2">
      <c r="A83" s="200" t="s">
        <v>86</v>
      </c>
      <c r="B83" s="184"/>
      <c r="C83" s="179"/>
      <c r="D83" s="181"/>
      <c r="E83" s="181"/>
      <c r="F83" s="181"/>
      <c r="G83" s="181"/>
      <c r="H83" s="181"/>
      <c r="I83" s="181"/>
      <c r="J83" s="181"/>
      <c r="K83" s="183"/>
      <c r="L83" s="217" t="str">
        <f t="shared" si="441"/>
        <v/>
      </c>
      <c r="M83" s="218" t="str">
        <f>'HKG vs. BK'!M83</f>
        <v/>
      </c>
      <c r="N83" s="218" t="str">
        <f>'HKG vs. BK'!N83</f>
        <v/>
      </c>
      <c r="O83" s="218" t="str">
        <f>'HKG vs. BK'!O83</f>
        <v/>
      </c>
      <c r="P83" s="218" t="str">
        <f>'HKG vs. BK'!P83</f>
        <v/>
      </c>
      <c r="Q83" s="219" t="str">
        <f t="shared" si="227"/>
        <v/>
      </c>
      <c r="R83" s="220" t="str">
        <f t="shared" si="228"/>
        <v/>
      </c>
      <c r="S83" s="220" t="str">
        <f t="shared" si="229"/>
        <v/>
      </c>
      <c r="T83" s="219" t="str">
        <f t="shared" si="230"/>
        <v/>
      </c>
      <c r="U83" s="220" t="str">
        <f t="shared" si="231"/>
        <v/>
      </c>
      <c r="V83" s="220" t="str">
        <f t="shared" si="232"/>
        <v/>
      </c>
      <c r="W83" s="219" t="str">
        <f t="shared" si="233"/>
        <v/>
      </c>
      <c r="X83" s="220" t="str">
        <f t="shared" si="234"/>
        <v/>
      </c>
      <c r="Y83" s="220" t="str">
        <f t="shared" si="235"/>
        <v/>
      </c>
      <c r="Z83" s="219" t="str">
        <f t="shared" si="236"/>
        <v/>
      </c>
      <c r="AA83" s="220" t="str">
        <f t="shared" si="237"/>
        <v/>
      </c>
      <c r="AB83" s="220" t="str">
        <f t="shared" si="238"/>
        <v/>
      </c>
      <c r="AC83" s="219" t="str">
        <f t="shared" si="239"/>
        <v/>
      </c>
      <c r="AD83" s="220" t="str">
        <f t="shared" si="240"/>
        <v/>
      </c>
      <c r="AE83" s="220" t="str">
        <f t="shared" si="241"/>
        <v/>
      </c>
      <c r="AF83" s="219" t="str">
        <f t="shared" si="242"/>
        <v/>
      </c>
      <c r="AG83" s="220" t="str">
        <f t="shared" si="243"/>
        <v/>
      </c>
      <c r="AH83" s="220" t="str">
        <f t="shared" si="244"/>
        <v/>
      </c>
      <c r="AI83" s="219" t="str">
        <f t="shared" si="245"/>
        <v/>
      </c>
      <c r="AJ83" s="220" t="str">
        <f t="shared" si="246"/>
        <v/>
      </c>
      <c r="AK83" s="220" t="str">
        <f t="shared" si="247"/>
        <v/>
      </c>
      <c r="AL83" s="219" t="str">
        <f t="shared" si="248"/>
        <v/>
      </c>
      <c r="AM83" s="220" t="str">
        <f t="shared" si="249"/>
        <v/>
      </c>
      <c r="AN83" s="220" t="str">
        <f t="shared" si="250"/>
        <v/>
      </c>
      <c r="AO83" s="219" t="str">
        <f t="shared" si="251"/>
        <v/>
      </c>
      <c r="AP83" s="220" t="str">
        <f t="shared" si="252"/>
        <v/>
      </c>
      <c r="AQ83" s="220" t="str">
        <f t="shared" si="253"/>
        <v/>
      </c>
      <c r="AR83" s="219" t="str">
        <f t="shared" si="254"/>
        <v/>
      </c>
      <c r="AS83" s="220" t="str">
        <f t="shared" si="255"/>
        <v/>
      </c>
      <c r="AT83" s="220" t="str">
        <f t="shared" si="256"/>
        <v/>
      </c>
      <c r="AU83" s="221"/>
      <c r="AV83" s="221"/>
      <c r="AW83" s="221"/>
      <c r="AY83" s="218" t="str">
        <f t="shared" si="257"/>
        <v/>
      </c>
      <c r="AZ83" s="218" t="str">
        <f t="shared" si="258"/>
        <v/>
      </c>
      <c r="BA83" s="218" t="str">
        <f t="shared" si="259"/>
        <v/>
      </c>
      <c r="BB83" s="218" t="str">
        <f t="shared" si="260"/>
        <v/>
      </c>
      <c r="BC83" s="218" t="str">
        <f t="shared" si="261"/>
        <v/>
      </c>
      <c r="BD83" s="218" t="str">
        <f t="shared" si="262"/>
        <v/>
      </c>
      <c r="BE83" s="218" t="str">
        <f t="shared" si="263"/>
        <v/>
      </c>
      <c r="BF83" s="218" t="str">
        <f t="shared" si="264"/>
        <v/>
      </c>
      <c r="BG83" s="218" t="str">
        <f t="shared" si="265"/>
        <v/>
      </c>
      <c r="BH83" s="218" t="str">
        <f t="shared" si="266"/>
        <v/>
      </c>
      <c r="BI83" s="218" t="str">
        <f t="shared" si="267"/>
        <v/>
      </c>
      <c r="BJ83" s="218" t="str">
        <f t="shared" si="268"/>
        <v/>
      </c>
      <c r="BK83" s="218" t="str">
        <f t="shared" si="269"/>
        <v/>
      </c>
      <c r="BL83" s="218" t="str">
        <f t="shared" si="270"/>
        <v/>
      </c>
      <c r="BM83" s="218" t="str">
        <f t="shared" si="271"/>
        <v/>
      </c>
      <c r="BN83" s="218" t="str">
        <f t="shared" si="272"/>
        <v/>
      </c>
      <c r="BO83" s="218" t="str">
        <f t="shared" si="273"/>
        <v/>
      </c>
      <c r="BP83" s="218" t="str">
        <f t="shared" si="274"/>
        <v/>
      </c>
      <c r="BQ83" s="218" t="str">
        <f t="shared" si="275"/>
        <v/>
      </c>
      <c r="BR83" s="218" t="str">
        <f t="shared" si="276"/>
        <v/>
      </c>
      <c r="BS83" s="218" t="str">
        <f t="shared" si="277"/>
        <v/>
      </c>
      <c r="BT83" s="218" t="str">
        <f t="shared" si="278"/>
        <v/>
      </c>
      <c r="BU83" s="218" t="str">
        <f t="shared" si="279"/>
        <v/>
      </c>
      <c r="BV83" s="218" t="str">
        <f t="shared" si="280"/>
        <v/>
      </c>
      <c r="BW83" s="218" t="str">
        <f t="shared" si="281"/>
        <v/>
      </c>
      <c r="BX83" s="218" t="str">
        <f t="shared" si="282"/>
        <v/>
      </c>
      <c r="BY83" s="218" t="str">
        <f t="shared" si="283"/>
        <v/>
      </c>
      <c r="BZ83" s="218" t="str">
        <f t="shared" si="284"/>
        <v/>
      </c>
      <c r="CA83" s="218" t="str">
        <f t="shared" si="285"/>
        <v/>
      </c>
      <c r="CB83" s="218" t="str">
        <f t="shared" si="286"/>
        <v/>
      </c>
      <c r="CD83" s="218" t="str">
        <f t="shared" si="287"/>
        <v/>
      </c>
      <c r="CE83" s="218" t="str">
        <f t="shared" si="288"/>
        <v/>
      </c>
      <c r="CF83" s="218" t="str">
        <f t="shared" si="289"/>
        <v/>
      </c>
      <c r="CG83" s="218" t="str">
        <f t="shared" si="290"/>
        <v/>
      </c>
      <c r="CH83" s="218" t="str">
        <f t="shared" si="291"/>
        <v/>
      </c>
      <c r="CI83" s="218" t="str">
        <f t="shared" si="292"/>
        <v/>
      </c>
      <c r="CJ83" s="218" t="str">
        <f t="shared" si="293"/>
        <v/>
      </c>
      <c r="CK83" s="218" t="str">
        <f t="shared" si="294"/>
        <v/>
      </c>
      <c r="CL83" s="218" t="str">
        <f t="shared" si="295"/>
        <v/>
      </c>
      <c r="CM83" s="218" t="str">
        <f t="shared" si="296"/>
        <v/>
      </c>
      <c r="CN83" s="218" t="str">
        <f t="shared" si="297"/>
        <v/>
      </c>
      <c r="CO83" s="218" t="str">
        <f t="shared" si="298"/>
        <v/>
      </c>
      <c r="CP83" s="218" t="str">
        <f t="shared" si="299"/>
        <v/>
      </c>
      <c r="CQ83" s="218" t="str">
        <f t="shared" si="300"/>
        <v/>
      </c>
      <c r="CR83" s="218" t="str">
        <f t="shared" si="301"/>
        <v/>
      </c>
      <c r="CS83" s="218" t="str">
        <f t="shared" si="302"/>
        <v/>
      </c>
      <c r="CT83" s="218" t="str">
        <f t="shared" si="303"/>
        <v/>
      </c>
      <c r="CU83" s="218" t="str">
        <f t="shared" si="304"/>
        <v/>
      </c>
      <c r="CV83" s="218" t="str">
        <f t="shared" si="305"/>
        <v/>
      </c>
      <c r="CW83" s="218" t="str">
        <f t="shared" si="306"/>
        <v/>
      </c>
      <c r="CX83" s="218" t="str">
        <f t="shared" si="307"/>
        <v/>
      </c>
      <c r="CY83" s="218" t="str">
        <f t="shared" si="308"/>
        <v/>
      </c>
      <c r="CZ83" s="218" t="str">
        <f t="shared" si="309"/>
        <v/>
      </c>
      <c r="DA83" s="218" t="str">
        <f t="shared" si="310"/>
        <v/>
      </c>
      <c r="DB83" s="218" t="str">
        <f t="shared" si="442"/>
        <v/>
      </c>
      <c r="DC83" s="218" t="str">
        <f t="shared" si="311"/>
        <v/>
      </c>
      <c r="DD83" s="218" t="str">
        <f t="shared" si="312"/>
        <v/>
      </c>
      <c r="DF83" s="218" t="str">
        <f t="shared" si="313"/>
        <v/>
      </c>
      <c r="DG83" s="218" t="str">
        <f t="shared" si="314"/>
        <v/>
      </c>
      <c r="DH83" s="218" t="str">
        <f t="shared" si="315"/>
        <v/>
      </c>
      <c r="DI83" s="218" t="str">
        <f t="shared" si="316"/>
        <v/>
      </c>
      <c r="DJ83" s="218" t="str">
        <f t="shared" si="317"/>
        <v/>
      </c>
      <c r="DK83" s="218" t="str">
        <f t="shared" si="318"/>
        <v/>
      </c>
      <c r="DL83" s="218" t="str">
        <f t="shared" si="319"/>
        <v/>
      </c>
      <c r="DM83" s="218" t="str">
        <f t="shared" si="320"/>
        <v/>
      </c>
      <c r="DN83" s="218" t="str">
        <f t="shared" si="321"/>
        <v/>
      </c>
      <c r="DO83" s="218" t="str">
        <f t="shared" si="322"/>
        <v/>
      </c>
      <c r="DP83" s="218" t="str">
        <f t="shared" si="323"/>
        <v/>
      </c>
      <c r="DQ83" s="218" t="str">
        <f t="shared" si="324"/>
        <v/>
      </c>
      <c r="DR83" s="218" t="str">
        <f t="shared" si="325"/>
        <v/>
      </c>
      <c r="DS83" s="218" t="str">
        <f t="shared" si="326"/>
        <v/>
      </c>
      <c r="DT83" s="218" t="str">
        <f t="shared" si="327"/>
        <v/>
      </c>
      <c r="DU83" s="218" t="str">
        <f t="shared" si="328"/>
        <v/>
      </c>
      <c r="DV83" s="218" t="str">
        <f t="shared" si="329"/>
        <v/>
      </c>
      <c r="DW83" s="218" t="str">
        <f t="shared" si="330"/>
        <v/>
      </c>
      <c r="DX83" s="218" t="str">
        <f t="shared" si="331"/>
        <v/>
      </c>
      <c r="DY83" s="218" t="str">
        <f t="shared" si="332"/>
        <v/>
      </c>
      <c r="DZ83" s="218" t="str">
        <f t="shared" si="333"/>
        <v/>
      </c>
      <c r="EA83" s="218" t="str">
        <f t="shared" si="334"/>
        <v/>
      </c>
      <c r="EB83" s="218" t="str">
        <f t="shared" si="335"/>
        <v/>
      </c>
      <c r="EC83" s="218" t="str">
        <f t="shared" si="336"/>
        <v/>
      </c>
      <c r="EE83" s="218" t="str">
        <f t="shared" si="337"/>
        <v/>
      </c>
      <c r="EF83" s="218" t="str">
        <f t="shared" si="338"/>
        <v/>
      </c>
      <c r="EG83" s="218" t="str">
        <f t="shared" si="339"/>
        <v/>
      </c>
      <c r="EH83" s="218" t="str">
        <f t="shared" si="340"/>
        <v/>
      </c>
      <c r="EI83" s="218" t="str">
        <f t="shared" si="341"/>
        <v/>
      </c>
      <c r="EJ83" s="218" t="str">
        <f t="shared" si="342"/>
        <v/>
      </c>
      <c r="EK83" s="218" t="str">
        <f t="shared" si="343"/>
        <v/>
      </c>
      <c r="EL83" s="218" t="str">
        <f t="shared" si="344"/>
        <v/>
      </c>
      <c r="EM83" s="218" t="str">
        <f t="shared" si="345"/>
        <v/>
      </c>
      <c r="EN83" s="218" t="str">
        <f t="shared" si="346"/>
        <v/>
      </c>
      <c r="EO83" s="218" t="str">
        <f t="shared" si="347"/>
        <v/>
      </c>
      <c r="EP83" s="218" t="str">
        <f t="shared" si="348"/>
        <v/>
      </c>
      <c r="EQ83" s="218" t="str">
        <f t="shared" si="349"/>
        <v/>
      </c>
      <c r="ER83" s="218" t="str">
        <f t="shared" si="350"/>
        <v/>
      </c>
      <c r="ES83" s="218" t="str">
        <f t="shared" si="351"/>
        <v/>
      </c>
      <c r="ET83" s="218" t="str">
        <f t="shared" si="352"/>
        <v/>
      </c>
      <c r="EU83" s="218" t="str">
        <f t="shared" si="353"/>
        <v/>
      </c>
      <c r="EV83" s="218" t="str">
        <f t="shared" si="354"/>
        <v/>
      </c>
      <c r="EW83" s="218" t="str">
        <f t="shared" si="355"/>
        <v/>
      </c>
      <c r="EX83" s="218" t="str">
        <f t="shared" si="356"/>
        <v/>
      </c>
      <c r="EY83" s="218" t="str">
        <f t="shared" si="357"/>
        <v/>
      </c>
      <c r="FA83" s="218" t="str">
        <f t="shared" si="358"/>
        <v/>
      </c>
      <c r="FB83" s="218" t="str">
        <f t="shared" si="359"/>
        <v/>
      </c>
      <c r="FC83" s="218" t="str">
        <f t="shared" si="360"/>
        <v/>
      </c>
      <c r="FD83" s="218" t="str">
        <f t="shared" si="361"/>
        <v/>
      </c>
      <c r="FE83" s="218" t="str">
        <f t="shared" si="362"/>
        <v/>
      </c>
      <c r="FF83" s="218" t="str">
        <f t="shared" si="363"/>
        <v/>
      </c>
      <c r="FG83" s="218" t="str">
        <f t="shared" si="364"/>
        <v/>
      </c>
      <c r="FH83" s="218" t="str">
        <f t="shared" si="365"/>
        <v/>
      </c>
      <c r="FI83" s="218" t="str">
        <f t="shared" si="366"/>
        <v/>
      </c>
      <c r="FJ83" s="218" t="str">
        <f t="shared" si="367"/>
        <v/>
      </c>
      <c r="FK83" s="218" t="str">
        <f t="shared" si="368"/>
        <v/>
      </c>
      <c r="FL83" s="218" t="str">
        <f t="shared" si="369"/>
        <v/>
      </c>
      <c r="FM83" s="218" t="str">
        <f t="shared" si="370"/>
        <v/>
      </c>
      <c r="FN83" s="218" t="str">
        <f t="shared" si="371"/>
        <v/>
      </c>
      <c r="FO83" s="218" t="str">
        <f t="shared" si="372"/>
        <v/>
      </c>
      <c r="FP83" s="218" t="str">
        <f t="shared" si="373"/>
        <v/>
      </c>
      <c r="FQ83" s="218" t="str">
        <f t="shared" si="374"/>
        <v/>
      </c>
      <c r="FR83" s="218" t="str">
        <f t="shared" si="375"/>
        <v/>
      </c>
      <c r="FT83" s="218" t="str">
        <f t="shared" si="376"/>
        <v/>
      </c>
      <c r="FU83" s="218" t="str">
        <f t="shared" si="377"/>
        <v/>
      </c>
      <c r="FV83" s="218" t="str">
        <f t="shared" si="378"/>
        <v/>
      </c>
      <c r="FW83" s="218" t="str">
        <f t="shared" si="379"/>
        <v/>
      </c>
      <c r="FX83" s="218" t="str">
        <f t="shared" si="380"/>
        <v/>
      </c>
      <c r="FY83" s="218" t="str">
        <f t="shared" si="381"/>
        <v/>
      </c>
      <c r="FZ83" s="218" t="str">
        <f t="shared" si="382"/>
        <v/>
      </c>
      <c r="GA83" s="218" t="str">
        <f t="shared" si="383"/>
        <v/>
      </c>
      <c r="GB83" s="218" t="str">
        <f t="shared" si="384"/>
        <v/>
      </c>
      <c r="GC83" s="218" t="str">
        <f t="shared" si="385"/>
        <v/>
      </c>
      <c r="GD83" s="218" t="str">
        <f t="shared" si="386"/>
        <v/>
      </c>
      <c r="GE83" s="218" t="str">
        <f t="shared" si="387"/>
        <v/>
      </c>
      <c r="GF83" s="218" t="str">
        <f t="shared" si="388"/>
        <v/>
      </c>
      <c r="GG83" s="218" t="str">
        <f t="shared" si="389"/>
        <v/>
      </c>
      <c r="GH83" s="218" t="str">
        <f t="shared" si="390"/>
        <v/>
      </c>
      <c r="GJ83" s="218" t="str">
        <f t="shared" si="391"/>
        <v/>
      </c>
      <c r="GK83" s="218" t="str">
        <f t="shared" si="392"/>
        <v/>
      </c>
      <c r="GL83" s="218" t="str">
        <f t="shared" si="393"/>
        <v/>
      </c>
      <c r="GM83" s="218" t="str">
        <f t="shared" si="394"/>
        <v/>
      </c>
      <c r="GN83" s="218" t="str">
        <f t="shared" si="395"/>
        <v/>
      </c>
      <c r="GO83" s="218" t="str">
        <f t="shared" si="396"/>
        <v/>
      </c>
      <c r="GP83" s="218" t="str">
        <f t="shared" si="397"/>
        <v/>
      </c>
      <c r="GQ83" s="218" t="str">
        <f t="shared" si="398"/>
        <v/>
      </c>
      <c r="GR83" s="218" t="str">
        <f t="shared" si="399"/>
        <v/>
      </c>
      <c r="GS83" s="218" t="str">
        <f t="shared" si="400"/>
        <v/>
      </c>
      <c r="GT83" s="218" t="str">
        <f t="shared" si="401"/>
        <v/>
      </c>
      <c r="GU83" s="218" t="str">
        <f t="shared" si="402"/>
        <v/>
      </c>
      <c r="GW83" s="218" t="str">
        <f t="shared" si="403"/>
        <v/>
      </c>
      <c r="GX83" s="218" t="str">
        <f t="shared" si="404"/>
        <v/>
      </c>
      <c r="GY83" s="218" t="str">
        <f t="shared" si="405"/>
        <v/>
      </c>
      <c r="GZ83" s="218" t="str">
        <f t="shared" si="406"/>
        <v/>
      </c>
      <c r="HA83" s="218" t="str">
        <f t="shared" si="407"/>
        <v/>
      </c>
      <c r="HB83" s="218" t="str">
        <f t="shared" si="408"/>
        <v/>
      </c>
      <c r="HC83" s="218" t="str">
        <f t="shared" si="409"/>
        <v/>
      </c>
      <c r="HD83" s="218" t="str">
        <f t="shared" si="410"/>
        <v/>
      </c>
      <c r="HE83" s="218" t="str">
        <f t="shared" si="411"/>
        <v/>
      </c>
      <c r="HG83" s="218" t="str">
        <f t="shared" si="412"/>
        <v/>
      </c>
      <c r="HH83" s="218" t="str">
        <f t="shared" si="413"/>
        <v/>
      </c>
      <c r="HI83" s="218" t="str">
        <f t="shared" si="414"/>
        <v/>
      </c>
      <c r="HJ83" s="218" t="str">
        <f t="shared" si="415"/>
        <v/>
      </c>
      <c r="HK83" s="218" t="str">
        <f t="shared" si="416"/>
        <v/>
      </c>
      <c r="HL83" s="218" t="str">
        <f t="shared" si="417"/>
        <v/>
      </c>
      <c r="HN83" s="218" t="str">
        <f t="shared" si="418"/>
        <v/>
      </c>
      <c r="HO83" s="218" t="str">
        <f t="shared" si="419"/>
        <v/>
      </c>
      <c r="HP83" s="218" t="str">
        <f t="shared" si="420"/>
        <v/>
      </c>
      <c r="HR83" s="218" t="str">
        <f t="shared" si="421"/>
        <v/>
      </c>
      <c r="HS83" s="218" t="str">
        <f t="shared" si="443"/>
        <v/>
      </c>
      <c r="HT83" s="218" t="str">
        <f t="shared" si="422"/>
        <v/>
      </c>
      <c r="HU83" s="218" t="str">
        <f t="shared" si="444"/>
        <v/>
      </c>
      <c r="HV83" s="218" t="str">
        <f t="shared" si="423"/>
        <v/>
      </c>
      <c r="HW83" s="218" t="str">
        <f t="shared" si="424"/>
        <v/>
      </c>
      <c r="HX83" s="218" t="str">
        <f t="shared" si="425"/>
        <v/>
      </c>
      <c r="HY83" s="218" t="str">
        <f t="shared" si="445"/>
        <v/>
      </c>
      <c r="HZ83" s="218" t="str">
        <f t="shared" si="426"/>
        <v/>
      </c>
      <c r="IA83" s="218" t="str">
        <f t="shared" si="427"/>
        <v/>
      </c>
      <c r="IB83" s="218" t="str">
        <f t="shared" si="446"/>
        <v/>
      </c>
      <c r="IC83" s="218" t="str">
        <f t="shared" si="428"/>
        <v/>
      </c>
      <c r="ID83" s="218" t="str">
        <f t="shared" si="429"/>
        <v/>
      </c>
      <c r="IE83" s="218" t="str">
        <f t="shared" si="447"/>
        <v/>
      </c>
      <c r="IF83" s="218" t="str">
        <f t="shared" si="430"/>
        <v/>
      </c>
      <c r="IG83" s="218" t="str">
        <f t="shared" si="431"/>
        <v/>
      </c>
      <c r="IH83" s="218" t="str">
        <f t="shared" si="448"/>
        <v/>
      </c>
      <c r="II83" s="218" t="str">
        <f t="shared" si="432"/>
        <v/>
      </c>
      <c r="IJ83" s="218" t="str">
        <f t="shared" si="433"/>
        <v/>
      </c>
      <c r="IK83" s="218" t="str">
        <f t="shared" si="449"/>
        <v/>
      </c>
      <c r="IL83" s="218" t="str">
        <f t="shared" si="434"/>
        <v/>
      </c>
      <c r="IM83" s="218" t="str">
        <f t="shared" si="435"/>
        <v/>
      </c>
      <c r="IN83" s="218" t="str">
        <f t="shared" si="450"/>
        <v/>
      </c>
      <c r="IO83" s="218" t="str">
        <f t="shared" si="436"/>
        <v/>
      </c>
      <c r="IP83" s="218" t="str">
        <f t="shared" si="437"/>
        <v/>
      </c>
      <c r="IQ83" s="218" t="str">
        <f t="shared" si="451"/>
        <v/>
      </c>
      <c r="IR83" s="218" t="str">
        <f t="shared" si="438"/>
        <v/>
      </c>
      <c r="IS83" s="218" t="str">
        <f t="shared" si="439"/>
        <v/>
      </c>
      <c r="IT83" s="218" t="str">
        <f t="shared" si="452"/>
        <v/>
      </c>
      <c r="IU83" s="218" t="str">
        <f t="shared" si="440"/>
        <v/>
      </c>
    </row>
    <row r="84" spans="1:255" x14ac:dyDescent="0.2">
      <c r="A84" s="200" t="s">
        <v>87</v>
      </c>
      <c r="B84" s="178"/>
      <c r="C84" s="180"/>
      <c r="D84" s="180"/>
      <c r="E84" s="180"/>
      <c r="F84" s="180"/>
      <c r="G84" s="180"/>
      <c r="H84" s="180"/>
      <c r="I84" s="180"/>
      <c r="J84" s="180"/>
      <c r="K84" s="186"/>
      <c r="L84" s="217" t="str">
        <f t="shared" si="441"/>
        <v/>
      </c>
      <c r="M84" s="218" t="str">
        <f>'HKG vs. BK'!M84</f>
        <v/>
      </c>
      <c r="N84" s="218" t="str">
        <f>'HKG vs. BK'!N84</f>
        <v/>
      </c>
      <c r="O84" s="218" t="str">
        <f>'HKG vs. BK'!O84</f>
        <v/>
      </c>
      <c r="P84" s="218" t="str">
        <f>'HKG vs. BK'!P84</f>
        <v/>
      </c>
      <c r="Q84" s="219" t="str">
        <f t="shared" si="227"/>
        <v/>
      </c>
      <c r="R84" s="220" t="str">
        <f t="shared" si="228"/>
        <v/>
      </c>
      <c r="S84" s="220" t="str">
        <f t="shared" si="229"/>
        <v/>
      </c>
      <c r="T84" s="219" t="str">
        <f t="shared" si="230"/>
        <v/>
      </c>
      <c r="U84" s="220" t="str">
        <f t="shared" si="231"/>
        <v/>
      </c>
      <c r="V84" s="220" t="str">
        <f t="shared" si="232"/>
        <v/>
      </c>
      <c r="W84" s="219" t="str">
        <f t="shared" si="233"/>
        <v/>
      </c>
      <c r="X84" s="220" t="str">
        <f t="shared" si="234"/>
        <v/>
      </c>
      <c r="Y84" s="220" t="str">
        <f t="shared" si="235"/>
        <v/>
      </c>
      <c r="Z84" s="219" t="str">
        <f t="shared" si="236"/>
        <v/>
      </c>
      <c r="AA84" s="220" t="str">
        <f t="shared" si="237"/>
        <v/>
      </c>
      <c r="AB84" s="220" t="str">
        <f t="shared" si="238"/>
        <v/>
      </c>
      <c r="AC84" s="219" t="str">
        <f t="shared" si="239"/>
        <v/>
      </c>
      <c r="AD84" s="220" t="str">
        <f t="shared" si="240"/>
        <v/>
      </c>
      <c r="AE84" s="220" t="str">
        <f t="shared" si="241"/>
        <v/>
      </c>
      <c r="AF84" s="219" t="str">
        <f t="shared" si="242"/>
        <v/>
      </c>
      <c r="AG84" s="220" t="str">
        <f t="shared" si="243"/>
        <v/>
      </c>
      <c r="AH84" s="220" t="str">
        <f t="shared" si="244"/>
        <v/>
      </c>
      <c r="AI84" s="219" t="str">
        <f t="shared" si="245"/>
        <v/>
      </c>
      <c r="AJ84" s="220" t="str">
        <f t="shared" si="246"/>
        <v/>
      </c>
      <c r="AK84" s="220" t="str">
        <f t="shared" si="247"/>
        <v/>
      </c>
      <c r="AL84" s="219" t="str">
        <f t="shared" si="248"/>
        <v/>
      </c>
      <c r="AM84" s="220" t="str">
        <f t="shared" si="249"/>
        <v/>
      </c>
      <c r="AN84" s="220" t="str">
        <f t="shared" si="250"/>
        <v/>
      </c>
      <c r="AO84" s="219" t="str">
        <f t="shared" si="251"/>
        <v/>
      </c>
      <c r="AP84" s="220" t="str">
        <f t="shared" si="252"/>
        <v/>
      </c>
      <c r="AQ84" s="220" t="str">
        <f t="shared" si="253"/>
        <v/>
      </c>
      <c r="AR84" s="219" t="str">
        <f t="shared" si="254"/>
        <v/>
      </c>
      <c r="AS84" s="220" t="str">
        <f t="shared" si="255"/>
        <v/>
      </c>
      <c r="AT84" s="220" t="str">
        <f t="shared" si="256"/>
        <v/>
      </c>
      <c r="AU84" s="221"/>
      <c r="AV84" s="221"/>
      <c r="AW84" s="221"/>
      <c r="AY84" s="218" t="str">
        <f t="shared" si="257"/>
        <v/>
      </c>
      <c r="AZ84" s="218" t="str">
        <f t="shared" si="258"/>
        <v/>
      </c>
      <c r="BA84" s="218" t="str">
        <f t="shared" si="259"/>
        <v/>
      </c>
      <c r="BB84" s="218" t="str">
        <f t="shared" si="260"/>
        <v/>
      </c>
      <c r="BC84" s="218" t="str">
        <f t="shared" si="261"/>
        <v/>
      </c>
      <c r="BD84" s="218" t="str">
        <f t="shared" si="262"/>
        <v/>
      </c>
      <c r="BE84" s="218" t="str">
        <f t="shared" si="263"/>
        <v/>
      </c>
      <c r="BF84" s="218" t="str">
        <f t="shared" si="264"/>
        <v/>
      </c>
      <c r="BG84" s="218" t="str">
        <f t="shared" si="265"/>
        <v/>
      </c>
      <c r="BH84" s="218" t="str">
        <f t="shared" si="266"/>
        <v/>
      </c>
      <c r="BI84" s="218" t="str">
        <f t="shared" si="267"/>
        <v/>
      </c>
      <c r="BJ84" s="218" t="str">
        <f t="shared" si="268"/>
        <v/>
      </c>
      <c r="BK84" s="218" t="str">
        <f t="shared" si="269"/>
        <v/>
      </c>
      <c r="BL84" s="218" t="str">
        <f t="shared" si="270"/>
        <v/>
      </c>
      <c r="BM84" s="218" t="str">
        <f t="shared" si="271"/>
        <v/>
      </c>
      <c r="BN84" s="218" t="str">
        <f t="shared" si="272"/>
        <v/>
      </c>
      <c r="BO84" s="218" t="str">
        <f t="shared" si="273"/>
        <v/>
      </c>
      <c r="BP84" s="218" t="str">
        <f t="shared" si="274"/>
        <v/>
      </c>
      <c r="BQ84" s="218" t="str">
        <f t="shared" si="275"/>
        <v/>
      </c>
      <c r="BR84" s="218" t="str">
        <f t="shared" si="276"/>
        <v/>
      </c>
      <c r="BS84" s="218" t="str">
        <f t="shared" si="277"/>
        <v/>
      </c>
      <c r="BT84" s="218" t="str">
        <f t="shared" si="278"/>
        <v/>
      </c>
      <c r="BU84" s="218" t="str">
        <f t="shared" si="279"/>
        <v/>
      </c>
      <c r="BV84" s="218" t="str">
        <f t="shared" si="280"/>
        <v/>
      </c>
      <c r="BW84" s="218" t="str">
        <f t="shared" si="281"/>
        <v/>
      </c>
      <c r="BX84" s="218" t="str">
        <f t="shared" si="282"/>
        <v/>
      </c>
      <c r="BY84" s="218" t="str">
        <f t="shared" si="283"/>
        <v/>
      </c>
      <c r="BZ84" s="218" t="str">
        <f t="shared" si="284"/>
        <v/>
      </c>
      <c r="CA84" s="218" t="str">
        <f t="shared" si="285"/>
        <v/>
      </c>
      <c r="CB84" s="218" t="str">
        <f t="shared" si="286"/>
        <v/>
      </c>
      <c r="CD84" s="218" t="str">
        <f t="shared" si="287"/>
        <v/>
      </c>
      <c r="CE84" s="218" t="str">
        <f t="shared" si="288"/>
        <v/>
      </c>
      <c r="CF84" s="218" t="str">
        <f t="shared" si="289"/>
        <v/>
      </c>
      <c r="CG84" s="218" t="str">
        <f t="shared" si="290"/>
        <v/>
      </c>
      <c r="CH84" s="218" t="str">
        <f t="shared" si="291"/>
        <v/>
      </c>
      <c r="CI84" s="218" t="str">
        <f t="shared" si="292"/>
        <v/>
      </c>
      <c r="CJ84" s="218" t="str">
        <f t="shared" si="293"/>
        <v/>
      </c>
      <c r="CK84" s="218" t="str">
        <f t="shared" si="294"/>
        <v/>
      </c>
      <c r="CL84" s="218" t="str">
        <f t="shared" si="295"/>
        <v/>
      </c>
      <c r="CM84" s="218" t="str">
        <f t="shared" si="296"/>
        <v/>
      </c>
      <c r="CN84" s="218" t="str">
        <f t="shared" si="297"/>
        <v/>
      </c>
      <c r="CO84" s="218" t="str">
        <f t="shared" si="298"/>
        <v/>
      </c>
      <c r="CP84" s="218" t="str">
        <f t="shared" si="299"/>
        <v/>
      </c>
      <c r="CQ84" s="218" t="str">
        <f t="shared" si="300"/>
        <v/>
      </c>
      <c r="CR84" s="218" t="str">
        <f t="shared" si="301"/>
        <v/>
      </c>
      <c r="CS84" s="218" t="str">
        <f t="shared" si="302"/>
        <v/>
      </c>
      <c r="CT84" s="218" t="str">
        <f t="shared" si="303"/>
        <v/>
      </c>
      <c r="CU84" s="218" t="str">
        <f t="shared" si="304"/>
        <v/>
      </c>
      <c r="CV84" s="218" t="str">
        <f t="shared" si="305"/>
        <v/>
      </c>
      <c r="CW84" s="218" t="str">
        <f t="shared" si="306"/>
        <v/>
      </c>
      <c r="CX84" s="218" t="str">
        <f t="shared" si="307"/>
        <v/>
      </c>
      <c r="CY84" s="218" t="str">
        <f t="shared" si="308"/>
        <v/>
      </c>
      <c r="CZ84" s="218" t="str">
        <f t="shared" si="309"/>
        <v/>
      </c>
      <c r="DA84" s="218" t="str">
        <f t="shared" si="310"/>
        <v/>
      </c>
      <c r="DB84" s="218" t="str">
        <f t="shared" si="442"/>
        <v/>
      </c>
      <c r="DC84" s="218" t="str">
        <f t="shared" si="311"/>
        <v/>
      </c>
      <c r="DD84" s="218" t="str">
        <f t="shared" si="312"/>
        <v/>
      </c>
      <c r="DF84" s="218" t="str">
        <f t="shared" si="313"/>
        <v/>
      </c>
      <c r="DG84" s="218" t="str">
        <f t="shared" si="314"/>
        <v/>
      </c>
      <c r="DH84" s="218" t="str">
        <f t="shared" si="315"/>
        <v/>
      </c>
      <c r="DI84" s="218" t="str">
        <f t="shared" si="316"/>
        <v/>
      </c>
      <c r="DJ84" s="218" t="str">
        <f t="shared" si="317"/>
        <v/>
      </c>
      <c r="DK84" s="218" t="str">
        <f t="shared" si="318"/>
        <v/>
      </c>
      <c r="DL84" s="218" t="str">
        <f t="shared" si="319"/>
        <v/>
      </c>
      <c r="DM84" s="218" t="str">
        <f t="shared" si="320"/>
        <v/>
      </c>
      <c r="DN84" s="218" t="str">
        <f t="shared" si="321"/>
        <v/>
      </c>
      <c r="DO84" s="218" t="str">
        <f t="shared" si="322"/>
        <v/>
      </c>
      <c r="DP84" s="218" t="str">
        <f t="shared" si="323"/>
        <v/>
      </c>
      <c r="DQ84" s="218" t="str">
        <f t="shared" si="324"/>
        <v/>
      </c>
      <c r="DR84" s="218" t="str">
        <f t="shared" si="325"/>
        <v/>
      </c>
      <c r="DS84" s="218" t="str">
        <f t="shared" si="326"/>
        <v/>
      </c>
      <c r="DT84" s="218" t="str">
        <f t="shared" si="327"/>
        <v/>
      </c>
      <c r="DU84" s="218" t="str">
        <f t="shared" si="328"/>
        <v/>
      </c>
      <c r="DV84" s="218" t="str">
        <f t="shared" si="329"/>
        <v/>
      </c>
      <c r="DW84" s="218" t="str">
        <f t="shared" si="330"/>
        <v/>
      </c>
      <c r="DX84" s="218" t="str">
        <f t="shared" si="331"/>
        <v/>
      </c>
      <c r="DY84" s="218" t="str">
        <f t="shared" si="332"/>
        <v/>
      </c>
      <c r="DZ84" s="218" t="str">
        <f t="shared" si="333"/>
        <v/>
      </c>
      <c r="EA84" s="218" t="str">
        <f t="shared" si="334"/>
        <v/>
      </c>
      <c r="EB84" s="218" t="str">
        <f t="shared" si="335"/>
        <v/>
      </c>
      <c r="EC84" s="218" t="str">
        <f t="shared" si="336"/>
        <v/>
      </c>
      <c r="EE84" s="218" t="str">
        <f t="shared" si="337"/>
        <v/>
      </c>
      <c r="EF84" s="218" t="str">
        <f t="shared" si="338"/>
        <v/>
      </c>
      <c r="EG84" s="218" t="str">
        <f t="shared" si="339"/>
        <v/>
      </c>
      <c r="EH84" s="218" t="str">
        <f t="shared" si="340"/>
        <v/>
      </c>
      <c r="EI84" s="218" t="str">
        <f t="shared" si="341"/>
        <v/>
      </c>
      <c r="EJ84" s="218" t="str">
        <f t="shared" si="342"/>
        <v/>
      </c>
      <c r="EK84" s="218" t="str">
        <f t="shared" si="343"/>
        <v/>
      </c>
      <c r="EL84" s="218" t="str">
        <f t="shared" si="344"/>
        <v/>
      </c>
      <c r="EM84" s="218" t="str">
        <f t="shared" si="345"/>
        <v/>
      </c>
      <c r="EN84" s="218" t="str">
        <f t="shared" si="346"/>
        <v/>
      </c>
      <c r="EO84" s="218" t="str">
        <f t="shared" si="347"/>
        <v/>
      </c>
      <c r="EP84" s="218" t="str">
        <f t="shared" si="348"/>
        <v/>
      </c>
      <c r="EQ84" s="218" t="str">
        <f t="shared" si="349"/>
        <v/>
      </c>
      <c r="ER84" s="218" t="str">
        <f t="shared" si="350"/>
        <v/>
      </c>
      <c r="ES84" s="218" t="str">
        <f t="shared" si="351"/>
        <v/>
      </c>
      <c r="ET84" s="218" t="str">
        <f t="shared" si="352"/>
        <v/>
      </c>
      <c r="EU84" s="218" t="str">
        <f t="shared" si="353"/>
        <v/>
      </c>
      <c r="EV84" s="218" t="str">
        <f t="shared" si="354"/>
        <v/>
      </c>
      <c r="EW84" s="218" t="str">
        <f t="shared" si="355"/>
        <v/>
      </c>
      <c r="EX84" s="218" t="str">
        <f t="shared" si="356"/>
        <v/>
      </c>
      <c r="EY84" s="218" t="str">
        <f t="shared" si="357"/>
        <v/>
      </c>
      <c r="FA84" s="218" t="str">
        <f t="shared" si="358"/>
        <v/>
      </c>
      <c r="FB84" s="218" t="str">
        <f t="shared" si="359"/>
        <v/>
      </c>
      <c r="FC84" s="218" t="str">
        <f t="shared" si="360"/>
        <v/>
      </c>
      <c r="FD84" s="218" t="str">
        <f t="shared" si="361"/>
        <v/>
      </c>
      <c r="FE84" s="218" t="str">
        <f t="shared" si="362"/>
        <v/>
      </c>
      <c r="FF84" s="218" t="str">
        <f t="shared" si="363"/>
        <v/>
      </c>
      <c r="FG84" s="218" t="str">
        <f t="shared" si="364"/>
        <v/>
      </c>
      <c r="FH84" s="218" t="str">
        <f t="shared" si="365"/>
        <v/>
      </c>
      <c r="FI84" s="218" t="str">
        <f t="shared" si="366"/>
        <v/>
      </c>
      <c r="FJ84" s="218" t="str">
        <f t="shared" si="367"/>
        <v/>
      </c>
      <c r="FK84" s="218" t="str">
        <f t="shared" si="368"/>
        <v/>
      </c>
      <c r="FL84" s="218" t="str">
        <f t="shared" si="369"/>
        <v/>
      </c>
      <c r="FM84" s="218" t="str">
        <f t="shared" si="370"/>
        <v/>
      </c>
      <c r="FN84" s="218" t="str">
        <f t="shared" si="371"/>
        <v/>
      </c>
      <c r="FO84" s="218" t="str">
        <f t="shared" si="372"/>
        <v/>
      </c>
      <c r="FP84" s="218" t="str">
        <f t="shared" si="373"/>
        <v/>
      </c>
      <c r="FQ84" s="218" t="str">
        <f t="shared" si="374"/>
        <v/>
      </c>
      <c r="FR84" s="218" t="str">
        <f t="shared" si="375"/>
        <v/>
      </c>
      <c r="FT84" s="218" t="str">
        <f t="shared" si="376"/>
        <v/>
      </c>
      <c r="FU84" s="218" t="str">
        <f t="shared" si="377"/>
        <v/>
      </c>
      <c r="FV84" s="218" t="str">
        <f t="shared" si="378"/>
        <v/>
      </c>
      <c r="FW84" s="218" t="str">
        <f t="shared" si="379"/>
        <v/>
      </c>
      <c r="FX84" s="218" t="str">
        <f t="shared" si="380"/>
        <v/>
      </c>
      <c r="FY84" s="218" t="str">
        <f t="shared" si="381"/>
        <v/>
      </c>
      <c r="FZ84" s="218" t="str">
        <f t="shared" si="382"/>
        <v/>
      </c>
      <c r="GA84" s="218" t="str">
        <f t="shared" si="383"/>
        <v/>
      </c>
      <c r="GB84" s="218" t="str">
        <f t="shared" si="384"/>
        <v/>
      </c>
      <c r="GC84" s="218" t="str">
        <f t="shared" si="385"/>
        <v/>
      </c>
      <c r="GD84" s="218" t="str">
        <f t="shared" si="386"/>
        <v/>
      </c>
      <c r="GE84" s="218" t="str">
        <f t="shared" si="387"/>
        <v/>
      </c>
      <c r="GF84" s="218" t="str">
        <f t="shared" si="388"/>
        <v/>
      </c>
      <c r="GG84" s="218" t="str">
        <f t="shared" si="389"/>
        <v/>
      </c>
      <c r="GH84" s="218" t="str">
        <f t="shared" si="390"/>
        <v/>
      </c>
      <c r="GJ84" s="218" t="str">
        <f t="shared" si="391"/>
        <v/>
      </c>
      <c r="GK84" s="218" t="str">
        <f t="shared" si="392"/>
        <v/>
      </c>
      <c r="GL84" s="218" t="str">
        <f t="shared" si="393"/>
        <v/>
      </c>
      <c r="GM84" s="218" t="str">
        <f t="shared" si="394"/>
        <v/>
      </c>
      <c r="GN84" s="218" t="str">
        <f t="shared" si="395"/>
        <v/>
      </c>
      <c r="GO84" s="218" t="str">
        <f t="shared" si="396"/>
        <v/>
      </c>
      <c r="GP84" s="218" t="str">
        <f t="shared" si="397"/>
        <v/>
      </c>
      <c r="GQ84" s="218" t="str">
        <f t="shared" si="398"/>
        <v/>
      </c>
      <c r="GR84" s="218" t="str">
        <f t="shared" si="399"/>
        <v/>
      </c>
      <c r="GS84" s="218" t="str">
        <f t="shared" si="400"/>
        <v/>
      </c>
      <c r="GT84" s="218" t="str">
        <f t="shared" si="401"/>
        <v/>
      </c>
      <c r="GU84" s="218" t="str">
        <f t="shared" si="402"/>
        <v/>
      </c>
      <c r="GW84" s="218" t="str">
        <f t="shared" si="403"/>
        <v/>
      </c>
      <c r="GX84" s="218" t="str">
        <f t="shared" si="404"/>
        <v/>
      </c>
      <c r="GY84" s="218" t="str">
        <f t="shared" si="405"/>
        <v/>
      </c>
      <c r="GZ84" s="218" t="str">
        <f t="shared" si="406"/>
        <v/>
      </c>
      <c r="HA84" s="218" t="str">
        <f t="shared" si="407"/>
        <v/>
      </c>
      <c r="HB84" s="218" t="str">
        <f t="shared" si="408"/>
        <v/>
      </c>
      <c r="HC84" s="218" t="str">
        <f t="shared" si="409"/>
        <v/>
      </c>
      <c r="HD84" s="218" t="str">
        <f t="shared" si="410"/>
        <v/>
      </c>
      <c r="HE84" s="218" t="str">
        <f t="shared" si="411"/>
        <v/>
      </c>
      <c r="HG84" s="218" t="str">
        <f t="shared" si="412"/>
        <v/>
      </c>
      <c r="HH84" s="218" t="str">
        <f t="shared" si="413"/>
        <v/>
      </c>
      <c r="HI84" s="218" t="str">
        <f t="shared" si="414"/>
        <v/>
      </c>
      <c r="HJ84" s="218" t="str">
        <f t="shared" si="415"/>
        <v/>
      </c>
      <c r="HK84" s="218" t="str">
        <f t="shared" si="416"/>
        <v/>
      </c>
      <c r="HL84" s="218" t="str">
        <f t="shared" si="417"/>
        <v/>
      </c>
      <c r="HN84" s="218" t="str">
        <f t="shared" si="418"/>
        <v/>
      </c>
      <c r="HO84" s="218" t="str">
        <f t="shared" si="419"/>
        <v/>
      </c>
      <c r="HP84" s="218" t="str">
        <f t="shared" si="420"/>
        <v/>
      </c>
      <c r="HR84" s="218" t="str">
        <f t="shared" si="421"/>
        <v/>
      </c>
      <c r="HS84" s="218" t="str">
        <f t="shared" si="443"/>
        <v/>
      </c>
      <c r="HT84" s="218" t="str">
        <f t="shared" si="422"/>
        <v/>
      </c>
      <c r="HU84" s="218" t="str">
        <f t="shared" si="444"/>
        <v/>
      </c>
      <c r="HV84" s="218" t="str">
        <f t="shared" si="423"/>
        <v/>
      </c>
      <c r="HW84" s="218" t="str">
        <f t="shared" si="424"/>
        <v/>
      </c>
      <c r="HX84" s="218" t="str">
        <f t="shared" si="425"/>
        <v/>
      </c>
      <c r="HY84" s="218" t="str">
        <f t="shared" si="445"/>
        <v/>
      </c>
      <c r="HZ84" s="218" t="str">
        <f t="shared" si="426"/>
        <v/>
      </c>
      <c r="IA84" s="218" t="str">
        <f t="shared" si="427"/>
        <v/>
      </c>
      <c r="IB84" s="218" t="str">
        <f t="shared" si="446"/>
        <v/>
      </c>
      <c r="IC84" s="218" t="str">
        <f t="shared" si="428"/>
        <v/>
      </c>
      <c r="ID84" s="218" t="str">
        <f t="shared" si="429"/>
        <v/>
      </c>
      <c r="IE84" s="218" t="str">
        <f t="shared" si="447"/>
        <v/>
      </c>
      <c r="IF84" s="218" t="str">
        <f t="shared" si="430"/>
        <v/>
      </c>
      <c r="IG84" s="218" t="str">
        <f t="shared" si="431"/>
        <v/>
      </c>
      <c r="IH84" s="218" t="str">
        <f t="shared" si="448"/>
        <v/>
      </c>
      <c r="II84" s="218" t="str">
        <f t="shared" si="432"/>
        <v/>
      </c>
      <c r="IJ84" s="218" t="str">
        <f t="shared" si="433"/>
        <v/>
      </c>
      <c r="IK84" s="218" t="str">
        <f t="shared" si="449"/>
        <v/>
      </c>
      <c r="IL84" s="218" t="str">
        <f t="shared" si="434"/>
        <v/>
      </c>
      <c r="IM84" s="218" t="str">
        <f t="shared" si="435"/>
        <v/>
      </c>
      <c r="IN84" s="218" t="str">
        <f t="shared" si="450"/>
        <v/>
      </c>
      <c r="IO84" s="218" t="str">
        <f t="shared" si="436"/>
        <v/>
      </c>
      <c r="IP84" s="218" t="str">
        <f t="shared" si="437"/>
        <v/>
      </c>
      <c r="IQ84" s="218" t="str">
        <f t="shared" si="451"/>
        <v/>
      </c>
      <c r="IR84" s="218" t="str">
        <f t="shared" si="438"/>
        <v/>
      </c>
      <c r="IS84" s="218" t="str">
        <f t="shared" si="439"/>
        <v/>
      </c>
      <c r="IT84" s="218" t="str">
        <f t="shared" si="452"/>
        <v/>
      </c>
      <c r="IU84" s="218" t="str">
        <f t="shared" si="440"/>
        <v/>
      </c>
    </row>
    <row r="85" spans="1:255" x14ac:dyDescent="0.2">
      <c r="A85" s="200" t="s">
        <v>88</v>
      </c>
      <c r="B85" s="178"/>
      <c r="C85" s="180"/>
      <c r="D85" s="181"/>
      <c r="E85" s="181"/>
      <c r="F85" s="181"/>
      <c r="G85" s="181"/>
      <c r="H85" s="181"/>
      <c r="I85" s="181"/>
      <c r="J85" s="181"/>
      <c r="K85" s="183"/>
      <c r="L85" s="217" t="str">
        <f t="shared" si="441"/>
        <v/>
      </c>
      <c r="M85" s="218" t="str">
        <f>'HKG vs. BK'!M85</f>
        <v/>
      </c>
      <c r="N85" s="218" t="str">
        <f>'HKG vs. BK'!N85</f>
        <v/>
      </c>
      <c r="O85" s="218" t="str">
        <f>'HKG vs. BK'!O85</f>
        <v/>
      </c>
      <c r="P85" s="218" t="str">
        <f>'HKG vs. BK'!P85</f>
        <v/>
      </c>
      <c r="Q85" s="219" t="str">
        <f t="shared" ref="Q85:Q106" si="453">IF((L85&gt;0)*AND(B$109&gt;0),B85,"")</f>
        <v/>
      </c>
      <c r="R85" s="220" t="str">
        <f t="shared" ref="R85:R105" si="454">IF(($L85&gt;0)*AND(B$109&gt;0),(Q85-B$110),"")</f>
        <v/>
      </c>
      <c r="S85" s="220" t="str">
        <f t="shared" ref="S85:S105" si="455">IF(($L85&gt;0)*AND(B$109&gt;0),(Q85/B$110-1)*100,"")</f>
        <v/>
      </c>
      <c r="T85" s="219" t="str">
        <f t="shared" ref="T85:T106" si="456">IF((L85&gt;0)*AND(C$109&gt;0),C85,"")</f>
        <v/>
      </c>
      <c r="U85" s="220" t="str">
        <f t="shared" ref="U85:U105" si="457">IF((L85&gt;0)*AND(C$109&gt;0),(T85-C$110),"")</f>
        <v/>
      </c>
      <c r="V85" s="220" t="str">
        <f t="shared" ref="V85:V106" si="458">IF((L85&gt;0)*AND(C$109&gt;0),(T85/C$110-1)*100,"")</f>
        <v/>
      </c>
      <c r="W85" s="219" t="str">
        <f t="shared" ref="W85:W106" si="459">IF((L85&gt;0)*AND(D$109&gt;0),D85,"")</f>
        <v/>
      </c>
      <c r="X85" s="220" t="str">
        <f t="shared" ref="X85:X105" si="460">IF((L85&gt;0)*AND(D$109&gt;0),(W85-D$110),"")</f>
        <v/>
      </c>
      <c r="Y85" s="220" t="str">
        <f t="shared" ref="Y85:Y106" si="461">IF((L85&gt;0)*AND(D$109&gt;0),(W85/D$110-1)*100,"")</f>
        <v/>
      </c>
      <c r="Z85" s="219" t="str">
        <f t="shared" ref="Z85:Z106" si="462">IF((L85&gt;0)*AND(E$109&gt;0),E85,"")</f>
        <v/>
      </c>
      <c r="AA85" s="220" t="str">
        <f t="shared" ref="AA85:AA105" si="463">IF((L85&gt;0)*AND(E$109&gt;0),(Z85-E$110),"")</f>
        <v/>
      </c>
      <c r="AB85" s="220" t="str">
        <f t="shared" ref="AB85:AB106" si="464">IF((L85&gt;0)*AND(E$109&gt;0),(Z85/E$110-1)*100,"")</f>
        <v/>
      </c>
      <c r="AC85" s="219" t="str">
        <f t="shared" ref="AC85:AC106" si="465">IF((L85&gt;0)*AND(F$109&gt;0),F85,"")</f>
        <v/>
      </c>
      <c r="AD85" s="220" t="str">
        <f t="shared" ref="AD85:AD105" si="466">IF((L85&gt;0)*AND(F$109&gt;0),(AC85-F$110),"")</f>
        <v/>
      </c>
      <c r="AE85" s="220" t="str">
        <f t="shared" ref="AE85:AE106" si="467">IF((L85&gt;0)*AND(F$109&gt;0),(AC85/F$110-1)*100,"")</f>
        <v/>
      </c>
      <c r="AF85" s="219" t="str">
        <f t="shared" ref="AF85:AF105" si="468">IF((L85&gt;0)*AND(G$109&gt;0),G85,"")</f>
        <v/>
      </c>
      <c r="AG85" s="220" t="str">
        <f t="shared" ref="AG85:AG105" si="469">IF(($L85&gt;0)*AND(G$109&gt;0),(AF85-G$110),"")</f>
        <v/>
      </c>
      <c r="AH85" s="220" t="str">
        <f t="shared" ref="AH85:AH105" si="470">IF(($L85&gt;0)*AND(G$109&gt;0),(AF85/G$110-1)*100,"")</f>
        <v/>
      </c>
      <c r="AI85" s="219" t="str">
        <f t="shared" ref="AI85:AI105" si="471">IF((L85&gt;0)*AND(H$109&gt;0),H85,"")</f>
        <v/>
      </c>
      <c r="AJ85" s="220" t="str">
        <f t="shared" ref="AJ85:AJ105" si="472">IF(($L85&gt;0)*AND(H$109&gt;0),(AI85-H$110),"")</f>
        <v/>
      </c>
      <c r="AK85" s="220" t="str">
        <f t="shared" ref="AK85:AK105" si="473">IF(($L85&gt;0)*AND(H$109&gt;0),(AI85/H$110-1)*100,"")</f>
        <v/>
      </c>
      <c r="AL85" s="219" t="str">
        <f t="shared" ref="AL85:AL105" si="474">IF((L85&gt;0)*AND(I$109&gt;0),I85,"")</f>
        <v/>
      </c>
      <c r="AM85" s="220" t="str">
        <f t="shared" ref="AM85:AM105" si="475">IF(($L85&gt;0)*AND(I$109&gt;0),(AL85-I$110),"")</f>
        <v/>
      </c>
      <c r="AN85" s="220" t="str">
        <f t="shared" ref="AN85:AN105" si="476">IF(($L85&gt;0)*AND(I$109&gt;0),(AL85/I$110-1)*100,"")</f>
        <v/>
      </c>
      <c r="AO85" s="219" t="str">
        <f t="shared" ref="AO85:AO105" si="477">IF((L85&gt;0)*AND(J$109&gt;0),J85,"")</f>
        <v/>
      </c>
      <c r="AP85" s="220" t="str">
        <f t="shared" ref="AP85:AP105" si="478">IF(($L85&gt;0)*AND(J$109&gt;0),(AO85-J$110),"")</f>
        <v/>
      </c>
      <c r="AQ85" s="220" t="str">
        <f t="shared" ref="AQ85:AQ105" si="479">IF(($L85&gt;0)*AND(J$109&gt;0),(AO85/J$110-1)*100,"")</f>
        <v/>
      </c>
      <c r="AR85" s="219" t="str">
        <f t="shared" ref="AR85:AR105" si="480">IF((L85&gt;0)*AND(K$109&gt;0),K85,"")</f>
        <v/>
      </c>
      <c r="AS85" s="220" t="str">
        <f t="shared" ref="AS85:AS105" si="481">IF(($L85&gt;0)*AND(K$109&gt;0),(AR85-K$110),"")</f>
        <v/>
      </c>
      <c r="AT85" s="220" t="str">
        <f t="shared" ref="AT85:AT105" si="482">IF(($L85&gt;0)*AND(K$109&gt;0),(AR85/K$110-1)*100,"")</f>
        <v/>
      </c>
      <c r="AU85" s="221"/>
      <c r="AV85" s="221"/>
      <c r="AW85" s="221"/>
      <c r="AY85" s="218" t="str">
        <f t="shared" ref="AY85:AY105" si="483">IF(AND(NOT($B85=""),NOT(C85="")),$B85,"")</f>
        <v/>
      </c>
      <c r="AZ85" s="218" t="str">
        <f t="shared" ref="AZ85:AZ105" si="484">IF(AND(NOT($C85=""),NOT(B85="")),$C85,"")</f>
        <v/>
      </c>
      <c r="BA85" s="218" t="str">
        <f t="shared" ref="BA85:BA105" si="485">IF(AND(NOT(AY85=""),NOT(AZ85="")),AY85*AZ85,"")</f>
        <v/>
      </c>
      <c r="BB85" s="218" t="str">
        <f t="shared" ref="BB85:BB105" si="486">IF(AND(NOT($B85=""),NOT(D85="")),$B85,"")</f>
        <v/>
      </c>
      <c r="BC85" s="218" t="str">
        <f t="shared" ref="BC85:BC105" si="487">IF(AND(NOT($D85=""),NOT(B85="")),$D85,"")</f>
        <v/>
      </c>
      <c r="BD85" s="218" t="str">
        <f t="shared" ref="BD85:BD105" si="488">IF(AND(NOT(BB85=""),NOT(BC85="")),BB85*BC85,"")</f>
        <v/>
      </c>
      <c r="BE85" s="218" t="str">
        <f t="shared" ref="BE85:BE105" si="489">IF(AND(NOT($B85=""),NOT(E85="")),$B85,"")</f>
        <v/>
      </c>
      <c r="BF85" s="218" t="str">
        <f t="shared" ref="BF85:BF105" si="490">IF(AND(NOT($E85=""),NOT(B85="")),$E85,"")</f>
        <v/>
      </c>
      <c r="BG85" s="218" t="str">
        <f t="shared" ref="BG85:BG105" si="491">IF(AND(NOT(BE85=""),NOT(BF85="")),BE85*BF85,"")</f>
        <v/>
      </c>
      <c r="BH85" s="218" t="str">
        <f t="shared" ref="BH85:BH105" si="492">IF(AND(NOT($B85=""),NOT(F85="")),$B85,"")</f>
        <v/>
      </c>
      <c r="BI85" s="218" t="str">
        <f t="shared" ref="BI85:BI105" si="493">IF(AND(NOT($F85=""),NOT(B85="")),$F85,"")</f>
        <v/>
      </c>
      <c r="BJ85" s="218" t="str">
        <f t="shared" ref="BJ85:BJ105" si="494">IF(AND(NOT(BH85=""),NOT(BI85="")),BH85*BI85,"")</f>
        <v/>
      </c>
      <c r="BK85" s="218" t="str">
        <f t="shared" ref="BK85:BK105" si="495">IF(AND(NOT($B85=""),NOT(G85="")),$B85,"")</f>
        <v/>
      </c>
      <c r="BL85" s="218" t="str">
        <f t="shared" ref="BL85:BL105" si="496">IF(AND(NOT($G85=""),NOT(B85="")),$G85,"")</f>
        <v/>
      </c>
      <c r="BM85" s="218" t="str">
        <f t="shared" ref="BM85:BM105" si="497">IF(AND(NOT(BK85=""),NOT(BL85="")),BK85*BL85,"")</f>
        <v/>
      </c>
      <c r="BN85" s="218" t="str">
        <f t="shared" ref="BN85:BN105" si="498">IF(AND(NOT($B85=""),NOT(H85="")),$B85,"")</f>
        <v/>
      </c>
      <c r="BO85" s="218" t="str">
        <f t="shared" ref="BO85:BO105" si="499">IF(AND(NOT($H85=""),NOT(B85="")),$H85,"")</f>
        <v/>
      </c>
      <c r="BP85" s="218" t="str">
        <f t="shared" ref="BP85:BP105" si="500">IF(AND(NOT(BN85=""),NOT(BO85="")),BN85*BO85,"")</f>
        <v/>
      </c>
      <c r="BQ85" s="218" t="str">
        <f t="shared" ref="BQ85:BQ105" si="501">IF(AND(NOT($B85=""),NOT(I85="")),$B85,"")</f>
        <v/>
      </c>
      <c r="BR85" s="218" t="str">
        <f t="shared" ref="BR85:BR105" si="502">IF(AND(NOT($I85=""),NOT(B85="")),$I85,"")</f>
        <v/>
      </c>
      <c r="BS85" s="218" t="str">
        <f t="shared" ref="BS85:BS105" si="503">IF(AND(NOT(BQ85=""),NOT(BR85="")),BQ85*BR85,"")</f>
        <v/>
      </c>
      <c r="BT85" s="218" t="str">
        <f t="shared" ref="BT85:BT105" si="504">IF(AND(NOT($B85=""),NOT(J85="")),$B85,"")</f>
        <v/>
      </c>
      <c r="BU85" s="218" t="str">
        <f t="shared" ref="BU85:BU105" si="505">IF(AND(NOT($J85=""),NOT(B85="")),$J85,"")</f>
        <v/>
      </c>
      <c r="BV85" s="218" t="str">
        <f t="shared" ref="BV85:BV105" si="506">IF(AND(NOT(BT85=""),NOT(BU85="")),BT85*BU85,"")</f>
        <v/>
      </c>
      <c r="BW85" s="218" t="str">
        <f t="shared" ref="BW85:BW105" si="507">IF(AND(NOT($B85=""),NOT(K85="")),$B85,"")</f>
        <v/>
      </c>
      <c r="BX85" s="218" t="str">
        <f t="shared" ref="BX85:BX105" si="508">IF(AND(NOT($K85=""),NOT(B85="")),$K85,"")</f>
        <v/>
      </c>
      <c r="BY85" s="218" t="str">
        <f t="shared" ref="BY85:BY105" si="509">IF(AND(NOT(BW85=""),NOT(BX85="")),BW85*BX85,"")</f>
        <v/>
      </c>
      <c r="BZ85" s="218" t="str">
        <f t="shared" ref="BZ85:BZ105" si="510">IF(AND(NOT($B85=""),NOT(M85="")),$B85,"")</f>
        <v/>
      </c>
      <c r="CA85" s="218" t="str">
        <f t="shared" ref="CA85:CA105" si="511">IF(AND(NOT($M85=""),NOT(B85="")),$M85,"")</f>
        <v/>
      </c>
      <c r="CB85" s="218" t="str">
        <f t="shared" ref="CB85:CB105" si="512">IF(AND(NOT(BZ85=""),NOT(CA85="")),BZ85*CA85,"")</f>
        <v/>
      </c>
      <c r="CD85" s="218" t="str">
        <f t="shared" ref="CD85:CD105" si="513">IF(AND(NOT($C85=""),NOT(D85="")),$C85,"")</f>
        <v/>
      </c>
      <c r="CE85" s="218" t="str">
        <f t="shared" ref="CE85:CE105" si="514">IF(AND(NOT($D85=""),NOT(C85="")),$D85,"")</f>
        <v/>
      </c>
      <c r="CF85" s="218" t="str">
        <f t="shared" ref="CF85:CF105" si="515">IF(AND(NOT(CD85=""),NOT(CE85="")),CD85*CE85,"")</f>
        <v/>
      </c>
      <c r="CG85" s="218" t="str">
        <f t="shared" ref="CG85:CG105" si="516">IF(AND(NOT($C85=""),NOT(E85="")),$C85,"")</f>
        <v/>
      </c>
      <c r="CH85" s="218" t="str">
        <f t="shared" ref="CH85:CH105" si="517">IF(AND(NOT($E85=""),NOT(C85="")),$E85,"")</f>
        <v/>
      </c>
      <c r="CI85" s="218" t="str">
        <f t="shared" ref="CI85:CI105" si="518">IF(AND(NOT(CG85=""),NOT(CH85="")),CG85*CH85,"")</f>
        <v/>
      </c>
      <c r="CJ85" s="218" t="str">
        <f t="shared" ref="CJ85:CJ105" si="519">IF(AND(NOT($C85=""),NOT(F85="")),$C85,"")</f>
        <v/>
      </c>
      <c r="CK85" s="218" t="str">
        <f t="shared" ref="CK85:CK105" si="520">IF(AND(NOT($F85=""),NOT(C85="")),$F85,"")</f>
        <v/>
      </c>
      <c r="CL85" s="218" t="str">
        <f t="shared" ref="CL85:CL105" si="521">IF(AND(NOT(CJ85=""),NOT(CK85="")),CJ85*CK85,"")</f>
        <v/>
      </c>
      <c r="CM85" s="218" t="str">
        <f t="shared" ref="CM85:CM105" si="522">IF(AND(NOT($C85=""),NOT(G85="")),$C85,"")</f>
        <v/>
      </c>
      <c r="CN85" s="218" t="str">
        <f t="shared" ref="CN85:CN105" si="523">IF(AND(NOT($G85=""),NOT(C85="")),$G85,"")</f>
        <v/>
      </c>
      <c r="CO85" s="218" t="str">
        <f t="shared" ref="CO85:CO105" si="524">IF(AND(NOT(CM85=""),NOT(CN85="")),CM85*CN85,"")</f>
        <v/>
      </c>
      <c r="CP85" s="218" t="str">
        <f t="shared" ref="CP85:CP105" si="525">IF(AND(NOT($C85=""),NOT(H85="")),$C85,"")</f>
        <v/>
      </c>
      <c r="CQ85" s="218" t="str">
        <f t="shared" ref="CQ85:CQ105" si="526">IF(AND(NOT($H85=""),NOT(C85="")),$H85,"")</f>
        <v/>
      </c>
      <c r="CR85" s="218" t="str">
        <f t="shared" ref="CR85:CR105" si="527">IF(AND(NOT(CP85=""),NOT(CQ85="")),CP85*CQ85,"")</f>
        <v/>
      </c>
      <c r="CS85" s="218" t="str">
        <f t="shared" ref="CS85:CS105" si="528">IF(AND(NOT($C85=""),NOT(I85="")),$C85,"")</f>
        <v/>
      </c>
      <c r="CT85" s="218" t="str">
        <f t="shared" ref="CT85:CT105" si="529">IF(AND(NOT($I85=""),NOT(C85="")),$I85,"")</f>
        <v/>
      </c>
      <c r="CU85" s="218" t="str">
        <f t="shared" ref="CU85:CU105" si="530">IF(AND(NOT(CS85=""),NOT(CT85="")),CS85*CT85,"")</f>
        <v/>
      </c>
      <c r="CV85" s="218" t="str">
        <f t="shared" ref="CV85:CV105" si="531">IF(AND(NOT($C85=""),NOT(J85="")),$C85,"")</f>
        <v/>
      </c>
      <c r="CW85" s="218" t="str">
        <f t="shared" ref="CW85:CW105" si="532">IF(AND(NOT($J85=""),NOT(C85="")),$J85,"")</f>
        <v/>
      </c>
      <c r="CX85" s="218" t="str">
        <f t="shared" ref="CX85:CX105" si="533">IF(AND(NOT(CV85=""),NOT(CW85="")),CV85*CW85,"")</f>
        <v/>
      </c>
      <c r="CY85" s="218" t="str">
        <f t="shared" ref="CY85:CY105" si="534">IF(AND(NOT($C85=""),NOT(K85="")),$C85,"")</f>
        <v/>
      </c>
      <c r="CZ85" s="218" t="str">
        <f t="shared" ref="CZ85:CZ105" si="535">IF(AND(NOT($K85=""),NOT(C85="")),$K85,"")</f>
        <v/>
      </c>
      <c r="DA85" s="218" t="str">
        <f t="shared" ref="DA85:DA105" si="536">IF(AND(NOT(CY85=""),NOT(CZ85="")),CY85*CZ85,"")</f>
        <v/>
      </c>
      <c r="DB85" s="218" t="str">
        <f t="shared" ref="DB85:DB105" si="537">IF(AND(NOT($C85=""),NOT($M85="")),$C85,"")</f>
        <v/>
      </c>
      <c r="DC85" s="218" t="str">
        <f t="shared" ref="DC85:DC105" si="538">IF(AND(NOT($M85=""),NOT(C85="")),$M85,"")</f>
        <v/>
      </c>
      <c r="DD85" s="218" t="str">
        <f t="shared" ref="DD85:DD105" si="539">IF(AND(NOT(DB85=""),NOT(DC85="")),DB85*DC85,"")</f>
        <v/>
      </c>
      <c r="DF85" s="218" t="str">
        <f t="shared" ref="DF85:DF105" si="540">IF(AND(NOT($D85=""),NOT(E85="")),$D85,"")</f>
        <v/>
      </c>
      <c r="DG85" s="218" t="str">
        <f t="shared" ref="DG85:DG105" si="541">IF(AND(NOT($E85=""),NOT(D85="")),$E85,"")</f>
        <v/>
      </c>
      <c r="DH85" s="218" t="str">
        <f t="shared" ref="DH85:DH105" si="542">IF(AND(NOT(DF85=""),NOT(DG85="")),DF85*DG85,"")</f>
        <v/>
      </c>
      <c r="DI85" s="218" t="str">
        <f t="shared" ref="DI85:DI105" si="543">IF(AND(NOT($D85=""),NOT(F85="")),$D85,"")</f>
        <v/>
      </c>
      <c r="DJ85" s="218" t="str">
        <f t="shared" ref="DJ85:DJ105" si="544">IF(AND(NOT($F85=""),NOT(E85="")),$F85,"")</f>
        <v/>
      </c>
      <c r="DK85" s="218" t="str">
        <f t="shared" ref="DK85:DK105" si="545">IF(AND(NOT(DI85=""),NOT(DJ85="")),DI85*DJ85,"")</f>
        <v/>
      </c>
      <c r="DL85" s="218" t="str">
        <f t="shared" ref="DL85:DL105" si="546">IF(AND(NOT($D85=""),NOT(G85="")),$D85,"")</f>
        <v/>
      </c>
      <c r="DM85" s="218" t="str">
        <f t="shared" ref="DM85:DM105" si="547">IF(AND(NOT($G85=""),NOT(D85="")),$G85,"")</f>
        <v/>
      </c>
      <c r="DN85" s="218" t="str">
        <f t="shared" ref="DN85:DN105" si="548">IF(AND(NOT(DL85=""),NOT(DM85="")),DL85*DM85,"")</f>
        <v/>
      </c>
      <c r="DO85" s="218" t="str">
        <f t="shared" ref="DO85:DO105" si="549">IF(AND(NOT($D85=""),NOT(H85="")),$D85,"")</f>
        <v/>
      </c>
      <c r="DP85" s="218" t="str">
        <f t="shared" ref="DP85:DP105" si="550">IF(AND(NOT($H85=""),NOT(D85="")),$H85,"")</f>
        <v/>
      </c>
      <c r="DQ85" s="218" t="str">
        <f t="shared" ref="DQ85:DQ105" si="551">IF(AND(NOT(DO85=""),NOT(DP85="")),DO85*DP85,"")</f>
        <v/>
      </c>
      <c r="DR85" s="218" t="str">
        <f t="shared" ref="DR85:DR105" si="552">IF(AND(NOT($D85=""),NOT(I85="")),$D85,"")</f>
        <v/>
      </c>
      <c r="DS85" s="218" t="str">
        <f t="shared" ref="DS85:DS105" si="553">IF(AND(NOT($I85=""),NOT(D85="")),$I85,"")</f>
        <v/>
      </c>
      <c r="DT85" s="218" t="str">
        <f t="shared" ref="DT85:DT105" si="554">IF(AND(NOT(DR85=""),NOT(DS85="")),DR85*DS85,"")</f>
        <v/>
      </c>
      <c r="DU85" s="218" t="str">
        <f t="shared" ref="DU85:DU105" si="555">IF(AND(NOT($D85=""),NOT(J85="")),$D85,"")</f>
        <v/>
      </c>
      <c r="DV85" s="218" t="str">
        <f t="shared" ref="DV85:DV105" si="556">IF(AND(NOT($J85=""),NOT(D85="")),$J85,"")</f>
        <v/>
      </c>
      <c r="DW85" s="218" t="str">
        <f t="shared" ref="DW85:DW105" si="557">IF(AND(NOT(DU85=""),NOT(DV85="")),DU85*DV85,"")</f>
        <v/>
      </c>
      <c r="DX85" s="218" t="str">
        <f t="shared" ref="DX85:DX105" si="558">IF(AND(NOT($D85=""),NOT(K85="")),$D85,"")</f>
        <v/>
      </c>
      <c r="DY85" s="218" t="str">
        <f t="shared" ref="DY85:DY105" si="559">IF(AND(NOT($K85=""),NOT(D85="")),$K85,"")</f>
        <v/>
      </c>
      <c r="DZ85" s="218" t="str">
        <f t="shared" ref="DZ85:DZ105" si="560">IF(AND(NOT(DX85=""),NOT(DY85="")),DX85*DY85,"")</f>
        <v/>
      </c>
      <c r="EA85" s="218" t="str">
        <f t="shared" ref="EA85:EA105" si="561">IF(AND(NOT($D85=""),NOT(M85="")),$D85,"")</f>
        <v/>
      </c>
      <c r="EB85" s="218" t="str">
        <f t="shared" ref="EB85:EB105" si="562">IF(AND(NOT($M85=""),NOT(D85="")),$M85,"")</f>
        <v/>
      </c>
      <c r="EC85" s="218" t="str">
        <f t="shared" ref="EC85:EC105" si="563">IF(AND(NOT(EA85=""),NOT(EB85="")),EA85*EB85,"")</f>
        <v/>
      </c>
      <c r="EE85" s="218" t="str">
        <f t="shared" ref="EE85:EE105" si="564">IF(AND(NOT($E85=""),NOT(F85="")),$E85,"")</f>
        <v/>
      </c>
      <c r="EF85" s="218" t="str">
        <f t="shared" ref="EF85:EF105" si="565">IF(AND(NOT($F85=""),NOT(E85="")),$F85,"")</f>
        <v/>
      </c>
      <c r="EG85" s="218" t="str">
        <f t="shared" ref="EG85:EG105" si="566">IF(AND(NOT(EE85=""),NOT(EF85="")),EE85*EF85,"")</f>
        <v/>
      </c>
      <c r="EH85" s="218" t="str">
        <f t="shared" ref="EH85:EH105" si="567">IF(AND(NOT($E85=""),NOT(G85="")),$E85,"")</f>
        <v/>
      </c>
      <c r="EI85" s="218" t="str">
        <f t="shared" ref="EI85:EI105" si="568">IF(AND(NOT($G85=""),NOT(E85="")),$G85,"")</f>
        <v/>
      </c>
      <c r="EJ85" s="218" t="str">
        <f t="shared" ref="EJ85:EJ105" si="569">IF(AND(NOT(EH85=""),NOT(EI85="")),EH85*EI85,"")</f>
        <v/>
      </c>
      <c r="EK85" s="218" t="str">
        <f t="shared" ref="EK85:EK105" si="570">IF(AND(NOT($E85=""),NOT(H85="")),$E85,"")</f>
        <v/>
      </c>
      <c r="EL85" s="218" t="str">
        <f t="shared" ref="EL85:EL105" si="571">IF(AND(NOT($H85=""),NOT(E85="")),$H85,"")</f>
        <v/>
      </c>
      <c r="EM85" s="218" t="str">
        <f t="shared" ref="EM85:EM105" si="572">IF(AND(NOT(EK85=""),NOT(EL85="")),EK85*EL85,"")</f>
        <v/>
      </c>
      <c r="EN85" s="218" t="str">
        <f t="shared" ref="EN85:EN105" si="573">IF(AND(NOT($E85=""),NOT(I85="")),$E85,"")</f>
        <v/>
      </c>
      <c r="EO85" s="218" t="str">
        <f t="shared" ref="EO85:EO105" si="574">IF(AND(NOT($I85=""),NOT(E85="")),$I85,"")</f>
        <v/>
      </c>
      <c r="EP85" s="218" t="str">
        <f t="shared" ref="EP85:EP105" si="575">IF(AND(NOT(EN85=""),NOT(EO85="")),EN85*EO85,"")</f>
        <v/>
      </c>
      <c r="EQ85" s="218" t="str">
        <f t="shared" ref="EQ85:EQ105" si="576">IF(AND(NOT($E85=""),NOT(J85="")),$E85,"")</f>
        <v/>
      </c>
      <c r="ER85" s="218" t="str">
        <f t="shared" ref="ER85:ER105" si="577">IF(AND(NOT($J85=""),NOT(E85="")),$J85,"")</f>
        <v/>
      </c>
      <c r="ES85" s="218" t="str">
        <f t="shared" ref="ES85:ES105" si="578">IF(AND(NOT(EQ85=""),NOT(ER85="")),EQ85*ER85,"")</f>
        <v/>
      </c>
      <c r="ET85" s="218" t="str">
        <f t="shared" ref="ET85:ET105" si="579">IF(AND(NOT($E85=""),NOT(K85="")),$E85,"")</f>
        <v/>
      </c>
      <c r="EU85" s="218" t="str">
        <f t="shared" ref="EU85:EU105" si="580">IF(AND(NOT($K85=""),NOT(E85="")),$K85,"")</f>
        <v/>
      </c>
      <c r="EV85" s="218" t="str">
        <f t="shared" ref="EV85:EV105" si="581">IF(AND(NOT(ET85=""),NOT(EU85="")),ET85*EU85,"")</f>
        <v/>
      </c>
      <c r="EW85" s="218" t="str">
        <f t="shared" ref="EW85:EW105" si="582">IF(AND(NOT($E85=""),NOT(M85="")),$E85,"")</f>
        <v/>
      </c>
      <c r="EX85" s="218" t="str">
        <f t="shared" ref="EX85:EX105" si="583">IF(AND(NOT($M85=""),NOT(E85="")),$M85,"")</f>
        <v/>
      </c>
      <c r="EY85" s="218" t="str">
        <f t="shared" ref="EY85:EY105" si="584">IF(AND(NOT(EW85=""),NOT(EX85="")),EW85*EX85,"")</f>
        <v/>
      </c>
      <c r="FA85" s="218" t="str">
        <f t="shared" ref="FA85:FA105" si="585">IF(AND(NOT($F85=""),NOT(G85="")),$F85,"")</f>
        <v/>
      </c>
      <c r="FB85" s="218" t="str">
        <f t="shared" ref="FB85:FB105" si="586">IF(AND(NOT($G85=""),NOT(F85="")),$G85,"")</f>
        <v/>
      </c>
      <c r="FC85" s="218" t="str">
        <f t="shared" ref="FC85:FC105" si="587">IF(AND(NOT(FA85=""),NOT(FB85="")),FA85*FB85,"")</f>
        <v/>
      </c>
      <c r="FD85" s="218" t="str">
        <f t="shared" ref="FD85:FD105" si="588">IF(AND(NOT($F85=""),NOT(H85="")),$F85,"")</f>
        <v/>
      </c>
      <c r="FE85" s="218" t="str">
        <f t="shared" ref="FE85:FE105" si="589">IF(AND(NOT($H85=""),NOT(F85="")),$H85,"")</f>
        <v/>
      </c>
      <c r="FF85" s="218" t="str">
        <f t="shared" ref="FF85:FF105" si="590">IF(AND(NOT(FD85=""),NOT(FE85="")),FD85*FE85,"")</f>
        <v/>
      </c>
      <c r="FG85" s="218" t="str">
        <f t="shared" ref="FG85:FG105" si="591">IF(AND(NOT($F85=""),NOT(I85="")),$F85,"")</f>
        <v/>
      </c>
      <c r="FH85" s="218" t="str">
        <f t="shared" ref="FH85:FH105" si="592">IF(AND(NOT($I85=""),NOT(F85="")),$I85,"")</f>
        <v/>
      </c>
      <c r="FI85" s="218" t="str">
        <f t="shared" ref="FI85:FI105" si="593">IF(AND(NOT(FG85=""),NOT(FH85="")),FG85*FH85,"")</f>
        <v/>
      </c>
      <c r="FJ85" s="218" t="str">
        <f t="shared" ref="FJ85:FJ105" si="594">IF(AND(NOT($F85=""),NOT(J85="")),$F85,"")</f>
        <v/>
      </c>
      <c r="FK85" s="218" t="str">
        <f t="shared" ref="FK85:FK105" si="595">IF(AND(NOT($J85=""),NOT(F85="")),$J85,"")</f>
        <v/>
      </c>
      <c r="FL85" s="218" t="str">
        <f t="shared" ref="FL85:FL105" si="596">IF(AND(NOT(FJ85=""),NOT(FK85="")),FJ85*FK85,"")</f>
        <v/>
      </c>
      <c r="FM85" s="218" t="str">
        <f t="shared" ref="FM85:FM105" si="597">IF(AND(NOT($F85=""),NOT(K85="")),$F85,"")</f>
        <v/>
      </c>
      <c r="FN85" s="218" t="str">
        <f t="shared" ref="FN85:FN105" si="598">IF(AND(NOT($K85=""),NOT(F85="")),$K85,"")</f>
        <v/>
      </c>
      <c r="FO85" s="218" t="str">
        <f t="shared" ref="FO85:FO105" si="599">IF(AND(NOT(FM85=""),NOT(FN85="")),FM85*FN85,"")</f>
        <v/>
      </c>
      <c r="FP85" s="218" t="str">
        <f t="shared" ref="FP85:FP105" si="600">IF(AND(NOT($F85=""),NOT(M85="")),$F85,"")</f>
        <v/>
      </c>
      <c r="FQ85" s="218" t="str">
        <f t="shared" ref="FQ85:FQ105" si="601">IF(AND(NOT($M85=""),NOT(F85="")),$M85,"")</f>
        <v/>
      </c>
      <c r="FR85" s="218" t="str">
        <f t="shared" ref="FR85:FR105" si="602">IF(AND(NOT(FP85=""),NOT(FQ85="")),FP85*FQ85,"")</f>
        <v/>
      </c>
      <c r="FT85" s="218" t="str">
        <f t="shared" ref="FT85:FT105" si="603">IF(AND(NOT($G85=""),NOT(H85="")),$G85,"")</f>
        <v/>
      </c>
      <c r="FU85" s="218" t="str">
        <f t="shared" ref="FU85:FU105" si="604">IF(AND(NOT($H85=""),NOT(G85="")),$H85,"")</f>
        <v/>
      </c>
      <c r="FV85" s="218" t="str">
        <f t="shared" ref="FV85:FV105" si="605">IF(AND(NOT(FT85=""),NOT(FU85="")),FT85*FU85,"")</f>
        <v/>
      </c>
      <c r="FW85" s="218" t="str">
        <f t="shared" ref="FW85:FW105" si="606">IF(AND(NOT($G85=""),NOT(I85="")),$G85,"")</f>
        <v/>
      </c>
      <c r="FX85" s="218" t="str">
        <f t="shared" ref="FX85:FX105" si="607">IF(AND(NOT($I85=""),NOT(G85="")),$I85,"")</f>
        <v/>
      </c>
      <c r="FY85" s="218" t="str">
        <f t="shared" ref="FY85:FY105" si="608">IF(AND(NOT(FW85=""),NOT(FX85="")),FW85*FX85,"")</f>
        <v/>
      </c>
      <c r="FZ85" s="218" t="str">
        <f t="shared" ref="FZ85:FZ105" si="609">IF(AND(NOT($G85=""),NOT(J85="")),$G85,"")</f>
        <v/>
      </c>
      <c r="GA85" s="218" t="str">
        <f t="shared" ref="GA85:GA105" si="610">IF(AND(NOT($J85=""),NOT(G85="")),$J85,"")</f>
        <v/>
      </c>
      <c r="GB85" s="218" t="str">
        <f t="shared" ref="GB85:GB105" si="611">IF(AND(NOT(FZ85=""),NOT(GA85="")),FZ85*GA85,"")</f>
        <v/>
      </c>
      <c r="GC85" s="218" t="str">
        <f t="shared" ref="GC85:GC105" si="612">IF(AND(NOT($G85=""),NOT(K85="")),$G85,"")</f>
        <v/>
      </c>
      <c r="GD85" s="218" t="str">
        <f t="shared" ref="GD85:GD105" si="613">IF(AND(NOT($K85=""),NOT(G85="")),$K85,"")</f>
        <v/>
      </c>
      <c r="GE85" s="218" t="str">
        <f t="shared" ref="GE85:GE105" si="614">IF(AND(NOT(GC85=""),NOT(GD85="")),GC85*GD85,"")</f>
        <v/>
      </c>
      <c r="GF85" s="218" t="str">
        <f t="shared" ref="GF85:GF105" si="615">IF(AND(NOT($G85=""),NOT(M85="")),$G85,"")</f>
        <v/>
      </c>
      <c r="GG85" s="218" t="str">
        <f t="shared" ref="GG85:GG105" si="616">IF(AND(NOT($M85=""),NOT(G85="")),$M85,"")</f>
        <v/>
      </c>
      <c r="GH85" s="218" t="str">
        <f t="shared" ref="GH85:GH105" si="617">IF(AND(NOT(GF85=""),NOT(GG85="")),GF85*GG85,"")</f>
        <v/>
      </c>
      <c r="GJ85" s="218" t="str">
        <f t="shared" ref="GJ85:GJ105" si="618">IF(AND(NOT($H85=""),NOT(I85="")),$H85,"")</f>
        <v/>
      </c>
      <c r="GK85" s="218" t="str">
        <f t="shared" ref="GK85:GK105" si="619">IF(AND(NOT($I85=""),NOT(H85="")),$I85,"")</f>
        <v/>
      </c>
      <c r="GL85" s="218" t="str">
        <f t="shared" ref="GL85:GL105" si="620">IF(AND(NOT(GJ85=""),NOT(GK85="")),GJ85*GK85,"")</f>
        <v/>
      </c>
      <c r="GM85" s="218" t="str">
        <f t="shared" ref="GM85:GM105" si="621">IF(AND(NOT($H85=""),NOT(J85="")),$H85,"")</f>
        <v/>
      </c>
      <c r="GN85" s="218" t="str">
        <f t="shared" ref="GN85:GN105" si="622">IF(AND(NOT($J85=""),NOT(H85="")),$J85,"")</f>
        <v/>
      </c>
      <c r="GO85" s="218" t="str">
        <f t="shared" ref="GO85:GO105" si="623">IF(AND(NOT(GM85=""),NOT(GN85="")),GM85*GN85,"")</f>
        <v/>
      </c>
      <c r="GP85" s="218" t="str">
        <f t="shared" ref="GP85:GP105" si="624">IF(AND(NOT($H85=""),NOT(K85="")),$H85,"")</f>
        <v/>
      </c>
      <c r="GQ85" s="218" t="str">
        <f t="shared" ref="GQ85:GQ105" si="625">IF(AND(NOT($K85=""),NOT(H85="")),$K85,"")</f>
        <v/>
      </c>
      <c r="GR85" s="218" t="str">
        <f t="shared" ref="GR85:GR105" si="626">IF(AND(NOT(GP85=""),NOT(GQ85="")),GP85*GQ85,"")</f>
        <v/>
      </c>
      <c r="GS85" s="218" t="str">
        <f t="shared" ref="GS85:GS105" si="627">IF(AND(NOT($H85=""),NOT(M85="")),$H85,"")</f>
        <v/>
      </c>
      <c r="GT85" s="218" t="str">
        <f t="shared" ref="GT85:GT105" si="628">IF(AND(NOT($M85=""),NOT(H85="")),$M85,"")</f>
        <v/>
      </c>
      <c r="GU85" s="218" t="str">
        <f t="shared" ref="GU85:GU105" si="629">IF(AND(NOT(GS85=""),NOT(GT85="")),GS85*GT85,"")</f>
        <v/>
      </c>
      <c r="GW85" s="218" t="str">
        <f t="shared" ref="GW85:GW105" si="630">IF(AND(NOT($I85=""),NOT(J85="")),$I85,"")</f>
        <v/>
      </c>
      <c r="GX85" s="218" t="str">
        <f t="shared" ref="GX85:GX105" si="631">IF(AND(NOT($J85=""),NOT(I85="")),$J85,"")</f>
        <v/>
      </c>
      <c r="GY85" s="218" t="str">
        <f t="shared" ref="GY85:GY105" si="632">IF(AND(NOT(GW85=""),NOT(GX85="")),GW85*GX85,"")</f>
        <v/>
      </c>
      <c r="GZ85" s="218" t="str">
        <f t="shared" ref="GZ85:GZ105" si="633">IF(AND(NOT($I85=""),NOT(K85="")),$I85,"")</f>
        <v/>
      </c>
      <c r="HA85" s="218" t="str">
        <f t="shared" ref="HA85:HA105" si="634">IF(AND(NOT($K85=""),NOT(I85="")),$K85,"")</f>
        <v/>
      </c>
      <c r="HB85" s="218" t="str">
        <f t="shared" ref="HB85:HB105" si="635">IF(AND(NOT(GZ85=""),NOT(HA85="")),GZ85*HA85,"")</f>
        <v/>
      </c>
      <c r="HC85" s="218" t="str">
        <f t="shared" ref="HC85:HC105" si="636">IF(AND(NOT($I85=""),NOT(M85="")),$I85,"")</f>
        <v/>
      </c>
      <c r="HD85" s="218" t="str">
        <f t="shared" ref="HD85:HD105" si="637">IF(AND(NOT($M85=""),NOT(I85="")),$M85,"")</f>
        <v/>
      </c>
      <c r="HE85" s="218" t="str">
        <f t="shared" ref="HE85:HE105" si="638">IF(AND(NOT(HC85=""),NOT(HD85="")),HC85*HD85,"")</f>
        <v/>
      </c>
      <c r="HG85" s="218" t="str">
        <f t="shared" ref="HG85:HG105" si="639">IF(AND(NOT($J85=""),NOT(K85="")),$J85,"")</f>
        <v/>
      </c>
      <c r="HH85" s="218" t="str">
        <f t="shared" ref="HH85:HH105" si="640">IF(AND(NOT($K85=""),NOT(J85="")),$K85,"")</f>
        <v/>
      </c>
      <c r="HI85" s="218" t="str">
        <f t="shared" ref="HI85:HI105" si="641">IF(AND(NOT(HG85=""),NOT(HH85="")),HG85*HH85,"")</f>
        <v/>
      </c>
      <c r="HJ85" s="218" t="str">
        <f t="shared" ref="HJ85:HJ105" si="642">IF(AND(NOT($J85=""),NOT(M85="")),$J85,"")</f>
        <v/>
      </c>
      <c r="HK85" s="218" t="str">
        <f t="shared" ref="HK85:HK105" si="643">IF(AND(NOT($M85=""),NOT(J85="")),$M85,"")</f>
        <v/>
      </c>
      <c r="HL85" s="218" t="str">
        <f t="shared" ref="HL85:HL105" si="644">IF(AND(NOT(HJ85=""),NOT(HK85="")),HJ85*HK85,"")</f>
        <v/>
      </c>
      <c r="HN85" s="218" t="str">
        <f t="shared" ref="HN85:HN105" si="645">IF(AND(NOT($K85=""),NOT(M85="")),$K85,"")</f>
        <v/>
      </c>
      <c r="HO85" s="218" t="str">
        <f t="shared" ref="HO85:HO105" si="646">IF(AND(NOT($M85=""),NOT(K85="")),$M85,"")</f>
        <v/>
      </c>
      <c r="HP85" s="218" t="str">
        <f t="shared" ref="HP85:HP105" si="647">IF(AND(NOT(HN85=""),NOT(HO85="")),HN85*HO85,"")</f>
        <v/>
      </c>
      <c r="HR85" s="218" t="str">
        <f t="shared" ref="HR85:HR105" si="648">IF(AND(NOT($M85=""),NOT(B85="")),$M85,"")</f>
        <v/>
      </c>
      <c r="HS85" s="218" t="str">
        <f t="shared" ref="HS85:HS105" si="649">IF(AND(NOT($B85=""),NOT($M85="")),$B85,"")</f>
        <v/>
      </c>
      <c r="HT85" s="218" t="str">
        <f t="shared" ref="HT85:HT105" si="650">IF(AND(NOT(HR85=""),NOT(HS85="")),HR85*HS85,"")</f>
        <v/>
      </c>
      <c r="HU85" s="218" t="str">
        <f t="shared" ref="HU85:HU105" si="651">IF(AND(NOT($M85=""),NOT($C85="")),$M85,"")</f>
        <v/>
      </c>
      <c r="HV85" s="218" t="str">
        <f t="shared" ref="HV85:HV105" si="652">IF(AND(NOT($C85=""),NOT(M85="")),$C85,"")</f>
        <v/>
      </c>
      <c r="HW85" s="218" t="str">
        <f t="shared" ref="HW85:HW105" si="653">IF(AND(NOT(HU85=""),NOT(HV85="")),HU85*HV85,"")</f>
        <v/>
      </c>
      <c r="HX85" s="218" t="str">
        <f t="shared" ref="HX85:HX105" si="654">IF(AND(NOT($M85=""),NOT(D85="")),$M85,"")</f>
        <v/>
      </c>
      <c r="HY85" s="218" t="str">
        <f t="shared" ref="HY85:HY105" si="655">IF(AND(NOT($D85=""),NOT($M85="")),$D85,"")</f>
        <v/>
      </c>
      <c r="HZ85" s="218" t="str">
        <f t="shared" ref="HZ85:HZ105" si="656">IF(AND(NOT(HX85=""),NOT(HY85="")),HX85*HY85,"")</f>
        <v/>
      </c>
      <c r="IA85" s="218" t="str">
        <f t="shared" ref="IA85:IA105" si="657">IF(AND(NOT($M85=""),NOT(E85="")),$M85,"")</f>
        <v/>
      </c>
      <c r="IB85" s="218" t="str">
        <f t="shared" ref="IB85:IB105" si="658">IF(AND(NOT($E85=""),NOT($M85="")),$E85,"")</f>
        <v/>
      </c>
      <c r="IC85" s="218" t="str">
        <f t="shared" ref="IC85:IC105" si="659">IF(AND(NOT(IA85=""),NOT(IB85="")),IA85*IB85,"")</f>
        <v/>
      </c>
      <c r="ID85" s="218" t="str">
        <f t="shared" ref="ID85:ID105" si="660">IF(AND(NOT($M85=""),NOT(F85="")),$M85,"")</f>
        <v/>
      </c>
      <c r="IE85" s="218" t="str">
        <f t="shared" ref="IE85:IE105" si="661">IF(AND(NOT($F85=""),NOT($M85="")),$F85,"")</f>
        <v/>
      </c>
      <c r="IF85" s="218" t="str">
        <f t="shared" ref="IF85:IF105" si="662">IF(AND(NOT(ID85=""),NOT(IE85="")),ID85*IE85,"")</f>
        <v/>
      </c>
      <c r="IG85" s="218" t="str">
        <f t="shared" ref="IG85:IG105" si="663">IF(AND(NOT($M85=""),NOT(G85="")),$M85,"")</f>
        <v/>
      </c>
      <c r="IH85" s="218" t="str">
        <f t="shared" ref="IH85:IH105" si="664">IF(AND(NOT($G85=""),NOT($M85="")),$G85,"")</f>
        <v/>
      </c>
      <c r="II85" s="218" t="str">
        <f t="shared" ref="II85:II105" si="665">IF(AND(NOT(IG85=""),NOT(IH85="")),IG85*IH85,"")</f>
        <v/>
      </c>
      <c r="IJ85" s="218" t="str">
        <f t="shared" ref="IJ85:IJ105" si="666">IF(AND(NOT($M85=""),NOT(H85="")),$M85,"")</f>
        <v/>
      </c>
      <c r="IK85" s="218" t="str">
        <f t="shared" ref="IK85:IK105" si="667">IF(AND(NOT($H85=""),NOT($M85="")),$H85,"")</f>
        <v/>
      </c>
      <c r="IL85" s="218" t="str">
        <f t="shared" ref="IL85:IL105" si="668">IF(AND(NOT(IJ85=""),NOT(IK85="")),IJ85*IK85,"")</f>
        <v/>
      </c>
      <c r="IM85" s="218" t="str">
        <f t="shared" ref="IM85:IM105" si="669">IF(AND(NOT($M85=""),NOT(I85="")),$M85,"")</f>
        <v/>
      </c>
      <c r="IN85" s="218" t="str">
        <f t="shared" ref="IN85:IN105" si="670">IF(AND(NOT($I85=""),NOT($M85="")),$I85,"")</f>
        <v/>
      </c>
      <c r="IO85" s="218" t="str">
        <f t="shared" ref="IO85:IO105" si="671">IF(AND(NOT(IM85=""),NOT(IN85="")),IM85*IN85,"")</f>
        <v/>
      </c>
      <c r="IP85" s="218" t="str">
        <f t="shared" ref="IP85:IP105" si="672">IF(AND(NOT($M85=""),NOT(J85="")),$M85,"")</f>
        <v/>
      </c>
      <c r="IQ85" s="218" t="str">
        <f t="shared" ref="IQ85:IQ105" si="673">IF(AND(NOT($J85=""),NOT($M85="")),$J85,"")</f>
        <v/>
      </c>
      <c r="IR85" s="218" t="str">
        <f t="shared" ref="IR85:IR105" si="674">IF(AND(NOT(IP85=""),NOT(IQ85="")),IP85*IQ85,"")</f>
        <v/>
      </c>
      <c r="IS85" s="218" t="str">
        <f t="shared" ref="IS85:IS105" si="675">IF(AND(NOT($M85=""),NOT(K85="")),$M85,"")</f>
        <v/>
      </c>
      <c r="IT85" s="218" t="str">
        <f t="shared" ref="IT85:IT105" si="676">IF(AND(NOT($K85=""),NOT($M85="")),$K85,"")</f>
        <v/>
      </c>
      <c r="IU85" s="218" t="str">
        <f t="shared" ref="IU85:IU105" si="677">IF(AND(NOT(IS85=""),NOT(IT85="")),IS85*IT85,"")</f>
        <v/>
      </c>
    </row>
    <row r="86" spans="1:255" x14ac:dyDescent="0.2">
      <c r="A86" s="200" t="s">
        <v>89</v>
      </c>
      <c r="B86" s="178"/>
      <c r="C86" s="180"/>
      <c r="D86" s="181"/>
      <c r="E86" s="181"/>
      <c r="F86" s="181"/>
      <c r="G86" s="181"/>
      <c r="H86" s="181"/>
      <c r="I86" s="181"/>
      <c r="J86" s="181"/>
      <c r="K86" s="183"/>
      <c r="L86" s="217" t="str">
        <f t="shared" si="441"/>
        <v/>
      </c>
      <c r="M86" s="218" t="str">
        <f>'HKG vs. BK'!M86</f>
        <v/>
      </c>
      <c r="N86" s="218" t="str">
        <f>'HKG vs. BK'!N86</f>
        <v/>
      </c>
      <c r="O86" s="218" t="str">
        <f>'HKG vs. BK'!O86</f>
        <v/>
      </c>
      <c r="P86" s="218" t="str">
        <f>'HKG vs. BK'!P86</f>
        <v/>
      </c>
      <c r="Q86" s="219" t="str">
        <f t="shared" si="453"/>
        <v/>
      </c>
      <c r="R86" s="220" t="str">
        <f t="shared" si="454"/>
        <v/>
      </c>
      <c r="S86" s="220" t="str">
        <f t="shared" si="455"/>
        <v/>
      </c>
      <c r="T86" s="219" t="str">
        <f t="shared" si="456"/>
        <v/>
      </c>
      <c r="U86" s="220" t="str">
        <f t="shared" si="457"/>
        <v/>
      </c>
      <c r="V86" s="220" t="str">
        <f t="shared" si="458"/>
        <v/>
      </c>
      <c r="W86" s="219" t="str">
        <f t="shared" si="459"/>
        <v/>
      </c>
      <c r="X86" s="220" t="str">
        <f t="shared" si="460"/>
        <v/>
      </c>
      <c r="Y86" s="220" t="str">
        <f t="shared" si="461"/>
        <v/>
      </c>
      <c r="Z86" s="219" t="str">
        <f t="shared" si="462"/>
        <v/>
      </c>
      <c r="AA86" s="220" t="str">
        <f t="shared" si="463"/>
        <v/>
      </c>
      <c r="AB86" s="220" t="str">
        <f t="shared" si="464"/>
        <v/>
      </c>
      <c r="AC86" s="219" t="str">
        <f t="shared" si="465"/>
        <v/>
      </c>
      <c r="AD86" s="220" t="str">
        <f t="shared" si="466"/>
        <v/>
      </c>
      <c r="AE86" s="220" t="str">
        <f t="shared" si="467"/>
        <v/>
      </c>
      <c r="AF86" s="219" t="str">
        <f t="shared" si="468"/>
        <v/>
      </c>
      <c r="AG86" s="220" t="str">
        <f t="shared" si="469"/>
        <v/>
      </c>
      <c r="AH86" s="220" t="str">
        <f t="shared" si="470"/>
        <v/>
      </c>
      <c r="AI86" s="219" t="str">
        <f t="shared" si="471"/>
        <v/>
      </c>
      <c r="AJ86" s="220" t="str">
        <f t="shared" si="472"/>
        <v/>
      </c>
      <c r="AK86" s="220" t="str">
        <f t="shared" si="473"/>
        <v/>
      </c>
      <c r="AL86" s="219" t="str">
        <f t="shared" si="474"/>
        <v/>
      </c>
      <c r="AM86" s="220" t="str">
        <f t="shared" si="475"/>
        <v/>
      </c>
      <c r="AN86" s="220" t="str">
        <f t="shared" si="476"/>
        <v/>
      </c>
      <c r="AO86" s="219" t="str">
        <f t="shared" si="477"/>
        <v/>
      </c>
      <c r="AP86" s="220" t="str">
        <f t="shared" si="478"/>
        <v/>
      </c>
      <c r="AQ86" s="220" t="str">
        <f t="shared" si="479"/>
        <v/>
      </c>
      <c r="AR86" s="219" t="str">
        <f t="shared" si="480"/>
        <v/>
      </c>
      <c r="AS86" s="220" t="str">
        <f t="shared" si="481"/>
        <v/>
      </c>
      <c r="AT86" s="220" t="str">
        <f t="shared" si="482"/>
        <v/>
      </c>
      <c r="AU86" s="221"/>
      <c r="AV86" s="221"/>
      <c r="AW86" s="221"/>
      <c r="AY86" s="218" t="str">
        <f t="shared" si="483"/>
        <v/>
      </c>
      <c r="AZ86" s="218" t="str">
        <f t="shared" si="484"/>
        <v/>
      </c>
      <c r="BA86" s="218" t="str">
        <f t="shared" si="485"/>
        <v/>
      </c>
      <c r="BB86" s="218" t="str">
        <f t="shared" si="486"/>
        <v/>
      </c>
      <c r="BC86" s="218" t="str">
        <f t="shared" si="487"/>
        <v/>
      </c>
      <c r="BD86" s="218" t="str">
        <f t="shared" si="488"/>
        <v/>
      </c>
      <c r="BE86" s="218" t="str">
        <f t="shared" si="489"/>
        <v/>
      </c>
      <c r="BF86" s="218" t="str">
        <f t="shared" si="490"/>
        <v/>
      </c>
      <c r="BG86" s="218" t="str">
        <f t="shared" si="491"/>
        <v/>
      </c>
      <c r="BH86" s="218" t="str">
        <f t="shared" si="492"/>
        <v/>
      </c>
      <c r="BI86" s="218" t="str">
        <f t="shared" si="493"/>
        <v/>
      </c>
      <c r="BJ86" s="218" t="str">
        <f t="shared" si="494"/>
        <v/>
      </c>
      <c r="BK86" s="218" t="str">
        <f t="shared" si="495"/>
        <v/>
      </c>
      <c r="BL86" s="218" t="str">
        <f t="shared" si="496"/>
        <v/>
      </c>
      <c r="BM86" s="218" t="str">
        <f t="shared" si="497"/>
        <v/>
      </c>
      <c r="BN86" s="218" t="str">
        <f t="shared" si="498"/>
        <v/>
      </c>
      <c r="BO86" s="218" t="str">
        <f t="shared" si="499"/>
        <v/>
      </c>
      <c r="BP86" s="218" t="str">
        <f t="shared" si="500"/>
        <v/>
      </c>
      <c r="BQ86" s="218" t="str">
        <f t="shared" si="501"/>
        <v/>
      </c>
      <c r="BR86" s="218" t="str">
        <f t="shared" si="502"/>
        <v/>
      </c>
      <c r="BS86" s="218" t="str">
        <f t="shared" si="503"/>
        <v/>
      </c>
      <c r="BT86" s="218" t="str">
        <f t="shared" si="504"/>
        <v/>
      </c>
      <c r="BU86" s="218" t="str">
        <f t="shared" si="505"/>
        <v/>
      </c>
      <c r="BV86" s="218" t="str">
        <f t="shared" si="506"/>
        <v/>
      </c>
      <c r="BW86" s="218" t="str">
        <f t="shared" si="507"/>
        <v/>
      </c>
      <c r="BX86" s="218" t="str">
        <f t="shared" si="508"/>
        <v/>
      </c>
      <c r="BY86" s="218" t="str">
        <f t="shared" si="509"/>
        <v/>
      </c>
      <c r="BZ86" s="218" t="str">
        <f t="shared" si="510"/>
        <v/>
      </c>
      <c r="CA86" s="218" t="str">
        <f t="shared" si="511"/>
        <v/>
      </c>
      <c r="CB86" s="218" t="str">
        <f t="shared" si="512"/>
        <v/>
      </c>
      <c r="CD86" s="218" t="str">
        <f t="shared" si="513"/>
        <v/>
      </c>
      <c r="CE86" s="218" t="str">
        <f t="shared" si="514"/>
        <v/>
      </c>
      <c r="CF86" s="218" t="str">
        <f t="shared" si="515"/>
        <v/>
      </c>
      <c r="CG86" s="218" t="str">
        <f t="shared" si="516"/>
        <v/>
      </c>
      <c r="CH86" s="218" t="str">
        <f t="shared" si="517"/>
        <v/>
      </c>
      <c r="CI86" s="218" t="str">
        <f t="shared" si="518"/>
        <v/>
      </c>
      <c r="CJ86" s="218" t="str">
        <f t="shared" si="519"/>
        <v/>
      </c>
      <c r="CK86" s="218" t="str">
        <f t="shared" si="520"/>
        <v/>
      </c>
      <c r="CL86" s="218" t="str">
        <f t="shared" si="521"/>
        <v/>
      </c>
      <c r="CM86" s="218" t="str">
        <f t="shared" si="522"/>
        <v/>
      </c>
      <c r="CN86" s="218" t="str">
        <f t="shared" si="523"/>
        <v/>
      </c>
      <c r="CO86" s="218" t="str">
        <f t="shared" si="524"/>
        <v/>
      </c>
      <c r="CP86" s="218" t="str">
        <f t="shared" si="525"/>
        <v/>
      </c>
      <c r="CQ86" s="218" t="str">
        <f t="shared" si="526"/>
        <v/>
      </c>
      <c r="CR86" s="218" t="str">
        <f t="shared" si="527"/>
        <v/>
      </c>
      <c r="CS86" s="218" t="str">
        <f t="shared" si="528"/>
        <v/>
      </c>
      <c r="CT86" s="218" t="str">
        <f t="shared" si="529"/>
        <v/>
      </c>
      <c r="CU86" s="218" t="str">
        <f t="shared" si="530"/>
        <v/>
      </c>
      <c r="CV86" s="218" t="str">
        <f t="shared" si="531"/>
        <v/>
      </c>
      <c r="CW86" s="218" t="str">
        <f t="shared" si="532"/>
        <v/>
      </c>
      <c r="CX86" s="218" t="str">
        <f t="shared" si="533"/>
        <v/>
      </c>
      <c r="CY86" s="218" t="str">
        <f t="shared" si="534"/>
        <v/>
      </c>
      <c r="CZ86" s="218" t="str">
        <f t="shared" si="535"/>
        <v/>
      </c>
      <c r="DA86" s="218" t="str">
        <f t="shared" si="536"/>
        <v/>
      </c>
      <c r="DB86" s="218" t="str">
        <f t="shared" si="537"/>
        <v/>
      </c>
      <c r="DC86" s="218" t="str">
        <f t="shared" si="538"/>
        <v/>
      </c>
      <c r="DD86" s="218" t="str">
        <f t="shared" si="539"/>
        <v/>
      </c>
      <c r="DF86" s="218" t="str">
        <f t="shared" si="540"/>
        <v/>
      </c>
      <c r="DG86" s="218" t="str">
        <f t="shared" si="541"/>
        <v/>
      </c>
      <c r="DH86" s="218" t="str">
        <f t="shared" si="542"/>
        <v/>
      </c>
      <c r="DI86" s="218" t="str">
        <f t="shared" si="543"/>
        <v/>
      </c>
      <c r="DJ86" s="218" t="str">
        <f t="shared" si="544"/>
        <v/>
      </c>
      <c r="DK86" s="218" t="str">
        <f t="shared" si="545"/>
        <v/>
      </c>
      <c r="DL86" s="218" t="str">
        <f t="shared" si="546"/>
        <v/>
      </c>
      <c r="DM86" s="218" t="str">
        <f t="shared" si="547"/>
        <v/>
      </c>
      <c r="DN86" s="218" t="str">
        <f t="shared" si="548"/>
        <v/>
      </c>
      <c r="DO86" s="218" t="str">
        <f t="shared" si="549"/>
        <v/>
      </c>
      <c r="DP86" s="218" t="str">
        <f t="shared" si="550"/>
        <v/>
      </c>
      <c r="DQ86" s="218" t="str">
        <f t="shared" si="551"/>
        <v/>
      </c>
      <c r="DR86" s="218" t="str">
        <f t="shared" si="552"/>
        <v/>
      </c>
      <c r="DS86" s="218" t="str">
        <f t="shared" si="553"/>
        <v/>
      </c>
      <c r="DT86" s="218" t="str">
        <f t="shared" si="554"/>
        <v/>
      </c>
      <c r="DU86" s="218" t="str">
        <f t="shared" si="555"/>
        <v/>
      </c>
      <c r="DV86" s="218" t="str">
        <f t="shared" si="556"/>
        <v/>
      </c>
      <c r="DW86" s="218" t="str">
        <f t="shared" si="557"/>
        <v/>
      </c>
      <c r="DX86" s="218" t="str">
        <f t="shared" si="558"/>
        <v/>
      </c>
      <c r="DY86" s="218" t="str">
        <f t="shared" si="559"/>
        <v/>
      </c>
      <c r="DZ86" s="218" t="str">
        <f t="shared" si="560"/>
        <v/>
      </c>
      <c r="EA86" s="218" t="str">
        <f t="shared" si="561"/>
        <v/>
      </c>
      <c r="EB86" s="218" t="str">
        <f t="shared" si="562"/>
        <v/>
      </c>
      <c r="EC86" s="218" t="str">
        <f t="shared" si="563"/>
        <v/>
      </c>
      <c r="EE86" s="218" t="str">
        <f t="shared" si="564"/>
        <v/>
      </c>
      <c r="EF86" s="218" t="str">
        <f t="shared" si="565"/>
        <v/>
      </c>
      <c r="EG86" s="218" t="str">
        <f t="shared" si="566"/>
        <v/>
      </c>
      <c r="EH86" s="218" t="str">
        <f t="shared" si="567"/>
        <v/>
      </c>
      <c r="EI86" s="218" t="str">
        <f t="shared" si="568"/>
        <v/>
      </c>
      <c r="EJ86" s="218" t="str">
        <f t="shared" si="569"/>
        <v/>
      </c>
      <c r="EK86" s="218" t="str">
        <f t="shared" si="570"/>
        <v/>
      </c>
      <c r="EL86" s="218" t="str">
        <f t="shared" si="571"/>
        <v/>
      </c>
      <c r="EM86" s="218" t="str">
        <f t="shared" si="572"/>
        <v/>
      </c>
      <c r="EN86" s="218" t="str">
        <f t="shared" si="573"/>
        <v/>
      </c>
      <c r="EO86" s="218" t="str">
        <f t="shared" si="574"/>
        <v/>
      </c>
      <c r="EP86" s="218" t="str">
        <f t="shared" si="575"/>
        <v/>
      </c>
      <c r="EQ86" s="218" t="str">
        <f t="shared" si="576"/>
        <v/>
      </c>
      <c r="ER86" s="218" t="str">
        <f t="shared" si="577"/>
        <v/>
      </c>
      <c r="ES86" s="218" t="str">
        <f t="shared" si="578"/>
        <v/>
      </c>
      <c r="ET86" s="218" t="str">
        <f t="shared" si="579"/>
        <v/>
      </c>
      <c r="EU86" s="218" t="str">
        <f t="shared" si="580"/>
        <v/>
      </c>
      <c r="EV86" s="218" t="str">
        <f t="shared" si="581"/>
        <v/>
      </c>
      <c r="EW86" s="218" t="str">
        <f t="shared" si="582"/>
        <v/>
      </c>
      <c r="EX86" s="218" t="str">
        <f t="shared" si="583"/>
        <v/>
      </c>
      <c r="EY86" s="218" t="str">
        <f t="shared" si="584"/>
        <v/>
      </c>
      <c r="FA86" s="218" t="str">
        <f t="shared" si="585"/>
        <v/>
      </c>
      <c r="FB86" s="218" t="str">
        <f t="shared" si="586"/>
        <v/>
      </c>
      <c r="FC86" s="218" t="str">
        <f t="shared" si="587"/>
        <v/>
      </c>
      <c r="FD86" s="218" t="str">
        <f t="shared" si="588"/>
        <v/>
      </c>
      <c r="FE86" s="218" t="str">
        <f t="shared" si="589"/>
        <v/>
      </c>
      <c r="FF86" s="218" t="str">
        <f t="shared" si="590"/>
        <v/>
      </c>
      <c r="FG86" s="218" t="str">
        <f t="shared" si="591"/>
        <v/>
      </c>
      <c r="FH86" s="218" t="str">
        <f t="shared" si="592"/>
        <v/>
      </c>
      <c r="FI86" s="218" t="str">
        <f t="shared" si="593"/>
        <v/>
      </c>
      <c r="FJ86" s="218" t="str">
        <f t="shared" si="594"/>
        <v/>
      </c>
      <c r="FK86" s="218" t="str">
        <f t="shared" si="595"/>
        <v/>
      </c>
      <c r="FL86" s="218" t="str">
        <f t="shared" si="596"/>
        <v/>
      </c>
      <c r="FM86" s="218" t="str">
        <f t="shared" si="597"/>
        <v/>
      </c>
      <c r="FN86" s="218" t="str">
        <f t="shared" si="598"/>
        <v/>
      </c>
      <c r="FO86" s="218" t="str">
        <f t="shared" si="599"/>
        <v/>
      </c>
      <c r="FP86" s="218" t="str">
        <f t="shared" si="600"/>
        <v/>
      </c>
      <c r="FQ86" s="218" t="str">
        <f t="shared" si="601"/>
        <v/>
      </c>
      <c r="FR86" s="218" t="str">
        <f t="shared" si="602"/>
        <v/>
      </c>
      <c r="FT86" s="218" t="str">
        <f t="shared" si="603"/>
        <v/>
      </c>
      <c r="FU86" s="218" t="str">
        <f t="shared" si="604"/>
        <v/>
      </c>
      <c r="FV86" s="218" t="str">
        <f t="shared" si="605"/>
        <v/>
      </c>
      <c r="FW86" s="218" t="str">
        <f t="shared" si="606"/>
        <v/>
      </c>
      <c r="FX86" s="218" t="str">
        <f t="shared" si="607"/>
        <v/>
      </c>
      <c r="FY86" s="218" t="str">
        <f t="shared" si="608"/>
        <v/>
      </c>
      <c r="FZ86" s="218" t="str">
        <f t="shared" si="609"/>
        <v/>
      </c>
      <c r="GA86" s="218" t="str">
        <f t="shared" si="610"/>
        <v/>
      </c>
      <c r="GB86" s="218" t="str">
        <f t="shared" si="611"/>
        <v/>
      </c>
      <c r="GC86" s="218" t="str">
        <f t="shared" si="612"/>
        <v/>
      </c>
      <c r="GD86" s="218" t="str">
        <f t="shared" si="613"/>
        <v/>
      </c>
      <c r="GE86" s="218" t="str">
        <f t="shared" si="614"/>
        <v/>
      </c>
      <c r="GF86" s="218" t="str">
        <f t="shared" si="615"/>
        <v/>
      </c>
      <c r="GG86" s="218" t="str">
        <f t="shared" si="616"/>
        <v/>
      </c>
      <c r="GH86" s="218" t="str">
        <f t="shared" si="617"/>
        <v/>
      </c>
      <c r="GJ86" s="218" t="str">
        <f t="shared" si="618"/>
        <v/>
      </c>
      <c r="GK86" s="218" t="str">
        <f t="shared" si="619"/>
        <v/>
      </c>
      <c r="GL86" s="218" t="str">
        <f t="shared" si="620"/>
        <v/>
      </c>
      <c r="GM86" s="218" t="str">
        <f t="shared" si="621"/>
        <v/>
      </c>
      <c r="GN86" s="218" t="str">
        <f t="shared" si="622"/>
        <v/>
      </c>
      <c r="GO86" s="218" t="str">
        <f t="shared" si="623"/>
        <v/>
      </c>
      <c r="GP86" s="218" t="str">
        <f t="shared" si="624"/>
        <v/>
      </c>
      <c r="GQ86" s="218" t="str">
        <f t="shared" si="625"/>
        <v/>
      </c>
      <c r="GR86" s="218" t="str">
        <f t="shared" si="626"/>
        <v/>
      </c>
      <c r="GS86" s="218" t="str">
        <f t="shared" si="627"/>
        <v/>
      </c>
      <c r="GT86" s="218" t="str">
        <f t="shared" si="628"/>
        <v/>
      </c>
      <c r="GU86" s="218" t="str">
        <f t="shared" si="629"/>
        <v/>
      </c>
      <c r="GW86" s="218" t="str">
        <f t="shared" si="630"/>
        <v/>
      </c>
      <c r="GX86" s="218" t="str">
        <f t="shared" si="631"/>
        <v/>
      </c>
      <c r="GY86" s="218" t="str">
        <f t="shared" si="632"/>
        <v/>
      </c>
      <c r="GZ86" s="218" t="str">
        <f t="shared" si="633"/>
        <v/>
      </c>
      <c r="HA86" s="218" t="str">
        <f t="shared" si="634"/>
        <v/>
      </c>
      <c r="HB86" s="218" t="str">
        <f t="shared" si="635"/>
        <v/>
      </c>
      <c r="HC86" s="218" t="str">
        <f t="shared" si="636"/>
        <v/>
      </c>
      <c r="HD86" s="218" t="str">
        <f t="shared" si="637"/>
        <v/>
      </c>
      <c r="HE86" s="218" t="str">
        <f t="shared" si="638"/>
        <v/>
      </c>
      <c r="HG86" s="218" t="str">
        <f t="shared" si="639"/>
        <v/>
      </c>
      <c r="HH86" s="218" t="str">
        <f t="shared" si="640"/>
        <v/>
      </c>
      <c r="HI86" s="218" t="str">
        <f t="shared" si="641"/>
        <v/>
      </c>
      <c r="HJ86" s="218" t="str">
        <f t="shared" si="642"/>
        <v/>
      </c>
      <c r="HK86" s="218" t="str">
        <f t="shared" si="643"/>
        <v/>
      </c>
      <c r="HL86" s="218" t="str">
        <f t="shared" si="644"/>
        <v/>
      </c>
      <c r="HN86" s="218" t="str">
        <f t="shared" si="645"/>
        <v/>
      </c>
      <c r="HO86" s="218" t="str">
        <f t="shared" si="646"/>
        <v/>
      </c>
      <c r="HP86" s="218" t="str">
        <f t="shared" si="647"/>
        <v/>
      </c>
      <c r="HR86" s="218" t="str">
        <f t="shared" si="648"/>
        <v/>
      </c>
      <c r="HS86" s="218" t="str">
        <f t="shared" si="649"/>
        <v/>
      </c>
      <c r="HT86" s="218" t="str">
        <f t="shared" si="650"/>
        <v/>
      </c>
      <c r="HU86" s="218" t="str">
        <f t="shared" si="651"/>
        <v/>
      </c>
      <c r="HV86" s="218" t="str">
        <f t="shared" si="652"/>
        <v/>
      </c>
      <c r="HW86" s="218" t="str">
        <f t="shared" si="653"/>
        <v/>
      </c>
      <c r="HX86" s="218" t="str">
        <f t="shared" si="654"/>
        <v/>
      </c>
      <c r="HY86" s="218" t="str">
        <f t="shared" si="655"/>
        <v/>
      </c>
      <c r="HZ86" s="218" t="str">
        <f t="shared" si="656"/>
        <v/>
      </c>
      <c r="IA86" s="218" t="str">
        <f t="shared" si="657"/>
        <v/>
      </c>
      <c r="IB86" s="218" t="str">
        <f t="shared" si="658"/>
        <v/>
      </c>
      <c r="IC86" s="218" t="str">
        <f t="shared" si="659"/>
        <v/>
      </c>
      <c r="ID86" s="218" t="str">
        <f t="shared" si="660"/>
        <v/>
      </c>
      <c r="IE86" s="218" t="str">
        <f t="shared" si="661"/>
        <v/>
      </c>
      <c r="IF86" s="218" t="str">
        <f t="shared" si="662"/>
        <v/>
      </c>
      <c r="IG86" s="218" t="str">
        <f t="shared" si="663"/>
        <v/>
      </c>
      <c r="IH86" s="218" t="str">
        <f t="shared" si="664"/>
        <v/>
      </c>
      <c r="II86" s="218" t="str">
        <f t="shared" si="665"/>
        <v/>
      </c>
      <c r="IJ86" s="218" t="str">
        <f t="shared" si="666"/>
        <v/>
      </c>
      <c r="IK86" s="218" t="str">
        <f t="shared" si="667"/>
        <v/>
      </c>
      <c r="IL86" s="218" t="str">
        <f t="shared" si="668"/>
        <v/>
      </c>
      <c r="IM86" s="218" t="str">
        <f t="shared" si="669"/>
        <v/>
      </c>
      <c r="IN86" s="218" t="str">
        <f t="shared" si="670"/>
        <v/>
      </c>
      <c r="IO86" s="218" t="str">
        <f t="shared" si="671"/>
        <v/>
      </c>
      <c r="IP86" s="218" t="str">
        <f t="shared" si="672"/>
        <v/>
      </c>
      <c r="IQ86" s="218" t="str">
        <f t="shared" si="673"/>
        <v/>
      </c>
      <c r="IR86" s="218" t="str">
        <f t="shared" si="674"/>
        <v/>
      </c>
      <c r="IS86" s="218" t="str">
        <f t="shared" si="675"/>
        <v/>
      </c>
      <c r="IT86" s="218" t="str">
        <f t="shared" si="676"/>
        <v/>
      </c>
      <c r="IU86" s="218" t="str">
        <f t="shared" si="677"/>
        <v/>
      </c>
    </row>
    <row r="87" spans="1:255" x14ac:dyDescent="0.2">
      <c r="A87" s="200" t="s">
        <v>90</v>
      </c>
      <c r="B87" s="178"/>
      <c r="C87" s="179"/>
      <c r="D87" s="181"/>
      <c r="E87" s="181"/>
      <c r="F87" s="181"/>
      <c r="G87" s="181"/>
      <c r="H87" s="181"/>
      <c r="I87" s="181"/>
      <c r="J87" s="181"/>
      <c r="K87" s="183"/>
      <c r="L87" s="217" t="str">
        <f t="shared" si="441"/>
        <v/>
      </c>
      <c r="M87" s="218" t="str">
        <f>'HKG vs. BK'!M87</f>
        <v/>
      </c>
      <c r="N87" s="218" t="str">
        <f>'HKG vs. BK'!N87</f>
        <v/>
      </c>
      <c r="O87" s="218" t="str">
        <f>'HKG vs. BK'!O87</f>
        <v/>
      </c>
      <c r="P87" s="218" t="str">
        <f>'HKG vs. BK'!P87</f>
        <v/>
      </c>
      <c r="Q87" s="219" t="str">
        <f t="shared" si="453"/>
        <v/>
      </c>
      <c r="R87" s="220" t="str">
        <f t="shared" si="454"/>
        <v/>
      </c>
      <c r="S87" s="220" t="str">
        <f t="shared" si="455"/>
        <v/>
      </c>
      <c r="T87" s="219" t="str">
        <f t="shared" si="456"/>
        <v/>
      </c>
      <c r="U87" s="220" t="str">
        <f t="shared" si="457"/>
        <v/>
      </c>
      <c r="V87" s="220" t="str">
        <f t="shared" si="458"/>
        <v/>
      </c>
      <c r="W87" s="219" t="str">
        <f t="shared" si="459"/>
        <v/>
      </c>
      <c r="X87" s="220" t="str">
        <f t="shared" si="460"/>
        <v/>
      </c>
      <c r="Y87" s="220" t="str">
        <f t="shared" si="461"/>
        <v/>
      </c>
      <c r="Z87" s="219" t="str">
        <f t="shared" si="462"/>
        <v/>
      </c>
      <c r="AA87" s="220" t="str">
        <f t="shared" si="463"/>
        <v/>
      </c>
      <c r="AB87" s="220" t="str">
        <f t="shared" si="464"/>
        <v/>
      </c>
      <c r="AC87" s="219" t="str">
        <f t="shared" si="465"/>
        <v/>
      </c>
      <c r="AD87" s="220" t="str">
        <f t="shared" si="466"/>
        <v/>
      </c>
      <c r="AE87" s="220" t="str">
        <f t="shared" si="467"/>
        <v/>
      </c>
      <c r="AF87" s="219" t="str">
        <f t="shared" si="468"/>
        <v/>
      </c>
      <c r="AG87" s="220" t="str">
        <f t="shared" si="469"/>
        <v/>
      </c>
      <c r="AH87" s="220" t="str">
        <f t="shared" si="470"/>
        <v/>
      </c>
      <c r="AI87" s="219" t="str">
        <f t="shared" si="471"/>
        <v/>
      </c>
      <c r="AJ87" s="220" t="str">
        <f t="shared" si="472"/>
        <v/>
      </c>
      <c r="AK87" s="220" t="str">
        <f t="shared" si="473"/>
        <v/>
      </c>
      <c r="AL87" s="219" t="str">
        <f t="shared" si="474"/>
        <v/>
      </c>
      <c r="AM87" s="220" t="str">
        <f t="shared" si="475"/>
        <v/>
      </c>
      <c r="AN87" s="220" t="str">
        <f t="shared" si="476"/>
        <v/>
      </c>
      <c r="AO87" s="219" t="str">
        <f t="shared" si="477"/>
        <v/>
      </c>
      <c r="AP87" s="220" t="str">
        <f t="shared" si="478"/>
        <v/>
      </c>
      <c r="AQ87" s="220" t="str">
        <f t="shared" si="479"/>
        <v/>
      </c>
      <c r="AR87" s="219" t="str">
        <f t="shared" si="480"/>
        <v/>
      </c>
      <c r="AS87" s="220" t="str">
        <f t="shared" si="481"/>
        <v/>
      </c>
      <c r="AT87" s="220" t="str">
        <f t="shared" si="482"/>
        <v/>
      </c>
      <c r="AU87" s="221"/>
      <c r="AV87" s="221"/>
      <c r="AW87" s="221"/>
      <c r="AY87" s="218" t="str">
        <f t="shared" si="483"/>
        <v/>
      </c>
      <c r="AZ87" s="218" t="str">
        <f t="shared" si="484"/>
        <v/>
      </c>
      <c r="BA87" s="218" t="str">
        <f t="shared" si="485"/>
        <v/>
      </c>
      <c r="BB87" s="218" t="str">
        <f t="shared" si="486"/>
        <v/>
      </c>
      <c r="BC87" s="218" t="str">
        <f t="shared" si="487"/>
        <v/>
      </c>
      <c r="BD87" s="218" t="str">
        <f t="shared" si="488"/>
        <v/>
      </c>
      <c r="BE87" s="218" t="str">
        <f t="shared" si="489"/>
        <v/>
      </c>
      <c r="BF87" s="218" t="str">
        <f t="shared" si="490"/>
        <v/>
      </c>
      <c r="BG87" s="218" t="str">
        <f t="shared" si="491"/>
        <v/>
      </c>
      <c r="BH87" s="218" t="str">
        <f t="shared" si="492"/>
        <v/>
      </c>
      <c r="BI87" s="218" t="str">
        <f t="shared" si="493"/>
        <v/>
      </c>
      <c r="BJ87" s="218" t="str">
        <f t="shared" si="494"/>
        <v/>
      </c>
      <c r="BK87" s="218" t="str">
        <f t="shared" si="495"/>
        <v/>
      </c>
      <c r="BL87" s="218" t="str">
        <f t="shared" si="496"/>
        <v/>
      </c>
      <c r="BM87" s="218" t="str">
        <f t="shared" si="497"/>
        <v/>
      </c>
      <c r="BN87" s="218" t="str">
        <f t="shared" si="498"/>
        <v/>
      </c>
      <c r="BO87" s="218" t="str">
        <f t="shared" si="499"/>
        <v/>
      </c>
      <c r="BP87" s="218" t="str">
        <f t="shared" si="500"/>
        <v/>
      </c>
      <c r="BQ87" s="218" t="str">
        <f t="shared" si="501"/>
        <v/>
      </c>
      <c r="BR87" s="218" t="str">
        <f t="shared" si="502"/>
        <v/>
      </c>
      <c r="BS87" s="218" t="str">
        <f t="shared" si="503"/>
        <v/>
      </c>
      <c r="BT87" s="218" t="str">
        <f t="shared" si="504"/>
        <v/>
      </c>
      <c r="BU87" s="218" t="str">
        <f t="shared" si="505"/>
        <v/>
      </c>
      <c r="BV87" s="218" t="str">
        <f t="shared" si="506"/>
        <v/>
      </c>
      <c r="BW87" s="218" t="str">
        <f t="shared" si="507"/>
        <v/>
      </c>
      <c r="BX87" s="218" t="str">
        <f t="shared" si="508"/>
        <v/>
      </c>
      <c r="BY87" s="218" t="str">
        <f t="shared" si="509"/>
        <v/>
      </c>
      <c r="BZ87" s="218" t="str">
        <f t="shared" si="510"/>
        <v/>
      </c>
      <c r="CA87" s="218" t="str">
        <f t="shared" si="511"/>
        <v/>
      </c>
      <c r="CB87" s="218" t="str">
        <f t="shared" si="512"/>
        <v/>
      </c>
      <c r="CD87" s="218" t="str">
        <f t="shared" si="513"/>
        <v/>
      </c>
      <c r="CE87" s="218" t="str">
        <f t="shared" si="514"/>
        <v/>
      </c>
      <c r="CF87" s="218" t="str">
        <f t="shared" si="515"/>
        <v/>
      </c>
      <c r="CG87" s="218" t="str">
        <f t="shared" si="516"/>
        <v/>
      </c>
      <c r="CH87" s="218" t="str">
        <f t="shared" si="517"/>
        <v/>
      </c>
      <c r="CI87" s="218" t="str">
        <f t="shared" si="518"/>
        <v/>
      </c>
      <c r="CJ87" s="218" t="str">
        <f t="shared" si="519"/>
        <v/>
      </c>
      <c r="CK87" s="218" t="str">
        <f t="shared" si="520"/>
        <v/>
      </c>
      <c r="CL87" s="218" t="str">
        <f t="shared" si="521"/>
        <v/>
      </c>
      <c r="CM87" s="218" t="str">
        <f t="shared" si="522"/>
        <v/>
      </c>
      <c r="CN87" s="218" t="str">
        <f t="shared" si="523"/>
        <v/>
      </c>
      <c r="CO87" s="218" t="str">
        <f t="shared" si="524"/>
        <v/>
      </c>
      <c r="CP87" s="218" t="str">
        <f t="shared" si="525"/>
        <v/>
      </c>
      <c r="CQ87" s="218" t="str">
        <f t="shared" si="526"/>
        <v/>
      </c>
      <c r="CR87" s="218" t="str">
        <f t="shared" si="527"/>
        <v/>
      </c>
      <c r="CS87" s="218" t="str">
        <f t="shared" si="528"/>
        <v/>
      </c>
      <c r="CT87" s="218" t="str">
        <f t="shared" si="529"/>
        <v/>
      </c>
      <c r="CU87" s="218" t="str">
        <f t="shared" si="530"/>
        <v/>
      </c>
      <c r="CV87" s="218" t="str">
        <f t="shared" si="531"/>
        <v/>
      </c>
      <c r="CW87" s="218" t="str">
        <f t="shared" si="532"/>
        <v/>
      </c>
      <c r="CX87" s="218" t="str">
        <f t="shared" si="533"/>
        <v/>
      </c>
      <c r="CY87" s="218" t="str">
        <f t="shared" si="534"/>
        <v/>
      </c>
      <c r="CZ87" s="218" t="str">
        <f t="shared" si="535"/>
        <v/>
      </c>
      <c r="DA87" s="218" t="str">
        <f t="shared" si="536"/>
        <v/>
      </c>
      <c r="DB87" s="218" t="str">
        <f t="shared" si="537"/>
        <v/>
      </c>
      <c r="DC87" s="218" t="str">
        <f t="shared" si="538"/>
        <v/>
      </c>
      <c r="DD87" s="218" t="str">
        <f t="shared" si="539"/>
        <v/>
      </c>
      <c r="DF87" s="218" t="str">
        <f t="shared" si="540"/>
        <v/>
      </c>
      <c r="DG87" s="218" t="str">
        <f t="shared" si="541"/>
        <v/>
      </c>
      <c r="DH87" s="218" t="str">
        <f t="shared" si="542"/>
        <v/>
      </c>
      <c r="DI87" s="218" t="str">
        <f t="shared" si="543"/>
        <v/>
      </c>
      <c r="DJ87" s="218" t="str">
        <f t="shared" si="544"/>
        <v/>
      </c>
      <c r="DK87" s="218" t="str">
        <f t="shared" si="545"/>
        <v/>
      </c>
      <c r="DL87" s="218" t="str">
        <f t="shared" si="546"/>
        <v/>
      </c>
      <c r="DM87" s="218" t="str">
        <f t="shared" si="547"/>
        <v/>
      </c>
      <c r="DN87" s="218" t="str">
        <f t="shared" si="548"/>
        <v/>
      </c>
      <c r="DO87" s="218" t="str">
        <f t="shared" si="549"/>
        <v/>
      </c>
      <c r="DP87" s="218" t="str">
        <f t="shared" si="550"/>
        <v/>
      </c>
      <c r="DQ87" s="218" t="str">
        <f t="shared" si="551"/>
        <v/>
      </c>
      <c r="DR87" s="218" t="str">
        <f t="shared" si="552"/>
        <v/>
      </c>
      <c r="DS87" s="218" t="str">
        <f t="shared" si="553"/>
        <v/>
      </c>
      <c r="DT87" s="218" t="str">
        <f t="shared" si="554"/>
        <v/>
      </c>
      <c r="DU87" s="218" t="str">
        <f t="shared" si="555"/>
        <v/>
      </c>
      <c r="DV87" s="218" t="str">
        <f t="shared" si="556"/>
        <v/>
      </c>
      <c r="DW87" s="218" t="str">
        <f t="shared" si="557"/>
        <v/>
      </c>
      <c r="DX87" s="218" t="str">
        <f t="shared" si="558"/>
        <v/>
      </c>
      <c r="DY87" s="218" t="str">
        <f t="shared" si="559"/>
        <v/>
      </c>
      <c r="DZ87" s="218" t="str">
        <f t="shared" si="560"/>
        <v/>
      </c>
      <c r="EA87" s="218" t="str">
        <f t="shared" si="561"/>
        <v/>
      </c>
      <c r="EB87" s="218" t="str">
        <f t="shared" si="562"/>
        <v/>
      </c>
      <c r="EC87" s="218" t="str">
        <f t="shared" si="563"/>
        <v/>
      </c>
      <c r="EE87" s="218" t="str">
        <f t="shared" si="564"/>
        <v/>
      </c>
      <c r="EF87" s="218" t="str">
        <f t="shared" si="565"/>
        <v/>
      </c>
      <c r="EG87" s="218" t="str">
        <f t="shared" si="566"/>
        <v/>
      </c>
      <c r="EH87" s="218" t="str">
        <f t="shared" si="567"/>
        <v/>
      </c>
      <c r="EI87" s="218" t="str">
        <f t="shared" si="568"/>
        <v/>
      </c>
      <c r="EJ87" s="218" t="str">
        <f t="shared" si="569"/>
        <v/>
      </c>
      <c r="EK87" s="218" t="str">
        <f t="shared" si="570"/>
        <v/>
      </c>
      <c r="EL87" s="218" t="str">
        <f t="shared" si="571"/>
        <v/>
      </c>
      <c r="EM87" s="218" t="str">
        <f t="shared" si="572"/>
        <v/>
      </c>
      <c r="EN87" s="218" t="str">
        <f t="shared" si="573"/>
        <v/>
      </c>
      <c r="EO87" s="218" t="str">
        <f t="shared" si="574"/>
        <v/>
      </c>
      <c r="EP87" s="218" t="str">
        <f t="shared" si="575"/>
        <v/>
      </c>
      <c r="EQ87" s="218" t="str">
        <f t="shared" si="576"/>
        <v/>
      </c>
      <c r="ER87" s="218" t="str">
        <f t="shared" si="577"/>
        <v/>
      </c>
      <c r="ES87" s="218" t="str">
        <f t="shared" si="578"/>
        <v/>
      </c>
      <c r="ET87" s="218" t="str">
        <f t="shared" si="579"/>
        <v/>
      </c>
      <c r="EU87" s="218" t="str">
        <f t="shared" si="580"/>
        <v/>
      </c>
      <c r="EV87" s="218" t="str">
        <f t="shared" si="581"/>
        <v/>
      </c>
      <c r="EW87" s="218" t="str">
        <f t="shared" si="582"/>
        <v/>
      </c>
      <c r="EX87" s="218" t="str">
        <f t="shared" si="583"/>
        <v/>
      </c>
      <c r="EY87" s="218" t="str">
        <f t="shared" si="584"/>
        <v/>
      </c>
      <c r="FA87" s="218" t="str">
        <f t="shared" si="585"/>
        <v/>
      </c>
      <c r="FB87" s="218" t="str">
        <f t="shared" si="586"/>
        <v/>
      </c>
      <c r="FC87" s="218" t="str">
        <f t="shared" si="587"/>
        <v/>
      </c>
      <c r="FD87" s="218" t="str">
        <f t="shared" si="588"/>
        <v/>
      </c>
      <c r="FE87" s="218" t="str">
        <f t="shared" si="589"/>
        <v/>
      </c>
      <c r="FF87" s="218" t="str">
        <f t="shared" si="590"/>
        <v/>
      </c>
      <c r="FG87" s="218" t="str">
        <f t="shared" si="591"/>
        <v/>
      </c>
      <c r="FH87" s="218" t="str">
        <f t="shared" si="592"/>
        <v/>
      </c>
      <c r="FI87" s="218" t="str">
        <f t="shared" si="593"/>
        <v/>
      </c>
      <c r="FJ87" s="218" t="str">
        <f t="shared" si="594"/>
        <v/>
      </c>
      <c r="FK87" s="218" t="str">
        <f t="shared" si="595"/>
        <v/>
      </c>
      <c r="FL87" s="218" t="str">
        <f t="shared" si="596"/>
        <v/>
      </c>
      <c r="FM87" s="218" t="str">
        <f t="shared" si="597"/>
        <v/>
      </c>
      <c r="FN87" s="218" t="str">
        <f t="shared" si="598"/>
        <v/>
      </c>
      <c r="FO87" s="218" t="str">
        <f t="shared" si="599"/>
        <v/>
      </c>
      <c r="FP87" s="218" t="str">
        <f t="shared" si="600"/>
        <v/>
      </c>
      <c r="FQ87" s="218" t="str">
        <f t="shared" si="601"/>
        <v/>
      </c>
      <c r="FR87" s="218" t="str">
        <f t="shared" si="602"/>
        <v/>
      </c>
      <c r="FT87" s="218" t="str">
        <f t="shared" si="603"/>
        <v/>
      </c>
      <c r="FU87" s="218" t="str">
        <f t="shared" si="604"/>
        <v/>
      </c>
      <c r="FV87" s="218" t="str">
        <f t="shared" si="605"/>
        <v/>
      </c>
      <c r="FW87" s="218" t="str">
        <f t="shared" si="606"/>
        <v/>
      </c>
      <c r="FX87" s="218" t="str">
        <f t="shared" si="607"/>
        <v/>
      </c>
      <c r="FY87" s="218" t="str">
        <f t="shared" si="608"/>
        <v/>
      </c>
      <c r="FZ87" s="218" t="str">
        <f t="shared" si="609"/>
        <v/>
      </c>
      <c r="GA87" s="218" t="str">
        <f t="shared" si="610"/>
        <v/>
      </c>
      <c r="GB87" s="218" t="str">
        <f t="shared" si="611"/>
        <v/>
      </c>
      <c r="GC87" s="218" t="str">
        <f t="shared" si="612"/>
        <v/>
      </c>
      <c r="GD87" s="218" t="str">
        <f t="shared" si="613"/>
        <v/>
      </c>
      <c r="GE87" s="218" t="str">
        <f t="shared" si="614"/>
        <v/>
      </c>
      <c r="GF87" s="218" t="str">
        <f t="shared" si="615"/>
        <v/>
      </c>
      <c r="GG87" s="218" t="str">
        <f t="shared" si="616"/>
        <v/>
      </c>
      <c r="GH87" s="218" t="str">
        <f t="shared" si="617"/>
        <v/>
      </c>
      <c r="GJ87" s="218" t="str">
        <f t="shared" si="618"/>
        <v/>
      </c>
      <c r="GK87" s="218" t="str">
        <f t="shared" si="619"/>
        <v/>
      </c>
      <c r="GL87" s="218" t="str">
        <f t="shared" si="620"/>
        <v/>
      </c>
      <c r="GM87" s="218" t="str">
        <f t="shared" si="621"/>
        <v/>
      </c>
      <c r="GN87" s="218" t="str">
        <f t="shared" si="622"/>
        <v/>
      </c>
      <c r="GO87" s="218" t="str">
        <f t="shared" si="623"/>
        <v/>
      </c>
      <c r="GP87" s="218" t="str">
        <f t="shared" si="624"/>
        <v/>
      </c>
      <c r="GQ87" s="218" t="str">
        <f t="shared" si="625"/>
        <v/>
      </c>
      <c r="GR87" s="218" t="str">
        <f t="shared" si="626"/>
        <v/>
      </c>
      <c r="GS87" s="218" t="str">
        <f t="shared" si="627"/>
        <v/>
      </c>
      <c r="GT87" s="218" t="str">
        <f t="shared" si="628"/>
        <v/>
      </c>
      <c r="GU87" s="218" t="str">
        <f t="shared" si="629"/>
        <v/>
      </c>
      <c r="GW87" s="218" t="str">
        <f t="shared" si="630"/>
        <v/>
      </c>
      <c r="GX87" s="218" t="str">
        <f t="shared" si="631"/>
        <v/>
      </c>
      <c r="GY87" s="218" t="str">
        <f t="shared" si="632"/>
        <v/>
      </c>
      <c r="GZ87" s="218" t="str">
        <f t="shared" si="633"/>
        <v/>
      </c>
      <c r="HA87" s="218" t="str">
        <f t="shared" si="634"/>
        <v/>
      </c>
      <c r="HB87" s="218" t="str">
        <f t="shared" si="635"/>
        <v/>
      </c>
      <c r="HC87" s="218" t="str">
        <f t="shared" si="636"/>
        <v/>
      </c>
      <c r="HD87" s="218" t="str">
        <f t="shared" si="637"/>
        <v/>
      </c>
      <c r="HE87" s="218" t="str">
        <f t="shared" si="638"/>
        <v/>
      </c>
      <c r="HG87" s="218" t="str">
        <f t="shared" si="639"/>
        <v/>
      </c>
      <c r="HH87" s="218" t="str">
        <f t="shared" si="640"/>
        <v/>
      </c>
      <c r="HI87" s="218" t="str">
        <f t="shared" si="641"/>
        <v/>
      </c>
      <c r="HJ87" s="218" t="str">
        <f t="shared" si="642"/>
        <v/>
      </c>
      <c r="HK87" s="218" t="str">
        <f t="shared" si="643"/>
        <v/>
      </c>
      <c r="HL87" s="218" t="str">
        <f t="shared" si="644"/>
        <v/>
      </c>
      <c r="HN87" s="218" t="str">
        <f t="shared" si="645"/>
        <v/>
      </c>
      <c r="HO87" s="218" t="str">
        <f t="shared" si="646"/>
        <v/>
      </c>
      <c r="HP87" s="218" t="str">
        <f t="shared" si="647"/>
        <v/>
      </c>
      <c r="HR87" s="218" t="str">
        <f t="shared" si="648"/>
        <v/>
      </c>
      <c r="HS87" s="218" t="str">
        <f t="shared" si="649"/>
        <v/>
      </c>
      <c r="HT87" s="218" t="str">
        <f t="shared" si="650"/>
        <v/>
      </c>
      <c r="HU87" s="218" t="str">
        <f t="shared" si="651"/>
        <v/>
      </c>
      <c r="HV87" s="218" t="str">
        <f t="shared" si="652"/>
        <v/>
      </c>
      <c r="HW87" s="218" t="str">
        <f t="shared" si="653"/>
        <v/>
      </c>
      <c r="HX87" s="218" t="str">
        <f t="shared" si="654"/>
        <v/>
      </c>
      <c r="HY87" s="218" t="str">
        <f t="shared" si="655"/>
        <v/>
      </c>
      <c r="HZ87" s="218" t="str">
        <f t="shared" si="656"/>
        <v/>
      </c>
      <c r="IA87" s="218" t="str">
        <f t="shared" si="657"/>
        <v/>
      </c>
      <c r="IB87" s="218" t="str">
        <f t="shared" si="658"/>
        <v/>
      </c>
      <c r="IC87" s="218" t="str">
        <f t="shared" si="659"/>
        <v/>
      </c>
      <c r="ID87" s="218" t="str">
        <f t="shared" si="660"/>
        <v/>
      </c>
      <c r="IE87" s="218" t="str">
        <f t="shared" si="661"/>
        <v/>
      </c>
      <c r="IF87" s="218" t="str">
        <f t="shared" si="662"/>
        <v/>
      </c>
      <c r="IG87" s="218" t="str">
        <f t="shared" si="663"/>
        <v/>
      </c>
      <c r="IH87" s="218" t="str">
        <f t="shared" si="664"/>
        <v/>
      </c>
      <c r="II87" s="218" t="str">
        <f t="shared" si="665"/>
        <v/>
      </c>
      <c r="IJ87" s="218" t="str">
        <f t="shared" si="666"/>
        <v/>
      </c>
      <c r="IK87" s="218" t="str">
        <f t="shared" si="667"/>
        <v/>
      </c>
      <c r="IL87" s="218" t="str">
        <f t="shared" si="668"/>
        <v/>
      </c>
      <c r="IM87" s="218" t="str">
        <f t="shared" si="669"/>
        <v/>
      </c>
      <c r="IN87" s="218" t="str">
        <f t="shared" si="670"/>
        <v/>
      </c>
      <c r="IO87" s="218" t="str">
        <f t="shared" si="671"/>
        <v/>
      </c>
      <c r="IP87" s="218" t="str">
        <f t="shared" si="672"/>
        <v/>
      </c>
      <c r="IQ87" s="218" t="str">
        <f t="shared" si="673"/>
        <v/>
      </c>
      <c r="IR87" s="218" t="str">
        <f t="shared" si="674"/>
        <v/>
      </c>
      <c r="IS87" s="218" t="str">
        <f t="shared" si="675"/>
        <v/>
      </c>
      <c r="IT87" s="218" t="str">
        <f t="shared" si="676"/>
        <v/>
      </c>
      <c r="IU87" s="218" t="str">
        <f t="shared" si="677"/>
        <v/>
      </c>
    </row>
    <row r="88" spans="1:255" x14ac:dyDescent="0.2">
      <c r="A88" s="200" t="s">
        <v>91</v>
      </c>
      <c r="B88" s="178"/>
      <c r="C88" s="179"/>
      <c r="D88" s="181"/>
      <c r="E88" s="181"/>
      <c r="F88" s="181"/>
      <c r="G88" s="181"/>
      <c r="H88" s="181"/>
      <c r="I88" s="181"/>
      <c r="J88" s="181"/>
      <c r="K88" s="183"/>
      <c r="L88" s="217" t="str">
        <f t="shared" si="441"/>
        <v/>
      </c>
      <c r="M88" s="218" t="str">
        <f>'HKG vs. BK'!M88</f>
        <v/>
      </c>
      <c r="N88" s="218" t="str">
        <f>'HKG vs. BK'!N88</f>
        <v/>
      </c>
      <c r="O88" s="218" t="str">
        <f>'HKG vs. BK'!O88</f>
        <v/>
      </c>
      <c r="P88" s="218" t="str">
        <f>'HKG vs. BK'!P88</f>
        <v/>
      </c>
      <c r="Q88" s="219" t="str">
        <f t="shared" si="453"/>
        <v/>
      </c>
      <c r="R88" s="220" t="str">
        <f t="shared" si="454"/>
        <v/>
      </c>
      <c r="S88" s="220" t="str">
        <f t="shared" si="455"/>
        <v/>
      </c>
      <c r="T88" s="219" t="str">
        <f t="shared" si="456"/>
        <v/>
      </c>
      <c r="U88" s="220" t="str">
        <f t="shared" si="457"/>
        <v/>
      </c>
      <c r="V88" s="220" t="str">
        <f t="shared" si="458"/>
        <v/>
      </c>
      <c r="W88" s="219" t="str">
        <f t="shared" si="459"/>
        <v/>
      </c>
      <c r="X88" s="220" t="str">
        <f t="shared" si="460"/>
        <v/>
      </c>
      <c r="Y88" s="220" t="str">
        <f t="shared" si="461"/>
        <v/>
      </c>
      <c r="Z88" s="219" t="str">
        <f t="shared" si="462"/>
        <v/>
      </c>
      <c r="AA88" s="220" t="str">
        <f t="shared" si="463"/>
        <v/>
      </c>
      <c r="AB88" s="220" t="str">
        <f t="shared" si="464"/>
        <v/>
      </c>
      <c r="AC88" s="219" t="str">
        <f t="shared" si="465"/>
        <v/>
      </c>
      <c r="AD88" s="220" t="str">
        <f t="shared" si="466"/>
        <v/>
      </c>
      <c r="AE88" s="220" t="str">
        <f t="shared" si="467"/>
        <v/>
      </c>
      <c r="AF88" s="219" t="str">
        <f t="shared" si="468"/>
        <v/>
      </c>
      <c r="AG88" s="220" t="str">
        <f t="shared" si="469"/>
        <v/>
      </c>
      <c r="AH88" s="220" t="str">
        <f t="shared" si="470"/>
        <v/>
      </c>
      <c r="AI88" s="219" t="str">
        <f t="shared" si="471"/>
        <v/>
      </c>
      <c r="AJ88" s="220" t="str">
        <f t="shared" si="472"/>
        <v/>
      </c>
      <c r="AK88" s="220" t="str">
        <f t="shared" si="473"/>
        <v/>
      </c>
      <c r="AL88" s="219" t="str">
        <f t="shared" si="474"/>
        <v/>
      </c>
      <c r="AM88" s="220" t="str">
        <f t="shared" si="475"/>
        <v/>
      </c>
      <c r="AN88" s="220" t="str">
        <f t="shared" si="476"/>
        <v/>
      </c>
      <c r="AO88" s="219" t="str">
        <f t="shared" si="477"/>
        <v/>
      </c>
      <c r="AP88" s="220" t="str">
        <f t="shared" si="478"/>
        <v/>
      </c>
      <c r="AQ88" s="220" t="str">
        <f t="shared" si="479"/>
        <v/>
      </c>
      <c r="AR88" s="219" t="str">
        <f t="shared" si="480"/>
        <v/>
      </c>
      <c r="AS88" s="220" t="str">
        <f t="shared" si="481"/>
        <v/>
      </c>
      <c r="AT88" s="220" t="str">
        <f t="shared" si="482"/>
        <v/>
      </c>
      <c r="AU88" s="221"/>
      <c r="AV88" s="221"/>
      <c r="AW88" s="221"/>
      <c r="AY88" s="218" t="str">
        <f t="shared" si="483"/>
        <v/>
      </c>
      <c r="AZ88" s="218" t="str">
        <f t="shared" si="484"/>
        <v/>
      </c>
      <c r="BA88" s="218" t="str">
        <f t="shared" si="485"/>
        <v/>
      </c>
      <c r="BB88" s="218" t="str">
        <f t="shared" si="486"/>
        <v/>
      </c>
      <c r="BC88" s="218" t="str">
        <f t="shared" si="487"/>
        <v/>
      </c>
      <c r="BD88" s="218" t="str">
        <f t="shared" si="488"/>
        <v/>
      </c>
      <c r="BE88" s="218" t="str">
        <f t="shared" si="489"/>
        <v/>
      </c>
      <c r="BF88" s="218" t="str">
        <f t="shared" si="490"/>
        <v/>
      </c>
      <c r="BG88" s="218" t="str">
        <f t="shared" si="491"/>
        <v/>
      </c>
      <c r="BH88" s="218" t="str">
        <f t="shared" si="492"/>
        <v/>
      </c>
      <c r="BI88" s="218" t="str">
        <f t="shared" si="493"/>
        <v/>
      </c>
      <c r="BJ88" s="218" t="str">
        <f t="shared" si="494"/>
        <v/>
      </c>
      <c r="BK88" s="218" t="str">
        <f t="shared" si="495"/>
        <v/>
      </c>
      <c r="BL88" s="218" t="str">
        <f t="shared" si="496"/>
        <v/>
      </c>
      <c r="BM88" s="218" t="str">
        <f t="shared" si="497"/>
        <v/>
      </c>
      <c r="BN88" s="218" t="str">
        <f t="shared" si="498"/>
        <v/>
      </c>
      <c r="BO88" s="218" t="str">
        <f t="shared" si="499"/>
        <v/>
      </c>
      <c r="BP88" s="218" t="str">
        <f t="shared" si="500"/>
        <v/>
      </c>
      <c r="BQ88" s="218" t="str">
        <f t="shared" si="501"/>
        <v/>
      </c>
      <c r="BR88" s="218" t="str">
        <f t="shared" si="502"/>
        <v/>
      </c>
      <c r="BS88" s="218" t="str">
        <f t="shared" si="503"/>
        <v/>
      </c>
      <c r="BT88" s="218" t="str">
        <f t="shared" si="504"/>
        <v/>
      </c>
      <c r="BU88" s="218" t="str">
        <f t="shared" si="505"/>
        <v/>
      </c>
      <c r="BV88" s="218" t="str">
        <f t="shared" si="506"/>
        <v/>
      </c>
      <c r="BW88" s="218" t="str">
        <f t="shared" si="507"/>
        <v/>
      </c>
      <c r="BX88" s="218" t="str">
        <f t="shared" si="508"/>
        <v/>
      </c>
      <c r="BY88" s="218" t="str">
        <f t="shared" si="509"/>
        <v/>
      </c>
      <c r="BZ88" s="218" t="str">
        <f t="shared" si="510"/>
        <v/>
      </c>
      <c r="CA88" s="218" t="str">
        <f t="shared" si="511"/>
        <v/>
      </c>
      <c r="CB88" s="218" t="str">
        <f t="shared" si="512"/>
        <v/>
      </c>
      <c r="CD88" s="218" t="str">
        <f t="shared" si="513"/>
        <v/>
      </c>
      <c r="CE88" s="218" t="str">
        <f t="shared" si="514"/>
        <v/>
      </c>
      <c r="CF88" s="218" t="str">
        <f t="shared" si="515"/>
        <v/>
      </c>
      <c r="CG88" s="218" t="str">
        <f t="shared" si="516"/>
        <v/>
      </c>
      <c r="CH88" s="218" t="str">
        <f t="shared" si="517"/>
        <v/>
      </c>
      <c r="CI88" s="218" t="str">
        <f t="shared" si="518"/>
        <v/>
      </c>
      <c r="CJ88" s="218" t="str">
        <f t="shared" si="519"/>
        <v/>
      </c>
      <c r="CK88" s="218" t="str">
        <f t="shared" si="520"/>
        <v/>
      </c>
      <c r="CL88" s="218" t="str">
        <f t="shared" si="521"/>
        <v/>
      </c>
      <c r="CM88" s="218" t="str">
        <f t="shared" si="522"/>
        <v/>
      </c>
      <c r="CN88" s="218" t="str">
        <f t="shared" si="523"/>
        <v/>
      </c>
      <c r="CO88" s="218" t="str">
        <f t="shared" si="524"/>
        <v/>
      </c>
      <c r="CP88" s="218" t="str">
        <f t="shared" si="525"/>
        <v/>
      </c>
      <c r="CQ88" s="218" t="str">
        <f t="shared" si="526"/>
        <v/>
      </c>
      <c r="CR88" s="218" t="str">
        <f t="shared" si="527"/>
        <v/>
      </c>
      <c r="CS88" s="218" t="str">
        <f t="shared" si="528"/>
        <v/>
      </c>
      <c r="CT88" s="218" t="str">
        <f t="shared" si="529"/>
        <v/>
      </c>
      <c r="CU88" s="218" t="str">
        <f t="shared" si="530"/>
        <v/>
      </c>
      <c r="CV88" s="218" t="str">
        <f t="shared" si="531"/>
        <v/>
      </c>
      <c r="CW88" s="218" t="str">
        <f t="shared" si="532"/>
        <v/>
      </c>
      <c r="CX88" s="218" t="str">
        <f t="shared" si="533"/>
        <v/>
      </c>
      <c r="CY88" s="218" t="str">
        <f t="shared" si="534"/>
        <v/>
      </c>
      <c r="CZ88" s="218" t="str">
        <f t="shared" si="535"/>
        <v/>
      </c>
      <c r="DA88" s="218" t="str">
        <f t="shared" si="536"/>
        <v/>
      </c>
      <c r="DB88" s="218" t="str">
        <f t="shared" si="537"/>
        <v/>
      </c>
      <c r="DC88" s="218" t="str">
        <f t="shared" si="538"/>
        <v/>
      </c>
      <c r="DD88" s="218" t="str">
        <f t="shared" si="539"/>
        <v/>
      </c>
      <c r="DF88" s="218" t="str">
        <f t="shared" si="540"/>
        <v/>
      </c>
      <c r="DG88" s="218" t="str">
        <f t="shared" si="541"/>
        <v/>
      </c>
      <c r="DH88" s="218" t="str">
        <f t="shared" si="542"/>
        <v/>
      </c>
      <c r="DI88" s="218" t="str">
        <f t="shared" si="543"/>
        <v/>
      </c>
      <c r="DJ88" s="218" t="str">
        <f t="shared" si="544"/>
        <v/>
      </c>
      <c r="DK88" s="218" t="str">
        <f t="shared" si="545"/>
        <v/>
      </c>
      <c r="DL88" s="218" t="str">
        <f t="shared" si="546"/>
        <v/>
      </c>
      <c r="DM88" s="218" t="str">
        <f t="shared" si="547"/>
        <v/>
      </c>
      <c r="DN88" s="218" t="str">
        <f t="shared" si="548"/>
        <v/>
      </c>
      <c r="DO88" s="218" t="str">
        <f t="shared" si="549"/>
        <v/>
      </c>
      <c r="DP88" s="218" t="str">
        <f t="shared" si="550"/>
        <v/>
      </c>
      <c r="DQ88" s="218" t="str">
        <f t="shared" si="551"/>
        <v/>
      </c>
      <c r="DR88" s="218" t="str">
        <f t="shared" si="552"/>
        <v/>
      </c>
      <c r="DS88" s="218" t="str">
        <f t="shared" si="553"/>
        <v/>
      </c>
      <c r="DT88" s="218" t="str">
        <f t="shared" si="554"/>
        <v/>
      </c>
      <c r="DU88" s="218" t="str">
        <f t="shared" si="555"/>
        <v/>
      </c>
      <c r="DV88" s="218" t="str">
        <f t="shared" si="556"/>
        <v/>
      </c>
      <c r="DW88" s="218" t="str">
        <f t="shared" si="557"/>
        <v/>
      </c>
      <c r="DX88" s="218" t="str">
        <f t="shared" si="558"/>
        <v/>
      </c>
      <c r="DY88" s="218" t="str">
        <f t="shared" si="559"/>
        <v/>
      </c>
      <c r="DZ88" s="218" t="str">
        <f t="shared" si="560"/>
        <v/>
      </c>
      <c r="EA88" s="218" t="str">
        <f t="shared" si="561"/>
        <v/>
      </c>
      <c r="EB88" s="218" t="str">
        <f t="shared" si="562"/>
        <v/>
      </c>
      <c r="EC88" s="218" t="str">
        <f t="shared" si="563"/>
        <v/>
      </c>
      <c r="EE88" s="218" t="str">
        <f t="shared" si="564"/>
        <v/>
      </c>
      <c r="EF88" s="218" t="str">
        <f t="shared" si="565"/>
        <v/>
      </c>
      <c r="EG88" s="218" t="str">
        <f t="shared" si="566"/>
        <v/>
      </c>
      <c r="EH88" s="218" t="str">
        <f t="shared" si="567"/>
        <v/>
      </c>
      <c r="EI88" s="218" t="str">
        <f t="shared" si="568"/>
        <v/>
      </c>
      <c r="EJ88" s="218" t="str">
        <f t="shared" si="569"/>
        <v/>
      </c>
      <c r="EK88" s="218" t="str">
        <f t="shared" si="570"/>
        <v/>
      </c>
      <c r="EL88" s="218" t="str">
        <f t="shared" si="571"/>
        <v/>
      </c>
      <c r="EM88" s="218" t="str">
        <f t="shared" si="572"/>
        <v/>
      </c>
      <c r="EN88" s="218" t="str">
        <f t="shared" si="573"/>
        <v/>
      </c>
      <c r="EO88" s="218" t="str">
        <f t="shared" si="574"/>
        <v/>
      </c>
      <c r="EP88" s="218" t="str">
        <f t="shared" si="575"/>
        <v/>
      </c>
      <c r="EQ88" s="218" t="str">
        <f t="shared" si="576"/>
        <v/>
      </c>
      <c r="ER88" s="218" t="str">
        <f t="shared" si="577"/>
        <v/>
      </c>
      <c r="ES88" s="218" t="str">
        <f t="shared" si="578"/>
        <v/>
      </c>
      <c r="ET88" s="218" t="str">
        <f t="shared" si="579"/>
        <v/>
      </c>
      <c r="EU88" s="218" t="str">
        <f t="shared" si="580"/>
        <v/>
      </c>
      <c r="EV88" s="218" t="str">
        <f t="shared" si="581"/>
        <v/>
      </c>
      <c r="EW88" s="218" t="str">
        <f t="shared" si="582"/>
        <v/>
      </c>
      <c r="EX88" s="218" t="str">
        <f t="shared" si="583"/>
        <v/>
      </c>
      <c r="EY88" s="218" t="str">
        <f t="shared" si="584"/>
        <v/>
      </c>
      <c r="FA88" s="218" t="str">
        <f t="shared" si="585"/>
        <v/>
      </c>
      <c r="FB88" s="218" t="str">
        <f t="shared" si="586"/>
        <v/>
      </c>
      <c r="FC88" s="218" t="str">
        <f t="shared" si="587"/>
        <v/>
      </c>
      <c r="FD88" s="218" t="str">
        <f t="shared" si="588"/>
        <v/>
      </c>
      <c r="FE88" s="218" t="str">
        <f t="shared" si="589"/>
        <v/>
      </c>
      <c r="FF88" s="218" t="str">
        <f t="shared" si="590"/>
        <v/>
      </c>
      <c r="FG88" s="218" t="str">
        <f t="shared" si="591"/>
        <v/>
      </c>
      <c r="FH88" s="218" t="str">
        <f t="shared" si="592"/>
        <v/>
      </c>
      <c r="FI88" s="218" t="str">
        <f t="shared" si="593"/>
        <v/>
      </c>
      <c r="FJ88" s="218" t="str">
        <f t="shared" si="594"/>
        <v/>
      </c>
      <c r="FK88" s="218" t="str">
        <f t="shared" si="595"/>
        <v/>
      </c>
      <c r="FL88" s="218" t="str">
        <f t="shared" si="596"/>
        <v/>
      </c>
      <c r="FM88" s="218" t="str">
        <f t="shared" si="597"/>
        <v/>
      </c>
      <c r="FN88" s="218" t="str">
        <f t="shared" si="598"/>
        <v/>
      </c>
      <c r="FO88" s="218" t="str">
        <f t="shared" si="599"/>
        <v/>
      </c>
      <c r="FP88" s="218" t="str">
        <f t="shared" si="600"/>
        <v/>
      </c>
      <c r="FQ88" s="218" t="str">
        <f t="shared" si="601"/>
        <v/>
      </c>
      <c r="FR88" s="218" t="str">
        <f t="shared" si="602"/>
        <v/>
      </c>
      <c r="FT88" s="218" t="str">
        <f t="shared" si="603"/>
        <v/>
      </c>
      <c r="FU88" s="218" t="str">
        <f t="shared" si="604"/>
        <v/>
      </c>
      <c r="FV88" s="218" t="str">
        <f t="shared" si="605"/>
        <v/>
      </c>
      <c r="FW88" s="218" t="str">
        <f t="shared" si="606"/>
        <v/>
      </c>
      <c r="FX88" s="218" t="str">
        <f t="shared" si="607"/>
        <v/>
      </c>
      <c r="FY88" s="218" t="str">
        <f t="shared" si="608"/>
        <v/>
      </c>
      <c r="FZ88" s="218" t="str">
        <f t="shared" si="609"/>
        <v/>
      </c>
      <c r="GA88" s="218" t="str">
        <f t="shared" si="610"/>
        <v/>
      </c>
      <c r="GB88" s="218" t="str">
        <f t="shared" si="611"/>
        <v/>
      </c>
      <c r="GC88" s="218" t="str">
        <f t="shared" si="612"/>
        <v/>
      </c>
      <c r="GD88" s="218" t="str">
        <f t="shared" si="613"/>
        <v/>
      </c>
      <c r="GE88" s="218" t="str">
        <f t="shared" si="614"/>
        <v/>
      </c>
      <c r="GF88" s="218" t="str">
        <f t="shared" si="615"/>
        <v/>
      </c>
      <c r="GG88" s="218" t="str">
        <f t="shared" si="616"/>
        <v/>
      </c>
      <c r="GH88" s="218" t="str">
        <f t="shared" si="617"/>
        <v/>
      </c>
      <c r="GJ88" s="218" t="str">
        <f t="shared" si="618"/>
        <v/>
      </c>
      <c r="GK88" s="218" t="str">
        <f t="shared" si="619"/>
        <v/>
      </c>
      <c r="GL88" s="218" t="str">
        <f t="shared" si="620"/>
        <v/>
      </c>
      <c r="GM88" s="218" t="str">
        <f t="shared" si="621"/>
        <v/>
      </c>
      <c r="GN88" s="218" t="str">
        <f t="shared" si="622"/>
        <v/>
      </c>
      <c r="GO88" s="218" t="str">
        <f t="shared" si="623"/>
        <v/>
      </c>
      <c r="GP88" s="218" t="str">
        <f t="shared" si="624"/>
        <v/>
      </c>
      <c r="GQ88" s="218" t="str">
        <f t="shared" si="625"/>
        <v/>
      </c>
      <c r="GR88" s="218" t="str">
        <f t="shared" si="626"/>
        <v/>
      </c>
      <c r="GS88" s="218" t="str">
        <f t="shared" si="627"/>
        <v/>
      </c>
      <c r="GT88" s="218" t="str">
        <f t="shared" si="628"/>
        <v/>
      </c>
      <c r="GU88" s="218" t="str">
        <f t="shared" si="629"/>
        <v/>
      </c>
      <c r="GW88" s="218" t="str">
        <f t="shared" si="630"/>
        <v/>
      </c>
      <c r="GX88" s="218" t="str">
        <f t="shared" si="631"/>
        <v/>
      </c>
      <c r="GY88" s="218" t="str">
        <f t="shared" si="632"/>
        <v/>
      </c>
      <c r="GZ88" s="218" t="str">
        <f t="shared" si="633"/>
        <v/>
      </c>
      <c r="HA88" s="218" t="str">
        <f t="shared" si="634"/>
        <v/>
      </c>
      <c r="HB88" s="218" t="str">
        <f t="shared" si="635"/>
        <v/>
      </c>
      <c r="HC88" s="218" t="str">
        <f t="shared" si="636"/>
        <v/>
      </c>
      <c r="HD88" s="218" t="str">
        <f t="shared" si="637"/>
        <v/>
      </c>
      <c r="HE88" s="218" t="str">
        <f t="shared" si="638"/>
        <v/>
      </c>
      <c r="HG88" s="218" t="str">
        <f t="shared" si="639"/>
        <v/>
      </c>
      <c r="HH88" s="218" t="str">
        <f t="shared" si="640"/>
        <v/>
      </c>
      <c r="HI88" s="218" t="str">
        <f t="shared" si="641"/>
        <v/>
      </c>
      <c r="HJ88" s="218" t="str">
        <f t="shared" si="642"/>
        <v/>
      </c>
      <c r="HK88" s="218" t="str">
        <f t="shared" si="643"/>
        <v/>
      </c>
      <c r="HL88" s="218" t="str">
        <f t="shared" si="644"/>
        <v/>
      </c>
      <c r="HN88" s="218" t="str">
        <f t="shared" si="645"/>
        <v/>
      </c>
      <c r="HO88" s="218" t="str">
        <f t="shared" si="646"/>
        <v/>
      </c>
      <c r="HP88" s="218" t="str">
        <f t="shared" si="647"/>
        <v/>
      </c>
      <c r="HR88" s="218" t="str">
        <f t="shared" si="648"/>
        <v/>
      </c>
      <c r="HS88" s="218" t="str">
        <f t="shared" si="649"/>
        <v/>
      </c>
      <c r="HT88" s="218" t="str">
        <f t="shared" si="650"/>
        <v/>
      </c>
      <c r="HU88" s="218" t="str">
        <f t="shared" si="651"/>
        <v/>
      </c>
      <c r="HV88" s="218" t="str">
        <f t="shared" si="652"/>
        <v/>
      </c>
      <c r="HW88" s="218" t="str">
        <f t="shared" si="653"/>
        <v/>
      </c>
      <c r="HX88" s="218" t="str">
        <f t="shared" si="654"/>
        <v/>
      </c>
      <c r="HY88" s="218" t="str">
        <f t="shared" si="655"/>
        <v/>
      </c>
      <c r="HZ88" s="218" t="str">
        <f t="shared" si="656"/>
        <v/>
      </c>
      <c r="IA88" s="218" t="str">
        <f t="shared" si="657"/>
        <v/>
      </c>
      <c r="IB88" s="218" t="str">
        <f t="shared" si="658"/>
        <v/>
      </c>
      <c r="IC88" s="218" t="str">
        <f t="shared" si="659"/>
        <v/>
      </c>
      <c r="ID88" s="218" t="str">
        <f t="shared" si="660"/>
        <v/>
      </c>
      <c r="IE88" s="218" t="str">
        <f t="shared" si="661"/>
        <v/>
      </c>
      <c r="IF88" s="218" t="str">
        <f t="shared" si="662"/>
        <v/>
      </c>
      <c r="IG88" s="218" t="str">
        <f t="shared" si="663"/>
        <v/>
      </c>
      <c r="IH88" s="218" t="str">
        <f t="shared" si="664"/>
        <v/>
      </c>
      <c r="II88" s="218" t="str">
        <f t="shared" si="665"/>
        <v/>
      </c>
      <c r="IJ88" s="218" t="str">
        <f t="shared" si="666"/>
        <v/>
      </c>
      <c r="IK88" s="218" t="str">
        <f t="shared" si="667"/>
        <v/>
      </c>
      <c r="IL88" s="218" t="str">
        <f t="shared" si="668"/>
        <v/>
      </c>
      <c r="IM88" s="218" t="str">
        <f t="shared" si="669"/>
        <v/>
      </c>
      <c r="IN88" s="218" t="str">
        <f t="shared" si="670"/>
        <v/>
      </c>
      <c r="IO88" s="218" t="str">
        <f t="shared" si="671"/>
        <v/>
      </c>
      <c r="IP88" s="218" t="str">
        <f t="shared" si="672"/>
        <v/>
      </c>
      <c r="IQ88" s="218" t="str">
        <f t="shared" si="673"/>
        <v/>
      </c>
      <c r="IR88" s="218" t="str">
        <f t="shared" si="674"/>
        <v/>
      </c>
      <c r="IS88" s="218" t="str">
        <f t="shared" si="675"/>
        <v/>
      </c>
      <c r="IT88" s="218" t="str">
        <f t="shared" si="676"/>
        <v/>
      </c>
      <c r="IU88" s="218" t="str">
        <f t="shared" si="677"/>
        <v/>
      </c>
    </row>
    <row r="89" spans="1:255" x14ac:dyDescent="0.2">
      <c r="A89" s="200" t="s">
        <v>92</v>
      </c>
      <c r="B89" s="178"/>
      <c r="C89" s="179"/>
      <c r="D89" s="181"/>
      <c r="E89" s="181"/>
      <c r="F89" s="181"/>
      <c r="G89" s="181"/>
      <c r="H89" s="187"/>
      <c r="I89" s="181"/>
      <c r="J89" s="181"/>
      <c r="K89" s="183"/>
      <c r="L89" s="217" t="str">
        <f t="shared" si="441"/>
        <v/>
      </c>
      <c r="M89" s="218" t="str">
        <f>'HKG vs. BK'!M89</f>
        <v/>
      </c>
      <c r="N89" s="218" t="str">
        <f>'HKG vs. BK'!N89</f>
        <v/>
      </c>
      <c r="O89" s="218" t="str">
        <f>'HKG vs. BK'!O89</f>
        <v/>
      </c>
      <c r="P89" s="218" t="str">
        <f>'HKG vs. BK'!P89</f>
        <v/>
      </c>
      <c r="Q89" s="219" t="str">
        <f t="shared" si="453"/>
        <v/>
      </c>
      <c r="R89" s="220" t="str">
        <f t="shared" si="454"/>
        <v/>
      </c>
      <c r="S89" s="220" t="str">
        <f t="shared" si="455"/>
        <v/>
      </c>
      <c r="T89" s="219" t="str">
        <f t="shared" si="456"/>
        <v/>
      </c>
      <c r="U89" s="220" t="str">
        <f t="shared" si="457"/>
        <v/>
      </c>
      <c r="V89" s="220" t="str">
        <f t="shared" si="458"/>
        <v/>
      </c>
      <c r="W89" s="219" t="str">
        <f t="shared" si="459"/>
        <v/>
      </c>
      <c r="X89" s="220" t="str">
        <f t="shared" si="460"/>
        <v/>
      </c>
      <c r="Y89" s="220" t="str">
        <f t="shared" si="461"/>
        <v/>
      </c>
      <c r="Z89" s="219" t="str">
        <f t="shared" si="462"/>
        <v/>
      </c>
      <c r="AA89" s="220" t="str">
        <f t="shared" si="463"/>
        <v/>
      </c>
      <c r="AB89" s="220" t="str">
        <f t="shared" si="464"/>
        <v/>
      </c>
      <c r="AC89" s="219" t="str">
        <f t="shared" si="465"/>
        <v/>
      </c>
      <c r="AD89" s="220" t="str">
        <f t="shared" si="466"/>
        <v/>
      </c>
      <c r="AE89" s="220" t="str">
        <f t="shared" si="467"/>
        <v/>
      </c>
      <c r="AF89" s="219" t="str">
        <f t="shared" si="468"/>
        <v/>
      </c>
      <c r="AG89" s="220" t="str">
        <f t="shared" si="469"/>
        <v/>
      </c>
      <c r="AH89" s="220" t="str">
        <f t="shared" si="470"/>
        <v/>
      </c>
      <c r="AI89" s="219" t="str">
        <f t="shared" si="471"/>
        <v/>
      </c>
      <c r="AJ89" s="220" t="str">
        <f t="shared" si="472"/>
        <v/>
      </c>
      <c r="AK89" s="220" t="str">
        <f t="shared" si="473"/>
        <v/>
      </c>
      <c r="AL89" s="219" t="str">
        <f t="shared" si="474"/>
        <v/>
      </c>
      <c r="AM89" s="220" t="str">
        <f t="shared" si="475"/>
        <v/>
      </c>
      <c r="AN89" s="220" t="str">
        <f t="shared" si="476"/>
        <v/>
      </c>
      <c r="AO89" s="219" t="str">
        <f t="shared" si="477"/>
        <v/>
      </c>
      <c r="AP89" s="220" t="str">
        <f t="shared" si="478"/>
        <v/>
      </c>
      <c r="AQ89" s="220" t="str">
        <f t="shared" si="479"/>
        <v/>
      </c>
      <c r="AR89" s="219" t="str">
        <f t="shared" si="480"/>
        <v/>
      </c>
      <c r="AS89" s="220" t="str">
        <f t="shared" si="481"/>
        <v/>
      </c>
      <c r="AT89" s="220" t="str">
        <f t="shared" si="482"/>
        <v/>
      </c>
      <c r="AU89" s="221"/>
      <c r="AV89" s="221"/>
      <c r="AW89" s="221"/>
      <c r="AY89" s="218" t="str">
        <f t="shared" si="483"/>
        <v/>
      </c>
      <c r="AZ89" s="218" t="str">
        <f t="shared" si="484"/>
        <v/>
      </c>
      <c r="BA89" s="218" t="str">
        <f t="shared" si="485"/>
        <v/>
      </c>
      <c r="BB89" s="218" t="str">
        <f t="shared" si="486"/>
        <v/>
      </c>
      <c r="BC89" s="218" t="str">
        <f t="shared" si="487"/>
        <v/>
      </c>
      <c r="BD89" s="218" t="str">
        <f t="shared" si="488"/>
        <v/>
      </c>
      <c r="BE89" s="218" t="str">
        <f t="shared" si="489"/>
        <v/>
      </c>
      <c r="BF89" s="218" t="str">
        <f t="shared" si="490"/>
        <v/>
      </c>
      <c r="BG89" s="218" t="str">
        <f t="shared" si="491"/>
        <v/>
      </c>
      <c r="BH89" s="218" t="str">
        <f t="shared" si="492"/>
        <v/>
      </c>
      <c r="BI89" s="218" t="str">
        <f t="shared" si="493"/>
        <v/>
      </c>
      <c r="BJ89" s="218" t="str">
        <f t="shared" si="494"/>
        <v/>
      </c>
      <c r="BK89" s="218" t="str">
        <f t="shared" si="495"/>
        <v/>
      </c>
      <c r="BL89" s="218" t="str">
        <f t="shared" si="496"/>
        <v/>
      </c>
      <c r="BM89" s="218" t="str">
        <f t="shared" si="497"/>
        <v/>
      </c>
      <c r="BN89" s="218" t="str">
        <f t="shared" si="498"/>
        <v/>
      </c>
      <c r="BO89" s="218" t="str">
        <f t="shared" si="499"/>
        <v/>
      </c>
      <c r="BP89" s="218" t="str">
        <f t="shared" si="500"/>
        <v/>
      </c>
      <c r="BQ89" s="218" t="str">
        <f t="shared" si="501"/>
        <v/>
      </c>
      <c r="BR89" s="218" t="str">
        <f t="shared" si="502"/>
        <v/>
      </c>
      <c r="BS89" s="218" t="str">
        <f t="shared" si="503"/>
        <v/>
      </c>
      <c r="BT89" s="218" t="str">
        <f t="shared" si="504"/>
        <v/>
      </c>
      <c r="BU89" s="218" t="str">
        <f t="shared" si="505"/>
        <v/>
      </c>
      <c r="BV89" s="218" t="str">
        <f t="shared" si="506"/>
        <v/>
      </c>
      <c r="BW89" s="218" t="str">
        <f t="shared" si="507"/>
        <v/>
      </c>
      <c r="BX89" s="218" t="str">
        <f t="shared" si="508"/>
        <v/>
      </c>
      <c r="BY89" s="218" t="str">
        <f t="shared" si="509"/>
        <v/>
      </c>
      <c r="BZ89" s="218" t="str">
        <f t="shared" si="510"/>
        <v/>
      </c>
      <c r="CA89" s="218" t="str">
        <f t="shared" si="511"/>
        <v/>
      </c>
      <c r="CB89" s="218" t="str">
        <f t="shared" si="512"/>
        <v/>
      </c>
      <c r="CD89" s="218" t="str">
        <f t="shared" si="513"/>
        <v/>
      </c>
      <c r="CE89" s="218" t="str">
        <f t="shared" si="514"/>
        <v/>
      </c>
      <c r="CF89" s="218" t="str">
        <f t="shared" si="515"/>
        <v/>
      </c>
      <c r="CG89" s="218" t="str">
        <f t="shared" si="516"/>
        <v/>
      </c>
      <c r="CH89" s="218" t="str">
        <f t="shared" si="517"/>
        <v/>
      </c>
      <c r="CI89" s="218" t="str">
        <f t="shared" si="518"/>
        <v/>
      </c>
      <c r="CJ89" s="218" t="str">
        <f t="shared" si="519"/>
        <v/>
      </c>
      <c r="CK89" s="218" t="str">
        <f t="shared" si="520"/>
        <v/>
      </c>
      <c r="CL89" s="218" t="str">
        <f t="shared" si="521"/>
        <v/>
      </c>
      <c r="CM89" s="218" t="str">
        <f t="shared" si="522"/>
        <v/>
      </c>
      <c r="CN89" s="218" t="str">
        <f t="shared" si="523"/>
        <v/>
      </c>
      <c r="CO89" s="218" t="str">
        <f t="shared" si="524"/>
        <v/>
      </c>
      <c r="CP89" s="218" t="str">
        <f t="shared" si="525"/>
        <v/>
      </c>
      <c r="CQ89" s="218" t="str">
        <f t="shared" si="526"/>
        <v/>
      </c>
      <c r="CR89" s="218" t="str">
        <f t="shared" si="527"/>
        <v/>
      </c>
      <c r="CS89" s="218" t="str">
        <f t="shared" si="528"/>
        <v/>
      </c>
      <c r="CT89" s="218" t="str">
        <f t="shared" si="529"/>
        <v/>
      </c>
      <c r="CU89" s="218" t="str">
        <f t="shared" si="530"/>
        <v/>
      </c>
      <c r="CV89" s="218" t="str">
        <f t="shared" si="531"/>
        <v/>
      </c>
      <c r="CW89" s="218" t="str">
        <f t="shared" si="532"/>
        <v/>
      </c>
      <c r="CX89" s="218" t="str">
        <f t="shared" si="533"/>
        <v/>
      </c>
      <c r="CY89" s="218" t="str">
        <f t="shared" si="534"/>
        <v/>
      </c>
      <c r="CZ89" s="218" t="str">
        <f t="shared" si="535"/>
        <v/>
      </c>
      <c r="DA89" s="218" t="str">
        <f t="shared" si="536"/>
        <v/>
      </c>
      <c r="DB89" s="218" t="str">
        <f t="shared" si="537"/>
        <v/>
      </c>
      <c r="DC89" s="218" t="str">
        <f t="shared" si="538"/>
        <v/>
      </c>
      <c r="DD89" s="218" t="str">
        <f t="shared" si="539"/>
        <v/>
      </c>
      <c r="DF89" s="218" t="str">
        <f t="shared" si="540"/>
        <v/>
      </c>
      <c r="DG89" s="218" t="str">
        <f t="shared" si="541"/>
        <v/>
      </c>
      <c r="DH89" s="218" t="str">
        <f t="shared" si="542"/>
        <v/>
      </c>
      <c r="DI89" s="218" t="str">
        <f t="shared" si="543"/>
        <v/>
      </c>
      <c r="DJ89" s="218" t="str">
        <f t="shared" si="544"/>
        <v/>
      </c>
      <c r="DK89" s="218" t="str">
        <f t="shared" si="545"/>
        <v/>
      </c>
      <c r="DL89" s="218" t="str">
        <f t="shared" si="546"/>
        <v/>
      </c>
      <c r="DM89" s="218" t="str">
        <f t="shared" si="547"/>
        <v/>
      </c>
      <c r="DN89" s="218" t="str">
        <f t="shared" si="548"/>
        <v/>
      </c>
      <c r="DO89" s="218" t="str">
        <f t="shared" si="549"/>
        <v/>
      </c>
      <c r="DP89" s="218" t="str">
        <f t="shared" si="550"/>
        <v/>
      </c>
      <c r="DQ89" s="218" t="str">
        <f t="shared" si="551"/>
        <v/>
      </c>
      <c r="DR89" s="218" t="str">
        <f t="shared" si="552"/>
        <v/>
      </c>
      <c r="DS89" s="218" t="str">
        <f t="shared" si="553"/>
        <v/>
      </c>
      <c r="DT89" s="218" t="str">
        <f t="shared" si="554"/>
        <v/>
      </c>
      <c r="DU89" s="218" t="str">
        <f t="shared" si="555"/>
        <v/>
      </c>
      <c r="DV89" s="218" t="str">
        <f t="shared" si="556"/>
        <v/>
      </c>
      <c r="DW89" s="218" t="str">
        <f t="shared" si="557"/>
        <v/>
      </c>
      <c r="DX89" s="218" t="str">
        <f t="shared" si="558"/>
        <v/>
      </c>
      <c r="DY89" s="218" t="str">
        <f t="shared" si="559"/>
        <v/>
      </c>
      <c r="DZ89" s="218" t="str">
        <f t="shared" si="560"/>
        <v/>
      </c>
      <c r="EA89" s="218" t="str">
        <f t="shared" si="561"/>
        <v/>
      </c>
      <c r="EB89" s="218" t="str">
        <f t="shared" si="562"/>
        <v/>
      </c>
      <c r="EC89" s="218" t="str">
        <f t="shared" si="563"/>
        <v/>
      </c>
      <c r="EE89" s="218" t="str">
        <f t="shared" si="564"/>
        <v/>
      </c>
      <c r="EF89" s="218" t="str">
        <f t="shared" si="565"/>
        <v/>
      </c>
      <c r="EG89" s="218" t="str">
        <f t="shared" si="566"/>
        <v/>
      </c>
      <c r="EH89" s="218" t="str">
        <f t="shared" si="567"/>
        <v/>
      </c>
      <c r="EI89" s="218" t="str">
        <f t="shared" si="568"/>
        <v/>
      </c>
      <c r="EJ89" s="218" t="str">
        <f t="shared" si="569"/>
        <v/>
      </c>
      <c r="EK89" s="218" t="str">
        <f t="shared" si="570"/>
        <v/>
      </c>
      <c r="EL89" s="218" t="str">
        <f t="shared" si="571"/>
        <v/>
      </c>
      <c r="EM89" s="218" t="str">
        <f t="shared" si="572"/>
        <v/>
      </c>
      <c r="EN89" s="218" t="str">
        <f t="shared" si="573"/>
        <v/>
      </c>
      <c r="EO89" s="218" t="str">
        <f t="shared" si="574"/>
        <v/>
      </c>
      <c r="EP89" s="218" t="str">
        <f t="shared" si="575"/>
        <v/>
      </c>
      <c r="EQ89" s="218" t="str">
        <f t="shared" si="576"/>
        <v/>
      </c>
      <c r="ER89" s="218" t="str">
        <f t="shared" si="577"/>
        <v/>
      </c>
      <c r="ES89" s="218" t="str">
        <f t="shared" si="578"/>
        <v/>
      </c>
      <c r="ET89" s="218" t="str">
        <f t="shared" si="579"/>
        <v/>
      </c>
      <c r="EU89" s="218" t="str">
        <f t="shared" si="580"/>
        <v/>
      </c>
      <c r="EV89" s="218" t="str">
        <f t="shared" si="581"/>
        <v/>
      </c>
      <c r="EW89" s="218" t="str">
        <f t="shared" si="582"/>
        <v/>
      </c>
      <c r="EX89" s="218" t="str">
        <f t="shared" si="583"/>
        <v/>
      </c>
      <c r="EY89" s="218" t="str">
        <f t="shared" si="584"/>
        <v/>
      </c>
      <c r="FA89" s="218" t="str">
        <f t="shared" si="585"/>
        <v/>
      </c>
      <c r="FB89" s="218" t="str">
        <f t="shared" si="586"/>
        <v/>
      </c>
      <c r="FC89" s="218" t="str">
        <f t="shared" si="587"/>
        <v/>
      </c>
      <c r="FD89" s="218" t="str">
        <f t="shared" si="588"/>
        <v/>
      </c>
      <c r="FE89" s="218" t="str">
        <f t="shared" si="589"/>
        <v/>
      </c>
      <c r="FF89" s="218" t="str">
        <f t="shared" si="590"/>
        <v/>
      </c>
      <c r="FG89" s="218" t="str">
        <f t="shared" si="591"/>
        <v/>
      </c>
      <c r="FH89" s="218" t="str">
        <f t="shared" si="592"/>
        <v/>
      </c>
      <c r="FI89" s="218" t="str">
        <f t="shared" si="593"/>
        <v/>
      </c>
      <c r="FJ89" s="218" t="str">
        <f t="shared" si="594"/>
        <v/>
      </c>
      <c r="FK89" s="218" t="str">
        <f t="shared" si="595"/>
        <v/>
      </c>
      <c r="FL89" s="218" t="str">
        <f t="shared" si="596"/>
        <v/>
      </c>
      <c r="FM89" s="218" t="str">
        <f t="shared" si="597"/>
        <v/>
      </c>
      <c r="FN89" s="218" t="str">
        <f t="shared" si="598"/>
        <v/>
      </c>
      <c r="FO89" s="218" t="str">
        <f t="shared" si="599"/>
        <v/>
      </c>
      <c r="FP89" s="218" t="str">
        <f t="shared" si="600"/>
        <v/>
      </c>
      <c r="FQ89" s="218" t="str">
        <f t="shared" si="601"/>
        <v/>
      </c>
      <c r="FR89" s="218" t="str">
        <f t="shared" si="602"/>
        <v/>
      </c>
      <c r="FT89" s="218" t="str">
        <f t="shared" si="603"/>
        <v/>
      </c>
      <c r="FU89" s="218" t="str">
        <f t="shared" si="604"/>
        <v/>
      </c>
      <c r="FV89" s="218" t="str">
        <f t="shared" si="605"/>
        <v/>
      </c>
      <c r="FW89" s="218" t="str">
        <f t="shared" si="606"/>
        <v/>
      </c>
      <c r="FX89" s="218" t="str">
        <f t="shared" si="607"/>
        <v/>
      </c>
      <c r="FY89" s="218" t="str">
        <f t="shared" si="608"/>
        <v/>
      </c>
      <c r="FZ89" s="218" t="str">
        <f t="shared" si="609"/>
        <v/>
      </c>
      <c r="GA89" s="218" t="str">
        <f t="shared" si="610"/>
        <v/>
      </c>
      <c r="GB89" s="218" t="str">
        <f t="shared" si="611"/>
        <v/>
      </c>
      <c r="GC89" s="218" t="str">
        <f t="shared" si="612"/>
        <v/>
      </c>
      <c r="GD89" s="218" t="str">
        <f t="shared" si="613"/>
        <v/>
      </c>
      <c r="GE89" s="218" t="str">
        <f t="shared" si="614"/>
        <v/>
      </c>
      <c r="GF89" s="218" t="str">
        <f t="shared" si="615"/>
        <v/>
      </c>
      <c r="GG89" s="218" t="str">
        <f t="shared" si="616"/>
        <v/>
      </c>
      <c r="GH89" s="218" t="str">
        <f t="shared" si="617"/>
        <v/>
      </c>
      <c r="GJ89" s="218" t="str">
        <f t="shared" si="618"/>
        <v/>
      </c>
      <c r="GK89" s="218" t="str">
        <f t="shared" si="619"/>
        <v/>
      </c>
      <c r="GL89" s="218" t="str">
        <f t="shared" si="620"/>
        <v/>
      </c>
      <c r="GM89" s="218" t="str">
        <f t="shared" si="621"/>
        <v/>
      </c>
      <c r="GN89" s="218" t="str">
        <f t="shared" si="622"/>
        <v/>
      </c>
      <c r="GO89" s="218" t="str">
        <f t="shared" si="623"/>
        <v/>
      </c>
      <c r="GP89" s="218" t="str">
        <f t="shared" si="624"/>
        <v/>
      </c>
      <c r="GQ89" s="218" t="str">
        <f t="shared" si="625"/>
        <v/>
      </c>
      <c r="GR89" s="218" t="str">
        <f t="shared" si="626"/>
        <v/>
      </c>
      <c r="GS89" s="218" t="str">
        <f t="shared" si="627"/>
        <v/>
      </c>
      <c r="GT89" s="218" t="str">
        <f t="shared" si="628"/>
        <v/>
      </c>
      <c r="GU89" s="218" t="str">
        <f t="shared" si="629"/>
        <v/>
      </c>
      <c r="GW89" s="218" t="str">
        <f t="shared" si="630"/>
        <v/>
      </c>
      <c r="GX89" s="218" t="str">
        <f t="shared" si="631"/>
        <v/>
      </c>
      <c r="GY89" s="218" t="str">
        <f t="shared" si="632"/>
        <v/>
      </c>
      <c r="GZ89" s="218" t="str">
        <f t="shared" si="633"/>
        <v/>
      </c>
      <c r="HA89" s="218" t="str">
        <f t="shared" si="634"/>
        <v/>
      </c>
      <c r="HB89" s="218" t="str">
        <f t="shared" si="635"/>
        <v/>
      </c>
      <c r="HC89" s="218" t="str">
        <f t="shared" si="636"/>
        <v/>
      </c>
      <c r="HD89" s="218" t="str">
        <f t="shared" si="637"/>
        <v/>
      </c>
      <c r="HE89" s="218" t="str">
        <f t="shared" si="638"/>
        <v/>
      </c>
      <c r="HG89" s="218" t="str">
        <f t="shared" si="639"/>
        <v/>
      </c>
      <c r="HH89" s="218" t="str">
        <f t="shared" si="640"/>
        <v/>
      </c>
      <c r="HI89" s="218" t="str">
        <f t="shared" si="641"/>
        <v/>
      </c>
      <c r="HJ89" s="218" t="str">
        <f t="shared" si="642"/>
        <v/>
      </c>
      <c r="HK89" s="218" t="str">
        <f t="shared" si="643"/>
        <v/>
      </c>
      <c r="HL89" s="218" t="str">
        <f t="shared" si="644"/>
        <v/>
      </c>
      <c r="HN89" s="218" t="str">
        <f t="shared" si="645"/>
        <v/>
      </c>
      <c r="HO89" s="218" t="str">
        <f t="shared" si="646"/>
        <v/>
      </c>
      <c r="HP89" s="218" t="str">
        <f t="shared" si="647"/>
        <v/>
      </c>
      <c r="HR89" s="218" t="str">
        <f t="shared" si="648"/>
        <v/>
      </c>
      <c r="HS89" s="218" t="str">
        <f t="shared" si="649"/>
        <v/>
      </c>
      <c r="HT89" s="218" t="str">
        <f t="shared" si="650"/>
        <v/>
      </c>
      <c r="HU89" s="218" t="str">
        <f t="shared" si="651"/>
        <v/>
      </c>
      <c r="HV89" s="218" t="str">
        <f t="shared" si="652"/>
        <v/>
      </c>
      <c r="HW89" s="218" t="str">
        <f t="shared" si="653"/>
        <v/>
      </c>
      <c r="HX89" s="218" t="str">
        <f t="shared" si="654"/>
        <v/>
      </c>
      <c r="HY89" s="218" t="str">
        <f t="shared" si="655"/>
        <v/>
      </c>
      <c r="HZ89" s="218" t="str">
        <f t="shared" si="656"/>
        <v/>
      </c>
      <c r="IA89" s="218" t="str">
        <f t="shared" si="657"/>
        <v/>
      </c>
      <c r="IB89" s="218" t="str">
        <f t="shared" si="658"/>
        <v/>
      </c>
      <c r="IC89" s="218" t="str">
        <f t="shared" si="659"/>
        <v/>
      </c>
      <c r="ID89" s="218" t="str">
        <f t="shared" si="660"/>
        <v/>
      </c>
      <c r="IE89" s="218" t="str">
        <f t="shared" si="661"/>
        <v/>
      </c>
      <c r="IF89" s="218" t="str">
        <f t="shared" si="662"/>
        <v/>
      </c>
      <c r="IG89" s="218" t="str">
        <f t="shared" si="663"/>
        <v/>
      </c>
      <c r="IH89" s="218" t="str">
        <f t="shared" si="664"/>
        <v/>
      </c>
      <c r="II89" s="218" t="str">
        <f t="shared" si="665"/>
        <v/>
      </c>
      <c r="IJ89" s="218" t="str">
        <f t="shared" si="666"/>
        <v/>
      </c>
      <c r="IK89" s="218" t="str">
        <f t="shared" si="667"/>
        <v/>
      </c>
      <c r="IL89" s="218" t="str">
        <f t="shared" si="668"/>
        <v/>
      </c>
      <c r="IM89" s="218" t="str">
        <f t="shared" si="669"/>
        <v/>
      </c>
      <c r="IN89" s="218" t="str">
        <f t="shared" si="670"/>
        <v/>
      </c>
      <c r="IO89" s="218" t="str">
        <f t="shared" si="671"/>
        <v/>
      </c>
      <c r="IP89" s="218" t="str">
        <f t="shared" si="672"/>
        <v/>
      </c>
      <c r="IQ89" s="218" t="str">
        <f t="shared" si="673"/>
        <v/>
      </c>
      <c r="IR89" s="218" t="str">
        <f t="shared" si="674"/>
        <v/>
      </c>
      <c r="IS89" s="218" t="str">
        <f t="shared" si="675"/>
        <v/>
      </c>
      <c r="IT89" s="218" t="str">
        <f t="shared" si="676"/>
        <v/>
      </c>
      <c r="IU89" s="218" t="str">
        <f t="shared" si="677"/>
        <v/>
      </c>
    </row>
    <row r="90" spans="1:255" x14ac:dyDescent="0.2">
      <c r="A90" s="200" t="s">
        <v>93</v>
      </c>
      <c r="B90" s="188"/>
      <c r="C90" s="187"/>
      <c r="D90" s="181"/>
      <c r="E90" s="181"/>
      <c r="F90" s="181"/>
      <c r="G90" s="181"/>
      <c r="H90" s="187"/>
      <c r="I90" s="181"/>
      <c r="J90" s="181"/>
      <c r="K90" s="183"/>
      <c r="L90" s="217" t="str">
        <f t="shared" si="441"/>
        <v/>
      </c>
      <c r="M90" s="218" t="str">
        <f>'HKG vs. BK'!M90</f>
        <v/>
      </c>
      <c r="N90" s="218" t="str">
        <f>'HKG vs. BK'!N90</f>
        <v/>
      </c>
      <c r="O90" s="218" t="str">
        <f>'HKG vs. BK'!O90</f>
        <v/>
      </c>
      <c r="P90" s="218" t="str">
        <f>'HKG vs. BK'!P90</f>
        <v/>
      </c>
      <c r="Q90" s="219" t="str">
        <f t="shared" si="453"/>
        <v/>
      </c>
      <c r="R90" s="220" t="str">
        <f t="shared" si="454"/>
        <v/>
      </c>
      <c r="S90" s="220" t="str">
        <f t="shared" si="455"/>
        <v/>
      </c>
      <c r="T90" s="219" t="str">
        <f t="shared" si="456"/>
        <v/>
      </c>
      <c r="U90" s="220" t="str">
        <f t="shared" si="457"/>
        <v/>
      </c>
      <c r="V90" s="220" t="str">
        <f t="shared" si="458"/>
        <v/>
      </c>
      <c r="W90" s="219" t="str">
        <f t="shared" si="459"/>
        <v/>
      </c>
      <c r="X90" s="220" t="str">
        <f t="shared" si="460"/>
        <v/>
      </c>
      <c r="Y90" s="220" t="str">
        <f t="shared" si="461"/>
        <v/>
      </c>
      <c r="Z90" s="219" t="str">
        <f t="shared" si="462"/>
        <v/>
      </c>
      <c r="AA90" s="220" t="str">
        <f t="shared" si="463"/>
        <v/>
      </c>
      <c r="AB90" s="220" t="str">
        <f t="shared" si="464"/>
        <v/>
      </c>
      <c r="AC90" s="219" t="str">
        <f t="shared" si="465"/>
        <v/>
      </c>
      <c r="AD90" s="220" t="str">
        <f t="shared" si="466"/>
        <v/>
      </c>
      <c r="AE90" s="220" t="str">
        <f t="shared" si="467"/>
        <v/>
      </c>
      <c r="AF90" s="219" t="str">
        <f t="shared" si="468"/>
        <v/>
      </c>
      <c r="AG90" s="220" t="str">
        <f t="shared" si="469"/>
        <v/>
      </c>
      <c r="AH90" s="220" t="str">
        <f t="shared" si="470"/>
        <v/>
      </c>
      <c r="AI90" s="219" t="str">
        <f t="shared" si="471"/>
        <v/>
      </c>
      <c r="AJ90" s="220" t="str">
        <f t="shared" si="472"/>
        <v/>
      </c>
      <c r="AK90" s="220" t="str">
        <f t="shared" si="473"/>
        <v/>
      </c>
      <c r="AL90" s="219" t="str">
        <f t="shared" si="474"/>
        <v/>
      </c>
      <c r="AM90" s="220" t="str">
        <f t="shared" si="475"/>
        <v/>
      </c>
      <c r="AN90" s="220" t="str">
        <f t="shared" si="476"/>
        <v/>
      </c>
      <c r="AO90" s="219" t="str">
        <f t="shared" si="477"/>
        <v/>
      </c>
      <c r="AP90" s="220" t="str">
        <f t="shared" si="478"/>
        <v/>
      </c>
      <c r="AQ90" s="220" t="str">
        <f t="shared" si="479"/>
        <v/>
      </c>
      <c r="AR90" s="219" t="str">
        <f t="shared" si="480"/>
        <v/>
      </c>
      <c r="AS90" s="220" t="str">
        <f t="shared" si="481"/>
        <v/>
      </c>
      <c r="AT90" s="220" t="str">
        <f t="shared" si="482"/>
        <v/>
      </c>
      <c r="AU90" s="221"/>
      <c r="AV90" s="221"/>
      <c r="AW90" s="221"/>
      <c r="AY90" s="218" t="str">
        <f t="shared" si="483"/>
        <v/>
      </c>
      <c r="AZ90" s="218" t="str">
        <f t="shared" si="484"/>
        <v/>
      </c>
      <c r="BA90" s="218" t="str">
        <f t="shared" si="485"/>
        <v/>
      </c>
      <c r="BB90" s="218" t="str">
        <f t="shared" si="486"/>
        <v/>
      </c>
      <c r="BC90" s="218" t="str">
        <f t="shared" si="487"/>
        <v/>
      </c>
      <c r="BD90" s="218" t="str">
        <f t="shared" si="488"/>
        <v/>
      </c>
      <c r="BE90" s="218" t="str">
        <f t="shared" si="489"/>
        <v/>
      </c>
      <c r="BF90" s="218" t="str">
        <f t="shared" si="490"/>
        <v/>
      </c>
      <c r="BG90" s="218" t="str">
        <f t="shared" si="491"/>
        <v/>
      </c>
      <c r="BH90" s="218" t="str">
        <f t="shared" si="492"/>
        <v/>
      </c>
      <c r="BI90" s="218" t="str">
        <f t="shared" si="493"/>
        <v/>
      </c>
      <c r="BJ90" s="218" t="str">
        <f t="shared" si="494"/>
        <v/>
      </c>
      <c r="BK90" s="218" t="str">
        <f t="shared" si="495"/>
        <v/>
      </c>
      <c r="BL90" s="218" t="str">
        <f t="shared" si="496"/>
        <v/>
      </c>
      <c r="BM90" s="218" t="str">
        <f t="shared" si="497"/>
        <v/>
      </c>
      <c r="BN90" s="218" t="str">
        <f t="shared" si="498"/>
        <v/>
      </c>
      <c r="BO90" s="218" t="str">
        <f t="shared" si="499"/>
        <v/>
      </c>
      <c r="BP90" s="218" t="str">
        <f t="shared" si="500"/>
        <v/>
      </c>
      <c r="BQ90" s="218" t="str">
        <f t="shared" si="501"/>
        <v/>
      </c>
      <c r="BR90" s="218" t="str">
        <f t="shared" si="502"/>
        <v/>
      </c>
      <c r="BS90" s="218" t="str">
        <f t="shared" si="503"/>
        <v/>
      </c>
      <c r="BT90" s="218" t="str">
        <f t="shared" si="504"/>
        <v/>
      </c>
      <c r="BU90" s="218" t="str">
        <f t="shared" si="505"/>
        <v/>
      </c>
      <c r="BV90" s="218" t="str">
        <f t="shared" si="506"/>
        <v/>
      </c>
      <c r="BW90" s="218" t="str">
        <f t="shared" si="507"/>
        <v/>
      </c>
      <c r="BX90" s="218" t="str">
        <f t="shared" si="508"/>
        <v/>
      </c>
      <c r="BY90" s="218" t="str">
        <f t="shared" si="509"/>
        <v/>
      </c>
      <c r="BZ90" s="218" t="str">
        <f t="shared" si="510"/>
        <v/>
      </c>
      <c r="CA90" s="218" t="str">
        <f t="shared" si="511"/>
        <v/>
      </c>
      <c r="CB90" s="218" t="str">
        <f t="shared" si="512"/>
        <v/>
      </c>
      <c r="CD90" s="218" t="str">
        <f t="shared" si="513"/>
        <v/>
      </c>
      <c r="CE90" s="218" t="str">
        <f t="shared" si="514"/>
        <v/>
      </c>
      <c r="CF90" s="218" t="str">
        <f t="shared" si="515"/>
        <v/>
      </c>
      <c r="CG90" s="218" t="str">
        <f t="shared" si="516"/>
        <v/>
      </c>
      <c r="CH90" s="218" t="str">
        <f t="shared" si="517"/>
        <v/>
      </c>
      <c r="CI90" s="218" t="str">
        <f t="shared" si="518"/>
        <v/>
      </c>
      <c r="CJ90" s="218" t="str">
        <f t="shared" si="519"/>
        <v/>
      </c>
      <c r="CK90" s="218" t="str">
        <f t="shared" si="520"/>
        <v/>
      </c>
      <c r="CL90" s="218" t="str">
        <f t="shared" si="521"/>
        <v/>
      </c>
      <c r="CM90" s="218" t="str">
        <f t="shared" si="522"/>
        <v/>
      </c>
      <c r="CN90" s="218" t="str">
        <f t="shared" si="523"/>
        <v/>
      </c>
      <c r="CO90" s="218" t="str">
        <f t="shared" si="524"/>
        <v/>
      </c>
      <c r="CP90" s="218" t="str">
        <f t="shared" si="525"/>
        <v/>
      </c>
      <c r="CQ90" s="218" t="str">
        <f t="shared" si="526"/>
        <v/>
      </c>
      <c r="CR90" s="218" t="str">
        <f t="shared" si="527"/>
        <v/>
      </c>
      <c r="CS90" s="218" t="str">
        <f t="shared" si="528"/>
        <v/>
      </c>
      <c r="CT90" s="218" t="str">
        <f t="shared" si="529"/>
        <v/>
      </c>
      <c r="CU90" s="218" t="str">
        <f t="shared" si="530"/>
        <v/>
      </c>
      <c r="CV90" s="218" t="str">
        <f t="shared" si="531"/>
        <v/>
      </c>
      <c r="CW90" s="218" t="str">
        <f t="shared" si="532"/>
        <v/>
      </c>
      <c r="CX90" s="218" t="str">
        <f t="shared" si="533"/>
        <v/>
      </c>
      <c r="CY90" s="218" t="str">
        <f t="shared" si="534"/>
        <v/>
      </c>
      <c r="CZ90" s="218" t="str">
        <f t="shared" si="535"/>
        <v/>
      </c>
      <c r="DA90" s="218" t="str">
        <f t="shared" si="536"/>
        <v/>
      </c>
      <c r="DB90" s="218" t="str">
        <f t="shared" si="537"/>
        <v/>
      </c>
      <c r="DC90" s="218" t="str">
        <f t="shared" si="538"/>
        <v/>
      </c>
      <c r="DD90" s="218" t="str">
        <f t="shared" si="539"/>
        <v/>
      </c>
      <c r="DF90" s="218" t="str">
        <f t="shared" si="540"/>
        <v/>
      </c>
      <c r="DG90" s="218" t="str">
        <f t="shared" si="541"/>
        <v/>
      </c>
      <c r="DH90" s="218" t="str">
        <f t="shared" si="542"/>
        <v/>
      </c>
      <c r="DI90" s="218" t="str">
        <f t="shared" si="543"/>
        <v/>
      </c>
      <c r="DJ90" s="218" t="str">
        <f t="shared" si="544"/>
        <v/>
      </c>
      <c r="DK90" s="218" t="str">
        <f t="shared" si="545"/>
        <v/>
      </c>
      <c r="DL90" s="218" t="str">
        <f t="shared" si="546"/>
        <v/>
      </c>
      <c r="DM90" s="218" t="str">
        <f t="shared" si="547"/>
        <v/>
      </c>
      <c r="DN90" s="218" t="str">
        <f t="shared" si="548"/>
        <v/>
      </c>
      <c r="DO90" s="218" t="str">
        <f t="shared" si="549"/>
        <v/>
      </c>
      <c r="DP90" s="218" t="str">
        <f t="shared" si="550"/>
        <v/>
      </c>
      <c r="DQ90" s="218" t="str">
        <f t="shared" si="551"/>
        <v/>
      </c>
      <c r="DR90" s="218" t="str">
        <f t="shared" si="552"/>
        <v/>
      </c>
      <c r="DS90" s="218" t="str">
        <f t="shared" si="553"/>
        <v/>
      </c>
      <c r="DT90" s="218" t="str">
        <f t="shared" si="554"/>
        <v/>
      </c>
      <c r="DU90" s="218" t="str">
        <f t="shared" si="555"/>
        <v/>
      </c>
      <c r="DV90" s="218" t="str">
        <f t="shared" si="556"/>
        <v/>
      </c>
      <c r="DW90" s="218" t="str">
        <f t="shared" si="557"/>
        <v/>
      </c>
      <c r="DX90" s="218" t="str">
        <f t="shared" si="558"/>
        <v/>
      </c>
      <c r="DY90" s="218" t="str">
        <f t="shared" si="559"/>
        <v/>
      </c>
      <c r="DZ90" s="218" t="str">
        <f t="shared" si="560"/>
        <v/>
      </c>
      <c r="EA90" s="218" t="str">
        <f t="shared" si="561"/>
        <v/>
      </c>
      <c r="EB90" s="218" t="str">
        <f t="shared" si="562"/>
        <v/>
      </c>
      <c r="EC90" s="218" t="str">
        <f t="shared" si="563"/>
        <v/>
      </c>
      <c r="EE90" s="218" t="str">
        <f t="shared" si="564"/>
        <v/>
      </c>
      <c r="EF90" s="218" t="str">
        <f t="shared" si="565"/>
        <v/>
      </c>
      <c r="EG90" s="218" t="str">
        <f t="shared" si="566"/>
        <v/>
      </c>
      <c r="EH90" s="218" t="str">
        <f t="shared" si="567"/>
        <v/>
      </c>
      <c r="EI90" s="218" t="str">
        <f t="shared" si="568"/>
        <v/>
      </c>
      <c r="EJ90" s="218" t="str">
        <f t="shared" si="569"/>
        <v/>
      </c>
      <c r="EK90" s="218" t="str">
        <f t="shared" si="570"/>
        <v/>
      </c>
      <c r="EL90" s="218" t="str">
        <f t="shared" si="571"/>
        <v/>
      </c>
      <c r="EM90" s="218" t="str">
        <f t="shared" si="572"/>
        <v/>
      </c>
      <c r="EN90" s="218" t="str">
        <f t="shared" si="573"/>
        <v/>
      </c>
      <c r="EO90" s="218" t="str">
        <f t="shared" si="574"/>
        <v/>
      </c>
      <c r="EP90" s="218" t="str">
        <f t="shared" si="575"/>
        <v/>
      </c>
      <c r="EQ90" s="218" t="str">
        <f t="shared" si="576"/>
        <v/>
      </c>
      <c r="ER90" s="218" t="str">
        <f t="shared" si="577"/>
        <v/>
      </c>
      <c r="ES90" s="218" t="str">
        <f t="shared" si="578"/>
        <v/>
      </c>
      <c r="ET90" s="218" t="str">
        <f t="shared" si="579"/>
        <v/>
      </c>
      <c r="EU90" s="218" t="str">
        <f t="shared" si="580"/>
        <v/>
      </c>
      <c r="EV90" s="218" t="str">
        <f t="shared" si="581"/>
        <v/>
      </c>
      <c r="EW90" s="218" t="str">
        <f t="shared" si="582"/>
        <v/>
      </c>
      <c r="EX90" s="218" t="str">
        <f t="shared" si="583"/>
        <v/>
      </c>
      <c r="EY90" s="218" t="str">
        <f t="shared" si="584"/>
        <v/>
      </c>
      <c r="FA90" s="218" t="str">
        <f t="shared" si="585"/>
        <v/>
      </c>
      <c r="FB90" s="218" t="str">
        <f t="shared" si="586"/>
        <v/>
      </c>
      <c r="FC90" s="218" t="str">
        <f t="shared" si="587"/>
        <v/>
      </c>
      <c r="FD90" s="218" t="str">
        <f t="shared" si="588"/>
        <v/>
      </c>
      <c r="FE90" s="218" t="str">
        <f t="shared" si="589"/>
        <v/>
      </c>
      <c r="FF90" s="218" t="str">
        <f t="shared" si="590"/>
        <v/>
      </c>
      <c r="FG90" s="218" t="str">
        <f t="shared" si="591"/>
        <v/>
      </c>
      <c r="FH90" s="218" t="str">
        <f t="shared" si="592"/>
        <v/>
      </c>
      <c r="FI90" s="218" t="str">
        <f t="shared" si="593"/>
        <v/>
      </c>
      <c r="FJ90" s="218" t="str">
        <f t="shared" si="594"/>
        <v/>
      </c>
      <c r="FK90" s="218" t="str">
        <f t="shared" si="595"/>
        <v/>
      </c>
      <c r="FL90" s="218" t="str">
        <f t="shared" si="596"/>
        <v/>
      </c>
      <c r="FM90" s="218" t="str">
        <f t="shared" si="597"/>
        <v/>
      </c>
      <c r="FN90" s="218" t="str">
        <f t="shared" si="598"/>
        <v/>
      </c>
      <c r="FO90" s="218" t="str">
        <f t="shared" si="599"/>
        <v/>
      </c>
      <c r="FP90" s="218" t="str">
        <f t="shared" si="600"/>
        <v/>
      </c>
      <c r="FQ90" s="218" t="str">
        <f t="shared" si="601"/>
        <v/>
      </c>
      <c r="FR90" s="218" t="str">
        <f t="shared" si="602"/>
        <v/>
      </c>
      <c r="FT90" s="218" t="str">
        <f t="shared" si="603"/>
        <v/>
      </c>
      <c r="FU90" s="218" t="str">
        <f t="shared" si="604"/>
        <v/>
      </c>
      <c r="FV90" s="218" t="str">
        <f t="shared" si="605"/>
        <v/>
      </c>
      <c r="FW90" s="218" t="str">
        <f t="shared" si="606"/>
        <v/>
      </c>
      <c r="FX90" s="218" t="str">
        <f t="shared" si="607"/>
        <v/>
      </c>
      <c r="FY90" s="218" t="str">
        <f t="shared" si="608"/>
        <v/>
      </c>
      <c r="FZ90" s="218" t="str">
        <f t="shared" si="609"/>
        <v/>
      </c>
      <c r="GA90" s="218" t="str">
        <f t="shared" si="610"/>
        <v/>
      </c>
      <c r="GB90" s="218" t="str">
        <f t="shared" si="611"/>
        <v/>
      </c>
      <c r="GC90" s="218" t="str">
        <f t="shared" si="612"/>
        <v/>
      </c>
      <c r="GD90" s="218" t="str">
        <f t="shared" si="613"/>
        <v/>
      </c>
      <c r="GE90" s="218" t="str">
        <f t="shared" si="614"/>
        <v/>
      </c>
      <c r="GF90" s="218" t="str">
        <f t="shared" si="615"/>
        <v/>
      </c>
      <c r="GG90" s="218" t="str">
        <f t="shared" si="616"/>
        <v/>
      </c>
      <c r="GH90" s="218" t="str">
        <f t="shared" si="617"/>
        <v/>
      </c>
      <c r="GJ90" s="218" t="str">
        <f t="shared" si="618"/>
        <v/>
      </c>
      <c r="GK90" s="218" t="str">
        <f t="shared" si="619"/>
        <v/>
      </c>
      <c r="GL90" s="218" t="str">
        <f t="shared" si="620"/>
        <v/>
      </c>
      <c r="GM90" s="218" t="str">
        <f t="shared" si="621"/>
        <v/>
      </c>
      <c r="GN90" s="218" t="str">
        <f t="shared" si="622"/>
        <v/>
      </c>
      <c r="GO90" s="218" t="str">
        <f t="shared" si="623"/>
        <v/>
      </c>
      <c r="GP90" s="218" t="str">
        <f t="shared" si="624"/>
        <v/>
      </c>
      <c r="GQ90" s="218" t="str">
        <f t="shared" si="625"/>
        <v/>
      </c>
      <c r="GR90" s="218" t="str">
        <f t="shared" si="626"/>
        <v/>
      </c>
      <c r="GS90" s="218" t="str">
        <f t="shared" si="627"/>
        <v/>
      </c>
      <c r="GT90" s="218" t="str">
        <f t="shared" si="628"/>
        <v/>
      </c>
      <c r="GU90" s="218" t="str">
        <f t="shared" si="629"/>
        <v/>
      </c>
      <c r="GW90" s="218" t="str">
        <f t="shared" si="630"/>
        <v/>
      </c>
      <c r="GX90" s="218" t="str">
        <f t="shared" si="631"/>
        <v/>
      </c>
      <c r="GY90" s="218" t="str">
        <f t="shared" si="632"/>
        <v/>
      </c>
      <c r="GZ90" s="218" t="str">
        <f t="shared" si="633"/>
        <v/>
      </c>
      <c r="HA90" s="218" t="str">
        <f t="shared" si="634"/>
        <v/>
      </c>
      <c r="HB90" s="218" t="str">
        <f t="shared" si="635"/>
        <v/>
      </c>
      <c r="HC90" s="218" t="str">
        <f t="shared" si="636"/>
        <v/>
      </c>
      <c r="HD90" s="218" t="str">
        <f t="shared" si="637"/>
        <v/>
      </c>
      <c r="HE90" s="218" t="str">
        <f t="shared" si="638"/>
        <v/>
      </c>
      <c r="HG90" s="218" t="str">
        <f t="shared" si="639"/>
        <v/>
      </c>
      <c r="HH90" s="218" t="str">
        <f t="shared" si="640"/>
        <v/>
      </c>
      <c r="HI90" s="218" t="str">
        <f t="shared" si="641"/>
        <v/>
      </c>
      <c r="HJ90" s="218" t="str">
        <f t="shared" si="642"/>
        <v/>
      </c>
      <c r="HK90" s="218" t="str">
        <f t="shared" si="643"/>
        <v/>
      </c>
      <c r="HL90" s="218" t="str">
        <f t="shared" si="644"/>
        <v/>
      </c>
      <c r="HN90" s="218" t="str">
        <f t="shared" si="645"/>
        <v/>
      </c>
      <c r="HO90" s="218" t="str">
        <f t="shared" si="646"/>
        <v/>
      </c>
      <c r="HP90" s="218" t="str">
        <f t="shared" si="647"/>
        <v/>
      </c>
      <c r="HR90" s="218" t="str">
        <f t="shared" si="648"/>
        <v/>
      </c>
      <c r="HS90" s="218" t="str">
        <f t="shared" si="649"/>
        <v/>
      </c>
      <c r="HT90" s="218" t="str">
        <f t="shared" si="650"/>
        <v/>
      </c>
      <c r="HU90" s="218" t="str">
        <f t="shared" si="651"/>
        <v/>
      </c>
      <c r="HV90" s="218" t="str">
        <f t="shared" si="652"/>
        <v/>
      </c>
      <c r="HW90" s="218" t="str">
        <f t="shared" si="653"/>
        <v/>
      </c>
      <c r="HX90" s="218" t="str">
        <f t="shared" si="654"/>
        <v/>
      </c>
      <c r="HY90" s="218" t="str">
        <f t="shared" si="655"/>
        <v/>
      </c>
      <c r="HZ90" s="218" t="str">
        <f t="shared" si="656"/>
        <v/>
      </c>
      <c r="IA90" s="218" t="str">
        <f t="shared" si="657"/>
        <v/>
      </c>
      <c r="IB90" s="218" t="str">
        <f t="shared" si="658"/>
        <v/>
      </c>
      <c r="IC90" s="218" t="str">
        <f t="shared" si="659"/>
        <v/>
      </c>
      <c r="ID90" s="218" t="str">
        <f t="shared" si="660"/>
        <v/>
      </c>
      <c r="IE90" s="218" t="str">
        <f t="shared" si="661"/>
        <v/>
      </c>
      <c r="IF90" s="218" t="str">
        <f t="shared" si="662"/>
        <v/>
      </c>
      <c r="IG90" s="218" t="str">
        <f t="shared" si="663"/>
        <v/>
      </c>
      <c r="IH90" s="218" t="str">
        <f t="shared" si="664"/>
        <v/>
      </c>
      <c r="II90" s="218" t="str">
        <f t="shared" si="665"/>
        <v/>
      </c>
      <c r="IJ90" s="218" t="str">
        <f t="shared" si="666"/>
        <v/>
      </c>
      <c r="IK90" s="218" t="str">
        <f t="shared" si="667"/>
        <v/>
      </c>
      <c r="IL90" s="218" t="str">
        <f t="shared" si="668"/>
        <v/>
      </c>
      <c r="IM90" s="218" t="str">
        <f t="shared" si="669"/>
        <v/>
      </c>
      <c r="IN90" s="218" t="str">
        <f t="shared" si="670"/>
        <v/>
      </c>
      <c r="IO90" s="218" t="str">
        <f t="shared" si="671"/>
        <v/>
      </c>
      <c r="IP90" s="218" t="str">
        <f t="shared" si="672"/>
        <v/>
      </c>
      <c r="IQ90" s="218" t="str">
        <f t="shared" si="673"/>
        <v/>
      </c>
      <c r="IR90" s="218" t="str">
        <f t="shared" si="674"/>
        <v/>
      </c>
      <c r="IS90" s="218" t="str">
        <f t="shared" si="675"/>
        <v/>
      </c>
      <c r="IT90" s="218" t="str">
        <f t="shared" si="676"/>
        <v/>
      </c>
      <c r="IU90" s="218" t="str">
        <f t="shared" si="677"/>
        <v/>
      </c>
    </row>
    <row r="91" spans="1:255" x14ac:dyDescent="0.2">
      <c r="A91" s="200" t="s">
        <v>94</v>
      </c>
      <c r="B91" s="188"/>
      <c r="C91" s="187"/>
      <c r="D91" s="181"/>
      <c r="E91" s="181"/>
      <c r="F91" s="181"/>
      <c r="G91" s="181"/>
      <c r="H91" s="187"/>
      <c r="I91" s="181"/>
      <c r="J91" s="181"/>
      <c r="K91" s="183"/>
      <c r="L91" s="217" t="str">
        <f t="shared" si="441"/>
        <v/>
      </c>
      <c r="M91" s="218" t="str">
        <f>'HKG vs. BK'!M91</f>
        <v/>
      </c>
      <c r="N91" s="218" t="str">
        <f>'HKG vs. BK'!N91</f>
        <v/>
      </c>
      <c r="O91" s="218" t="str">
        <f>'HKG vs. BK'!O91</f>
        <v/>
      </c>
      <c r="P91" s="218" t="str">
        <f>'HKG vs. BK'!P91</f>
        <v/>
      </c>
      <c r="Q91" s="219" t="str">
        <f t="shared" si="453"/>
        <v/>
      </c>
      <c r="R91" s="220" t="str">
        <f t="shared" si="454"/>
        <v/>
      </c>
      <c r="S91" s="220" t="str">
        <f t="shared" si="455"/>
        <v/>
      </c>
      <c r="T91" s="219" t="str">
        <f t="shared" si="456"/>
        <v/>
      </c>
      <c r="U91" s="220" t="str">
        <f t="shared" si="457"/>
        <v/>
      </c>
      <c r="V91" s="220" t="str">
        <f t="shared" si="458"/>
        <v/>
      </c>
      <c r="W91" s="219" t="str">
        <f t="shared" si="459"/>
        <v/>
      </c>
      <c r="X91" s="220" t="str">
        <f t="shared" si="460"/>
        <v/>
      </c>
      <c r="Y91" s="220" t="str">
        <f t="shared" si="461"/>
        <v/>
      </c>
      <c r="Z91" s="219" t="str">
        <f t="shared" si="462"/>
        <v/>
      </c>
      <c r="AA91" s="220" t="str">
        <f t="shared" si="463"/>
        <v/>
      </c>
      <c r="AB91" s="220" t="str">
        <f t="shared" si="464"/>
        <v/>
      </c>
      <c r="AC91" s="219" t="str">
        <f t="shared" si="465"/>
        <v/>
      </c>
      <c r="AD91" s="220" t="str">
        <f t="shared" si="466"/>
        <v/>
      </c>
      <c r="AE91" s="220" t="str">
        <f t="shared" si="467"/>
        <v/>
      </c>
      <c r="AF91" s="219" t="str">
        <f t="shared" si="468"/>
        <v/>
      </c>
      <c r="AG91" s="220" t="str">
        <f t="shared" si="469"/>
        <v/>
      </c>
      <c r="AH91" s="220" t="str">
        <f t="shared" si="470"/>
        <v/>
      </c>
      <c r="AI91" s="219" t="str">
        <f t="shared" si="471"/>
        <v/>
      </c>
      <c r="AJ91" s="220" t="str">
        <f t="shared" si="472"/>
        <v/>
      </c>
      <c r="AK91" s="220" t="str">
        <f t="shared" si="473"/>
        <v/>
      </c>
      <c r="AL91" s="219" t="str">
        <f t="shared" si="474"/>
        <v/>
      </c>
      <c r="AM91" s="220" t="str">
        <f t="shared" si="475"/>
        <v/>
      </c>
      <c r="AN91" s="220" t="str">
        <f t="shared" si="476"/>
        <v/>
      </c>
      <c r="AO91" s="219" t="str">
        <f t="shared" si="477"/>
        <v/>
      </c>
      <c r="AP91" s="220" t="str">
        <f t="shared" si="478"/>
        <v/>
      </c>
      <c r="AQ91" s="220" t="str">
        <f t="shared" si="479"/>
        <v/>
      </c>
      <c r="AR91" s="219" t="str">
        <f t="shared" si="480"/>
        <v/>
      </c>
      <c r="AS91" s="220" t="str">
        <f t="shared" si="481"/>
        <v/>
      </c>
      <c r="AT91" s="220" t="str">
        <f t="shared" si="482"/>
        <v/>
      </c>
      <c r="AU91" s="221"/>
      <c r="AV91" s="221"/>
      <c r="AW91" s="221"/>
      <c r="AY91" s="218" t="str">
        <f t="shared" si="483"/>
        <v/>
      </c>
      <c r="AZ91" s="218" t="str">
        <f t="shared" si="484"/>
        <v/>
      </c>
      <c r="BA91" s="218" t="str">
        <f t="shared" si="485"/>
        <v/>
      </c>
      <c r="BB91" s="218" t="str">
        <f t="shared" si="486"/>
        <v/>
      </c>
      <c r="BC91" s="218" t="str">
        <f t="shared" si="487"/>
        <v/>
      </c>
      <c r="BD91" s="218" t="str">
        <f t="shared" si="488"/>
        <v/>
      </c>
      <c r="BE91" s="218" t="str">
        <f t="shared" si="489"/>
        <v/>
      </c>
      <c r="BF91" s="218" t="str">
        <f t="shared" si="490"/>
        <v/>
      </c>
      <c r="BG91" s="218" t="str">
        <f t="shared" si="491"/>
        <v/>
      </c>
      <c r="BH91" s="218" t="str">
        <f t="shared" si="492"/>
        <v/>
      </c>
      <c r="BI91" s="218" t="str">
        <f t="shared" si="493"/>
        <v/>
      </c>
      <c r="BJ91" s="218" t="str">
        <f t="shared" si="494"/>
        <v/>
      </c>
      <c r="BK91" s="218" t="str">
        <f t="shared" si="495"/>
        <v/>
      </c>
      <c r="BL91" s="218" t="str">
        <f t="shared" si="496"/>
        <v/>
      </c>
      <c r="BM91" s="218" t="str">
        <f t="shared" si="497"/>
        <v/>
      </c>
      <c r="BN91" s="218" t="str">
        <f t="shared" si="498"/>
        <v/>
      </c>
      <c r="BO91" s="218" t="str">
        <f t="shared" si="499"/>
        <v/>
      </c>
      <c r="BP91" s="218" t="str">
        <f t="shared" si="500"/>
        <v/>
      </c>
      <c r="BQ91" s="218" t="str">
        <f t="shared" si="501"/>
        <v/>
      </c>
      <c r="BR91" s="218" t="str">
        <f t="shared" si="502"/>
        <v/>
      </c>
      <c r="BS91" s="218" t="str">
        <f t="shared" si="503"/>
        <v/>
      </c>
      <c r="BT91" s="218" t="str">
        <f t="shared" si="504"/>
        <v/>
      </c>
      <c r="BU91" s="218" t="str">
        <f t="shared" si="505"/>
        <v/>
      </c>
      <c r="BV91" s="218" t="str">
        <f t="shared" si="506"/>
        <v/>
      </c>
      <c r="BW91" s="218" t="str">
        <f t="shared" si="507"/>
        <v/>
      </c>
      <c r="BX91" s="218" t="str">
        <f t="shared" si="508"/>
        <v/>
      </c>
      <c r="BY91" s="218" t="str">
        <f t="shared" si="509"/>
        <v/>
      </c>
      <c r="BZ91" s="218" t="str">
        <f t="shared" si="510"/>
        <v/>
      </c>
      <c r="CA91" s="218" t="str">
        <f t="shared" si="511"/>
        <v/>
      </c>
      <c r="CB91" s="218" t="str">
        <f t="shared" si="512"/>
        <v/>
      </c>
      <c r="CD91" s="218" t="str">
        <f t="shared" si="513"/>
        <v/>
      </c>
      <c r="CE91" s="218" t="str">
        <f t="shared" si="514"/>
        <v/>
      </c>
      <c r="CF91" s="218" t="str">
        <f t="shared" si="515"/>
        <v/>
      </c>
      <c r="CG91" s="218" t="str">
        <f t="shared" si="516"/>
        <v/>
      </c>
      <c r="CH91" s="218" t="str">
        <f t="shared" si="517"/>
        <v/>
      </c>
      <c r="CI91" s="218" t="str">
        <f t="shared" si="518"/>
        <v/>
      </c>
      <c r="CJ91" s="218" t="str">
        <f t="shared" si="519"/>
        <v/>
      </c>
      <c r="CK91" s="218" t="str">
        <f t="shared" si="520"/>
        <v/>
      </c>
      <c r="CL91" s="218" t="str">
        <f t="shared" si="521"/>
        <v/>
      </c>
      <c r="CM91" s="218" t="str">
        <f t="shared" si="522"/>
        <v/>
      </c>
      <c r="CN91" s="218" t="str">
        <f t="shared" si="523"/>
        <v/>
      </c>
      <c r="CO91" s="218" t="str">
        <f t="shared" si="524"/>
        <v/>
      </c>
      <c r="CP91" s="218" t="str">
        <f t="shared" si="525"/>
        <v/>
      </c>
      <c r="CQ91" s="218" t="str">
        <f t="shared" si="526"/>
        <v/>
      </c>
      <c r="CR91" s="218" t="str">
        <f t="shared" si="527"/>
        <v/>
      </c>
      <c r="CS91" s="218" t="str">
        <f t="shared" si="528"/>
        <v/>
      </c>
      <c r="CT91" s="218" t="str">
        <f t="shared" si="529"/>
        <v/>
      </c>
      <c r="CU91" s="218" t="str">
        <f t="shared" si="530"/>
        <v/>
      </c>
      <c r="CV91" s="218" t="str">
        <f t="shared" si="531"/>
        <v/>
      </c>
      <c r="CW91" s="218" t="str">
        <f t="shared" si="532"/>
        <v/>
      </c>
      <c r="CX91" s="218" t="str">
        <f t="shared" si="533"/>
        <v/>
      </c>
      <c r="CY91" s="218" t="str">
        <f t="shared" si="534"/>
        <v/>
      </c>
      <c r="CZ91" s="218" t="str">
        <f t="shared" si="535"/>
        <v/>
      </c>
      <c r="DA91" s="218" t="str">
        <f t="shared" si="536"/>
        <v/>
      </c>
      <c r="DB91" s="218" t="str">
        <f t="shared" si="537"/>
        <v/>
      </c>
      <c r="DC91" s="218" t="str">
        <f t="shared" si="538"/>
        <v/>
      </c>
      <c r="DD91" s="218" t="str">
        <f t="shared" si="539"/>
        <v/>
      </c>
      <c r="DF91" s="218" t="str">
        <f t="shared" si="540"/>
        <v/>
      </c>
      <c r="DG91" s="218" t="str">
        <f t="shared" si="541"/>
        <v/>
      </c>
      <c r="DH91" s="218" t="str">
        <f t="shared" si="542"/>
        <v/>
      </c>
      <c r="DI91" s="218" t="str">
        <f t="shared" si="543"/>
        <v/>
      </c>
      <c r="DJ91" s="218" t="str">
        <f t="shared" si="544"/>
        <v/>
      </c>
      <c r="DK91" s="218" t="str">
        <f t="shared" si="545"/>
        <v/>
      </c>
      <c r="DL91" s="218" t="str">
        <f t="shared" si="546"/>
        <v/>
      </c>
      <c r="DM91" s="218" t="str">
        <f t="shared" si="547"/>
        <v/>
      </c>
      <c r="DN91" s="218" t="str">
        <f t="shared" si="548"/>
        <v/>
      </c>
      <c r="DO91" s="218" t="str">
        <f t="shared" si="549"/>
        <v/>
      </c>
      <c r="DP91" s="218" t="str">
        <f t="shared" si="550"/>
        <v/>
      </c>
      <c r="DQ91" s="218" t="str">
        <f t="shared" si="551"/>
        <v/>
      </c>
      <c r="DR91" s="218" t="str">
        <f t="shared" si="552"/>
        <v/>
      </c>
      <c r="DS91" s="218" t="str">
        <f t="shared" si="553"/>
        <v/>
      </c>
      <c r="DT91" s="218" t="str">
        <f t="shared" si="554"/>
        <v/>
      </c>
      <c r="DU91" s="218" t="str">
        <f t="shared" si="555"/>
        <v/>
      </c>
      <c r="DV91" s="218" t="str">
        <f t="shared" si="556"/>
        <v/>
      </c>
      <c r="DW91" s="218" t="str">
        <f t="shared" si="557"/>
        <v/>
      </c>
      <c r="DX91" s="218" t="str">
        <f t="shared" si="558"/>
        <v/>
      </c>
      <c r="DY91" s="218" t="str">
        <f t="shared" si="559"/>
        <v/>
      </c>
      <c r="DZ91" s="218" t="str">
        <f t="shared" si="560"/>
        <v/>
      </c>
      <c r="EA91" s="218" t="str">
        <f t="shared" si="561"/>
        <v/>
      </c>
      <c r="EB91" s="218" t="str">
        <f t="shared" si="562"/>
        <v/>
      </c>
      <c r="EC91" s="218" t="str">
        <f t="shared" si="563"/>
        <v/>
      </c>
      <c r="EE91" s="218" t="str">
        <f t="shared" si="564"/>
        <v/>
      </c>
      <c r="EF91" s="218" t="str">
        <f t="shared" si="565"/>
        <v/>
      </c>
      <c r="EG91" s="218" t="str">
        <f t="shared" si="566"/>
        <v/>
      </c>
      <c r="EH91" s="218" t="str">
        <f t="shared" si="567"/>
        <v/>
      </c>
      <c r="EI91" s="218" t="str">
        <f t="shared" si="568"/>
        <v/>
      </c>
      <c r="EJ91" s="218" t="str">
        <f t="shared" si="569"/>
        <v/>
      </c>
      <c r="EK91" s="218" t="str">
        <f t="shared" si="570"/>
        <v/>
      </c>
      <c r="EL91" s="218" t="str">
        <f t="shared" si="571"/>
        <v/>
      </c>
      <c r="EM91" s="218" t="str">
        <f t="shared" si="572"/>
        <v/>
      </c>
      <c r="EN91" s="218" t="str">
        <f t="shared" si="573"/>
        <v/>
      </c>
      <c r="EO91" s="218" t="str">
        <f t="shared" si="574"/>
        <v/>
      </c>
      <c r="EP91" s="218" t="str">
        <f t="shared" si="575"/>
        <v/>
      </c>
      <c r="EQ91" s="218" t="str">
        <f t="shared" si="576"/>
        <v/>
      </c>
      <c r="ER91" s="218" t="str">
        <f t="shared" si="577"/>
        <v/>
      </c>
      <c r="ES91" s="218" t="str">
        <f t="shared" si="578"/>
        <v/>
      </c>
      <c r="ET91" s="218" t="str">
        <f t="shared" si="579"/>
        <v/>
      </c>
      <c r="EU91" s="218" t="str">
        <f t="shared" si="580"/>
        <v/>
      </c>
      <c r="EV91" s="218" t="str">
        <f t="shared" si="581"/>
        <v/>
      </c>
      <c r="EW91" s="218" t="str">
        <f t="shared" si="582"/>
        <v/>
      </c>
      <c r="EX91" s="218" t="str">
        <f t="shared" si="583"/>
        <v/>
      </c>
      <c r="EY91" s="218" t="str">
        <f t="shared" si="584"/>
        <v/>
      </c>
      <c r="FA91" s="218" t="str">
        <f t="shared" si="585"/>
        <v/>
      </c>
      <c r="FB91" s="218" t="str">
        <f t="shared" si="586"/>
        <v/>
      </c>
      <c r="FC91" s="218" t="str">
        <f t="shared" si="587"/>
        <v/>
      </c>
      <c r="FD91" s="218" t="str">
        <f t="shared" si="588"/>
        <v/>
      </c>
      <c r="FE91" s="218" t="str">
        <f t="shared" si="589"/>
        <v/>
      </c>
      <c r="FF91" s="218" t="str">
        <f t="shared" si="590"/>
        <v/>
      </c>
      <c r="FG91" s="218" t="str">
        <f t="shared" si="591"/>
        <v/>
      </c>
      <c r="FH91" s="218" t="str">
        <f t="shared" si="592"/>
        <v/>
      </c>
      <c r="FI91" s="218" t="str">
        <f t="shared" si="593"/>
        <v/>
      </c>
      <c r="FJ91" s="218" t="str">
        <f t="shared" si="594"/>
        <v/>
      </c>
      <c r="FK91" s="218" t="str">
        <f t="shared" si="595"/>
        <v/>
      </c>
      <c r="FL91" s="218" t="str">
        <f t="shared" si="596"/>
        <v/>
      </c>
      <c r="FM91" s="218" t="str">
        <f t="shared" si="597"/>
        <v/>
      </c>
      <c r="FN91" s="218" t="str">
        <f t="shared" si="598"/>
        <v/>
      </c>
      <c r="FO91" s="218" t="str">
        <f t="shared" si="599"/>
        <v/>
      </c>
      <c r="FP91" s="218" t="str">
        <f t="shared" si="600"/>
        <v/>
      </c>
      <c r="FQ91" s="218" t="str">
        <f t="shared" si="601"/>
        <v/>
      </c>
      <c r="FR91" s="218" t="str">
        <f t="shared" si="602"/>
        <v/>
      </c>
      <c r="FT91" s="218" t="str">
        <f t="shared" si="603"/>
        <v/>
      </c>
      <c r="FU91" s="218" t="str">
        <f t="shared" si="604"/>
        <v/>
      </c>
      <c r="FV91" s="218" t="str">
        <f t="shared" si="605"/>
        <v/>
      </c>
      <c r="FW91" s="218" t="str">
        <f t="shared" si="606"/>
        <v/>
      </c>
      <c r="FX91" s="218" t="str">
        <f t="shared" si="607"/>
        <v/>
      </c>
      <c r="FY91" s="218" t="str">
        <f t="shared" si="608"/>
        <v/>
      </c>
      <c r="FZ91" s="218" t="str">
        <f t="shared" si="609"/>
        <v/>
      </c>
      <c r="GA91" s="218" t="str">
        <f t="shared" si="610"/>
        <v/>
      </c>
      <c r="GB91" s="218" t="str">
        <f t="shared" si="611"/>
        <v/>
      </c>
      <c r="GC91" s="218" t="str">
        <f t="shared" si="612"/>
        <v/>
      </c>
      <c r="GD91" s="218" t="str">
        <f t="shared" si="613"/>
        <v/>
      </c>
      <c r="GE91" s="218" t="str">
        <f t="shared" si="614"/>
        <v/>
      </c>
      <c r="GF91" s="218" t="str">
        <f t="shared" si="615"/>
        <v/>
      </c>
      <c r="GG91" s="218" t="str">
        <f t="shared" si="616"/>
        <v/>
      </c>
      <c r="GH91" s="218" t="str">
        <f t="shared" si="617"/>
        <v/>
      </c>
      <c r="GJ91" s="218" t="str">
        <f t="shared" si="618"/>
        <v/>
      </c>
      <c r="GK91" s="218" t="str">
        <f t="shared" si="619"/>
        <v/>
      </c>
      <c r="GL91" s="218" t="str">
        <f t="shared" si="620"/>
        <v/>
      </c>
      <c r="GM91" s="218" t="str">
        <f t="shared" si="621"/>
        <v/>
      </c>
      <c r="GN91" s="218" t="str">
        <f t="shared" si="622"/>
        <v/>
      </c>
      <c r="GO91" s="218" t="str">
        <f t="shared" si="623"/>
        <v/>
      </c>
      <c r="GP91" s="218" t="str">
        <f t="shared" si="624"/>
        <v/>
      </c>
      <c r="GQ91" s="218" t="str">
        <f t="shared" si="625"/>
        <v/>
      </c>
      <c r="GR91" s="218" t="str">
        <f t="shared" si="626"/>
        <v/>
      </c>
      <c r="GS91" s="218" t="str">
        <f t="shared" si="627"/>
        <v/>
      </c>
      <c r="GT91" s="218" t="str">
        <f t="shared" si="628"/>
        <v/>
      </c>
      <c r="GU91" s="218" t="str">
        <f t="shared" si="629"/>
        <v/>
      </c>
      <c r="GW91" s="218" t="str">
        <f t="shared" si="630"/>
        <v/>
      </c>
      <c r="GX91" s="218" t="str">
        <f t="shared" si="631"/>
        <v/>
      </c>
      <c r="GY91" s="218" t="str">
        <f t="shared" si="632"/>
        <v/>
      </c>
      <c r="GZ91" s="218" t="str">
        <f t="shared" si="633"/>
        <v/>
      </c>
      <c r="HA91" s="218" t="str">
        <f t="shared" si="634"/>
        <v/>
      </c>
      <c r="HB91" s="218" t="str">
        <f t="shared" si="635"/>
        <v/>
      </c>
      <c r="HC91" s="218" t="str">
        <f t="shared" si="636"/>
        <v/>
      </c>
      <c r="HD91" s="218" t="str">
        <f t="shared" si="637"/>
        <v/>
      </c>
      <c r="HE91" s="218" t="str">
        <f t="shared" si="638"/>
        <v/>
      </c>
      <c r="HG91" s="218" t="str">
        <f t="shared" si="639"/>
        <v/>
      </c>
      <c r="HH91" s="218" t="str">
        <f t="shared" si="640"/>
        <v/>
      </c>
      <c r="HI91" s="218" t="str">
        <f t="shared" si="641"/>
        <v/>
      </c>
      <c r="HJ91" s="218" t="str">
        <f t="shared" si="642"/>
        <v/>
      </c>
      <c r="HK91" s="218" t="str">
        <f t="shared" si="643"/>
        <v/>
      </c>
      <c r="HL91" s="218" t="str">
        <f t="shared" si="644"/>
        <v/>
      </c>
      <c r="HN91" s="218" t="str">
        <f t="shared" si="645"/>
        <v/>
      </c>
      <c r="HO91" s="218" t="str">
        <f t="shared" si="646"/>
        <v/>
      </c>
      <c r="HP91" s="218" t="str">
        <f t="shared" si="647"/>
        <v/>
      </c>
      <c r="HR91" s="218" t="str">
        <f t="shared" si="648"/>
        <v/>
      </c>
      <c r="HS91" s="218" t="str">
        <f t="shared" si="649"/>
        <v/>
      </c>
      <c r="HT91" s="218" t="str">
        <f t="shared" si="650"/>
        <v/>
      </c>
      <c r="HU91" s="218" t="str">
        <f t="shared" si="651"/>
        <v/>
      </c>
      <c r="HV91" s="218" t="str">
        <f t="shared" si="652"/>
        <v/>
      </c>
      <c r="HW91" s="218" t="str">
        <f t="shared" si="653"/>
        <v/>
      </c>
      <c r="HX91" s="218" t="str">
        <f t="shared" si="654"/>
        <v/>
      </c>
      <c r="HY91" s="218" t="str">
        <f t="shared" si="655"/>
        <v/>
      </c>
      <c r="HZ91" s="218" t="str">
        <f t="shared" si="656"/>
        <v/>
      </c>
      <c r="IA91" s="218" t="str">
        <f t="shared" si="657"/>
        <v/>
      </c>
      <c r="IB91" s="218" t="str">
        <f t="shared" si="658"/>
        <v/>
      </c>
      <c r="IC91" s="218" t="str">
        <f t="shared" si="659"/>
        <v/>
      </c>
      <c r="ID91" s="218" t="str">
        <f t="shared" si="660"/>
        <v/>
      </c>
      <c r="IE91" s="218" t="str">
        <f t="shared" si="661"/>
        <v/>
      </c>
      <c r="IF91" s="218" t="str">
        <f t="shared" si="662"/>
        <v/>
      </c>
      <c r="IG91" s="218" t="str">
        <f t="shared" si="663"/>
        <v/>
      </c>
      <c r="IH91" s="218" t="str">
        <f t="shared" si="664"/>
        <v/>
      </c>
      <c r="II91" s="218" t="str">
        <f t="shared" si="665"/>
        <v/>
      </c>
      <c r="IJ91" s="218" t="str">
        <f t="shared" si="666"/>
        <v/>
      </c>
      <c r="IK91" s="218" t="str">
        <f t="shared" si="667"/>
        <v/>
      </c>
      <c r="IL91" s="218" t="str">
        <f t="shared" si="668"/>
        <v/>
      </c>
      <c r="IM91" s="218" t="str">
        <f t="shared" si="669"/>
        <v/>
      </c>
      <c r="IN91" s="218" t="str">
        <f t="shared" si="670"/>
        <v/>
      </c>
      <c r="IO91" s="218" t="str">
        <f t="shared" si="671"/>
        <v/>
      </c>
      <c r="IP91" s="218" t="str">
        <f t="shared" si="672"/>
        <v/>
      </c>
      <c r="IQ91" s="218" t="str">
        <f t="shared" si="673"/>
        <v/>
      </c>
      <c r="IR91" s="218" t="str">
        <f t="shared" si="674"/>
        <v/>
      </c>
      <c r="IS91" s="218" t="str">
        <f t="shared" si="675"/>
        <v/>
      </c>
      <c r="IT91" s="218" t="str">
        <f t="shared" si="676"/>
        <v/>
      </c>
      <c r="IU91" s="218" t="str">
        <f t="shared" si="677"/>
        <v/>
      </c>
    </row>
    <row r="92" spans="1:255" x14ac:dyDescent="0.2">
      <c r="A92" s="200" t="s">
        <v>95</v>
      </c>
      <c r="B92" s="188"/>
      <c r="C92" s="181"/>
      <c r="D92" s="181"/>
      <c r="E92" s="181"/>
      <c r="F92" s="181"/>
      <c r="G92" s="181"/>
      <c r="H92" s="181"/>
      <c r="I92" s="181"/>
      <c r="J92" s="181"/>
      <c r="K92" s="183"/>
      <c r="L92" s="217" t="str">
        <f t="shared" si="441"/>
        <v/>
      </c>
      <c r="M92" s="218" t="str">
        <f>'HKG vs. BK'!M92</f>
        <v/>
      </c>
      <c r="N92" s="218" t="str">
        <f>'HKG vs. BK'!N92</f>
        <v/>
      </c>
      <c r="O92" s="218" t="str">
        <f>'HKG vs. BK'!O92</f>
        <v/>
      </c>
      <c r="P92" s="218" t="str">
        <f>'HKG vs. BK'!P92</f>
        <v/>
      </c>
      <c r="Q92" s="219" t="str">
        <f t="shared" si="453"/>
        <v/>
      </c>
      <c r="R92" s="220" t="str">
        <f t="shared" si="454"/>
        <v/>
      </c>
      <c r="S92" s="220" t="str">
        <f t="shared" si="455"/>
        <v/>
      </c>
      <c r="T92" s="219" t="str">
        <f t="shared" si="456"/>
        <v/>
      </c>
      <c r="U92" s="220" t="str">
        <f t="shared" si="457"/>
        <v/>
      </c>
      <c r="V92" s="220" t="str">
        <f t="shared" si="458"/>
        <v/>
      </c>
      <c r="W92" s="219" t="str">
        <f t="shared" si="459"/>
        <v/>
      </c>
      <c r="X92" s="220" t="str">
        <f t="shared" si="460"/>
        <v/>
      </c>
      <c r="Y92" s="220" t="str">
        <f t="shared" si="461"/>
        <v/>
      </c>
      <c r="Z92" s="219" t="str">
        <f t="shared" si="462"/>
        <v/>
      </c>
      <c r="AA92" s="220" t="str">
        <f t="shared" si="463"/>
        <v/>
      </c>
      <c r="AB92" s="220" t="str">
        <f t="shared" si="464"/>
        <v/>
      </c>
      <c r="AC92" s="219" t="str">
        <f t="shared" si="465"/>
        <v/>
      </c>
      <c r="AD92" s="220" t="str">
        <f t="shared" si="466"/>
        <v/>
      </c>
      <c r="AE92" s="220" t="str">
        <f t="shared" si="467"/>
        <v/>
      </c>
      <c r="AF92" s="219" t="str">
        <f t="shared" si="468"/>
        <v/>
      </c>
      <c r="AG92" s="220" t="str">
        <f t="shared" si="469"/>
        <v/>
      </c>
      <c r="AH92" s="220" t="str">
        <f t="shared" si="470"/>
        <v/>
      </c>
      <c r="AI92" s="219" t="str">
        <f t="shared" si="471"/>
        <v/>
      </c>
      <c r="AJ92" s="220" t="str">
        <f t="shared" si="472"/>
        <v/>
      </c>
      <c r="AK92" s="220" t="str">
        <f t="shared" si="473"/>
        <v/>
      </c>
      <c r="AL92" s="219" t="str">
        <f t="shared" si="474"/>
        <v/>
      </c>
      <c r="AM92" s="220" t="str">
        <f t="shared" si="475"/>
        <v/>
      </c>
      <c r="AN92" s="220" t="str">
        <f t="shared" si="476"/>
        <v/>
      </c>
      <c r="AO92" s="219" t="str">
        <f t="shared" si="477"/>
        <v/>
      </c>
      <c r="AP92" s="220" t="str">
        <f t="shared" si="478"/>
        <v/>
      </c>
      <c r="AQ92" s="220" t="str">
        <f t="shared" si="479"/>
        <v/>
      </c>
      <c r="AR92" s="219" t="str">
        <f t="shared" si="480"/>
        <v/>
      </c>
      <c r="AS92" s="220" t="str">
        <f t="shared" si="481"/>
        <v/>
      </c>
      <c r="AT92" s="220" t="str">
        <f t="shared" si="482"/>
        <v/>
      </c>
      <c r="AU92" s="221"/>
      <c r="AV92" s="221"/>
      <c r="AW92" s="221"/>
      <c r="AY92" s="218" t="str">
        <f t="shared" si="483"/>
        <v/>
      </c>
      <c r="AZ92" s="218" t="str">
        <f t="shared" si="484"/>
        <v/>
      </c>
      <c r="BA92" s="218" t="str">
        <f t="shared" si="485"/>
        <v/>
      </c>
      <c r="BB92" s="218" t="str">
        <f t="shared" si="486"/>
        <v/>
      </c>
      <c r="BC92" s="218" t="str">
        <f t="shared" si="487"/>
        <v/>
      </c>
      <c r="BD92" s="218" t="str">
        <f t="shared" si="488"/>
        <v/>
      </c>
      <c r="BE92" s="218" t="str">
        <f t="shared" si="489"/>
        <v/>
      </c>
      <c r="BF92" s="218" t="str">
        <f t="shared" si="490"/>
        <v/>
      </c>
      <c r="BG92" s="218" t="str">
        <f t="shared" si="491"/>
        <v/>
      </c>
      <c r="BH92" s="218" t="str">
        <f t="shared" si="492"/>
        <v/>
      </c>
      <c r="BI92" s="218" t="str">
        <f t="shared" si="493"/>
        <v/>
      </c>
      <c r="BJ92" s="218" t="str">
        <f t="shared" si="494"/>
        <v/>
      </c>
      <c r="BK92" s="218" t="str">
        <f t="shared" si="495"/>
        <v/>
      </c>
      <c r="BL92" s="218" t="str">
        <f t="shared" si="496"/>
        <v/>
      </c>
      <c r="BM92" s="218" t="str">
        <f t="shared" si="497"/>
        <v/>
      </c>
      <c r="BN92" s="218" t="str">
        <f t="shared" si="498"/>
        <v/>
      </c>
      <c r="BO92" s="218" t="str">
        <f t="shared" si="499"/>
        <v/>
      </c>
      <c r="BP92" s="218" t="str">
        <f t="shared" si="500"/>
        <v/>
      </c>
      <c r="BQ92" s="218" t="str">
        <f t="shared" si="501"/>
        <v/>
      </c>
      <c r="BR92" s="218" t="str">
        <f t="shared" si="502"/>
        <v/>
      </c>
      <c r="BS92" s="218" t="str">
        <f t="shared" si="503"/>
        <v/>
      </c>
      <c r="BT92" s="218" t="str">
        <f t="shared" si="504"/>
        <v/>
      </c>
      <c r="BU92" s="218" t="str">
        <f t="shared" si="505"/>
        <v/>
      </c>
      <c r="BV92" s="218" t="str">
        <f t="shared" si="506"/>
        <v/>
      </c>
      <c r="BW92" s="218" t="str">
        <f t="shared" si="507"/>
        <v/>
      </c>
      <c r="BX92" s="218" t="str">
        <f t="shared" si="508"/>
        <v/>
      </c>
      <c r="BY92" s="218" t="str">
        <f t="shared" si="509"/>
        <v/>
      </c>
      <c r="BZ92" s="218" t="str">
        <f t="shared" si="510"/>
        <v/>
      </c>
      <c r="CA92" s="218" t="str">
        <f t="shared" si="511"/>
        <v/>
      </c>
      <c r="CB92" s="218" t="str">
        <f t="shared" si="512"/>
        <v/>
      </c>
      <c r="CD92" s="218" t="str">
        <f t="shared" si="513"/>
        <v/>
      </c>
      <c r="CE92" s="218" t="str">
        <f t="shared" si="514"/>
        <v/>
      </c>
      <c r="CF92" s="218" t="str">
        <f t="shared" si="515"/>
        <v/>
      </c>
      <c r="CG92" s="218" t="str">
        <f t="shared" si="516"/>
        <v/>
      </c>
      <c r="CH92" s="218" t="str">
        <f t="shared" si="517"/>
        <v/>
      </c>
      <c r="CI92" s="218" t="str">
        <f t="shared" si="518"/>
        <v/>
      </c>
      <c r="CJ92" s="218" t="str">
        <f t="shared" si="519"/>
        <v/>
      </c>
      <c r="CK92" s="218" t="str">
        <f t="shared" si="520"/>
        <v/>
      </c>
      <c r="CL92" s="218" t="str">
        <f t="shared" si="521"/>
        <v/>
      </c>
      <c r="CM92" s="218" t="str">
        <f t="shared" si="522"/>
        <v/>
      </c>
      <c r="CN92" s="218" t="str">
        <f t="shared" si="523"/>
        <v/>
      </c>
      <c r="CO92" s="218" t="str">
        <f t="shared" si="524"/>
        <v/>
      </c>
      <c r="CP92" s="218" t="str">
        <f t="shared" si="525"/>
        <v/>
      </c>
      <c r="CQ92" s="218" t="str">
        <f t="shared" si="526"/>
        <v/>
      </c>
      <c r="CR92" s="218" t="str">
        <f t="shared" si="527"/>
        <v/>
      </c>
      <c r="CS92" s="218" t="str">
        <f t="shared" si="528"/>
        <v/>
      </c>
      <c r="CT92" s="218" t="str">
        <f t="shared" si="529"/>
        <v/>
      </c>
      <c r="CU92" s="218" t="str">
        <f t="shared" si="530"/>
        <v/>
      </c>
      <c r="CV92" s="218" t="str">
        <f t="shared" si="531"/>
        <v/>
      </c>
      <c r="CW92" s="218" t="str">
        <f t="shared" si="532"/>
        <v/>
      </c>
      <c r="CX92" s="218" t="str">
        <f t="shared" si="533"/>
        <v/>
      </c>
      <c r="CY92" s="218" t="str">
        <f t="shared" si="534"/>
        <v/>
      </c>
      <c r="CZ92" s="218" t="str">
        <f t="shared" si="535"/>
        <v/>
      </c>
      <c r="DA92" s="218" t="str">
        <f t="shared" si="536"/>
        <v/>
      </c>
      <c r="DB92" s="218" t="str">
        <f t="shared" si="537"/>
        <v/>
      </c>
      <c r="DC92" s="218" t="str">
        <f t="shared" si="538"/>
        <v/>
      </c>
      <c r="DD92" s="218" t="str">
        <f t="shared" si="539"/>
        <v/>
      </c>
      <c r="DF92" s="218" t="str">
        <f t="shared" si="540"/>
        <v/>
      </c>
      <c r="DG92" s="218" t="str">
        <f t="shared" si="541"/>
        <v/>
      </c>
      <c r="DH92" s="218" t="str">
        <f t="shared" si="542"/>
        <v/>
      </c>
      <c r="DI92" s="218" t="str">
        <f t="shared" si="543"/>
        <v/>
      </c>
      <c r="DJ92" s="218" t="str">
        <f t="shared" si="544"/>
        <v/>
      </c>
      <c r="DK92" s="218" t="str">
        <f t="shared" si="545"/>
        <v/>
      </c>
      <c r="DL92" s="218" t="str">
        <f t="shared" si="546"/>
        <v/>
      </c>
      <c r="DM92" s="218" t="str">
        <f t="shared" si="547"/>
        <v/>
      </c>
      <c r="DN92" s="218" t="str">
        <f t="shared" si="548"/>
        <v/>
      </c>
      <c r="DO92" s="218" t="str">
        <f t="shared" si="549"/>
        <v/>
      </c>
      <c r="DP92" s="218" t="str">
        <f t="shared" si="550"/>
        <v/>
      </c>
      <c r="DQ92" s="218" t="str">
        <f t="shared" si="551"/>
        <v/>
      </c>
      <c r="DR92" s="218" t="str">
        <f t="shared" si="552"/>
        <v/>
      </c>
      <c r="DS92" s="218" t="str">
        <f t="shared" si="553"/>
        <v/>
      </c>
      <c r="DT92" s="218" t="str">
        <f t="shared" si="554"/>
        <v/>
      </c>
      <c r="DU92" s="218" t="str">
        <f t="shared" si="555"/>
        <v/>
      </c>
      <c r="DV92" s="218" t="str">
        <f t="shared" si="556"/>
        <v/>
      </c>
      <c r="DW92" s="218" t="str">
        <f t="shared" si="557"/>
        <v/>
      </c>
      <c r="DX92" s="218" t="str">
        <f t="shared" si="558"/>
        <v/>
      </c>
      <c r="DY92" s="218" t="str">
        <f t="shared" si="559"/>
        <v/>
      </c>
      <c r="DZ92" s="218" t="str">
        <f t="shared" si="560"/>
        <v/>
      </c>
      <c r="EA92" s="218" t="str">
        <f t="shared" si="561"/>
        <v/>
      </c>
      <c r="EB92" s="218" t="str">
        <f t="shared" si="562"/>
        <v/>
      </c>
      <c r="EC92" s="218" t="str">
        <f t="shared" si="563"/>
        <v/>
      </c>
      <c r="EE92" s="218" t="str">
        <f t="shared" si="564"/>
        <v/>
      </c>
      <c r="EF92" s="218" t="str">
        <f t="shared" si="565"/>
        <v/>
      </c>
      <c r="EG92" s="218" t="str">
        <f t="shared" si="566"/>
        <v/>
      </c>
      <c r="EH92" s="218" t="str">
        <f t="shared" si="567"/>
        <v/>
      </c>
      <c r="EI92" s="218" t="str">
        <f t="shared" si="568"/>
        <v/>
      </c>
      <c r="EJ92" s="218" t="str">
        <f t="shared" si="569"/>
        <v/>
      </c>
      <c r="EK92" s="218" t="str">
        <f t="shared" si="570"/>
        <v/>
      </c>
      <c r="EL92" s="218" t="str">
        <f t="shared" si="571"/>
        <v/>
      </c>
      <c r="EM92" s="218" t="str">
        <f t="shared" si="572"/>
        <v/>
      </c>
      <c r="EN92" s="218" t="str">
        <f t="shared" si="573"/>
        <v/>
      </c>
      <c r="EO92" s="218" t="str">
        <f t="shared" si="574"/>
        <v/>
      </c>
      <c r="EP92" s="218" t="str">
        <f t="shared" si="575"/>
        <v/>
      </c>
      <c r="EQ92" s="218" t="str">
        <f t="shared" si="576"/>
        <v/>
      </c>
      <c r="ER92" s="218" t="str">
        <f t="shared" si="577"/>
        <v/>
      </c>
      <c r="ES92" s="218" t="str">
        <f t="shared" si="578"/>
        <v/>
      </c>
      <c r="ET92" s="218" t="str">
        <f t="shared" si="579"/>
        <v/>
      </c>
      <c r="EU92" s="218" t="str">
        <f t="shared" si="580"/>
        <v/>
      </c>
      <c r="EV92" s="218" t="str">
        <f t="shared" si="581"/>
        <v/>
      </c>
      <c r="EW92" s="218" t="str">
        <f t="shared" si="582"/>
        <v/>
      </c>
      <c r="EX92" s="218" t="str">
        <f t="shared" si="583"/>
        <v/>
      </c>
      <c r="EY92" s="218" t="str">
        <f t="shared" si="584"/>
        <v/>
      </c>
      <c r="FA92" s="218" t="str">
        <f t="shared" si="585"/>
        <v/>
      </c>
      <c r="FB92" s="218" t="str">
        <f t="shared" si="586"/>
        <v/>
      </c>
      <c r="FC92" s="218" t="str">
        <f t="shared" si="587"/>
        <v/>
      </c>
      <c r="FD92" s="218" t="str">
        <f t="shared" si="588"/>
        <v/>
      </c>
      <c r="FE92" s="218" t="str">
        <f t="shared" si="589"/>
        <v/>
      </c>
      <c r="FF92" s="218" t="str">
        <f t="shared" si="590"/>
        <v/>
      </c>
      <c r="FG92" s="218" t="str">
        <f t="shared" si="591"/>
        <v/>
      </c>
      <c r="FH92" s="218" t="str">
        <f t="shared" si="592"/>
        <v/>
      </c>
      <c r="FI92" s="218" t="str">
        <f t="shared" si="593"/>
        <v/>
      </c>
      <c r="FJ92" s="218" t="str">
        <f t="shared" si="594"/>
        <v/>
      </c>
      <c r="FK92" s="218" t="str">
        <f t="shared" si="595"/>
        <v/>
      </c>
      <c r="FL92" s="218" t="str">
        <f t="shared" si="596"/>
        <v/>
      </c>
      <c r="FM92" s="218" t="str">
        <f t="shared" si="597"/>
        <v/>
      </c>
      <c r="FN92" s="218" t="str">
        <f t="shared" si="598"/>
        <v/>
      </c>
      <c r="FO92" s="218" t="str">
        <f t="shared" si="599"/>
        <v/>
      </c>
      <c r="FP92" s="218" t="str">
        <f t="shared" si="600"/>
        <v/>
      </c>
      <c r="FQ92" s="218" t="str">
        <f t="shared" si="601"/>
        <v/>
      </c>
      <c r="FR92" s="218" t="str">
        <f t="shared" si="602"/>
        <v/>
      </c>
      <c r="FT92" s="218" t="str">
        <f t="shared" si="603"/>
        <v/>
      </c>
      <c r="FU92" s="218" t="str">
        <f t="shared" si="604"/>
        <v/>
      </c>
      <c r="FV92" s="218" t="str">
        <f t="shared" si="605"/>
        <v/>
      </c>
      <c r="FW92" s="218" t="str">
        <f t="shared" si="606"/>
        <v/>
      </c>
      <c r="FX92" s="218" t="str">
        <f t="shared" si="607"/>
        <v/>
      </c>
      <c r="FY92" s="218" t="str">
        <f t="shared" si="608"/>
        <v/>
      </c>
      <c r="FZ92" s="218" t="str">
        <f t="shared" si="609"/>
        <v/>
      </c>
      <c r="GA92" s="218" t="str">
        <f t="shared" si="610"/>
        <v/>
      </c>
      <c r="GB92" s="218" t="str">
        <f t="shared" si="611"/>
        <v/>
      </c>
      <c r="GC92" s="218" t="str">
        <f t="shared" si="612"/>
        <v/>
      </c>
      <c r="GD92" s="218" t="str">
        <f t="shared" si="613"/>
        <v/>
      </c>
      <c r="GE92" s="218" t="str">
        <f t="shared" si="614"/>
        <v/>
      </c>
      <c r="GF92" s="218" t="str">
        <f t="shared" si="615"/>
        <v/>
      </c>
      <c r="GG92" s="218" t="str">
        <f t="shared" si="616"/>
        <v/>
      </c>
      <c r="GH92" s="218" t="str">
        <f t="shared" si="617"/>
        <v/>
      </c>
      <c r="GJ92" s="218" t="str">
        <f t="shared" si="618"/>
        <v/>
      </c>
      <c r="GK92" s="218" t="str">
        <f t="shared" si="619"/>
        <v/>
      </c>
      <c r="GL92" s="218" t="str">
        <f t="shared" si="620"/>
        <v/>
      </c>
      <c r="GM92" s="218" t="str">
        <f t="shared" si="621"/>
        <v/>
      </c>
      <c r="GN92" s="218" t="str">
        <f t="shared" si="622"/>
        <v/>
      </c>
      <c r="GO92" s="218" t="str">
        <f t="shared" si="623"/>
        <v/>
      </c>
      <c r="GP92" s="218" t="str">
        <f t="shared" si="624"/>
        <v/>
      </c>
      <c r="GQ92" s="218" t="str">
        <f t="shared" si="625"/>
        <v/>
      </c>
      <c r="GR92" s="218" t="str">
        <f t="shared" si="626"/>
        <v/>
      </c>
      <c r="GS92" s="218" t="str">
        <f t="shared" si="627"/>
        <v/>
      </c>
      <c r="GT92" s="218" t="str">
        <f t="shared" si="628"/>
        <v/>
      </c>
      <c r="GU92" s="218" t="str">
        <f t="shared" si="629"/>
        <v/>
      </c>
      <c r="GW92" s="218" t="str">
        <f t="shared" si="630"/>
        <v/>
      </c>
      <c r="GX92" s="218" t="str">
        <f t="shared" si="631"/>
        <v/>
      </c>
      <c r="GY92" s="218" t="str">
        <f t="shared" si="632"/>
        <v/>
      </c>
      <c r="GZ92" s="218" t="str">
        <f t="shared" si="633"/>
        <v/>
      </c>
      <c r="HA92" s="218" t="str">
        <f t="shared" si="634"/>
        <v/>
      </c>
      <c r="HB92" s="218" t="str">
        <f t="shared" si="635"/>
        <v/>
      </c>
      <c r="HC92" s="218" t="str">
        <f t="shared" si="636"/>
        <v/>
      </c>
      <c r="HD92" s="218" t="str">
        <f t="shared" si="637"/>
        <v/>
      </c>
      <c r="HE92" s="218" t="str">
        <f t="shared" si="638"/>
        <v/>
      </c>
      <c r="HG92" s="218" t="str">
        <f t="shared" si="639"/>
        <v/>
      </c>
      <c r="HH92" s="218" t="str">
        <f t="shared" si="640"/>
        <v/>
      </c>
      <c r="HI92" s="218" t="str">
        <f t="shared" si="641"/>
        <v/>
      </c>
      <c r="HJ92" s="218" t="str">
        <f t="shared" si="642"/>
        <v/>
      </c>
      <c r="HK92" s="218" t="str">
        <f t="shared" si="643"/>
        <v/>
      </c>
      <c r="HL92" s="218" t="str">
        <f t="shared" si="644"/>
        <v/>
      </c>
      <c r="HN92" s="218" t="str">
        <f t="shared" si="645"/>
        <v/>
      </c>
      <c r="HO92" s="218" t="str">
        <f t="shared" si="646"/>
        <v/>
      </c>
      <c r="HP92" s="218" t="str">
        <f t="shared" si="647"/>
        <v/>
      </c>
      <c r="HR92" s="218" t="str">
        <f t="shared" si="648"/>
        <v/>
      </c>
      <c r="HS92" s="218" t="str">
        <f t="shared" si="649"/>
        <v/>
      </c>
      <c r="HT92" s="218" t="str">
        <f t="shared" si="650"/>
        <v/>
      </c>
      <c r="HU92" s="218" t="str">
        <f t="shared" si="651"/>
        <v/>
      </c>
      <c r="HV92" s="218" t="str">
        <f t="shared" si="652"/>
        <v/>
      </c>
      <c r="HW92" s="218" t="str">
        <f t="shared" si="653"/>
        <v/>
      </c>
      <c r="HX92" s="218" t="str">
        <f t="shared" si="654"/>
        <v/>
      </c>
      <c r="HY92" s="218" t="str">
        <f t="shared" si="655"/>
        <v/>
      </c>
      <c r="HZ92" s="218" t="str">
        <f t="shared" si="656"/>
        <v/>
      </c>
      <c r="IA92" s="218" t="str">
        <f t="shared" si="657"/>
        <v/>
      </c>
      <c r="IB92" s="218" t="str">
        <f t="shared" si="658"/>
        <v/>
      </c>
      <c r="IC92" s="218" t="str">
        <f t="shared" si="659"/>
        <v/>
      </c>
      <c r="ID92" s="218" t="str">
        <f t="shared" si="660"/>
        <v/>
      </c>
      <c r="IE92" s="218" t="str">
        <f t="shared" si="661"/>
        <v/>
      </c>
      <c r="IF92" s="218" t="str">
        <f t="shared" si="662"/>
        <v/>
      </c>
      <c r="IG92" s="218" t="str">
        <f t="shared" si="663"/>
        <v/>
      </c>
      <c r="IH92" s="218" t="str">
        <f t="shared" si="664"/>
        <v/>
      </c>
      <c r="II92" s="218" t="str">
        <f t="shared" si="665"/>
        <v/>
      </c>
      <c r="IJ92" s="218" t="str">
        <f t="shared" si="666"/>
        <v/>
      </c>
      <c r="IK92" s="218" t="str">
        <f t="shared" si="667"/>
        <v/>
      </c>
      <c r="IL92" s="218" t="str">
        <f t="shared" si="668"/>
        <v/>
      </c>
      <c r="IM92" s="218" t="str">
        <f t="shared" si="669"/>
        <v/>
      </c>
      <c r="IN92" s="218" t="str">
        <f t="shared" si="670"/>
        <v/>
      </c>
      <c r="IO92" s="218" t="str">
        <f t="shared" si="671"/>
        <v/>
      </c>
      <c r="IP92" s="218" t="str">
        <f t="shared" si="672"/>
        <v/>
      </c>
      <c r="IQ92" s="218" t="str">
        <f t="shared" si="673"/>
        <v/>
      </c>
      <c r="IR92" s="218" t="str">
        <f t="shared" si="674"/>
        <v/>
      </c>
      <c r="IS92" s="218" t="str">
        <f t="shared" si="675"/>
        <v/>
      </c>
      <c r="IT92" s="218" t="str">
        <f t="shared" si="676"/>
        <v/>
      </c>
      <c r="IU92" s="218" t="str">
        <f t="shared" si="677"/>
        <v/>
      </c>
    </row>
    <row r="93" spans="1:255" x14ac:dyDescent="0.2">
      <c r="A93" s="200" t="s">
        <v>96</v>
      </c>
      <c r="B93" s="188"/>
      <c r="C93" s="181"/>
      <c r="D93" s="181"/>
      <c r="E93" s="181"/>
      <c r="F93" s="181"/>
      <c r="G93" s="181"/>
      <c r="H93" s="181"/>
      <c r="I93" s="181"/>
      <c r="J93" s="181"/>
      <c r="K93" s="183"/>
      <c r="L93" s="217" t="str">
        <f t="shared" si="441"/>
        <v/>
      </c>
      <c r="M93" s="218" t="str">
        <f>'HKG vs. BK'!M93</f>
        <v/>
      </c>
      <c r="N93" s="218" t="str">
        <f>'HKG vs. BK'!N93</f>
        <v/>
      </c>
      <c r="O93" s="218" t="str">
        <f>'HKG vs. BK'!O93</f>
        <v/>
      </c>
      <c r="P93" s="218" t="str">
        <f>'HKG vs. BK'!P93</f>
        <v/>
      </c>
      <c r="Q93" s="219" t="str">
        <f t="shared" si="453"/>
        <v/>
      </c>
      <c r="R93" s="220" t="str">
        <f t="shared" si="454"/>
        <v/>
      </c>
      <c r="S93" s="220" t="str">
        <f t="shared" si="455"/>
        <v/>
      </c>
      <c r="T93" s="219" t="str">
        <f t="shared" si="456"/>
        <v/>
      </c>
      <c r="U93" s="220" t="str">
        <f t="shared" si="457"/>
        <v/>
      </c>
      <c r="V93" s="220" t="str">
        <f t="shared" si="458"/>
        <v/>
      </c>
      <c r="W93" s="219" t="str">
        <f t="shared" si="459"/>
        <v/>
      </c>
      <c r="X93" s="220" t="str">
        <f t="shared" si="460"/>
        <v/>
      </c>
      <c r="Y93" s="220" t="str">
        <f t="shared" si="461"/>
        <v/>
      </c>
      <c r="Z93" s="219" t="str">
        <f t="shared" si="462"/>
        <v/>
      </c>
      <c r="AA93" s="220" t="str">
        <f t="shared" si="463"/>
        <v/>
      </c>
      <c r="AB93" s="220" t="str">
        <f t="shared" si="464"/>
        <v/>
      </c>
      <c r="AC93" s="219" t="str">
        <f t="shared" si="465"/>
        <v/>
      </c>
      <c r="AD93" s="220" t="str">
        <f t="shared" si="466"/>
        <v/>
      </c>
      <c r="AE93" s="220" t="str">
        <f t="shared" si="467"/>
        <v/>
      </c>
      <c r="AF93" s="219" t="str">
        <f t="shared" si="468"/>
        <v/>
      </c>
      <c r="AG93" s="220" t="str">
        <f t="shared" si="469"/>
        <v/>
      </c>
      <c r="AH93" s="220" t="str">
        <f t="shared" si="470"/>
        <v/>
      </c>
      <c r="AI93" s="219" t="str">
        <f t="shared" si="471"/>
        <v/>
      </c>
      <c r="AJ93" s="220" t="str">
        <f t="shared" si="472"/>
        <v/>
      </c>
      <c r="AK93" s="220" t="str">
        <f t="shared" si="473"/>
        <v/>
      </c>
      <c r="AL93" s="219" t="str">
        <f t="shared" si="474"/>
        <v/>
      </c>
      <c r="AM93" s="220" t="str">
        <f t="shared" si="475"/>
        <v/>
      </c>
      <c r="AN93" s="220" t="str">
        <f t="shared" si="476"/>
        <v/>
      </c>
      <c r="AO93" s="219" t="str">
        <f t="shared" si="477"/>
        <v/>
      </c>
      <c r="AP93" s="220" t="str">
        <f t="shared" si="478"/>
        <v/>
      </c>
      <c r="AQ93" s="220" t="str">
        <f t="shared" si="479"/>
        <v/>
      </c>
      <c r="AR93" s="219" t="str">
        <f t="shared" si="480"/>
        <v/>
      </c>
      <c r="AS93" s="220" t="str">
        <f t="shared" si="481"/>
        <v/>
      </c>
      <c r="AT93" s="220" t="str">
        <f t="shared" si="482"/>
        <v/>
      </c>
      <c r="AU93" s="221"/>
      <c r="AV93" s="221"/>
      <c r="AW93" s="221"/>
      <c r="AY93" s="218" t="str">
        <f t="shared" si="483"/>
        <v/>
      </c>
      <c r="AZ93" s="218" t="str">
        <f t="shared" si="484"/>
        <v/>
      </c>
      <c r="BA93" s="218" t="str">
        <f t="shared" si="485"/>
        <v/>
      </c>
      <c r="BB93" s="218" t="str">
        <f t="shared" si="486"/>
        <v/>
      </c>
      <c r="BC93" s="218" t="str">
        <f t="shared" si="487"/>
        <v/>
      </c>
      <c r="BD93" s="218" t="str">
        <f t="shared" si="488"/>
        <v/>
      </c>
      <c r="BE93" s="218" t="str">
        <f t="shared" si="489"/>
        <v/>
      </c>
      <c r="BF93" s="218" t="str">
        <f t="shared" si="490"/>
        <v/>
      </c>
      <c r="BG93" s="218" t="str">
        <f t="shared" si="491"/>
        <v/>
      </c>
      <c r="BH93" s="218" t="str">
        <f t="shared" si="492"/>
        <v/>
      </c>
      <c r="BI93" s="218" t="str">
        <f t="shared" si="493"/>
        <v/>
      </c>
      <c r="BJ93" s="218" t="str">
        <f t="shared" si="494"/>
        <v/>
      </c>
      <c r="BK93" s="218" t="str">
        <f t="shared" si="495"/>
        <v/>
      </c>
      <c r="BL93" s="218" t="str">
        <f t="shared" si="496"/>
        <v/>
      </c>
      <c r="BM93" s="218" t="str">
        <f t="shared" si="497"/>
        <v/>
      </c>
      <c r="BN93" s="218" t="str">
        <f t="shared" si="498"/>
        <v/>
      </c>
      <c r="BO93" s="218" t="str">
        <f t="shared" si="499"/>
        <v/>
      </c>
      <c r="BP93" s="218" t="str">
        <f t="shared" si="500"/>
        <v/>
      </c>
      <c r="BQ93" s="218" t="str">
        <f t="shared" si="501"/>
        <v/>
      </c>
      <c r="BR93" s="218" t="str">
        <f t="shared" si="502"/>
        <v/>
      </c>
      <c r="BS93" s="218" t="str">
        <f t="shared" si="503"/>
        <v/>
      </c>
      <c r="BT93" s="218" t="str">
        <f t="shared" si="504"/>
        <v/>
      </c>
      <c r="BU93" s="218" t="str">
        <f t="shared" si="505"/>
        <v/>
      </c>
      <c r="BV93" s="218" t="str">
        <f t="shared" si="506"/>
        <v/>
      </c>
      <c r="BW93" s="218" t="str">
        <f t="shared" si="507"/>
        <v/>
      </c>
      <c r="BX93" s="218" t="str">
        <f t="shared" si="508"/>
        <v/>
      </c>
      <c r="BY93" s="218" t="str">
        <f t="shared" si="509"/>
        <v/>
      </c>
      <c r="BZ93" s="218" t="str">
        <f t="shared" si="510"/>
        <v/>
      </c>
      <c r="CA93" s="218" t="str">
        <f t="shared" si="511"/>
        <v/>
      </c>
      <c r="CB93" s="218" t="str">
        <f t="shared" si="512"/>
        <v/>
      </c>
      <c r="CD93" s="218" t="str">
        <f t="shared" si="513"/>
        <v/>
      </c>
      <c r="CE93" s="218" t="str">
        <f t="shared" si="514"/>
        <v/>
      </c>
      <c r="CF93" s="218" t="str">
        <f t="shared" si="515"/>
        <v/>
      </c>
      <c r="CG93" s="218" t="str">
        <f t="shared" si="516"/>
        <v/>
      </c>
      <c r="CH93" s="218" t="str">
        <f t="shared" si="517"/>
        <v/>
      </c>
      <c r="CI93" s="218" t="str">
        <f t="shared" si="518"/>
        <v/>
      </c>
      <c r="CJ93" s="218" t="str">
        <f t="shared" si="519"/>
        <v/>
      </c>
      <c r="CK93" s="218" t="str">
        <f t="shared" si="520"/>
        <v/>
      </c>
      <c r="CL93" s="218" t="str">
        <f t="shared" si="521"/>
        <v/>
      </c>
      <c r="CM93" s="218" t="str">
        <f t="shared" si="522"/>
        <v/>
      </c>
      <c r="CN93" s="218" t="str">
        <f t="shared" si="523"/>
        <v/>
      </c>
      <c r="CO93" s="218" t="str">
        <f t="shared" si="524"/>
        <v/>
      </c>
      <c r="CP93" s="218" t="str">
        <f t="shared" si="525"/>
        <v/>
      </c>
      <c r="CQ93" s="218" t="str">
        <f t="shared" si="526"/>
        <v/>
      </c>
      <c r="CR93" s="218" t="str">
        <f t="shared" si="527"/>
        <v/>
      </c>
      <c r="CS93" s="218" t="str">
        <f t="shared" si="528"/>
        <v/>
      </c>
      <c r="CT93" s="218" t="str">
        <f t="shared" si="529"/>
        <v/>
      </c>
      <c r="CU93" s="218" t="str">
        <f t="shared" si="530"/>
        <v/>
      </c>
      <c r="CV93" s="218" t="str">
        <f t="shared" si="531"/>
        <v/>
      </c>
      <c r="CW93" s="218" t="str">
        <f t="shared" si="532"/>
        <v/>
      </c>
      <c r="CX93" s="218" t="str">
        <f t="shared" si="533"/>
        <v/>
      </c>
      <c r="CY93" s="218" t="str">
        <f t="shared" si="534"/>
        <v/>
      </c>
      <c r="CZ93" s="218" t="str">
        <f t="shared" si="535"/>
        <v/>
      </c>
      <c r="DA93" s="218" t="str">
        <f t="shared" si="536"/>
        <v/>
      </c>
      <c r="DB93" s="218" t="str">
        <f t="shared" si="537"/>
        <v/>
      </c>
      <c r="DC93" s="218" t="str">
        <f t="shared" si="538"/>
        <v/>
      </c>
      <c r="DD93" s="218" t="str">
        <f t="shared" si="539"/>
        <v/>
      </c>
      <c r="DF93" s="218" t="str">
        <f t="shared" si="540"/>
        <v/>
      </c>
      <c r="DG93" s="218" t="str">
        <f t="shared" si="541"/>
        <v/>
      </c>
      <c r="DH93" s="218" t="str">
        <f t="shared" si="542"/>
        <v/>
      </c>
      <c r="DI93" s="218" t="str">
        <f t="shared" si="543"/>
        <v/>
      </c>
      <c r="DJ93" s="218" t="str">
        <f t="shared" si="544"/>
        <v/>
      </c>
      <c r="DK93" s="218" t="str">
        <f t="shared" si="545"/>
        <v/>
      </c>
      <c r="DL93" s="218" t="str">
        <f t="shared" si="546"/>
        <v/>
      </c>
      <c r="DM93" s="218" t="str">
        <f t="shared" si="547"/>
        <v/>
      </c>
      <c r="DN93" s="218" t="str">
        <f t="shared" si="548"/>
        <v/>
      </c>
      <c r="DO93" s="218" t="str">
        <f t="shared" si="549"/>
        <v/>
      </c>
      <c r="DP93" s="218" t="str">
        <f t="shared" si="550"/>
        <v/>
      </c>
      <c r="DQ93" s="218" t="str">
        <f t="shared" si="551"/>
        <v/>
      </c>
      <c r="DR93" s="218" t="str">
        <f t="shared" si="552"/>
        <v/>
      </c>
      <c r="DS93" s="218" t="str">
        <f t="shared" si="553"/>
        <v/>
      </c>
      <c r="DT93" s="218" t="str">
        <f t="shared" si="554"/>
        <v/>
      </c>
      <c r="DU93" s="218" t="str">
        <f t="shared" si="555"/>
        <v/>
      </c>
      <c r="DV93" s="218" t="str">
        <f t="shared" si="556"/>
        <v/>
      </c>
      <c r="DW93" s="218" t="str">
        <f t="shared" si="557"/>
        <v/>
      </c>
      <c r="DX93" s="218" t="str">
        <f t="shared" si="558"/>
        <v/>
      </c>
      <c r="DY93" s="218" t="str">
        <f t="shared" si="559"/>
        <v/>
      </c>
      <c r="DZ93" s="218" t="str">
        <f t="shared" si="560"/>
        <v/>
      </c>
      <c r="EA93" s="218" t="str">
        <f t="shared" si="561"/>
        <v/>
      </c>
      <c r="EB93" s="218" t="str">
        <f t="shared" si="562"/>
        <v/>
      </c>
      <c r="EC93" s="218" t="str">
        <f t="shared" si="563"/>
        <v/>
      </c>
      <c r="EE93" s="218" t="str">
        <f t="shared" si="564"/>
        <v/>
      </c>
      <c r="EF93" s="218" t="str">
        <f t="shared" si="565"/>
        <v/>
      </c>
      <c r="EG93" s="218" t="str">
        <f t="shared" si="566"/>
        <v/>
      </c>
      <c r="EH93" s="218" t="str">
        <f t="shared" si="567"/>
        <v/>
      </c>
      <c r="EI93" s="218" t="str">
        <f t="shared" si="568"/>
        <v/>
      </c>
      <c r="EJ93" s="218" t="str">
        <f t="shared" si="569"/>
        <v/>
      </c>
      <c r="EK93" s="218" t="str">
        <f t="shared" si="570"/>
        <v/>
      </c>
      <c r="EL93" s="218" t="str">
        <f t="shared" si="571"/>
        <v/>
      </c>
      <c r="EM93" s="218" t="str">
        <f t="shared" si="572"/>
        <v/>
      </c>
      <c r="EN93" s="218" t="str">
        <f t="shared" si="573"/>
        <v/>
      </c>
      <c r="EO93" s="218" t="str">
        <f t="shared" si="574"/>
        <v/>
      </c>
      <c r="EP93" s="218" t="str">
        <f t="shared" si="575"/>
        <v/>
      </c>
      <c r="EQ93" s="218" t="str">
        <f t="shared" si="576"/>
        <v/>
      </c>
      <c r="ER93" s="218" t="str">
        <f t="shared" si="577"/>
        <v/>
      </c>
      <c r="ES93" s="218" t="str">
        <f t="shared" si="578"/>
        <v/>
      </c>
      <c r="ET93" s="218" t="str">
        <f t="shared" si="579"/>
        <v/>
      </c>
      <c r="EU93" s="218" t="str">
        <f t="shared" si="580"/>
        <v/>
      </c>
      <c r="EV93" s="218" t="str">
        <f t="shared" si="581"/>
        <v/>
      </c>
      <c r="EW93" s="218" t="str">
        <f t="shared" si="582"/>
        <v/>
      </c>
      <c r="EX93" s="218" t="str">
        <f t="shared" si="583"/>
        <v/>
      </c>
      <c r="EY93" s="218" t="str">
        <f t="shared" si="584"/>
        <v/>
      </c>
      <c r="FA93" s="218" t="str">
        <f t="shared" si="585"/>
        <v/>
      </c>
      <c r="FB93" s="218" t="str">
        <f t="shared" si="586"/>
        <v/>
      </c>
      <c r="FC93" s="218" t="str">
        <f t="shared" si="587"/>
        <v/>
      </c>
      <c r="FD93" s="218" t="str">
        <f t="shared" si="588"/>
        <v/>
      </c>
      <c r="FE93" s="218" t="str">
        <f t="shared" si="589"/>
        <v/>
      </c>
      <c r="FF93" s="218" t="str">
        <f t="shared" si="590"/>
        <v/>
      </c>
      <c r="FG93" s="218" t="str">
        <f t="shared" si="591"/>
        <v/>
      </c>
      <c r="FH93" s="218" t="str">
        <f t="shared" si="592"/>
        <v/>
      </c>
      <c r="FI93" s="218" t="str">
        <f t="shared" si="593"/>
        <v/>
      </c>
      <c r="FJ93" s="218" t="str">
        <f t="shared" si="594"/>
        <v/>
      </c>
      <c r="FK93" s="218" t="str">
        <f t="shared" si="595"/>
        <v/>
      </c>
      <c r="FL93" s="218" t="str">
        <f t="shared" si="596"/>
        <v/>
      </c>
      <c r="FM93" s="218" t="str">
        <f t="shared" si="597"/>
        <v/>
      </c>
      <c r="FN93" s="218" t="str">
        <f t="shared" si="598"/>
        <v/>
      </c>
      <c r="FO93" s="218" t="str">
        <f t="shared" si="599"/>
        <v/>
      </c>
      <c r="FP93" s="218" t="str">
        <f t="shared" si="600"/>
        <v/>
      </c>
      <c r="FQ93" s="218" t="str">
        <f t="shared" si="601"/>
        <v/>
      </c>
      <c r="FR93" s="218" t="str">
        <f t="shared" si="602"/>
        <v/>
      </c>
      <c r="FT93" s="218" t="str">
        <f t="shared" si="603"/>
        <v/>
      </c>
      <c r="FU93" s="218" t="str">
        <f t="shared" si="604"/>
        <v/>
      </c>
      <c r="FV93" s="218" t="str">
        <f t="shared" si="605"/>
        <v/>
      </c>
      <c r="FW93" s="218" t="str">
        <f t="shared" si="606"/>
        <v/>
      </c>
      <c r="FX93" s="218" t="str">
        <f t="shared" si="607"/>
        <v/>
      </c>
      <c r="FY93" s="218" t="str">
        <f t="shared" si="608"/>
        <v/>
      </c>
      <c r="FZ93" s="218" t="str">
        <f t="shared" si="609"/>
        <v/>
      </c>
      <c r="GA93" s="218" t="str">
        <f t="shared" si="610"/>
        <v/>
      </c>
      <c r="GB93" s="218" t="str">
        <f t="shared" si="611"/>
        <v/>
      </c>
      <c r="GC93" s="218" t="str">
        <f t="shared" si="612"/>
        <v/>
      </c>
      <c r="GD93" s="218" t="str">
        <f t="shared" si="613"/>
        <v/>
      </c>
      <c r="GE93" s="218" t="str">
        <f t="shared" si="614"/>
        <v/>
      </c>
      <c r="GF93" s="218" t="str">
        <f t="shared" si="615"/>
        <v/>
      </c>
      <c r="GG93" s="218" t="str">
        <f t="shared" si="616"/>
        <v/>
      </c>
      <c r="GH93" s="218" t="str">
        <f t="shared" si="617"/>
        <v/>
      </c>
      <c r="GJ93" s="218" t="str">
        <f t="shared" si="618"/>
        <v/>
      </c>
      <c r="GK93" s="218" t="str">
        <f t="shared" si="619"/>
        <v/>
      </c>
      <c r="GL93" s="218" t="str">
        <f t="shared" si="620"/>
        <v/>
      </c>
      <c r="GM93" s="218" t="str">
        <f t="shared" si="621"/>
        <v/>
      </c>
      <c r="GN93" s="218" t="str">
        <f t="shared" si="622"/>
        <v/>
      </c>
      <c r="GO93" s="218" t="str">
        <f t="shared" si="623"/>
        <v/>
      </c>
      <c r="GP93" s="218" t="str">
        <f t="shared" si="624"/>
        <v/>
      </c>
      <c r="GQ93" s="218" t="str">
        <f t="shared" si="625"/>
        <v/>
      </c>
      <c r="GR93" s="218" t="str">
        <f t="shared" si="626"/>
        <v/>
      </c>
      <c r="GS93" s="218" t="str">
        <f t="shared" si="627"/>
        <v/>
      </c>
      <c r="GT93" s="218" t="str">
        <f t="shared" si="628"/>
        <v/>
      </c>
      <c r="GU93" s="218" t="str">
        <f t="shared" si="629"/>
        <v/>
      </c>
      <c r="GW93" s="218" t="str">
        <f t="shared" si="630"/>
        <v/>
      </c>
      <c r="GX93" s="218" t="str">
        <f t="shared" si="631"/>
        <v/>
      </c>
      <c r="GY93" s="218" t="str">
        <f t="shared" si="632"/>
        <v/>
      </c>
      <c r="GZ93" s="218" t="str">
        <f t="shared" si="633"/>
        <v/>
      </c>
      <c r="HA93" s="218" t="str">
        <f t="shared" si="634"/>
        <v/>
      </c>
      <c r="HB93" s="218" t="str">
        <f t="shared" si="635"/>
        <v/>
      </c>
      <c r="HC93" s="218" t="str">
        <f t="shared" si="636"/>
        <v/>
      </c>
      <c r="HD93" s="218" t="str">
        <f t="shared" si="637"/>
        <v/>
      </c>
      <c r="HE93" s="218" t="str">
        <f t="shared" si="638"/>
        <v/>
      </c>
      <c r="HG93" s="218" t="str">
        <f t="shared" si="639"/>
        <v/>
      </c>
      <c r="HH93" s="218" t="str">
        <f t="shared" si="640"/>
        <v/>
      </c>
      <c r="HI93" s="218" t="str">
        <f t="shared" si="641"/>
        <v/>
      </c>
      <c r="HJ93" s="218" t="str">
        <f t="shared" si="642"/>
        <v/>
      </c>
      <c r="HK93" s="218" t="str">
        <f t="shared" si="643"/>
        <v/>
      </c>
      <c r="HL93" s="218" t="str">
        <f t="shared" si="644"/>
        <v/>
      </c>
      <c r="HN93" s="218" t="str">
        <f t="shared" si="645"/>
        <v/>
      </c>
      <c r="HO93" s="218" t="str">
        <f t="shared" si="646"/>
        <v/>
      </c>
      <c r="HP93" s="218" t="str">
        <f t="shared" si="647"/>
        <v/>
      </c>
      <c r="HR93" s="218" t="str">
        <f t="shared" si="648"/>
        <v/>
      </c>
      <c r="HS93" s="218" t="str">
        <f t="shared" si="649"/>
        <v/>
      </c>
      <c r="HT93" s="218" t="str">
        <f t="shared" si="650"/>
        <v/>
      </c>
      <c r="HU93" s="218" t="str">
        <f t="shared" si="651"/>
        <v/>
      </c>
      <c r="HV93" s="218" t="str">
        <f t="shared" si="652"/>
        <v/>
      </c>
      <c r="HW93" s="218" t="str">
        <f t="shared" si="653"/>
        <v/>
      </c>
      <c r="HX93" s="218" t="str">
        <f t="shared" si="654"/>
        <v/>
      </c>
      <c r="HY93" s="218" t="str">
        <f t="shared" si="655"/>
        <v/>
      </c>
      <c r="HZ93" s="218" t="str">
        <f t="shared" si="656"/>
        <v/>
      </c>
      <c r="IA93" s="218" t="str">
        <f t="shared" si="657"/>
        <v/>
      </c>
      <c r="IB93" s="218" t="str">
        <f t="shared" si="658"/>
        <v/>
      </c>
      <c r="IC93" s="218" t="str">
        <f t="shared" si="659"/>
        <v/>
      </c>
      <c r="ID93" s="218" t="str">
        <f t="shared" si="660"/>
        <v/>
      </c>
      <c r="IE93" s="218" t="str">
        <f t="shared" si="661"/>
        <v/>
      </c>
      <c r="IF93" s="218" t="str">
        <f t="shared" si="662"/>
        <v/>
      </c>
      <c r="IG93" s="218" t="str">
        <f t="shared" si="663"/>
        <v/>
      </c>
      <c r="IH93" s="218" t="str">
        <f t="shared" si="664"/>
        <v/>
      </c>
      <c r="II93" s="218" t="str">
        <f t="shared" si="665"/>
        <v/>
      </c>
      <c r="IJ93" s="218" t="str">
        <f t="shared" si="666"/>
        <v/>
      </c>
      <c r="IK93" s="218" t="str">
        <f t="shared" si="667"/>
        <v/>
      </c>
      <c r="IL93" s="218" t="str">
        <f t="shared" si="668"/>
        <v/>
      </c>
      <c r="IM93" s="218" t="str">
        <f t="shared" si="669"/>
        <v/>
      </c>
      <c r="IN93" s="218" t="str">
        <f t="shared" si="670"/>
        <v/>
      </c>
      <c r="IO93" s="218" t="str">
        <f t="shared" si="671"/>
        <v/>
      </c>
      <c r="IP93" s="218" t="str">
        <f t="shared" si="672"/>
        <v/>
      </c>
      <c r="IQ93" s="218" t="str">
        <f t="shared" si="673"/>
        <v/>
      </c>
      <c r="IR93" s="218" t="str">
        <f t="shared" si="674"/>
        <v/>
      </c>
      <c r="IS93" s="218" t="str">
        <f t="shared" si="675"/>
        <v/>
      </c>
      <c r="IT93" s="218" t="str">
        <f t="shared" si="676"/>
        <v/>
      </c>
      <c r="IU93" s="218" t="str">
        <f t="shared" si="677"/>
        <v/>
      </c>
    </row>
    <row r="94" spans="1:255" x14ac:dyDescent="0.2">
      <c r="A94" s="200" t="s">
        <v>97</v>
      </c>
      <c r="B94" s="188"/>
      <c r="C94" s="181"/>
      <c r="D94" s="181"/>
      <c r="E94" s="181"/>
      <c r="F94" s="181"/>
      <c r="G94" s="181"/>
      <c r="H94" s="181"/>
      <c r="I94" s="181"/>
      <c r="J94" s="181"/>
      <c r="K94" s="183"/>
      <c r="L94" s="217" t="str">
        <f t="shared" si="441"/>
        <v/>
      </c>
      <c r="M94" s="218" t="str">
        <f>'HKG vs. BK'!M94</f>
        <v/>
      </c>
      <c r="N94" s="218" t="str">
        <f>'HKG vs. BK'!N94</f>
        <v/>
      </c>
      <c r="O94" s="218" t="str">
        <f>'HKG vs. BK'!O94</f>
        <v/>
      </c>
      <c r="P94" s="218" t="str">
        <f>'HKG vs. BK'!P94</f>
        <v/>
      </c>
      <c r="Q94" s="219" t="str">
        <f t="shared" si="453"/>
        <v/>
      </c>
      <c r="R94" s="220" t="str">
        <f t="shared" si="454"/>
        <v/>
      </c>
      <c r="S94" s="220" t="str">
        <f t="shared" si="455"/>
        <v/>
      </c>
      <c r="T94" s="219" t="str">
        <f t="shared" si="456"/>
        <v/>
      </c>
      <c r="U94" s="220" t="str">
        <f t="shared" si="457"/>
        <v/>
      </c>
      <c r="V94" s="220" t="str">
        <f t="shared" si="458"/>
        <v/>
      </c>
      <c r="W94" s="219" t="str">
        <f t="shared" si="459"/>
        <v/>
      </c>
      <c r="X94" s="220" t="str">
        <f t="shared" si="460"/>
        <v/>
      </c>
      <c r="Y94" s="220" t="str">
        <f t="shared" si="461"/>
        <v/>
      </c>
      <c r="Z94" s="219" t="str">
        <f t="shared" si="462"/>
        <v/>
      </c>
      <c r="AA94" s="220" t="str">
        <f t="shared" si="463"/>
        <v/>
      </c>
      <c r="AB94" s="220" t="str">
        <f t="shared" si="464"/>
        <v/>
      </c>
      <c r="AC94" s="219" t="str">
        <f t="shared" si="465"/>
        <v/>
      </c>
      <c r="AD94" s="220" t="str">
        <f t="shared" si="466"/>
        <v/>
      </c>
      <c r="AE94" s="220" t="str">
        <f t="shared" si="467"/>
        <v/>
      </c>
      <c r="AF94" s="219" t="str">
        <f t="shared" si="468"/>
        <v/>
      </c>
      <c r="AG94" s="220" t="str">
        <f t="shared" si="469"/>
        <v/>
      </c>
      <c r="AH94" s="220" t="str">
        <f t="shared" si="470"/>
        <v/>
      </c>
      <c r="AI94" s="219" t="str">
        <f t="shared" si="471"/>
        <v/>
      </c>
      <c r="AJ94" s="220" t="str">
        <f t="shared" si="472"/>
        <v/>
      </c>
      <c r="AK94" s="220" t="str">
        <f t="shared" si="473"/>
        <v/>
      </c>
      <c r="AL94" s="219" t="str">
        <f t="shared" si="474"/>
        <v/>
      </c>
      <c r="AM94" s="220" t="str">
        <f t="shared" si="475"/>
        <v/>
      </c>
      <c r="AN94" s="220" t="str">
        <f t="shared" si="476"/>
        <v/>
      </c>
      <c r="AO94" s="219" t="str">
        <f t="shared" si="477"/>
        <v/>
      </c>
      <c r="AP94" s="220" t="str">
        <f t="shared" si="478"/>
        <v/>
      </c>
      <c r="AQ94" s="220" t="str">
        <f t="shared" si="479"/>
        <v/>
      </c>
      <c r="AR94" s="219" t="str">
        <f t="shared" si="480"/>
        <v/>
      </c>
      <c r="AS94" s="220" t="str">
        <f t="shared" si="481"/>
        <v/>
      </c>
      <c r="AT94" s="220" t="str">
        <f t="shared" si="482"/>
        <v/>
      </c>
      <c r="AU94" s="221"/>
      <c r="AV94" s="221"/>
      <c r="AW94" s="221"/>
      <c r="AY94" s="218" t="str">
        <f t="shared" si="483"/>
        <v/>
      </c>
      <c r="AZ94" s="218" t="str">
        <f t="shared" si="484"/>
        <v/>
      </c>
      <c r="BA94" s="218" t="str">
        <f t="shared" si="485"/>
        <v/>
      </c>
      <c r="BB94" s="218" t="str">
        <f t="shared" si="486"/>
        <v/>
      </c>
      <c r="BC94" s="218" t="str">
        <f t="shared" si="487"/>
        <v/>
      </c>
      <c r="BD94" s="218" t="str">
        <f t="shared" si="488"/>
        <v/>
      </c>
      <c r="BE94" s="218" t="str">
        <f t="shared" si="489"/>
        <v/>
      </c>
      <c r="BF94" s="218" t="str">
        <f t="shared" si="490"/>
        <v/>
      </c>
      <c r="BG94" s="218" t="str">
        <f t="shared" si="491"/>
        <v/>
      </c>
      <c r="BH94" s="218" t="str">
        <f t="shared" si="492"/>
        <v/>
      </c>
      <c r="BI94" s="218" t="str">
        <f t="shared" si="493"/>
        <v/>
      </c>
      <c r="BJ94" s="218" t="str">
        <f t="shared" si="494"/>
        <v/>
      </c>
      <c r="BK94" s="218" t="str">
        <f t="shared" si="495"/>
        <v/>
      </c>
      <c r="BL94" s="218" t="str">
        <f t="shared" si="496"/>
        <v/>
      </c>
      <c r="BM94" s="218" t="str">
        <f t="shared" si="497"/>
        <v/>
      </c>
      <c r="BN94" s="218" t="str">
        <f t="shared" si="498"/>
        <v/>
      </c>
      <c r="BO94" s="218" t="str">
        <f t="shared" si="499"/>
        <v/>
      </c>
      <c r="BP94" s="218" t="str">
        <f t="shared" si="500"/>
        <v/>
      </c>
      <c r="BQ94" s="218" t="str">
        <f t="shared" si="501"/>
        <v/>
      </c>
      <c r="BR94" s="218" t="str">
        <f t="shared" si="502"/>
        <v/>
      </c>
      <c r="BS94" s="218" t="str">
        <f t="shared" si="503"/>
        <v/>
      </c>
      <c r="BT94" s="218" t="str">
        <f t="shared" si="504"/>
        <v/>
      </c>
      <c r="BU94" s="218" t="str">
        <f t="shared" si="505"/>
        <v/>
      </c>
      <c r="BV94" s="218" t="str">
        <f t="shared" si="506"/>
        <v/>
      </c>
      <c r="BW94" s="218" t="str">
        <f t="shared" si="507"/>
        <v/>
      </c>
      <c r="BX94" s="218" t="str">
        <f t="shared" si="508"/>
        <v/>
      </c>
      <c r="BY94" s="218" t="str">
        <f t="shared" si="509"/>
        <v/>
      </c>
      <c r="BZ94" s="218" t="str">
        <f t="shared" si="510"/>
        <v/>
      </c>
      <c r="CA94" s="218" t="str">
        <f t="shared" si="511"/>
        <v/>
      </c>
      <c r="CB94" s="218" t="str">
        <f t="shared" si="512"/>
        <v/>
      </c>
      <c r="CD94" s="218" t="str">
        <f t="shared" si="513"/>
        <v/>
      </c>
      <c r="CE94" s="218" t="str">
        <f t="shared" si="514"/>
        <v/>
      </c>
      <c r="CF94" s="218" t="str">
        <f t="shared" si="515"/>
        <v/>
      </c>
      <c r="CG94" s="218" t="str">
        <f t="shared" si="516"/>
        <v/>
      </c>
      <c r="CH94" s="218" t="str">
        <f t="shared" si="517"/>
        <v/>
      </c>
      <c r="CI94" s="218" t="str">
        <f t="shared" si="518"/>
        <v/>
      </c>
      <c r="CJ94" s="218" t="str">
        <f t="shared" si="519"/>
        <v/>
      </c>
      <c r="CK94" s="218" t="str">
        <f t="shared" si="520"/>
        <v/>
      </c>
      <c r="CL94" s="218" t="str">
        <f t="shared" si="521"/>
        <v/>
      </c>
      <c r="CM94" s="218" t="str">
        <f t="shared" si="522"/>
        <v/>
      </c>
      <c r="CN94" s="218" t="str">
        <f t="shared" si="523"/>
        <v/>
      </c>
      <c r="CO94" s="218" t="str">
        <f t="shared" si="524"/>
        <v/>
      </c>
      <c r="CP94" s="218" t="str">
        <f t="shared" si="525"/>
        <v/>
      </c>
      <c r="CQ94" s="218" t="str">
        <f t="shared" si="526"/>
        <v/>
      </c>
      <c r="CR94" s="218" t="str">
        <f t="shared" si="527"/>
        <v/>
      </c>
      <c r="CS94" s="218" t="str">
        <f t="shared" si="528"/>
        <v/>
      </c>
      <c r="CT94" s="218" t="str">
        <f t="shared" si="529"/>
        <v/>
      </c>
      <c r="CU94" s="218" t="str">
        <f t="shared" si="530"/>
        <v/>
      </c>
      <c r="CV94" s="218" t="str">
        <f t="shared" si="531"/>
        <v/>
      </c>
      <c r="CW94" s="218" t="str">
        <f t="shared" si="532"/>
        <v/>
      </c>
      <c r="CX94" s="218" t="str">
        <f t="shared" si="533"/>
        <v/>
      </c>
      <c r="CY94" s="218" t="str">
        <f t="shared" si="534"/>
        <v/>
      </c>
      <c r="CZ94" s="218" t="str">
        <f t="shared" si="535"/>
        <v/>
      </c>
      <c r="DA94" s="218" t="str">
        <f t="shared" si="536"/>
        <v/>
      </c>
      <c r="DB94" s="218" t="str">
        <f t="shared" si="537"/>
        <v/>
      </c>
      <c r="DC94" s="218" t="str">
        <f t="shared" si="538"/>
        <v/>
      </c>
      <c r="DD94" s="218" t="str">
        <f t="shared" si="539"/>
        <v/>
      </c>
      <c r="DF94" s="218" t="str">
        <f t="shared" si="540"/>
        <v/>
      </c>
      <c r="DG94" s="218" t="str">
        <f t="shared" si="541"/>
        <v/>
      </c>
      <c r="DH94" s="218" t="str">
        <f t="shared" si="542"/>
        <v/>
      </c>
      <c r="DI94" s="218" t="str">
        <f t="shared" si="543"/>
        <v/>
      </c>
      <c r="DJ94" s="218" t="str">
        <f t="shared" si="544"/>
        <v/>
      </c>
      <c r="DK94" s="218" t="str">
        <f t="shared" si="545"/>
        <v/>
      </c>
      <c r="DL94" s="218" t="str">
        <f t="shared" si="546"/>
        <v/>
      </c>
      <c r="DM94" s="218" t="str">
        <f t="shared" si="547"/>
        <v/>
      </c>
      <c r="DN94" s="218" t="str">
        <f t="shared" si="548"/>
        <v/>
      </c>
      <c r="DO94" s="218" t="str">
        <f t="shared" si="549"/>
        <v/>
      </c>
      <c r="DP94" s="218" t="str">
        <f t="shared" si="550"/>
        <v/>
      </c>
      <c r="DQ94" s="218" t="str">
        <f t="shared" si="551"/>
        <v/>
      </c>
      <c r="DR94" s="218" t="str">
        <f t="shared" si="552"/>
        <v/>
      </c>
      <c r="DS94" s="218" t="str">
        <f t="shared" si="553"/>
        <v/>
      </c>
      <c r="DT94" s="218" t="str">
        <f t="shared" si="554"/>
        <v/>
      </c>
      <c r="DU94" s="218" t="str">
        <f t="shared" si="555"/>
        <v/>
      </c>
      <c r="DV94" s="218" t="str">
        <f t="shared" si="556"/>
        <v/>
      </c>
      <c r="DW94" s="218" t="str">
        <f t="shared" si="557"/>
        <v/>
      </c>
      <c r="DX94" s="218" t="str">
        <f t="shared" si="558"/>
        <v/>
      </c>
      <c r="DY94" s="218" t="str">
        <f t="shared" si="559"/>
        <v/>
      </c>
      <c r="DZ94" s="218" t="str">
        <f t="shared" si="560"/>
        <v/>
      </c>
      <c r="EA94" s="218" t="str">
        <f t="shared" si="561"/>
        <v/>
      </c>
      <c r="EB94" s="218" t="str">
        <f t="shared" si="562"/>
        <v/>
      </c>
      <c r="EC94" s="218" t="str">
        <f t="shared" si="563"/>
        <v/>
      </c>
      <c r="EE94" s="218" t="str">
        <f t="shared" si="564"/>
        <v/>
      </c>
      <c r="EF94" s="218" t="str">
        <f t="shared" si="565"/>
        <v/>
      </c>
      <c r="EG94" s="218" t="str">
        <f t="shared" si="566"/>
        <v/>
      </c>
      <c r="EH94" s="218" t="str">
        <f t="shared" si="567"/>
        <v/>
      </c>
      <c r="EI94" s="218" t="str">
        <f t="shared" si="568"/>
        <v/>
      </c>
      <c r="EJ94" s="218" t="str">
        <f t="shared" si="569"/>
        <v/>
      </c>
      <c r="EK94" s="218" t="str">
        <f t="shared" si="570"/>
        <v/>
      </c>
      <c r="EL94" s="218" t="str">
        <f t="shared" si="571"/>
        <v/>
      </c>
      <c r="EM94" s="218" t="str">
        <f t="shared" si="572"/>
        <v/>
      </c>
      <c r="EN94" s="218" t="str">
        <f t="shared" si="573"/>
        <v/>
      </c>
      <c r="EO94" s="218" t="str">
        <f t="shared" si="574"/>
        <v/>
      </c>
      <c r="EP94" s="218" t="str">
        <f t="shared" si="575"/>
        <v/>
      </c>
      <c r="EQ94" s="218" t="str">
        <f t="shared" si="576"/>
        <v/>
      </c>
      <c r="ER94" s="218" t="str">
        <f t="shared" si="577"/>
        <v/>
      </c>
      <c r="ES94" s="218" t="str">
        <f t="shared" si="578"/>
        <v/>
      </c>
      <c r="ET94" s="218" t="str">
        <f t="shared" si="579"/>
        <v/>
      </c>
      <c r="EU94" s="218" t="str">
        <f t="shared" si="580"/>
        <v/>
      </c>
      <c r="EV94" s="218" t="str">
        <f t="shared" si="581"/>
        <v/>
      </c>
      <c r="EW94" s="218" t="str">
        <f t="shared" si="582"/>
        <v/>
      </c>
      <c r="EX94" s="218" t="str">
        <f t="shared" si="583"/>
        <v/>
      </c>
      <c r="EY94" s="218" t="str">
        <f t="shared" si="584"/>
        <v/>
      </c>
      <c r="FA94" s="218" t="str">
        <f t="shared" si="585"/>
        <v/>
      </c>
      <c r="FB94" s="218" t="str">
        <f t="shared" si="586"/>
        <v/>
      </c>
      <c r="FC94" s="218" t="str">
        <f t="shared" si="587"/>
        <v/>
      </c>
      <c r="FD94" s="218" t="str">
        <f t="shared" si="588"/>
        <v/>
      </c>
      <c r="FE94" s="218" t="str">
        <f t="shared" si="589"/>
        <v/>
      </c>
      <c r="FF94" s="218" t="str">
        <f t="shared" si="590"/>
        <v/>
      </c>
      <c r="FG94" s="218" t="str">
        <f t="shared" si="591"/>
        <v/>
      </c>
      <c r="FH94" s="218" t="str">
        <f t="shared" si="592"/>
        <v/>
      </c>
      <c r="FI94" s="218" t="str">
        <f t="shared" si="593"/>
        <v/>
      </c>
      <c r="FJ94" s="218" t="str">
        <f t="shared" si="594"/>
        <v/>
      </c>
      <c r="FK94" s="218" t="str">
        <f t="shared" si="595"/>
        <v/>
      </c>
      <c r="FL94" s="218" t="str">
        <f t="shared" si="596"/>
        <v/>
      </c>
      <c r="FM94" s="218" t="str">
        <f t="shared" si="597"/>
        <v/>
      </c>
      <c r="FN94" s="218" t="str">
        <f t="shared" si="598"/>
        <v/>
      </c>
      <c r="FO94" s="218" t="str">
        <f t="shared" si="599"/>
        <v/>
      </c>
      <c r="FP94" s="218" t="str">
        <f t="shared" si="600"/>
        <v/>
      </c>
      <c r="FQ94" s="218" t="str">
        <f t="shared" si="601"/>
        <v/>
      </c>
      <c r="FR94" s="218" t="str">
        <f t="shared" si="602"/>
        <v/>
      </c>
      <c r="FT94" s="218" t="str">
        <f t="shared" si="603"/>
        <v/>
      </c>
      <c r="FU94" s="218" t="str">
        <f t="shared" si="604"/>
        <v/>
      </c>
      <c r="FV94" s="218" t="str">
        <f t="shared" si="605"/>
        <v/>
      </c>
      <c r="FW94" s="218" t="str">
        <f t="shared" si="606"/>
        <v/>
      </c>
      <c r="FX94" s="218" t="str">
        <f t="shared" si="607"/>
        <v/>
      </c>
      <c r="FY94" s="218" t="str">
        <f t="shared" si="608"/>
        <v/>
      </c>
      <c r="FZ94" s="218" t="str">
        <f t="shared" si="609"/>
        <v/>
      </c>
      <c r="GA94" s="218" t="str">
        <f t="shared" si="610"/>
        <v/>
      </c>
      <c r="GB94" s="218" t="str">
        <f t="shared" si="611"/>
        <v/>
      </c>
      <c r="GC94" s="218" t="str">
        <f t="shared" si="612"/>
        <v/>
      </c>
      <c r="GD94" s="218" t="str">
        <f t="shared" si="613"/>
        <v/>
      </c>
      <c r="GE94" s="218" t="str">
        <f t="shared" si="614"/>
        <v/>
      </c>
      <c r="GF94" s="218" t="str">
        <f t="shared" si="615"/>
        <v/>
      </c>
      <c r="GG94" s="218" t="str">
        <f t="shared" si="616"/>
        <v/>
      </c>
      <c r="GH94" s="218" t="str">
        <f t="shared" si="617"/>
        <v/>
      </c>
      <c r="GJ94" s="218" t="str">
        <f t="shared" si="618"/>
        <v/>
      </c>
      <c r="GK94" s="218" t="str">
        <f t="shared" si="619"/>
        <v/>
      </c>
      <c r="GL94" s="218" t="str">
        <f t="shared" si="620"/>
        <v/>
      </c>
      <c r="GM94" s="218" t="str">
        <f t="shared" si="621"/>
        <v/>
      </c>
      <c r="GN94" s="218" t="str">
        <f t="shared" si="622"/>
        <v/>
      </c>
      <c r="GO94" s="218" t="str">
        <f t="shared" si="623"/>
        <v/>
      </c>
      <c r="GP94" s="218" t="str">
        <f t="shared" si="624"/>
        <v/>
      </c>
      <c r="GQ94" s="218" t="str">
        <f t="shared" si="625"/>
        <v/>
      </c>
      <c r="GR94" s="218" t="str">
        <f t="shared" si="626"/>
        <v/>
      </c>
      <c r="GS94" s="218" t="str">
        <f t="shared" si="627"/>
        <v/>
      </c>
      <c r="GT94" s="218" t="str">
        <f t="shared" si="628"/>
        <v/>
      </c>
      <c r="GU94" s="218" t="str">
        <f t="shared" si="629"/>
        <v/>
      </c>
      <c r="GW94" s="218" t="str">
        <f t="shared" si="630"/>
        <v/>
      </c>
      <c r="GX94" s="218" t="str">
        <f t="shared" si="631"/>
        <v/>
      </c>
      <c r="GY94" s="218" t="str">
        <f t="shared" si="632"/>
        <v/>
      </c>
      <c r="GZ94" s="218" t="str">
        <f t="shared" si="633"/>
        <v/>
      </c>
      <c r="HA94" s="218" t="str">
        <f t="shared" si="634"/>
        <v/>
      </c>
      <c r="HB94" s="218" t="str">
        <f t="shared" si="635"/>
        <v/>
      </c>
      <c r="HC94" s="218" t="str">
        <f t="shared" si="636"/>
        <v/>
      </c>
      <c r="HD94" s="218" t="str">
        <f t="shared" si="637"/>
        <v/>
      </c>
      <c r="HE94" s="218" t="str">
        <f t="shared" si="638"/>
        <v/>
      </c>
      <c r="HG94" s="218" t="str">
        <f t="shared" si="639"/>
        <v/>
      </c>
      <c r="HH94" s="218" t="str">
        <f t="shared" si="640"/>
        <v/>
      </c>
      <c r="HI94" s="218" t="str">
        <f t="shared" si="641"/>
        <v/>
      </c>
      <c r="HJ94" s="218" t="str">
        <f t="shared" si="642"/>
        <v/>
      </c>
      <c r="HK94" s="218" t="str">
        <f t="shared" si="643"/>
        <v/>
      </c>
      <c r="HL94" s="218" t="str">
        <f t="shared" si="644"/>
        <v/>
      </c>
      <c r="HN94" s="218" t="str">
        <f t="shared" si="645"/>
        <v/>
      </c>
      <c r="HO94" s="218" t="str">
        <f t="shared" si="646"/>
        <v/>
      </c>
      <c r="HP94" s="218" t="str">
        <f t="shared" si="647"/>
        <v/>
      </c>
      <c r="HR94" s="218" t="str">
        <f t="shared" si="648"/>
        <v/>
      </c>
      <c r="HS94" s="218" t="str">
        <f t="shared" si="649"/>
        <v/>
      </c>
      <c r="HT94" s="218" t="str">
        <f t="shared" si="650"/>
        <v/>
      </c>
      <c r="HU94" s="218" t="str">
        <f t="shared" si="651"/>
        <v/>
      </c>
      <c r="HV94" s="218" t="str">
        <f t="shared" si="652"/>
        <v/>
      </c>
      <c r="HW94" s="218" t="str">
        <f t="shared" si="653"/>
        <v/>
      </c>
      <c r="HX94" s="218" t="str">
        <f t="shared" si="654"/>
        <v/>
      </c>
      <c r="HY94" s="218" t="str">
        <f t="shared" si="655"/>
        <v/>
      </c>
      <c r="HZ94" s="218" t="str">
        <f t="shared" si="656"/>
        <v/>
      </c>
      <c r="IA94" s="218" t="str">
        <f t="shared" si="657"/>
        <v/>
      </c>
      <c r="IB94" s="218" t="str">
        <f t="shared" si="658"/>
        <v/>
      </c>
      <c r="IC94" s="218" t="str">
        <f t="shared" si="659"/>
        <v/>
      </c>
      <c r="ID94" s="218" t="str">
        <f t="shared" si="660"/>
        <v/>
      </c>
      <c r="IE94" s="218" t="str">
        <f t="shared" si="661"/>
        <v/>
      </c>
      <c r="IF94" s="218" t="str">
        <f t="shared" si="662"/>
        <v/>
      </c>
      <c r="IG94" s="218" t="str">
        <f t="shared" si="663"/>
        <v/>
      </c>
      <c r="IH94" s="218" t="str">
        <f t="shared" si="664"/>
        <v/>
      </c>
      <c r="II94" s="218" t="str">
        <f t="shared" si="665"/>
        <v/>
      </c>
      <c r="IJ94" s="218" t="str">
        <f t="shared" si="666"/>
        <v/>
      </c>
      <c r="IK94" s="218" t="str">
        <f t="shared" si="667"/>
        <v/>
      </c>
      <c r="IL94" s="218" t="str">
        <f t="shared" si="668"/>
        <v/>
      </c>
      <c r="IM94" s="218" t="str">
        <f t="shared" si="669"/>
        <v/>
      </c>
      <c r="IN94" s="218" t="str">
        <f t="shared" si="670"/>
        <v/>
      </c>
      <c r="IO94" s="218" t="str">
        <f t="shared" si="671"/>
        <v/>
      </c>
      <c r="IP94" s="218" t="str">
        <f t="shared" si="672"/>
        <v/>
      </c>
      <c r="IQ94" s="218" t="str">
        <f t="shared" si="673"/>
        <v/>
      </c>
      <c r="IR94" s="218" t="str">
        <f t="shared" si="674"/>
        <v/>
      </c>
      <c r="IS94" s="218" t="str">
        <f t="shared" si="675"/>
        <v/>
      </c>
      <c r="IT94" s="218" t="str">
        <f t="shared" si="676"/>
        <v/>
      </c>
      <c r="IU94" s="218" t="str">
        <f t="shared" si="677"/>
        <v/>
      </c>
    </row>
    <row r="95" spans="1:255" x14ac:dyDescent="0.2">
      <c r="A95" s="200" t="s">
        <v>98</v>
      </c>
      <c r="B95" s="188"/>
      <c r="C95" s="181"/>
      <c r="D95" s="181"/>
      <c r="E95" s="181"/>
      <c r="F95" s="181"/>
      <c r="G95" s="181"/>
      <c r="H95" s="181"/>
      <c r="I95" s="181"/>
      <c r="J95" s="181"/>
      <c r="K95" s="183"/>
      <c r="L95" s="217" t="str">
        <f t="shared" si="441"/>
        <v/>
      </c>
      <c r="M95" s="218" t="str">
        <f>'HKG vs. BK'!M95</f>
        <v/>
      </c>
      <c r="N95" s="218" t="str">
        <f>'HKG vs. BK'!N95</f>
        <v/>
      </c>
      <c r="O95" s="218" t="str">
        <f>'HKG vs. BK'!O95</f>
        <v/>
      </c>
      <c r="P95" s="218" t="str">
        <f>'HKG vs. BK'!P95</f>
        <v/>
      </c>
      <c r="Q95" s="219" t="str">
        <f t="shared" si="453"/>
        <v/>
      </c>
      <c r="R95" s="220" t="str">
        <f t="shared" si="454"/>
        <v/>
      </c>
      <c r="S95" s="220" t="str">
        <f t="shared" si="455"/>
        <v/>
      </c>
      <c r="T95" s="219" t="str">
        <f t="shared" si="456"/>
        <v/>
      </c>
      <c r="U95" s="220" t="str">
        <f t="shared" si="457"/>
        <v/>
      </c>
      <c r="V95" s="220" t="str">
        <f t="shared" si="458"/>
        <v/>
      </c>
      <c r="W95" s="219" t="str">
        <f t="shared" si="459"/>
        <v/>
      </c>
      <c r="X95" s="220" t="str">
        <f t="shared" si="460"/>
        <v/>
      </c>
      <c r="Y95" s="220" t="str">
        <f t="shared" si="461"/>
        <v/>
      </c>
      <c r="Z95" s="219" t="str">
        <f t="shared" si="462"/>
        <v/>
      </c>
      <c r="AA95" s="220" t="str">
        <f t="shared" si="463"/>
        <v/>
      </c>
      <c r="AB95" s="220" t="str">
        <f t="shared" si="464"/>
        <v/>
      </c>
      <c r="AC95" s="219" t="str">
        <f t="shared" si="465"/>
        <v/>
      </c>
      <c r="AD95" s="220" t="str">
        <f t="shared" si="466"/>
        <v/>
      </c>
      <c r="AE95" s="220" t="str">
        <f t="shared" si="467"/>
        <v/>
      </c>
      <c r="AF95" s="219" t="str">
        <f t="shared" si="468"/>
        <v/>
      </c>
      <c r="AG95" s="220" t="str">
        <f t="shared" si="469"/>
        <v/>
      </c>
      <c r="AH95" s="220" t="str">
        <f t="shared" si="470"/>
        <v/>
      </c>
      <c r="AI95" s="219" t="str">
        <f t="shared" si="471"/>
        <v/>
      </c>
      <c r="AJ95" s="220" t="str">
        <f t="shared" si="472"/>
        <v/>
      </c>
      <c r="AK95" s="220" t="str">
        <f t="shared" si="473"/>
        <v/>
      </c>
      <c r="AL95" s="219" t="str">
        <f t="shared" si="474"/>
        <v/>
      </c>
      <c r="AM95" s="220" t="str">
        <f t="shared" si="475"/>
        <v/>
      </c>
      <c r="AN95" s="220" t="str">
        <f t="shared" si="476"/>
        <v/>
      </c>
      <c r="AO95" s="219" t="str">
        <f t="shared" si="477"/>
        <v/>
      </c>
      <c r="AP95" s="220" t="str">
        <f t="shared" si="478"/>
        <v/>
      </c>
      <c r="AQ95" s="220" t="str">
        <f t="shared" si="479"/>
        <v/>
      </c>
      <c r="AR95" s="219" t="str">
        <f t="shared" si="480"/>
        <v/>
      </c>
      <c r="AS95" s="220" t="str">
        <f t="shared" si="481"/>
        <v/>
      </c>
      <c r="AT95" s="220" t="str">
        <f t="shared" si="482"/>
        <v/>
      </c>
      <c r="AU95" s="221"/>
      <c r="AV95" s="221"/>
      <c r="AW95" s="221"/>
      <c r="AY95" s="218" t="str">
        <f t="shared" si="483"/>
        <v/>
      </c>
      <c r="AZ95" s="218" t="str">
        <f t="shared" si="484"/>
        <v/>
      </c>
      <c r="BA95" s="218" t="str">
        <f t="shared" si="485"/>
        <v/>
      </c>
      <c r="BB95" s="218" t="str">
        <f t="shared" si="486"/>
        <v/>
      </c>
      <c r="BC95" s="218" t="str">
        <f t="shared" si="487"/>
        <v/>
      </c>
      <c r="BD95" s="218" t="str">
        <f t="shared" si="488"/>
        <v/>
      </c>
      <c r="BE95" s="218" t="str">
        <f t="shared" si="489"/>
        <v/>
      </c>
      <c r="BF95" s="218" t="str">
        <f t="shared" si="490"/>
        <v/>
      </c>
      <c r="BG95" s="218" t="str">
        <f t="shared" si="491"/>
        <v/>
      </c>
      <c r="BH95" s="218" t="str">
        <f t="shared" si="492"/>
        <v/>
      </c>
      <c r="BI95" s="218" t="str">
        <f t="shared" si="493"/>
        <v/>
      </c>
      <c r="BJ95" s="218" t="str">
        <f t="shared" si="494"/>
        <v/>
      </c>
      <c r="BK95" s="218" t="str">
        <f t="shared" si="495"/>
        <v/>
      </c>
      <c r="BL95" s="218" t="str">
        <f t="shared" si="496"/>
        <v/>
      </c>
      <c r="BM95" s="218" t="str">
        <f t="shared" si="497"/>
        <v/>
      </c>
      <c r="BN95" s="218" t="str">
        <f t="shared" si="498"/>
        <v/>
      </c>
      <c r="BO95" s="218" t="str">
        <f t="shared" si="499"/>
        <v/>
      </c>
      <c r="BP95" s="218" t="str">
        <f t="shared" si="500"/>
        <v/>
      </c>
      <c r="BQ95" s="218" t="str">
        <f t="shared" si="501"/>
        <v/>
      </c>
      <c r="BR95" s="218" t="str">
        <f t="shared" si="502"/>
        <v/>
      </c>
      <c r="BS95" s="218" t="str">
        <f t="shared" si="503"/>
        <v/>
      </c>
      <c r="BT95" s="218" t="str">
        <f t="shared" si="504"/>
        <v/>
      </c>
      <c r="BU95" s="218" t="str">
        <f t="shared" si="505"/>
        <v/>
      </c>
      <c r="BV95" s="218" t="str">
        <f t="shared" si="506"/>
        <v/>
      </c>
      <c r="BW95" s="218" t="str">
        <f t="shared" si="507"/>
        <v/>
      </c>
      <c r="BX95" s="218" t="str">
        <f t="shared" si="508"/>
        <v/>
      </c>
      <c r="BY95" s="218" t="str">
        <f t="shared" si="509"/>
        <v/>
      </c>
      <c r="BZ95" s="218" t="str">
        <f t="shared" si="510"/>
        <v/>
      </c>
      <c r="CA95" s="218" t="str">
        <f t="shared" si="511"/>
        <v/>
      </c>
      <c r="CB95" s="218" t="str">
        <f t="shared" si="512"/>
        <v/>
      </c>
      <c r="CD95" s="218" t="str">
        <f t="shared" si="513"/>
        <v/>
      </c>
      <c r="CE95" s="218" t="str">
        <f t="shared" si="514"/>
        <v/>
      </c>
      <c r="CF95" s="218" t="str">
        <f t="shared" si="515"/>
        <v/>
      </c>
      <c r="CG95" s="218" t="str">
        <f t="shared" si="516"/>
        <v/>
      </c>
      <c r="CH95" s="218" t="str">
        <f t="shared" si="517"/>
        <v/>
      </c>
      <c r="CI95" s="218" t="str">
        <f t="shared" si="518"/>
        <v/>
      </c>
      <c r="CJ95" s="218" t="str">
        <f t="shared" si="519"/>
        <v/>
      </c>
      <c r="CK95" s="218" t="str">
        <f t="shared" si="520"/>
        <v/>
      </c>
      <c r="CL95" s="218" t="str">
        <f t="shared" si="521"/>
        <v/>
      </c>
      <c r="CM95" s="218" t="str">
        <f t="shared" si="522"/>
        <v/>
      </c>
      <c r="CN95" s="218" t="str">
        <f t="shared" si="523"/>
        <v/>
      </c>
      <c r="CO95" s="218" t="str">
        <f t="shared" si="524"/>
        <v/>
      </c>
      <c r="CP95" s="218" t="str">
        <f t="shared" si="525"/>
        <v/>
      </c>
      <c r="CQ95" s="218" t="str">
        <f t="shared" si="526"/>
        <v/>
      </c>
      <c r="CR95" s="218" t="str">
        <f t="shared" si="527"/>
        <v/>
      </c>
      <c r="CS95" s="218" t="str">
        <f t="shared" si="528"/>
        <v/>
      </c>
      <c r="CT95" s="218" t="str">
        <f t="shared" si="529"/>
        <v/>
      </c>
      <c r="CU95" s="218" t="str">
        <f t="shared" si="530"/>
        <v/>
      </c>
      <c r="CV95" s="218" t="str">
        <f t="shared" si="531"/>
        <v/>
      </c>
      <c r="CW95" s="218" t="str">
        <f t="shared" si="532"/>
        <v/>
      </c>
      <c r="CX95" s="218" t="str">
        <f t="shared" si="533"/>
        <v/>
      </c>
      <c r="CY95" s="218" t="str">
        <f t="shared" si="534"/>
        <v/>
      </c>
      <c r="CZ95" s="218" t="str">
        <f t="shared" si="535"/>
        <v/>
      </c>
      <c r="DA95" s="218" t="str">
        <f t="shared" si="536"/>
        <v/>
      </c>
      <c r="DB95" s="218" t="str">
        <f t="shared" si="537"/>
        <v/>
      </c>
      <c r="DC95" s="218" t="str">
        <f t="shared" si="538"/>
        <v/>
      </c>
      <c r="DD95" s="218" t="str">
        <f t="shared" si="539"/>
        <v/>
      </c>
      <c r="DF95" s="218" t="str">
        <f t="shared" si="540"/>
        <v/>
      </c>
      <c r="DG95" s="218" t="str">
        <f t="shared" si="541"/>
        <v/>
      </c>
      <c r="DH95" s="218" t="str">
        <f t="shared" si="542"/>
        <v/>
      </c>
      <c r="DI95" s="218" t="str">
        <f t="shared" si="543"/>
        <v/>
      </c>
      <c r="DJ95" s="218" t="str">
        <f t="shared" si="544"/>
        <v/>
      </c>
      <c r="DK95" s="218" t="str">
        <f t="shared" si="545"/>
        <v/>
      </c>
      <c r="DL95" s="218" t="str">
        <f t="shared" si="546"/>
        <v/>
      </c>
      <c r="DM95" s="218" t="str">
        <f t="shared" si="547"/>
        <v/>
      </c>
      <c r="DN95" s="218" t="str">
        <f t="shared" si="548"/>
        <v/>
      </c>
      <c r="DO95" s="218" t="str">
        <f t="shared" si="549"/>
        <v/>
      </c>
      <c r="DP95" s="218" t="str">
        <f t="shared" si="550"/>
        <v/>
      </c>
      <c r="DQ95" s="218" t="str">
        <f t="shared" si="551"/>
        <v/>
      </c>
      <c r="DR95" s="218" t="str">
        <f t="shared" si="552"/>
        <v/>
      </c>
      <c r="DS95" s="218" t="str">
        <f t="shared" si="553"/>
        <v/>
      </c>
      <c r="DT95" s="218" t="str">
        <f t="shared" si="554"/>
        <v/>
      </c>
      <c r="DU95" s="218" t="str">
        <f t="shared" si="555"/>
        <v/>
      </c>
      <c r="DV95" s="218" t="str">
        <f t="shared" si="556"/>
        <v/>
      </c>
      <c r="DW95" s="218" t="str">
        <f t="shared" si="557"/>
        <v/>
      </c>
      <c r="DX95" s="218" t="str">
        <f t="shared" si="558"/>
        <v/>
      </c>
      <c r="DY95" s="218" t="str">
        <f t="shared" si="559"/>
        <v/>
      </c>
      <c r="DZ95" s="218" t="str">
        <f t="shared" si="560"/>
        <v/>
      </c>
      <c r="EA95" s="218" t="str">
        <f t="shared" si="561"/>
        <v/>
      </c>
      <c r="EB95" s="218" t="str">
        <f t="shared" si="562"/>
        <v/>
      </c>
      <c r="EC95" s="218" t="str">
        <f t="shared" si="563"/>
        <v/>
      </c>
      <c r="EE95" s="218" t="str">
        <f t="shared" si="564"/>
        <v/>
      </c>
      <c r="EF95" s="218" t="str">
        <f t="shared" si="565"/>
        <v/>
      </c>
      <c r="EG95" s="218" t="str">
        <f t="shared" si="566"/>
        <v/>
      </c>
      <c r="EH95" s="218" t="str">
        <f t="shared" si="567"/>
        <v/>
      </c>
      <c r="EI95" s="218" t="str">
        <f t="shared" si="568"/>
        <v/>
      </c>
      <c r="EJ95" s="218" t="str">
        <f t="shared" si="569"/>
        <v/>
      </c>
      <c r="EK95" s="218" t="str">
        <f t="shared" si="570"/>
        <v/>
      </c>
      <c r="EL95" s="218" t="str">
        <f t="shared" si="571"/>
        <v/>
      </c>
      <c r="EM95" s="218" t="str">
        <f t="shared" si="572"/>
        <v/>
      </c>
      <c r="EN95" s="218" t="str">
        <f t="shared" si="573"/>
        <v/>
      </c>
      <c r="EO95" s="218" t="str">
        <f t="shared" si="574"/>
        <v/>
      </c>
      <c r="EP95" s="218" t="str">
        <f t="shared" si="575"/>
        <v/>
      </c>
      <c r="EQ95" s="218" t="str">
        <f t="shared" si="576"/>
        <v/>
      </c>
      <c r="ER95" s="218" t="str">
        <f t="shared" si="577"/>
        <v/>
      </c>
      <c r="ES95" s="218" t="str">
        <f t="shared" si="578"/>
        <v/>
      </c>
      <c r="ET95" s="218" t="str">
        <f t="shared" si="579"/>
        <v/>
      </c>
      <c r="EU95" s="218" t="str">
        <f t="shared" si="580"/>
        <v/>
      </c>
      <c r="EV95" s="218" t="str">
        <f t="shared" si="581"/>
        <v/>
      </c>
      <c r="EW95" s="218" t="str">
        <f t="shared" si="582"/>
        <v/>
      </c>
      <c r="EX95" s="218" t="str">
        <f t="shared" si="583"/>
        <v/>
      </c>
      <c r="EY95" s="218" t="str">
        <f t="shared" si="584"/>
        <v/>
      </c>
      <c r="FA95" s="218" t="str">
        <f t="shared" si="585"/>
        <v/>
      </c>
      <c r="FB95" s="218" t="str">
        <f t="shared" si="586"/>
        <v/>
      </c>
      <c r="FC95" s="218" t="str">
        <f t="shared" si="587"/>
        <v/>
      </c>
      <c r="FD95" s="218" t="str">
        <f t="shared" si="588"/>
        <v/>
      </c>
      <c r="FE95" s="218" t="str">
        <f t="shared" si="589"/>
        <v/>
      </c>
      <c r="FF95" s="218" t="str">
        <f t="shared" si="590"/>
        <v/>
      </c>
      <c r="FG95" s="218" t="str">
        <f t="shared" si="591"/>
        <v/>
      </c>
      <c r="FH95" s="218" t="str">
        <f t="shared" si="592"/>
        <v/>
      </c>
      <c r="FI95" s="218" t="str">
        <f t="shared" si="593"/>
        <v/>
      </c>
      <c r="FJ95" s="218" t="str">
        <f t="shared" si="594"/>
        <v/>
      </c>
      <c r="FK95" s="218" t="str">
        <f t="shared" si="595"/>
        <v/>
      </c>
      <c r="FL95" s="218" t="str">
        <f t="shared" si="596"/>
        <v/>
      </c>
      <c r="FM95" s="218" t="str">
        <f t="shared" si="597"/>
        <v/>
      </c>
      <c r="FN95" s="218" t="str">
        <f t="shared" si="598"/>
        <v/>
      </c>
      <c r="FO95" s="218" t="str">
        <f t="shared" si="599"/>
        <v/>
      </c>
      <c r="FP95" s="218" t="str">
        <f t="shared" si="600"/>
        <v/>
      </c>
      <c r="FQ95" s="218" t="str">
        <f t="shared" si="601"/>
        <v/>
      </c>
      <c r="FR95" s="218" t="str">
        <f t="shared" si="602"/>
        <v/>
      </c>
      <c r="FT95" s="218" t="str">
        <f t="shared" si="603"/>
        <v/>
      </c>
      <c r="FU95" s="218" t="str">
        <f t="shared" si="604"/>
        <v/>
      </c>
      <c r="FV95" s="218" t="str">
        <f t="shared" si="605"/>
        <v/>
      </c>
      <c r="FW95" s="218" t="str">
        <f t="shared" si="606"/>
        <v/>
      </c>
      <c r="FX95" s="218" t="str">
        <f t="shared" si="607"/>
        <v/>
      </c>
      <c r="FY95" s="218" t="str">
        <f t="shared" si="608"/>
        <v/>
      </c>
      <c r="FZ95" s="218" t="str">
        <f t="shared" si="609"/>
        <v/>
      </c>
      <c r="GA95" s="218" t="str">
        <f t="shared" si="610"/>
        <v/>
      </c>
      <c r="GB95" s="218" t="str">
        <f t="shared" si="611"/>
        <v/>
      </c>
      <c r="GC95" s="218" t="str">
        <f t="shared" si="612"/>
        <v/>
      </c>
      <c r="GD95" s="218" t="str">
        <f t="shared" si="613"/>
        <v/>
      </c>
      <c r="GE95" s="218" t="str">
        <f t="shared" si="614"/>
        <v/>
      </c>
      <c r="GF95" s="218" t="str">
        <f t="shared" si="615"/>
        <v/>
      </c>
      <c r="GG95" s="218" t="str">
        <f t="shared" si="616"/>
        <v/>
      </c>
      <c r="GH95" s="218" t="str">
        <f t="shared" si="617"/>
        <v/>
      </c>
      <c r="GJ95" s="218" t="str">
        <f t="shared" si="618"/>
        <v/>
      </c>
      <c r="GK95" s="218" t="str">
        <f t="shared" si="619"/>
        <v/>
      </c>
      <c r="GL95" s="218" t="str">
        <f t="shared" si="620"/>
        <v/>
      </c>
      <c r="GM95" s="218" t="str">
        <f t="shared" si="621"/>
        <v/>
      </c>
      <c r="GN95" s="218" t="str">
        <f t="shared" si="622"/>
        <v/>
      </c>
      <c r="GO95" s="218" t="str">
        <f t="shared" si="623"/>
        <v/>
      </c>
      <c r="GP95" s="218" t="str">
        <f t="shared" si="624"/>
        <v/>
      </c>
      <c r="GQ95" s="218" t="str">
        <f t="shared" si="625"/>
        <v/>
      </c>
      <c r="GR95" s="218" t="str">
        <f t="shared" si="626"/>
        <v/>
      </c>
      <c r="GS95" s="218" t="str">
        <f t="shared" si="627"/>
        <v/>
      </c>
      <c r="GT95" s="218" t="str">
        <f t="shared" si="628"/>
        <v/>
      </c>
      <c r="GU95" s="218" t="str">
        <f t="shared" si="629"/>
        <v/>
      </c>
      <c r="GW95" s="218" t="str">
        <f t="shared" si="630"/>
        <v/>
      </c>
      <c r="GX95" s="218" t="str">
        <f t="shared" si="631"/>
        <v/>
      </c>
      <c r="GY95" s="218" t="str">
        <f t="shared" si="632"/>
        <v/>
      </c>
      <c r="GZ95" s="218" t="str">
        <f t="shared" si="633"/>
        <v/>
      </c>
      <c r="HA95" s="218" t="str">
        <f t="shared" si="634"/>
        <v/>
      </c>
      <c r="HB95" s="218" t="str">
        <f t="shared" si="635"/>
        <v/>
      </c>
      <c r="HC95" s="218" t="str">
        <f t="shared" si="636"/>
        <v/>
      </c>
      <c r="HD95" s="218" t="str">
        <f t="shared" si="637"/>
        <v/>
      </c>
      <c r="HE95" s="218" t="str">
        <f t="shared" si="638"/>
        <v/>
      </c>
      <c r="HG95" s="218" t="str">
        <f t="shared" si="639"/>
        <v/>
      </c>
      <c r="HH95" s="218" t="str">
        <f t="shared" si="640"/>
        <v/>
      </c>
      <c r="HI95" s="218" t="str">
        <f t="shared" si="641"/>
        <v/>
      </c>
      <c r="HJ95" s="218" t="str">
        <f t="shared" si="642"/>
        <v/>
      </c>
      <c r="HK95" s="218" t="str">
        <f t="shared" si="643"/>
        <v/>
      </c>
      <c r="HL95" s="218" t="str">
        <f t="shared" si="644"/>
        <v/>
      </c>
      <c r="HN95" s="218" t="str">
        <f t="shared" si="645"/>
        <v/>
      </c>
      <c r="HO95" s="218" t="str">
        <f t="shared" si="646"/>
        <v/>
      </c>
      <c r="HP95" s="218" t="str">
        <f t="shared" si="647"/>
        <v/>
      </c>
      <c r="HR95" s="218" t="str">
        <f t="shared" si="648"/>
        <v/>
      </c>
      <c r="HS95" s="218" t="str">
        <f t="shared" si="649"/>
        <v/>
      </c>
      <c r="HT95" s="218" t="str">
        <f t="shared" si="650"/>
        <v/>
      </c>
      <c r="HU95" s="218" t="str">
        <f t="shared" si="651"/>
        <v/>
      </c>
      <c r="HV95" s="218" t="str">
        <f t="shared" si="652"/>
        <v/>
      </c>
      <c r="HW95" s="218" t="str">
        <f t="shared" si="653"/>
        <v/>
      </c>
      <c r="HX95" s="218" t="str">
        <f t="shared" si="654"/>
        <v/>
      </c>
      <c r="HY95" s="218" t="str">
        <f t="shared" si="655"/>
        <v/>
      </c>
      <c r="HZ95" s="218" t="str">
        <f t="shared" si="656"/>
        <v/>
      </c>
      <c r="IA95" s="218" t="str">
        <f t="shared" si="657"/>
        <v/>
      </c>
      <c r="IB95" s="218" t="str">
        <f t="shared" si="658"/>
        <v/>
      </c>
      <c r="IC95" s="218" t="str">
        <f t="shared" si="659"/>
        <v/>
      </c>
      <c r="ID95" s="218" t="str">
        <f t="shared" si="660"/>
        <v/>
      </c>
      <c r="IE95" s="218" t="str">
        <f t="shared" si="661"/>
        <v/>
      </c>
      <c r="IF95" s="218" t="str">
        <f t="shared" si="662"/>
        <v/>
      </c>
      <c r="IG95" s="218" t="str">
        <f t="shared" si="663"/>
        <v/>
      </c>
      <c r="IH95" s="218" t="str">
        <f t="shared" si="664"/>
        <v/>
      </c>
      <c r="II95" s="218" t="str">
        <f t="shared" si="665"/>
        <v/>
      </c>
      <c r="IJ95" s="218" t="str">
        <f t="shared" si="666"/>
        <v/>
      </c>
      <c r="IK95" s="218" t="str">
        <f t="shared" si="667"/>
        <v/>
      </c>
      <c r="IL95" s="218" t="str">
        <f t="shared" si="668"/>
        <v/>
      </c>
      <c r="IM95" s="218" t="str">
        <f t="shared" si="669"/>
        <v/>
      </c>
      <c r="IN95" s="218" t="str">
        <f t="shared" si="670"/>
        <v/>
      </c>
      <c r="IO95" s="218" t="str">
        <f t="shared" si="671"/>
        <v/>
      </c>
      <c r="IP95" s="218" t="str">
        <f t="shared" si="672"/>
        <v/>
      </c>
      <c r="IQ95" s="218" t="str">
        <f t="shared" si="673"/>
        <v/>
      </c>
      <c r="IR95" s="218" t="str">
        <f t="shared" si="674"/>
        <v/>
      </c>
      <c r="IS95" s="218" t="str">
        <f t="shared" si="675"/>
        <v/>
      </c>
      <c r="IT95" s="218" t="str">
        <f t="shared" si="676"/>
        <v/>
      </c>
      <c r="IU95" s="218" t="str">
        <f t="shared" si="677"/>
        <v/>
      </c>
    </row>
    <row r="96" spans="1:255" x14ac:dyDescent="0.2">
      <c r="A96" s="200" t="s">
        <v>99</v>
      </c>
      <c r="B96" s="188"/>
      <c r="C96" s="181"/>
      <c r="D96" s="181"/>
      <c r="E96" s="181"/>
      <c r="F96" s="181"/>
      <c r="G96" s="181"/>
      <c r="H96" s="181"/>
      <c r="I96" s="181"/>
      <c r="J96" s="181"/>
      <c r="K96" s="183"/>
      <c r="L96" s="217" t="str">
        <f t="shared" si="441"/>
        <v/>
      </c>
      <c r="M96" s="218" t="str">
        <f>'HKG vs. BK'!M96</f>
        <v/>
      </c>
      <c r="N96" s="218" t="str">
        <f>'HKG vs. BK'!N96</f>
        <v/>
      </c>
      <c r="O96" s="218" t="str">
        <f>'HKG vs. BK'!O96</f>
        <v/>
      </c>
      <c r="P96" s="218" t="str">
        <f>'HKG vs. BK'!P96</f>
        <v/>
      </c>
      <c r="Q96" s="219" t="str">
        <f t="shared" si="453"/>
        <v/>
      </c>
      <c r="R96" s="220" t="str">
        <f t="shared" si="454"/>
        <v/>
      </c>
      <c r="S96" s="220" t="str">
        <f t="shared" si="455"/>
        <v/>
      </c>
      <c r="T96" s="219" t="str">
        <f t="shared" si="456"/>
        <v/>
      </c>
      <c r="U96" s="220" t="str">
        <f t="shared" si="457"/>
        <v/>
      </c>
      <c r="V96" s="220" t="str">
        <f t="shared" si="458"/>
        <v/>
      </c>
      <c r="W96" s="219" t="str">
        <f t="shared" si="459"/>
        <v/>
      </c>
      <c r="X96" s="220" t="str">
        <f t="shared" si="460"/>
        <v/>
      </c>
      <c r="Y96" s="220" t="str">
        <f t="shared" si="461"/>
        <v/>
      </c>
      <c r="Z96" s="219" t="str">
        <f t="shared" si="462"/>
        <v/>
      </c>
      <c r="AA96" s="220" t="str">
        <f t="shared" si="463"/>
        <v/>
      </c>
      <c r="AB96" s="220" t="str">
        <f t="shared" si="464"/>
        <v/>
      </c>
      <c r="AC96" s="219" t="str">
        <f t="shared" si="465"/>
        <v/>
      </c>
      <c r="AD96" s="220" t="str">
        <f t="shared" si="466"/>
        <v/>
      </c>
      <c r="AE96" s="220" t="str">
        <f t="shared" si="467"/>
        <v/>
      </c>
      <c r="AF96" s="219" t="str">
        <f t="shared" si="468"/>
        <v/>
      </c>
      <c r="AG96" s="220" t="str">
        <f t="shared" si="469"/>
        <v/>
      </c>
      <c r="AH96" s="220" t="str">
        <f t="shared" si="470"/>
        <v/>
      </c>
      <c r="AI96" s="219" t="str">
        <f t="shared" si="471"/>
        <v/>
      </c>
      <c r="AJ96" s="220" t="str">
        <f t="shared" si="472"/>
        <v/>
      </c>
      <c r="AK96" s="220" t="str">
        <f t="shared" si="473"/>
        <v/>
      </c>
      <c r="AL96" s="219" t="str">
        <f t="shared" si="474"/>
        <v/>
      </c>
      <c r="AM96" s="220" t="str">
        <f t="shared" si="475"/>
        <v/>
      </c>
      <c r="AN96" s="220" t="str">
        <f t="shared" si="476"/>
        <v/>
      </c>
      <c r="AO96" s="219" t="str">
        <f t="shared" si="477"/>
        <v/>
      </c>
      <c r="AP96" s="220" t="str">
        <f t="shared" si="478"/>
        <v/>
      </c>
      <c r="AQ96" s="220" t="str">
        <f t="shared" si="479"/>
        <v/>
      </c>
      <c r="AR96" s="219" t="str">
        <f t="shared" si="480"/>
        <v/>
      </c>
      <c r="AS96" s="220" t="str">
        <f t="shared" si="481"/>
        <v/>
      </c>
      <c r="AT96" s="220" t="str">
        <f t="shared" si="482"/>
        <v/>
      </c>
      <c r="AU96" s="221"/>
      <c r="AV96" s="221"/>
      <c r="AW96" s="221"/>
      <c r="AY96" s="218" t="str">
        <f t="shared" si="483"/>
        <v/>
      </c>
      <c r="AZ96" s="218" t="str">
        <f t="shared" si="484"/>
        <v/>
      </c>
      <c r="BA96" s="218" t="str">
        <f t="shared" si="485"/>
        <v/>
      </c>
      <c r="BB96" s="218" t="str">
        <f t="shared" si="486"/>
        <v/>
      </c>
      <c r="BC96" s="218" t="str">
        <f t="shared" si="487"/>
        <v/>
      </c>
      <c r="BD96" s="218" t="str">
        <f t="shared" si="488"/>
        <v/>
      </c>
      <c r="BE96" s="218" t="str">
        <f t="shared" si="489"/>
        <v/>
      </c>
      <c r="BF96" s="218" t="str">
        <f t="shared" si="490"/>
        <v/>
      </c>
      <c r="BG96" s="218" t="str">
        <f t="shared" si="491"/>
        <v/>
      </c>
      <c r="BH96" s="218" t="str">
        <f t="shared" si="492"/>
        <v/>
      </c>
      <c r="BI96" s="218" t="str">
        <f t="shared" si="493"/>
        <v/>
      </c>
      <c r="BJ96" s="218" t="str">
        <f t="shared" si="494"/>
        <v/>
      </c>
      <c r="BK96" s="218" t="str">
        <f t="shared" si="495"/>
        <v/>
      </c>
      <c r="BL96" s="218" t="str">
        <f t="shared" si="496"/>
        <v/>
      </c>
      <c r="BM96" s="218" t="str">
        <f t="shared" si="497"/>
        <v/>
      </c>
      <c r="BN96" s="218" t="str">
        <f t="shared" si="498"/>
        <v/>
      </c>
      <c r="BO96" s="218" t="str">
        <f t="shared" si="499"/>
        <v/>
      </c>
      <c r="BP96" s="218" t="str">
        <f t="shared" si="500"/>
        <v/>
      </c>
      <c r="BQ96" s="218" t="str">
        <f t="shared" si="501"/>
        <v/>
      </c>
      <c r="BR96" s="218" t="str">
        <f t="shared" si="502"/>
        <v/>
      </c>
      <c r="BS96" s="218" t="str">
        <f t="shared" si="503"/>
        <v/>
      </c>
      <c r="BT96" s="218" t="str">
        <f t="shared" si="504"/>
        <v/>
      </c>
      <c r="BU96" s="218" t="str">
        <f t="shared" si="505"/>
        <v/>
      </c>
      <c r="BV96" s="218" t="str">
        <f t="shared" si="506"/>
        <v/>
      </c>
      <c r="BW96" s="218" t="str">
        <f t="shared" si="507"/>
        <v/>
      </c>
      <c r="BX96" s="218" t="str">
        <f t="shared" si="508"/>
        <v/>
      </c>
      <c r="BY96" s="218" t="str">
        <f t="shared" si="509"/>
        <v/>
      </c>
      <c r="BZ96" s="218" t="str">
        <f t="shared" si="510"/>
        <v/>
      </c>
      <c r="CA96" s="218" t="str">
        <f t="shared" si="511"/>
        <v/>
      </c>
      <c r="CB96" s="218" t="str">
        <f t="shared" si="512"/>
        <v/>
      </c>
      <c r="CD96" s="218" t="str">
        <f t="shared" si="513"/>
        <v/>
      </c>
      <c r="CE96" s="218" t="str">
        <f t="shared" si="514"/>
        <v/>
      </c>
      <c r="CF96" s="218" t="str">
        <f t="shared" si="515"/>
        <v/>
      </c>
      <c r="CG96" s="218" t="str">
        <f t="shared" si="516"/>
        <v/>
      </c>
      <c r="CH96" s="218" t="str">
        <f t="shared" si="517"/>
        <v/>
      </c>
      <c r="CI96" s="218" t="str">
        <f t="shared" si="518"/>
        <v/>
      </c>
      <c r="CJ96" s="218" t="str">
        <f t="shared" si="519"/>
        <v/>
      </c>
      <c r="CK96" s="218" t="str">
        <f t="shared" si="520"/>
        <v/>
      </c>
      <c r="CL96" s="218" t="str">
        <f t="shared" si="521"/>
        <v/>
      </c>
      <c r="CM96" s="218" t="str">
        <f t="shared" si="522"/>
        <v/>
      </c>
      <c r="CN96" s="218" t="str">
        <f t="shared" si="523"/>
        <v/>
      </c>
      <c r="CO96" s="218" t="str">
        <f t="shared" si="524"/>
        <v/>
      </c>
      <c r="CP96" s="218" t="str">
        <f t="shared" si="525"/>
        <v/>
      </c>
      <c r="CQ96" s="218" t="str">
        <f t="shared" si="526"/>
        <v/>
      </c>
      <c r="CR96" s="218" t="str">
        <f t="shared" si="527"/>
        <v/>
      </c>
      <c r="CS96" s="218" t="str">
        <f t="shared" si="528"/>
        <v/>
      </c>
      <c r="CT96" s="218" t="str">
        <f t="shared" si="529"/>
        <v/>
      </c>
      <c r="CU96" s="218" t="str">
        <f t="shared" si="530"/>
        <v/>
      </c>
      <c r="CV96" s="218" t="str">
        <f t="shared" si="531"/>
        <v/>
      </c>
      <c r="CW96" s="218" t="str">
        <f t="shared" si="532"/>
        <v/>
      </c>
      <c r="CX96" s="218" t="str">
        <f t="shared" si="533"/>
        <v/>
      </c>
      <c r="CY96" s="218" t="str">
        <f t="shared" si="534"/>
        <v/>
      </c>
      <c r="CZ96" s="218" t="str">
        <f t="shared" si="535"/>
        <v/>
      </c>
      <c r="DA96" s="218" t="str">
        <f t="shared" si="536"/>
        <v/>
      </c>
      <c r="DB96" s="218" t="str">
        <f t="shared" si="537"/>
        <v/>
      </c>
      <c r="DC96" s="218" t="str">
        <f t="shared" si="538"/>
        <v/>
      </c>
      <c r="DD96" s="218" t="str">
        <f t="shared" si="539"/>
        <v/>
      </c>
      <c r="DF96" s="218" t="str">
        <f t="shared" si="540"/>
        <v/>
      </c>
      <c r="DG96" s="218" t="str">
        <f t="shared" si="541"/>
        <v/>
      </c>
      <c r="DH96" s="218" t="str">
        <f t="shared" si="542"/>
        <v/>
      </c>
      <c r="DI96" s="218" t="str">
        <f t="shared" si="543"/>
        <v/>
      </c>
      <c r="DJ96" s="218" t="str">
        <f t="shared" si="544"/>
        <v/>
      </c>
      <c r="DK96" s="218" t="str">
        <f t="shared" si="545"/>
        <v/>
      </c>
      <c r="DL96" s="218" t="str">
        <f t="shared" si="546"/>
        <v/>
      </c>
      <c r="DM96" s="218" t="str">
        <f t="shared" si="547"/>
        <v/>
      </c>
      <c r="DN96" s="218" t="str">
        <f t="shared" si="548"/>
        <v/>
      </c>
      <c r="DO96" s="218" t="str">
        <f t="shared" si="549"/>
        <v/>
      </c>
      <c r="DP96" s="218" t="str">
        <f t="shared" si="550"/>
        <v/>
      </c>
      <c r="DQ96" s="218" t="str">
        <f t="shared" si="551"/>
        <v/>
      </c>
      <c r="DR96" s="218" t="str">
        <f t="shared" si="552"/>
        <v/>
      </c>
      <c r="DS96" s="218" t="str">
        <f t="shared" si="553"/>
        <v/>
      </c>
      <c r="DT96" s="218" t="str">
        <f t="shared" si="554"/>
        <v/>
      </c>
      <c r="DU96" s="218" t="str">
        <f t="shared" si="555"/>
        <v/>
      </c>
      <c r="DV96" s="218" t="str">
        <f t="shared" si="556"/>
        <v/>
      </c>
      <c r="DW96" s="218" t="str">
        <f t="shared" si="557"/>
        <v/>
      </c>
      <c r="DX96" s="218" t="str">
        <f t="shared" si="558"/>
        <v/>
      </c>
      <c r="DY96" s="218" t="str">
        <f t="shared" si="559"/>
        <v/>
      </c>
      <c r="DZ96" s="218" t="str">
        <f t="shared" si="560"/>
        <v/>
      </c>
      <c r="EA96" s="218" t="str">
        <f t="shared" si="561"/>
        <v/>
      </c>
      <c r="EB96" s="218" t="str">
        <f t="shared" si="562"/>
        <v/>
      </c>
      <c r="EC96" s="218" t="str">
        <f t="shared" si="563"/>
        <v/>
      </c>
      <c r="EE96" s="218" t="str">
        <f t="shared" si="564"/>
        <v/>
      </c>
      <c r="EF96" s="218" t="str">
        <f t="shared" si="565"/>
        <v/>
      </c>
      <c r="EG96" s="218" t="str">
        <f t="shared" si="566"/>
        <v/>
      </c>
      <c r="EH96" s="218" t="str">
        <f t="shared" si="567"/>
        <v/>
      </c>
      <c r="EI96" s="218" t="str">
        <f t="shared" si="568"/>
        <v/>
      </c>
      <c r="EJ96" s="218" t="str">
        <f t="shared" si="569"/>
        <v/>
      </c>
      <c r="EK96" s="218" t="str">
        <f t="shared" si="570"/>
        <v/>
      </c>
      <c r="EL96" s="218" t="str">
        <f t="shared" si="571"/>
        <v/>
      </c>
      <c r="EM96" s="218" t="str">
        <f t="shared" si="572"/>
        <v/>
      </c>
      <c r="EN96" s="218" t="str">
        <f t="shared" si="573"/>
        <v/>
      </c>
      <c r="EO96" s="218" t="str">
        <f t="shared" si="574"/>
        <v/>
      </c>
      <c r="EP96" s="218" t="str">
        <f t="shared" si="575"/>
        <v/>
      </c>
      <c r="EQ96" s="218" t="str">
        <f t="shared" si="576"/>
        <v/>
      </c>
      <c r="ER96" s="218" t="str">
        <f t="shared" si="577"/>
        <v/>
      </c>
      <c r="ES96" s="218" t="str">
        <f t="shared" si="578"/>
        <v/>
      </c>
      <c r="ET96" s="218" t="str">
        <f t="shared" si="579"/>
        <v/>
      </c>
      <c r="EU96" s="218" t="str">
        <f t="shared" si="580"/>
        <v/>
      </c>
      <c r="EV96" s="218" t="str">
        <f t="shared" si="581"/>
        <v/>
      </c>
      <c r="EW96" s="218" t="str">
        <f t="shared" si="582"/>
        <v/>
      </c>
      <c r="EX96" s="218" t="str">
        <f t="shared" si="583"/>
        <v/>
      </c>
      <c r="EY96" s="218" t="str">
        <f t="shared" si="584"/>
        <v/>
      </c>
      <c r="FA96" s="218" t="str">
        <f t="shared" si="585"/>
        <v/>
      </c>
      <c r="FB96" s="218" t="str">
        <f t="shared" si="586"/>
        <v/>
      </c>
      <c r="FC96" s="218" t="str">
        <f t="shared" si="587"/>
        <v/>
      </c>
      <c r="FD96" s="218" t="str">
        <f t="shared" si="588"/>
        <v/>
      </c>
      <c r="FE96" s="218" t="str">
        <f t="shared" si="589"/>
        <v/>
      </c>
      <c r="FF96" s="218" t="str">
        <f t="shared" si="590"/>
        <v/>
      </c>
      <c r="FG96" s="218" t="str">
        <f t="shared" si="591"/>
        <v/>
      </c>
      <c r="FH96" s="218" t="str">
        <f t="shared" si="592"/>
        <v/>
      </c>
      <c r="FI96" s="218" t="str">
        <f t="shared" si="593"/>
        <v/>
      </c>
      <c r="FJ96" s="218" t="str">
        <f t="shared" si="594"/>
        <v/>
      </c>
      <c r="FK96" s="218" t="str">
        <f t="shared" si="595"/>
        <v/>
      </c>
      <c r="FL96" s="218" t="str">
        <f t="shared" si="596"/>
        <v/>
      </c>
      <c r="FM96" s="218" t="str">
        <f t="shared" si="597"/>
        <v/>
      </c>
      <c r="FN96" s="218" t="str">
        <f t="shared" si="598"/>
        <v/>
      </c>
      <c r="FO96" s="218" t="str">
        <f t="shared" si="599"/>
        <v/>
      </c>
      <c r="FP96" s="218" t="str">
        <f t="shared" si="600"/>
        <v/>
      </c>
      <c r="FQ96" s="218" t="str">
        <f t="shared" si="601"/>
        <v/>
      </c>
      <c r="FR96" s="218" t="str">
        <f t="shared" si="602"/>
        <v/>
      </c>
      <c r="FT96" s="218" t="str">
        <f t="shared" si="603"/>
        <v/>
      </c>
      <c r="FU96" s="218" t="str">
        <f t="shared" si="604"/>
        <v/>
      </c>
      <c r="FV96" s="218" t="str">
        <f t="shared" si="605"/>
        <v/>
      </c>
      <c r="FW96" s="218" t="str">
        <f t="shared" si="606"/>
        <v/>
      </c>
      <c r="FX96" s="218" t="str">
        <f t="shared" si="607"/>
        <v/>
      </c>
      <c r="FY96" s="218" t="str">
        <f t="shared" si="608"/>
        <v/>
      </c>
      <c r="FZ96" s="218" t="str">
        <f t="shared" si="609"/>
        <v/>
      </c>
      <c r="GA96" s="218" t="str">
        <f t="shared" si="610"/>
        <v/>
      </c>
      <c r="GB96" s="218" t="str">
        <f t="shared" si="611"/>
        <v/>
      </c>
      <c r="GC96" s="218" t="str">
        <f t="shared" si="612"/>
        <v/>
      </c>
      <c r="GD96" s="218" t="str">
        <f t="shared" si="613"/>
        <v/>
      </c>
      <c r="GE96" s="218" t="str">
        <f t="shared" si="614"/>
        <v/>
      </c>
      <c r="GF96" s="218" t="str">
        <f t="shared" si="615"/>
        <v/>
      </c>
      <c r="GG96" s="218" t="str">
        <f t="shared" si="616"/>
        <v/>
      </c>
      <c r="GH96" s="218" t="str">
        <f t="shared" si="617"/>
        <v/>
      </c>
      <c r="GJ96" s="218" t="str">
        <f t="shared" si="618"/>
        <v/>
      </c>
      <c r="GK96" s="218" t="str">
        <f t="shared" si="619"/>
        <v/>
      </c>
      <c r="GL96" s="218" t="str">
        <f t="shared" si="620"/>
        <v/>
      </c>
      <c r="GM96" s="218" t="str">
        <f t="shared" si="621"/>
        <v/>
      </c>
      <c r="GN96" s="218" t="str">
        <f t="shared" si="622"/>
        <v/>
      </c>
      <c r="GO96" s="218" t="str">
        <f t="shared" si="623"/>
        <v/>
      </c>
      <c r="GP96" s="218" t="str">
        <f t="shared" si="624"/>
        <v/>
      </c>
      <c r="GQ96" s="218" t="str">
        <f t="shared" si="625"/>
        <v/>
      </c>
      <c r="GR96" s="218" t="str">
        <f t="shared" si="626"/>
        <v/>
      </c>
      <c r="GS96" s="218" t="str">
        <f t="shared" si="627"/>
        <v/>
      </c>
      <c r="GT96" s="218" t="str">
        <f t="shared" si="628"/>
        <v/>
      </c>
      <c r="GU96" s="218" t="str">
        <f t="shared" si="629"/>
        <v/>
      </c>
      <c r="GW96" s="218" t="str">
        <f t="shared" si="630"/>
        <v/>
      </c>
      <c r="GX96" s="218" t="str">
        <f t="shared" si="631"/>
        <v/>
      </c>
      <c r="GY96" s="218" t="str">
        <f t="shared" si="632"/>
        <v/>
      </c>
      <c r="GZ96" s="218" t="str">
        <f t="shared" si="633"/>
        <v/>
      </c>
      <c r="HA96" s="218" t="str">
        <f t="shared" si="634"/>
        <v/>
      </c>
      <c r="HB96" s="218" t="str">
        <f t="shared" si="635"/>
        <v/>
      </c>
      <c r="HC96" s="218" t="str">
        <f t="shared" si="636"/>
        <v/>
      </c>
      <c r="HD96" s="218" t="str">
        <f t="shared" si="637"/>
        <v/>
      </c>
      <c r="HE96" s="218" t="str">
        <f t="shared" si="638"/>
        <v/>
      </c>
      <c r="HG96" s="218" t="str">
        <f t="shared" si="639"/>
        <v/>
      </c>
      <c r="HH96" s="218" t="str">
        <f t="shared" si="640"/>
        <v/>
      </c>
      <c r="HI96" s="218" t="str">
        <f t="shared" si="641"/>
        <v/>
      </c>
      <c r="HJ96" s="218" t="str">
        <f t="shared" si="642"/>
        <v/>
      </c>
      <c r="HK96" s="218" t="str">
        <f t="shared" si="643"/>
        <v/>
      </c>
      <c r="HL96" s="218" t="str">
        <f t="shared" si="644"/>
        <v/>
      </c>
      <c r="HN96" s="218" t="str">
        <f t="shared" si="645"/>
        <v/>
      </c>
      <c r="HO96" s="218" t="str">
        <f t="shared" si="646"/>
        <v/>
      </c>
      <c r="HP96" s="218" t="str">
        <f t="shared" si="647"/>
        <v/>
      </c>
      <c r="HR96" s="218" t="str">
        <f t="shared" si="648"/>
        <v/>
      </c>
      <c r="HS96" s="218" t="str">
        <f t="shared" si="649"/>
        <v/>
      </c>
      <c r="HT96" s="218" t="str">
        <f t="shared" si="650"/>
        <v/>
      </c>
      <c r="HU96" s="218" t="str">
        <f t="shared" si="651"/>
        <v/>
      </c>
      <c r="HV96" s="218" t="str">
        <f t="shared" si="652"/>
        <v/>
      </c>
      <c r="HW96" s="218" t="str">
        <f t="shared" si="653"/>
        <v/>
      </c>
      <c r="HX96" s="218" t="str">
        <f t="shared" si="654"/>
        <v/>
      </c>
      <c r="HY96" s="218" t="str">
        <f t="shared" si="655"/>
        <v/>
      </c>
      <c r="HZ96" s="218" t="str">
        <f t="shared" si="656"/>
        <v/>
      </c>
      <c r="IA96" s="218" t="str">
        <f t="shared" si="657"/>
        <v/>
      </c>
      <c r="IB96" s="218" t="str">
        <f t="shared" si="658"/>
        <v/>
      </c>
      <c r="IC96" s="218" t="str">
        <f t="shared" si="659"/>
        <v/>
      </c>
      <c r="ID96" s="218" t="str">
        <f t="shared" si="660"/>
        <v/>
      </c>
      <c r="IE96" s="218" t="str">
        <f t="shared" si="661"/>
        <v/>
      </c>
      <c r="IF96" s="218" t="str">
        <f t="shared" si="662"/>
        <v/>
      </c>
      <c r="IG96" s="218" t="str">
        <f t="shared" si="663"/>
        <v/>
      </c>
      <c r="IH96" s="218" t="str">
        <f t="shared" si="664"/>
        <v/>
      </c>
      <c r="II96" s="218" t="str">
        <f t="shared" si="665"/>
        <v/>
      </c>
      <c r="IJ96" s="218" t="str">
        <f t="shared" si="666"/>
        <v/>
      </c>
      <c r="IK96" s="218" t="str">
        <f t="shared" si="667"/>
        <v/>
      </c>
      <c r="IL96" s="218" t="str">
        <f t="shared" si="668"/>
        <v/>
      </c>
      <c r="IM96" s="218" t="str">
        <f t="shared" si="669"/>
        <v/>
      </c>
      <c r="IN96" s="218" t="str">
        <f t="shared" si="670"/>
        <v/>
      </c>
      <c r="IO96" s="218" t="str">
        <f t="shared" si="671"/>
        <v/>
      </c>
      <c r="IP96" s="218" t="str">
        <f t="shared" si="672"/>
        <v/>
      </c>
      <c r="IQ96" s="218" t="str">
        <f t="shared" si="673"/>
        <v/>
      </c>
      <c r="IR96" s="218" t="str">
        <f t="shared" si="674"/>
        <v/>
      </c>
      <c r="IS96" s="218" t="str">
        <f t="shared" si="675"/>
        <v/>
      </c>
      <c r="IT96" s="218" t="str">
        <f t="shared" si="676"/>
        <v/>
      </c>
      <c r="IU96" s="218" t="str">
        <f t="shared" si="677"/>
        <v/>
      </c>
    </row>
    <row r="97" spans="1:255" x14ac:dyDescent="0.2">
      <c r="A97" s="200" t="s">
        <v>100</v>
      </c>
      <c r="B97" s="188"/>
      <c r="C97" s="181"/>
      <c r="D97" s="181"/>
      <c r="E97" s="181"/>
      <c r="F97" s="181"/>
      <c r="G97" s="181"/>
      <c r="H97" s="181"/>
      <c r="I97" s="181"/>
      <c r="J97" s="181"/>
      <c r="K97" s="183"/>
      <c r="L97" s="217" t="str">
        <f t="shared" si="441"/>
        <v/>
      </c>
      <c r="M97" s="218" t="str">
        <f>'HKG vs. BK'!M97</f>
        <v/>
      </c>
      <c r="N97" s="218" t="str">
        <f>'HKG vs. BK'!N97</f>
        <v/>
      </c>
      <c r="O97" s="218" t="str">
        <f>'HKG vs. BK'!O97</f>
        <v/>
      </c>
      <c r="P97" s="218" t="str">
        <f>'HKG vs. BK'!P97</f>
        <v/>
      </c>
      <c r="Q97" s="219" t="str">
        <f t="shared" si="453"/>
        <v/>
      </c>
      <c r="R97" s="220" t="str">
        <f t="shared" si="454"/>
        <v/>
      </c>
      <c r="S97" s="220" t="str">
        <f t="shared" si="455"/>
        <v/>
      </c>
      <c r="T97" s="219" t="str">
        <f t="shared" si="456"/>
        <v/>
      </c>
      <c r="U97" s="220" t="str">
        <f t="shared" si="457"/>
        <v/>
      </c>
      <c r="V97" s="220" t="str">
        <f t="shared" si="458"/>
        <v/>
      </c>
      <c r="W97" s="219" t="str">
        <f t="shared" si="459"/>
        <v/>
      </c>
      <c r="X97" s="220" t="str">
        <f t="shared" si="460"/>
        <v/>
      </c>
      <c r="Y97" s="220" t="str">
        <f t="shared" si="461"/>
        <v/>
      </c>
      <c r="Z97" s="219" t="str">
        <f t="shared" si="462"/>
        <v/>
      </c>
      <c r="AA97" s="220" t="str">
        <f t="shared" si="463"/>
        <v/>
      </c>
      <c r="AB97" s="220" t="str">
        <f t="shared" si="464"/>
        <v/>
      </c>
      <c r="AC97" s="219" t="str">
        <f t="shared" si="465"/>
        <v/>
      </c>
      <c r="AD97" s="220" t="str">
        <f t="shared" si="466"/>
        <v/>
      </c>
      <c r="AE97" s="220" t="str">
        <f t="shared" si="467"/>
        <v/>
      </c>
      <c r="AF97" s="219" t="str">
        <f t="shared" si="468"/>
        <v/>
      </c>
      <c r="AG97" s="220" t="str">
        <f t="shared" si="469"/>
        <v/>
      </c>
      <c r="AH97" s="220" t="str">
        <f t="shared" si="470"/>
        <v/>
      </c>
      <c r="AI97" s="219" t="str">
        <f t="shared" si="471"/>
        <v/>
      </c>
      <c r="AJ97" s="220" t="str">
        <f t="shared" si="472"/>
        <v/>
      </c>
      <c r="AK97" s="220" t="str">
        <f t="shared" si="473"/>
        <v/>
      </c>
      <c r="AL97" s="219" t="str">
        <f t="shared" si="474"/>
        <v/>
      </c>
      <c r="AM97" s="220" t="str">
        <f t="shared" si="475"/>
        <v/>
      </c>
      <c r="AN97" s="220" t="str">
        <f t="shared" si="476"/>
        <v/>
      </c>
      <c r="AO97" s="219" t="str">
        <f t="shared" si="477"/>
        <v/>
      </c>
      <c r="AP97" s="220" t="str">
        <f t="shared" si="478"/>
        <v/>
      </c>
      <c r="AQ97" s="220" t="str">
        <f t="shared" si="479"/>
        <v/>
      </c>
      <c r="AR97" s="219" t="str">
        <f t="shared" si="480"/>
        <v/>
      </c>
      <c r="AS97" s="220" t="str">
        <f t="shared" si="481"/>
        <v/>
      </c>
      <c r="AT97" s="220" t="str">
        <f t="shared" si="482"/>
        <v/>
      </c>
      <c r="AU97" s="221"/>
      <c r="AV97" s="221"/>
      <c r="AW97" s="221"/>
      <c r="AY97" s="218" t="str">
        <f t="shared" si="483"/>
        <v/>
      </c>
      <c r="AZ97" s="218" t="str">
        <f t="shared" si="484"/>
        <v/>
      </c>
      <c r="BA97" s="218" t="str">
        <f t="shared" si="485"/>
        <v/>
      </c>
      <c r="BB97" s="218" t="str">
        <f t="shared" si="486"/>
        <v/>
      </c>
      <c r="BC97" s="218" t="str">
        <f t="shared" si="487"/>
        <v/>
      </c>
      <c r="BD97" s="218" t="str">
        <f t="shared" si="488"/>
        <v/>
      </c>
      <c r="BE97" s="218" t="str">
        <f t="shared" si="489"/>
        <v/>
      </c>
      <c r="BF97" s="218" t="str">
        <f t="shared" si="490"/>
        <v/>
      </c>
      <c r="BG97" s="218" t="str">
        <f t="shared" si="491"/>
        <v/>
      </c>
      <c r="BH97" s="218" t="str">
        <f t="shared" si="492"/>
        <v/>
      </c>
      <c r="BI97" s="218" t="str">
        <f t="shared" si="493"/>
        <v/>
      </c>
      <c r="BJ97" s="218" t="str">
        <f t="shared" si="494"/>
        <v/>
      </c>
      <c r="BK97" s="218" t="str">
        <f t="shared" si="495"/>
        <v/>
      </c>
      <c r="BL97" s="218" t="str">
        <f t="shared" si="496"/>
        <v/>
      </c>
      <c r="BM97" s="218" t="str">
        <f t="shared" si="497"/>
        <v/>
      </c>
      <c r="BN97" s="218" t="str">
        <f t="shared" si="498"/>
        <v/>
      </c>
      <c r="BO97" s="218" t="str">
        <f t="shared" si="499"/>
        <v/>
      </c>
      <c r="BP97" s="218" t="str">
        <f t="shared" si="500"/>
        <v/>
      </c>
      <c r="BQ97" s="218" t="str">
        <f t="shared" si="501"/>
        <v/>
      </c>
      <c r="BR97" s="218" t="str">
        <f t="shared" si="502"/>
        <v/>
      </c>
      <c r="BS97" s="218" t="str">
        <f t="shared" si="503"/>
        <v/>
      </c>
      <c r="BT97" s="218" t="str">
        <f t="shared" si="504"/>
        <v/>
      </c>
      <c r="BU97" s="218" t="str">
        <f t="shared" si="505"/>
        <v/>
      </c>
      <c r="BV97" s="218" t="str">
        <f t="shared" si="506"/>
        <v/>
      </c>
      <c r="BW97" s="218" t="str">
        <f t="shared" si="507"/>
        <v/>
      </c>
      <c r="BX97" s="218" t="str">
        <f t="shared" si="508"/>
        <v/>
      </c>
      <c r="BY97" s="218" t="str">
        <f t="shared" si="509"/>
        <v/>
      </c>
      <c r="BZ97" s="218" t="str">
        <f t="shared" si="510"/>
        <v/>
      </c>
      <c r="CA97" s="218" t="str">
        <f t="shared" si="511"/>
        <v/>
      </c>
      <c r="CB97" s="218" t="str">
        <f t="shared" si="512"/>
        <v/>
      </c>
      <c r="CD97" s="218" t="str">
        <f t="shared" si="513"/>
        <v/>
      </c>
      <c r="CE97" s="218" t="str">
        <f t="shared" si="514"/>
        <v/>
      </c>
      <c r="CF97" s="218" t="str">
        <f t="shared" si="515"/>
        <v/>
      </c>
      <c r="CG97" s="218" t="str">
        <f t="shared" si="516"/>
        <v/>
      </c>
      <c r="CH97" s="218" t="str">
        <f t="shared" si="517"/>
        <v/>
      </c>
      <c r="CI97" s="218" t="str">
        <f t="shared" si="518"/>
        <v/>
      </c>
      <c r="CJ97" s="218" t="str">
        <f t="shared" si="519"/>
        <v/>
      </c>
      <c r="CK97" s="218" t="str">
        <f t="shared" si="520"/>
        <v/>
      </c>
      <c r="CL97" s="218" t="str">
        <f t="shared" si="521"/>
        <v/>
      </c>
      <c r="CM97" s="218" t="str">
        <f t="shared" si="522"/>
        <v/>
      </c>
      <c r="CN97" s="218" t="str">
        <f t="shared" si="523"/>
        <v/>
      </c>
      <c r="CO97" s="218" t="str">
        <f t="shared" si="524"/>
        <v/>
      </c>
      <c r="CP97" s="218" t="str">
        <f t="shared" si="525"/>
        <v/>
      </c>
      <c r="CQ97" s="218" t="str">
        <f t="shared" si="526"/>
        <v/>
      </c>
      <c r="CR97" s="218" t="str">
        <f t="shared" si="527"/>
        <v/>
      </c>
      <c r="CS97" s="218" t="str">
        <f t="shared" si="528"/>
        <v/>
      </c>
      <c r="CT97" s="218" t="str">
        <f t="shared" si="529"/>
        <v/>
      </c>
      <c r="CU97" s="218" t="str">
        <f t="shared" si="530"/>
        <v/>
      </c>
      <c r="CV97" s="218" t="str">
        <f t="shared" si="531"/>
        <v/>
      </c>
      <c r="CW97" s="218" t="str">
        <f t="shared" si="532"/>
        <v/>
      </c>
      <c r="CX97" s="218" t="str">
        <f t="shared" si="533"/>
        <v/>
      </c>
      <c r="CY97" s="218" t="str">
        <f t="shared" si="534"/>
        <v/>
      </c>
      <c r="CZ97" s="218" t="str">
        <f t="shared" si="535"/>
        <v/>
      </c>
      <c r="DA97" s="218" t="str">
        <f t="shared" si="536"/>
        <v/>
      </c>
      <c r="DB97" s="218" t="str">
        <f t="shared" si="537"/>
        <v/>
      </c>
      <c r="DC97" s="218" t="str">
        <f t="shared" si="538"/>
        <v/>
      </c>
      <c r="DD97" s="218" t="str">
        <f t="shared" si="539"/>
        <v/>
      </c>
      <c r="DF97" s="218" t="str">
        <f t="shared" si="540"/>
        <v/>
      </c>
      <c r="DG97" s="218" t="str">
        <f t="shared" si="541"/>
        <v/>
      </c>
      <c r="DH97" s="218" t="str">
        <f t="shared" si="542"/>
        <v/>
      </c>
      <c r="DI97" s="218" t="str">
        <f t="shared" si="543"/>
        <v/>
      </c>
      <c r="DJ97" s="218" t="str">
        <f t="shared" si="544"/>
        <v/>
      </c>
      <c r="DK97" s="218" t="str">
        <f t="shared" si="545"/>
        <v/>
      </c>
      <c r="DL97" s="218" t="str">
        <f t="shared" si="546"/>
        <v/>
      </c>
      <c r="DM97" s="218" t="str">
        <f t="shared" si="547"/>
        <v/>
      </c>
      <c r="DN97" s="218" t="str">
        <f t="shared" si="548"/>
        <v/>
      </c>
      <c r="DO97" s="218" t="str">
        <f t="shared" si="549"/>
        <v/>
      </c>
      <c r="DP97" s="218" t="str">
        <f t="shared" si="550"/>
        <v/>
      </c>
      <c r="DQ97" s="218" t="str">
        <f t="shared" si="551"/>
        <v/>
      </c>
      <c r="DR97" s="218" t="str">
        <f t="shared" si="552"/>
        <v/>
      </c>
      <c r="DS97" s="218" t="str">
        <f t="shared" si="553"/>
        <v/>
      </c>
      <c r="DT97" s="218" t="str">
        <f t="shared" si="554"/>
        <v/>
      </c>
      <c r="DU97" s="218" t="str">
        <f t="shared" si="555"/>
        <v/>
      </c>
      <c r="DV97" s="218" t="str">
        <f t="shared" si="556"/>
        <v/>
      </c>
      <c r="DW97" s="218" t="str">
        <f t="shared" si="557"/>
        <v/>
      </c>
      <c r="DX97" s="218" t="str">
        <f t="shared" si="558"/>
        <v/>
      </c>
      <c r="DY97" s="218" t="str">
        <f t="shared" si="559"/>
        <v/>
      </c>
      <c r="DZ97" s="218" t="str">
        <f t="shared" si="560"/>
        <v/>
      </c>
      <c r="EA97" s="218" t="str">
        <f t="shared" si="561"/>
        <v/>
      </c>
      <c r="EB97" s="218" t="str">
        <f t="shared" si="562"/>
        <v/>
      </c>
      <c r="EC97" s="218" t="str">
        <f t="shared" si="563"/>
        <v/>
      </c>
      <c r="EE97" s="218" t="str">
        <f t="shared" si="564"/>
        <v/>
      </c>
      <c r="EF97" s="218" t="str">
        <f t="shared" si="565"/>
        <v/>
      </c>
      <c r="EG97" s="218" t="str">
        <f t="shared" si="566"/>
        <v/>
      </c>
      <c r="EH97" s="218" t="str">
        <f t="shared" si="567"/>
        <v/>
      </c>
      <c r="EI97" s="218" t="str">
        <f t="shared" si="568"/>
        <v/>
      </c>
      <c r="EJ97" s="218" t="str">
        <f t="shared" si="569"/>
        <v/>
      </c>
      <c r="EK97" s="218" t="str">
        <f t="shared" si="570"/>
        <v/>
      </c>
      <c r="EL97" s="218" t="str">
        <f t="shared" si="571"/>
        <v/>
      </c>
      <c r="EM97" s="218" t="str">
        <f t="shared" si="572"/>
        <v/>
      </c>
      <c r="EN97" s="218" t="str">
        <f t="shared" si="573"/>
        <v/>
      </c>
      <c r="EO97" s="218" t="str">
        <f t="shared" si="574"/>
        <v/>
      </c>
      <c r="EP97" s="218" t="str">
        <f t="shared" si="575"/>
        <v/>
      </c>
      <c r="EQ97" s="218" t="str">
        <f t="shared" si="576"/>
        <v/>
      </c>
      <c r="ER97" s="218" t="str">
        <f t="shared" si="577"/>
        <v/>
      </c>
      <c r="ES97" s="218" t="str">
        <f t="shared" si="578"/>
        <v/>
      </c>
      <c r="ET97" s="218" t="str">
        <f t="shared" si="579"/>
        <v/>
      </c>
      <c r="EU97" s="218" t="str">
        <f t="shared" si="580"/>
        <v/>
      </c>
      <c r="EV97" s="218" t="str">
        <f t="shared" si="581"/>
        <v/>
      </c>
      <c r="EW97" s="218" t="str">
        <f t="shared" si="582"/>
        <v/>
      </c>
      <c r="EX97" s="218" t="str">
        <f t="shared" si="583"/>
        <v/>
      </c>
      <c r="EY97" s="218" t="str">
        <f t="shared" si="584"/>
        <v/>
      </c>
      <c r="FA97" s="218" t="str">
        <f t="shared" si="585"/>
        <v/>
      </c>
      <c r="FB97" s="218" t="str">
        <f t="shared" si="586"/>
        <v/>
      </c>
      <c r="FC97" s="218" t="str">
        <f t="shared" si="587"/>
        <v/>
      </c>
      <c r="FD97" s="218" t="str">
        <f t="shared" si="588"/>
        <v/>
      </c>
      <c r="FE97" s="218" t="str">
        <f t="shared" si="589"/>
        <v/>
      </c>
      <c r="FF97" s="218" t="str">
        <f t="shared" si="590"/>
        <v/>
      </c>
      <c r="FG97" s="218" t="str">
        <f t="shared" si="591"/>
        <v/>
      </c>
      <c r="FH97" s="218" t="str">
        <f t="shared" si="592"/>
        <v/>
      </c>
      <c r="FI97" s="218" t="str">
        <f t="shared" si="593"/>
        <v/>
      </c>
      <c r="FJ97" s="218" t="str">
        <f t="shared" si="594"/>
        <v/>
      </c>
      <c r="FK97" s="218" t="str">
        <f t="shared" si="595"/>
        <v/>
      </c>
      <c r="FL97" s="218" t="str">
        <f t="shared" si="596"/>
        <v/>
      </c>
      <c r="FM97" s="218" t="str">
        <f t="shared" si="597"/>
        <v/>
      </c>
      <c r="FN97" s="218" t="str">
        <f t="shared" si="598"/>
        <v/>
      </c>
      <c r="FO97" s="218" t="str">
        <f t="shared" si="599"/>
        <v/>
      </c>
      <c r="FP97" s="218" t="str">
        <f t="shared" si="600"/>
        <v/>
      </c>
      <c r="FQ97" s="218" t="str">
        <f t="shared" si="601"/>
        <v/>
      </c>
      <c r="FR97" s="218" t="str">
        <f t="shared" si="602"/>
        <v/>
      </c>
      <c r="FT97" s="218" t="str">
        <f t="shared" si="603"/>
        <v/>
      </c>
      <c r="FU97" s="218" t="str">
        <f t="shared" si="604"/>
        <v/>
      </c>
      <c r="FV97" s="218" t="str">
        <f t="shared" si="605"/>
        <v/>
      </c>
      <c r="FW97" s="218" t="str">
        <f t="shared" si="606"/>
        <v/>
      </c>
      <c r="FX97" s="218" t="str">
        <f t="shared" si="607"/>
        <v/>
      </c>
      <c r="FY97" s="218" t="str">
        <f t="shared" si="608"/>
        <v/>
      </c>
      <c r="FZ97" s="218" t="str">
        <f t="shared" si="609"/>
        <v/>
      </c>
      <c r="GA97" s="218" t="str">
        <f t="shared" si="610"/>
        <v/>
      </c>
      <c r="GB97" s="218" t="str">
        <f t="shared" si="611"/>
        <v/>
      </c>
      <c r="GC97" s="218" t="str">
        <f t="shared" si="612"/>
        <v/>
      </c>
      <c r="GD97" s="218" t="str">
        <f t="shared" si="613"/>
        <v/>
      </c>
      <c r="GE97" s="218" t="str">
        <f t="shared" si="614"/>
        <v/>
      </c>
      <c r="GF97" s="218" t="str">
        <f t="shared" si="615"/>
        <v/>
      </c>
      <c r="GG97" s="218" t="str">
        <f t="shared" si="616"/>
        <v/>
      </c>
      <c r="GH97" s="218" t="str">
        <f t="shared" si="617"/>
        <v/>
      </c>
      <c r="GJ97" s="218" t="str">
        <f t="shared" si="618"/>
        <v/>
      </c>
      <c r="GK97" s="218" t="str">
        <f t="shared" si="619"/>
        <v/>
      </c>
      <c r="GL97" s="218" t="str">
        <f t="shared" si="620"/>
        <v/>
      </c>
      <c r="GM97" s="218" t="str">
        <f t="shared" si="621"/>
        <v/>
      </c>
      <c r="GN97" s="218" t="str">
        <f t="shared" si="622"/>
        <v/>
      </c>
      <c r="GO97" s="218" t="str">
        <f t="shared" si="623"/>
        <v/>
      </c>
      <c r="GP97" s="218" t="str">
        <f t="shared" si="624"/>
        <v/>
      </c>
      <c r="GQ97" s="218" t="str">
        <f t="shared" si="625"/>
        <v/>
      </c>
      <c r="GR97" s="218" t="str">
        <f t="shared" si="626"/>
        <v/>
      </c>
      <c r="GS97" s="218" t="str">
        <f t="shared" si="627"/>
        <v/>
      </c>
      <c r="GT97" s="218" t="str">
        <f t="shared" si="628"/>
        <v/>
      </c>
      <c r="GU97" s="218" t="str">
        <f t="shared" si="629"/>
        <v/>
      </c>
      <c r="GW97" s="218" t="str">
        <f t="shared" si="630"/>
        <v/>
      </c>
      <c r="GX97" s="218" t="str">
        <f t="shared" si="631"/>
        <v/>
      </c>
      <c r="GY97" s="218" t="str">
        <f t="shared" si="632"/>
        <v/>
      </c>
      <c r="GZ97" s="218" t="str">
        <f t="shared" si="633"/>
        <v/>
      </c>
      <c r="HA97" s="218" t="str">
        <f t="shared" si="634"/>
        <v/>
      </c>
      <c r="HB97" s="218" t="str">
        <f t="shared" si="635"/>
        <v/>
      </c>
      <c r="HC97" s="218" t="str">
        <f t="shared" si="636"/>
        <v/>
      </c>
      <c r="HD97" s="218" t="str">
        <f t="shared" si="637"/>
        <v/>
      </c>
      <c r="HE97" s="218" t="str">
        <f t="shared" si="638"/>
        <v/>
      </c>
      <c r="HG97" s="218" t="str">
        <f t="shared" si="639"/>
        <v/>
      </c>
      <c r="HH97" s="218" t="str">
        <f t="shared" si="640"/>
        <v/>
      </c>
      <c r="HI97" s="218" t="str">
        <f t="shared" si="641"/>
        <v/>
      </c>
      <c r="HJ97" s="218" t="str">
        <f t="shared" si="642"/>
        <v/>
      </c>
      <c r="HK97" s="218" t="str">
        <f t="shared" si="643"/>
        <v/>
      </c>
      <c r="HL97" s="218" t="str">
        <f t="shared" si="644"/>
        <v/>
      </c>
      <c r="HN97" s="218" t="str">
        <f t="shared" si="645"/>
        <v/>
      </c>
      <c r="HO97" s="218" t="str">
        <f t="shared" si="646"/>
        <v/>
      </c>
      <c r="HP97" s="218" t="str">
        <f t="shared" si="647"/>
        <v/>
      </c>
      <c r="HR97" s="218" t="str">
        <f t="shared" si="648"/>
        <v/>
      </c>
      <c r="HS97" s="218" t="str">
        <f t="shared" si="649"/>
        <v/>
      </c>
      <c r="HT97" s="218" t="str">
        <f t="shared" si="650"/>
        <v/>
      </c>
      <c r="HU97" s="218" t="str">
        <f t="shared" si="651"/>
        <v/>
      </c>
      <c r="HV97" s="218" t="str">
        <f t="shared" si="652"/>
        <v/>
      </c>
      <c r="HW97" s="218" t="str">
        <f t="shared" si="653"/>
        <v/>
      </c>
      <c r="HX97" s="218" t="str">
        <f t="shared" si="654"/>
        <v/>
      </c>
      <c r="HY97" s="218" t="str">
        <f t="shared" si="655"/>
        <v/>
      </c>
      <c r="HZ97" s="218" t="str">
        <f t="shared" si="656"/>
        <v/>
      </c>
      <c r="IA97" s="218" t="str">
        <f t="shared" si="657"/>
        <v/>
      </c>
      <c r="IB97" s="218" t="str">
        <f t="shared" si="658"/>
        <v/>
      </c>
      <c r="IC97" s="218" t="str">
        <f t="shared" si="659"/>
        <v/>
      </c>
      <c r="ID97" s="218" t="str">
        <f t="shared" si="660"/>
        <v/>
      </c>
      <c r="IE97" s="218" t="str">
        <f t="shared" si="661"/>
        <v/>
      </c>
      <c r="IF97" s="218" t="str">
        <f t="shared" si="662"/>
        <v/>
      </c>
      <c r="IG97" s="218" t="str">
        <f t="shared" si="663"/>
        <v/>
      </c>
      <c r="IH97" s="218" t="str">
        <f t="shared" si="664"/>
        <v/>
      </c>
      <c r="II97" s="218" t="str">
        <f t="shared" si="665"/>
        <v/>
      </c>
      <c r="IJ97" s="218" t="str">
        <f t="shared" si="666"/>
        <v/>
      </c>
      <c r="IK97" s="218" t="str">
        <f t="shared" si="667"/>
        <v/>
      </c>
      <c r="IL97" s="218" t="str">
        <f t="shared" si="668"/>
        <v/>
      </c>
      <c r="IM97" s="218" t="str">
        <f t="shared" si="669"/>
        <v/>
      </c>
      <c r="IN97" s="218" t="str">
        <f t="shared" si="670"/>
        <v/>
      </c>
      <c r="IO97" s="218" t="str">
        <f t="shared" si="671"/>
        <v/>
      </c>
      <c r="IP97" s="218" t="str">
        <f t="shared" si="672"/>
        <v/>
      </c>
      <c r="IQ97" s="218" t="str">
        <f t="shared" si="673"/>
        <v/>
      </c>
      <c r="IR97" s="218" t="str">
        <f t="shared" si="674"/>
        <v/>
      </c>
      <c r="IS97" s="218" t="str">
        <f t="shared" si="675"/>
        <v/>
      </c>
      <c r="IT97" s="218" t="str">
        <f t="shared" si="676"/>
        <v/>
      </c>
      <c r="IU97" s="218" t="str">
        <f t="shared" si="677"/>
        <v/>
      </c>
    </row>
    <row r="98" spans="1:255" x14ac:dyDescent="0.2">
      <c r="A98" s="200" t="s">
        <v>101</v>
      </c>
      <c r="B98" s="188"/>
      <c r="C98" s="187"/>
      <c r="D98" s="181"/>
      <c r="E98" s="181"/>
      <c r="F98" s="181"/>
      <c r="G98" s="181"/>
      <c r="H98" s="187"/>
      <c r="I98" s="181"/>
      <c r="J98" s="181"/>
      <c r="K98" s="183"/>
      <c r="L98" s="217" t="str">
        <f t="shared" si="441"/>
        <v/>
      </c>
      <c r="M98" s="218" t="str">
        <f>'HKG vs. BK'!M98</f>
        <v/>
      </c>
      <c r="N98" s="218" t="str">
        <f>'HKG vs. BK'!N98</f>
        <v/>
      </c>
      <c r="O98" s="218" t="str">
        <f>'HKG vs. BK'!O98</f>
        <v/>
      </c>
      <c r="P98" s="218" t="str">
        <f>'HKG vs. BK'!P98</f>
        <v/>
      </c>
      <c r="Q98" s="219" t="str">
        <f t="shared" si="453"/>
        <v/>
      </c>
      <c r="R98" s="220" t="str">
        <f t="shared" si="454"/>
        <v/>
      </c>
      <c r="S98" s="220" t="str">
        <f t="shared" si="455"/>
        <v/>
      </c>
      <c r="T98" s="219" t="str">
        <f t="shared" si="456"/>
        <v/>
      </c>
      <c r="U98" s="220" t="str">
        <f t="shared" si="457"/>
        <v/>
      </c>
      <c r="V98" s="220" t="str">
        <f t="shared" si="458"/>
        <v/>
      </c>
      <c r="W98" s="219" t="str">
        <f t="shared" si="459"/>
        <v/>
      </c>
      <c r="X98" s="220" t="str">
        <f t="shared" si="460"/>
        <v/>
      </c>
      <c r="Y98" s="220" t="str">
        <f t="shared" si="461"/>
        <v/>
      </c>
      <c r="Z98" s="219" t="str">
        <f t="shared" si="462"/>
        <v/>
      </c>
      <c r="AA98" s="220" t="str">
        <f t="shared" si="463"/>
        <v/>
      </c>
      <c r="AB98" s="220" t="str">
        <f t="shared" si="464"/>
        <v/>
      </c>
      <c r="AC98" s="219" t="str">
        <f t="shared" si="465"/>
        <v/>
      </c>
      <c r="AD98" s="220" t="str">
        <f t="shared" si="466"/>
        <v/>
      </c>
      <c r="AE98" s="220" t="str">
        <f t="shared" si="467"/>
        <v/>
      </c>
      <c r="AF98" s="219" t="str">
        <f t="shared" si="468"/>
        <v/>
      </c>
      <c r="AG98" s="220" t="str">
        <f t="shared" si="469"/>
        <v/>
      </c>
      <c r="AH98" s="220" t="str">
        <f t="shared" si="470"/>
        <v/>
      </c>
      <c r="AI98" s="219" t="str">
        <f t="shared" si="471"/>
        <v/>
      </c>
      <c r="AJ98" s="220" t="str">
        <f t="shared" si="472"/>
        <v/>
      </c>
      <c r="AK98" s="220" t="str">
        <f t="shared" si="473"/>
        <v/>
      </c>
      <c r="AL98" s="219" t="str">
        <f t="shared" si="474"/>
        <v/>
      </c>
      <c r="AM98" s="220" t="str">
        <f t="shared" si="475"/>
        <v/>
      </c>
      <c r="AN98" s="220" t="str">
        <f t="shared" si="476"/>
        <v/>
      </c>
      <c r="AO98" s="219" t="str">
        <f t="shared" si="477"/>
        <v/>
      </c>
      <c r="AP98" s="220" t="str">
        <f t="shared" si="478"/>
        <v/>
      </c>
      <c r="AQ98" s="220" t="str">
        <f t="shared" si="479"/>
        <v/>
      </c>
      <c r="AR98" s="219" t="str">
        <f t="shared" si="480"/>
        <v/>
      </c>
      <c r="AS98" s="220" t="str">
        <f t="shared" si="481"/>
        <v/>
      </c>
      <c r="AT98" s="220" t="str">
        <f t="shared" si="482"/>
        <v/>
      </c>
      <c r="AU98" s="221"/>
      <c r="AV98" s="221"/>
      <c r="AW98" s="221"/>
      <c r="AY98" s="218" t="str">
        <f t="shared" si="483"/>
        <v/>
      </c>
      <c r="AZ98" s="218" t="str">
        <f t="shared" si="484"/>
        <v/>
      </c>
      <c r="BA98" s="218" t="str">
        <f t="shared" si="485"/>
        <v/>
      </c>
      <c r="BB98" s="218" t="str">
        <f t="shared" si="486"/>
        <v/>
      </c>
      <c r="BC98" s="218" t="str">
        <f t="shared" si="487"/>
        <v/>
      </c>
      <c r="BD98" s="218" t="str">
        <f t="shared" si="488"/>
        <v/>
      </c>
      <c r="BE98" s="218" t="str">
        <f t="shared" si="489"/>
        <v/>
      </c>
      <c r="BF98" s="218" t="str">
        <f t="shared" si="490"/>
        <v/>
      </c>
      <c r="BG98" s="218" t="str">
        <f t="shared" si="491"/>
        <v/>
      </c>
      <c r="BH98" s="218" t="str">
        <f t="shared" si="492"/>
        <v/>
      </c>
      <c r="BI98" s="218" t="str">
        <f t="shared" si="493"/>
        <v/>
      </c>
      <c r="BJ98" s="218" t="str">
        <f t="shared" si="494"/>
        <v/>
      </c>
      <c r="BK98" s="218" t="str">
        <f t="shared" si="495"/>
        <v/>
      </c>
      <c r="BL98" s="218" t="str">
        <f t="shared" si="496"/>
        <v/>
      </c>
      <c r="BM98" s="218" t="str">
        <f t="shared" si="497"/>
        <v/>
      </c>
      <c r="BN98" s="218" t="str">
        <f t="shared" si="498"/>
        <v/>
      </c>
      <c r="BO98" s="218" t="str">
        <f t="shared" si="499"/>
        <v/>
      </c>
      <c r="BP98" s="218" t="str">
        <f t="shared" si="500"/>
        <v/>
      </c>
      <c r="BQ98" s="218" t="str">
        <f t="shared" si="501"/>
        <v/>
      </c>
      <c r="BR98" s="218" t="str">
        <f t="shared" si="502"/>
        <v/>
      </c>
      <c r="BS98" s="218" t="str">
        <f t="shared" si="503"/>
        <v/>
      </c>
      <c r="BT98" s="218" t="str">
        <f t="shared" si="504"/>
        <v/>
      </c>
      <c r="BU98" s="218" t="str">
        <f t="shared" si="505"/>
        <v/>
      </c>
      <c r="BV98" s="218" t="str">
        <f t="shared" si="506"/>
        <v/>
      </c>
      <c r="BW98" s="218" t="str">
        <f t="shared" si="507"/>
        <v/>
      </c>
      <c r="BX98" s="218" t="str">
        <f t="shared" si="508"/>
        <v/>
      </c>
      <c r="BY98" s="218" t="str">
        <f t="shared" si="509"/>
        <v/>
      </c>
      <c r="BZ98" s="218" t="str">
        <f t="shared" si="510"/>
        <v/>
      </c>
      <c r="CA98" s="218" t="str">
        <f t="shared" si="511"/>
        <v/>
      </c>
      <c r="CB98" s="218" t="str">
        <f t="shared" si="512"/>
        <v/>
      </c>
      <c r="CD98" s="218" t="str">
        <f t="shared" si="513"/>
        <v/>
      </c>
      <c r="CE98" s="218" t="str">
        <f t="shared" si="514"/>
        <v/>
      </c>
      <c r="CF98" s="218" t="str">
        <f t="shared" si="515"/>
        <v/>
      </c>
      <c r="CG98" s="218" t="str">
        <f t="shared" si="516"/>
        <v/>
      </c>
      <c r="CH98" s="218" t="str">
        <f t="shared" si="517"/>
        <v/>
      </c>
      <c r="CI98" s="218" t="str">
        <f t="shared" si="518"/>
        <v/>
      </c>
      <c r="CJ98" s="218" t="str">
        <f t="shared" si="519"/>
        <v/>
      </c>
      <c r="CK98" s="218" t="str">
        <f t="shared" si="520"/>
        <v/>
      </c>
      <c r="CL98" s="218" t="str">
        <f t="shared" si="521"/>
        <v/>
      </c>
      <c r="CM98" s="218" t="str">
        <f t="shared" si="522"/>
        <v/>
      </c>
      <c r="CN98" s="218" t="str">
        <f t="shared" si="523"/>
        <v/>
      </c>
      <c r="CO98" s="218" t="str">
        <f t="shared" si="524"/>
        <v/>
      </c>
      <c r="CP98" s="218" t="str">
        <f t="shared" si="525"/>
        <v/>
      </c>
      <c r="CQ98" s="218" t="str">
        <f t="shared" si="526"/>
        <v/>
      </c>
      <c r="CR98" s="218" t="str">
        <f t="shared" si="527"/>
        <v/>
      </c>
      <c r="CS98" s="218" t="str">
        <f t="shared" si="528"/>
        <v/>
      </c>
      <c r="CT98" s="218" t="str">
        <f t="shared" si="529"/>
        <v/>
      </c>
      <c r="CU98" s="218" t="str">
        <f t="shared" si="530"/>
        <v/>
      </c>
      <c r="CV98" s="218" t="str">
        <f t="shared" si="531"/>
        <v/>
      </c>
      <c r="CW98" s="218" t="str">
        <f t="shared" si="532"/>
        <v/>
      </c>
      <c r="CX98" s="218" t="str">
        <f t="shared" si="533"/>
        <v/>
      </c>
      <c r="CY98" s="218" t="str">
        <f t="shared" si="534"/>
        <v/>
      </c>
      <c r="CZ98" s="218" t="str">
        <f t="shared" si="535"/>
        <v/>
      </c>
      <c r="DA98" s="218" t="str">
        <f t="shared" si="536"/>
        <v/>
      </c>
      <c r="DB98" s="218" t="str">
        <f t="shared" si="537"/>
        <v/>
      </c>
      <c r="DC98" s="218" t="str">
        <f t="shared" si="538"/>
        <v/>
      </c>
      <c r="DD98" s="218" t="str">
        <f t="shared" si="539"/>
        <v/>
      </c>
      <c r="DF98" s="218" t="str">
        <f t="shared" si="540"/>
        <v/>
      </c>
      <c r="DG98" s="218" t="str">
        <f t="shared" si="541"/>
        <v/>
      </c>
      <c r="DH98" s="218" t="str">
        <f t="shared" si="542"/>
        <v/>
      </c>
      <c r="DI98" s="218" t="str">
        <f t="shared" si="543"/>
        <v/>
      </c>
      <c r="DJ98" s="218" t="str">
        <f t="shared" si="544"/>
        <v/>
      </c>
      <c r="DK98" s="218" t="str">
        <f t="shared" si="545"/>
        <v/>
      </c>
      <c r="DL98" s="218" t="str">
        <f t="shared" si="546"/>
        <v/>
      </c>
      <c r="DM98" s="218" t="str">
        <f t="shared" si="547"/>
        <v/>
      </c>
      <c r="DN98" s="218" t="str">
        <f t="shared" si="548"/>
        <v/>
      </c>
      <c r="DO98" s="218" t="str">
        <f t="shared" si="549"/>
        <v/>
      </c>
      <c r="DP98" s="218" t="str">
        <f t="shared" si="550"/>
        <v/>
      </c>
      <c r="DQ98" s="218" t="str">
        <f t="shared" si="551"/>
        <v/>
      </c>
      <c r="DR98" s="218" t="str">
        <f t="shared" si="552"/>
        <v/>
      </c>
      <c r="DS98" s="218" t="str">
        <f t="shared" si="553"/>
        <v/>
      </c>
      <c r="DT98" s="218" t="str">
        <f t="shared" si="554"/>
        <v/>
      </c>
      <c r="DU98" s="218" t="str">
        <f t="shared" si="555"/>
        <v/>
      </c>
      <c r="DV98" s="218" t="str">
        <f t="shared" si="556"/>
        <v/>
      </c>
      <c r="DW98" s="218" t="str">
        <f t="shared" si="557"/>
        <v/>
      </c>
      <c r="DX98" s="218" t="str">
        <f t="shared" si="558"/>
        <v/>
      </c>
      <c r="DY98" s="218" t="str">
        <f t="shared" si="559"/>
        <v/>
      </c>
      <c r="DZ98" s="218" t="str">
        <f t="shared" si="560"/>
        <v/>
      </c>
      <c r="EA98" s="218" t="str">
        <f t="shared" si="561"/>
        <v/>
      </c>
      <c r="EB98" s="218" t="str">
        <f t="shared" si="562"/>
        <v/>
      </c>
      <c r="EC98" s="218" t="str">
        <f t="shared" si="563"/>
        <v/>
      </c>
      <c r="EE98" s="218" t="str">
        <f t="shared" si="564"/>
        <v/>
      </c>
      <c r="EF98" s="218" t="str">
        <f t="shared" si="565"/>
        <v/>
      </c>
      <c r="EG98" s="218" t="str">
        <f t="shared" si="566"/>
        <v/>
      </c>
      <c r="EH98" s="218" t="str">
        <f t="shared" si="567"/>
        <v/>
      </c>
      <c r="EI98" s="218" t="str">
        <f t="shared" si="568"/>
        <v/>
      </c>
      <c r="EJ98" s="218" t="str">
        <f t="shared" si="569"/>
        <v/>
      </c>
      <c r="EK98" s="218" t="str">
        <f t="shared" si="570"/>
        <v/>
      </c>
      <c r="EL98" s="218" t="str">
        <f t="shared" si="571"/>
        <v/>
      </c>
      <c r="EM98" s="218" t="str">
        <f t="shared" si="572"/>
        <v/>
      </c>
      <c r="EN98" s="218" t="str">
        <f t="shared" si="573"/>
        <v/>
      </c>
      <c r="EO98" s="218" t="str">
        <f t="shared" si="574"/>
        <v/>
      </c>
      <c r="EP98" s="218" t="str">
        <f t="shared" si="575"/>
        <v/>
      </c>
      <c r="EQ98" s="218" t="str">
        <f t="shared" si="576"/>
        <v/>
      </c>
      <c r="ER98" s="218" t="str">
        <f t="shared" si="577"/>
        <v/>
      </c>
      <c r="ES98" s="218" t="str">
        <f t="shared" si="578"/>
        <v/>
      </c>
      <c r="ET98" s="218" t="str">
        <f t="shared" si="579"/>
        <v/>
      </c>
      <c r="EU98" s="218" t="str">
        <f t="shared" si="580"/>
        <v/>
      </c>
      <c r="EV98" s="218" t="str">
        <f t="shared" si="581"/>
        <v/>
      </c>
      <c r="EW98" s="218" t="str">
        <f t="shared" si="582"/>
        <v/>
      </c>
      <c r="EX98" s="218" t="str">
        <f t="shared" si="583"/>
        <v/>
      </c>
      <c r="EY98" s="218" t="str">
        <f t="shared" si="584"/>
        <v/>
      </c>
      <c r="FA98" s="218" t="str">
        <f t="shared" si="585"/>
        <v/>
      </c>
      <c r="FB98" s="218" t="str">
        <f t="shared" si="586"/>
        <v/>
      </c>
      <c r="FC98" s="218" t="str">
        <f t="shared" si="587"/>
        <v/>
      </c>
      <c r="FD98" s="218" t="str">
        <f t="shared" si="588"/>
        <v/>
      </c>
      <c r="FE98" s="218" t="str">
        <f t="shared" si="589"/>
        <v/>
      </c>
      <c r="FF98" s="218" t="str">
        <f t="shared" si="590"/>
        <v/>
      </c>
      <c r="FG98" s="218" t="str">
        <f t="shared" si="591"/>
        <v/>
      </c>
      <c r="FH98" s="218" t="str">
        <f t="shared" si="592"/>
        <v/>
      </c>
      <c r="FI98" s="218" t="str">
        <f t="shared" si="593"/>
        <v/>
      </c>
      <c r="FJ98" s="218" t="str">
        <f t="shared" si="594"/>
        <v/>
      </c>
      <c r="FK98" s="218" t="str">
        <f t="shared" si="595"/>
        <v/>
      </c>
      <c r="FL98" s="218" t="str">
        <f t="shared" si="596"/>
        <v/>
      </c>
      <c r="FM98" s="218" t="str">
        <f t="shared" si="597"/>
        <v/>
      </c>
      <c r="FN98" s="218" t="str">
        <f t="shared" si="598"/>
        <v/>
      </c>
      <c r="FO98" s="218" t="str">
        <f t="shared" si="599"/>
        <v/>
      </c>
      <c r="FP98" s="218" t="str">
        <f t="shared" si="600"/>
        <v/>
      </c>
      <c r="FQ98" s="218" t="str">
        <f t="shared" si="601"/>
        <v/>
      </c>
      <c r="FR98" s="218" t="str">
        <f t="shared" si="602"/>
        <v/>
      </c>
      <c r="FT98" s="218" t="str">
        <f t="shared" si="603"/>
        <v/>
      </c>
      <c r="FU98" s="218" t="str">
        <f t="shared" si="604"/>
        <v/>
      </c>
      <c r="FV98" s="218" t="str">
        <f t="shared" si="605"/>
        <v/>
      </c>
      <c r="FW98" s="218" t="str">
        <f t="shared" si="606"/>
        <v/>
      </c>
      <c r="FX98" s="218" t="str">
        <f t="shared" si="607"/>
        <v/>
      </c>
      <c r="FY98" s="218" t="str">
        <f t="shared" si="608"/>
        <v/>
      </c>
      <c r="FZ98" s="218" t="str">
        <f t="shared" si="609"/>
        <v/>
      </c>
      <c r="GA98" s="218" t="str">
        <f t="shared" si="610"/>
        <v/>
      </c>
      <c r="GB98" s="218" t="str">
        <f t="shared" si="611"/>
        <v/>
      </c>
      <c r="GC98" s="218" t="str">
        <f t="shared" si="612"/>
        <v/>
      </c>
      <c r="GD98" s="218" t="str">
        <f t="shared" si="613"/>
        <v/>
      </c>
      <c r="GE98" s="218" t="str">
        <f t="shared" si="614"/>
        <v/>
      </c>
      <c r="GF98" s="218" t="str">
        <f t="shared" si="615"/>
        <v/>
      </c>
      <c r="GG98" s="218" t="str">
        <f t="shared" si="616"/>
        <v/>
      </c>
      <c r="GH98" s="218" t="str">
        <f t="shared" si="617"/>
        <v/>
      </c>
      <c r="GJ98" s="218" t="str">
        <f t="shared" si="618"/>
        <v/>
      </c>
      <c r="GK98" s="218" t="str">
        <f t="shared" si="619"/>
        <v/>
      </c>
      <c r="GL98" s="218" t="str">
        <f t="shared" si="620"/>
        <v/>
      </c>
      <c r="GM98" s="218" t="str">
        <f t="shared" si="621"/>
        <v/>
      </c>
      <c r="GN98" s="218" t="str">
        <f t="shared" si="622"/>
        <v/>
      </c>
      <c r="GO98" s="218" t="str">
        <f t="shared" si="623"/>
        <v/>
      </c>
      <c r="GP98" s="218" t="str">
        <f t="shared" si="624"/>
        <v/>
      </c>
      <c r="GQ98" s="218" t="str">
        <f t="shared" si="625"/>
        <v/>
      </c>
      <c r="GR98" s="218" t="str">
        <f t="shared" si="626"/>
        <v/>
      </c>
      <c r="GS98" s="218" t="str">
        <f t="shared" si="627"/>
        <v/>
      </c>
      <c r="GT98" s="218" t="str">
        <f t="shared" si="628"/>
        <v/>
      </c>
      <c r="GU98" s="218" t="str">
        <f t="shared" si="629"/>
        <v/>
      </c>
      <c r="GW98" s="218" t="str">
        <f t="shared" si="630"/>
        <v/>
      </c>
      <c r="GX98" s="218" t="str">
        <f t="shared" si="631"/>
        <v/>
      </c>
      <c r="GY98" s="218" t="str">
        <f t="shared" si="632"/>
        <v/>
      </c>
      <c r="GZ98" s="218" t="str">
        <f t="shared" si="633"/>
        <v/>
      </c>
      <c r="HA98" s="218" t="str">
        <f t="shared" si="634"/>
        <v/>
      </c>
      <c r="HB98" s="218" t="str">
        <f t="shared" si="635"/>
        <v/>
      </c>
      <c r="HC98" s="218" t="str">
        <f t="shared" si="636"/>
        <v/>
      </c>
      <c r="HD98" s="218" t="str">
        <f t="shared" si="637"/>
        <v/>
      </c>
      <c r="HE98" s="218" t="str">
        <f t="shared" si="638"/>
        <v/>
      </c>
      <c r="HG98" s="218" t="str">
        <f t="shared" si="639"/>
        <v/>
      </c>
      <c r="HH98" s="218" t="str">
        <f t="shared" si="640"/>
        <v/>
      </c>
      <c r="HI98" s="218" t="str">
        <f t="shared" si="641"/>
        <v/>
      </c>
      <c r="HJ98" s="218" t="str">
        <f t="shared" si="642"/>
        <v/>
      </c>
      <c r="HK98" s="218" t="str">
        <f t="shared" si="643"/>
        <v/>
      </c>
      <c r="HL98" s="218" t="str">
        <f t="shared" si="644"/>
        <v/>
      </c>
      <c r="HN98" s="218" t="str">
        <f t="shared" si="645"/>
        <v/>
      </c>
      <c r="HO98" s="218" t="str">
        <f t="shared" si="646"/>
        <v/>
      </c>
      <c r="HP98" s="218" t="str">
        <f t="shared" si="647"/>
        <v/>
      </c>
      <c r="HR98" s="218" t="str">
        <f t="shared" si="648"/>
        <v/>
      </c>
      <c r="HS98" s="218" t="str">
        <f t="shared" si="649"/>
        <v/>
      </c>
      <c r="HT98" s="218" t="str">
        <f t="shared" si="650"/>
        <v/>
      </c>
      <c r="HU98" s="218" t="str">
        <f t="shared" si="651"/>
        <v/>
      </c>
      <c r="HV98" s="218" t="str">
        <f t="shared" si="652"/>
        <v/>
      </c>
      <c r="HW98" s="218" t="str">
        <f t="shared" si="653"/>
        <v/>
      </c>
      <c r="HX98" s="218" t="str">
        <f t="shared" si="654"/>
        <v/>
      </c>
      <c r="HY98" s="218" t="str">
        <f t="shared" si="655"/>
        <v/>
      </c>
      <c r="HZ98" s="218" t="str">
        <f t="shared" si="656"/>
        <v/>
      </c>
      <c r="IA98" s="218" t="str">
        <f t="shared" si="657"/>
        <v/>
      </c>
      <c r="IB98" s="218" t="str">
        <f t="shared" si="658"/>
        <v/>
      </c>
      <c r="IC98" s="218" t="str">
        <f t="shared" si="659"/>
        <v/>
      </c>
      <c r="ID98" s="218" t="str">
        <f t="shared" si="660"/>
        <v/>
      </c>
      <c r="IE98" s="218" t="str">
        <f t="shared" si="661"/>
        <v/>
      </c>
      <c r="IF98" s="218" t="str">
        <f t="shared" si="662"/>
        <v/>
      </c>
      <c r="IG98" s="218" t="str">
        <f t="shared" si="663"/>
        <v/>
      </c>
      <c r="IH98" s="218" t="str">
        <f t="shared" si="664"/>
        <v/>
      </c>
      <c r="II98" s="218" t="str">
        <f t="shared" si="665"/>
        <v/>
      </c>
      <c r="IJ98" s="218" t="str">
        <f t="shared" si="666"/>
        <v/>
      </c>
      <c r="IK98" s="218" t="str">
        <f t="shared" si="667"/>
        <v/>
      </c>
      <c r="IL98" s="218" t="str">
        <f t="shared" si="668"/>
        <v/>
      </c>
      <c r="IM98" s="218" t="str">
        <f t="shared" si="669"/>
        <v/>
      </c>
      <c r="IN98" s="218" t="str">
        <f t="shared" si="670"/>
        <v/>
      </c>
      <c r="IO98" s="218" t="str">
        <f t="shared" si="671"/>
        <v/>
      </c>
      <c r="IP98" s="218" t="str">
        <f t="shared" si="672"/>
        <v/>
      </c>
      <c r="IQ98" s="218" t="str">
        <f t="shared" si="673"/>
        <v/>
      </c>
      <c r="IR98" s="218" t="str">
        <f t="shared" si="674"/>
        <v/>
      </c>
      <c r="IS98" s="218" t="str">
        <f t="shared" si="675"/>
        <v/>
      </c>
      <c r="IT98" s="218" t="str">
        <f t="shared" si="676"/>
        <v/>
      </c>
      <c r="IU98" s="218" t="str">
        <f t="shared" si="677"/>
        <v/>
      </c>
    </row>
    <row r="99" spans="1:255" x14ac:dyDescent="0.2">
      <c r="A99" s="200" t="s">
        <v>102</v>
      </c>
      <c r="B99" s="188"/>
      <c r="C99" s="187"/>
      <c r="D99" s="181"/>
      <c r="E99" s="181"/>
      <c r="F99" s="181"/>
      <c r="G99" s="181"/>
      <c r="H99" s="187"/>
      <c r="I99" s="181"/>
      <c r="J99" s="181"/>
      <c r="K99" s="183"/>
      <c r="L99" s="217" t="str">
        <f t="shared" si="441"/>
        <v/>
      </c>
      <c r="M99" s="218" t="str">
        <f>'HKG vs. BK'!M99</f>
        <v/>
      </c>
      <c r="N99" s="218" t="str">
        <f>'HKG vs. BK'!N99</f>
        <v/>
      </c>
      <c r="O99" s="218" t="str">
        <f>'HKG vs. BK'!O99</f>
        <v/>
      </c>
      <c r="P99" s="218" t="str">
        <f>'HKG vs. BK'!P99</f>
        <v/>
      </c>
      <c r="Q99" s="219" t="str">
        <f t="shared" si="453"/>
        <v/>
      </c>
      <c r="R99" s="220" t="str">
        <f t="shared" si="454"/>
        <v/>
      </c>
      <c r="S99" s="220" t="str">
        <f t="shared" si="455"/>
        <v/>
      </c>
      <c r="T99" s="219" t="str">
        <f t="shared" si="456"/>
        <v/>
      </c>
      <c r="U99" s="220" t="str">
        <f t="shared" si="457"/>
        <v/>
      </c>
      <c r="V99" s="220" t="str">
        <f t="shared" si="458"/>
        <v/>
      </c>
      <c r="W99" s="219" t="str">
        <f t="shared" si="459"/>
        <v/>
      </c>
      <c r="X99" s="220" t="str">
        <f t="shared" si="460"/>
        <v/>
      </c>
      <c r="Y99" s="220" t="str">
        <f t="shared" si="461"/>
        <v/>
      </c>
      <c r="Z99" s="219" t="str">
        <f t="shared" si="462"/>
        <v/>
      </c>
      <c r="AA99" s="220" t="str">
        <f t="shared" si="463"/>
        <v/>
      </c>
      <c r="AB99" s="220" t="str">
        <f t="shared" si="464"/>
        <v/>
      </c>
      <c r="AC99" s="219" t="str">
        <f t="shared" si="465"/>
        <v/>
      </c>
      <c r="AD99" s="220" t="str">
        <f t="shared" si="466"/>
        <v/>
      </c>
      <c r="AE99" s="220" t="str">
        <f t="shared" si="467"/>
        <v/>
      </c>
      <c r="AF99" s="219" t="str">
        <f t="shared" si="468"/>
        <v/>
      </c>
      <c r="AG99" s="220" t="str">
        <f t="shared" si="469"/>
        <v/>
      </c>
      <c r="AH99" s="220" t="str">
        <f t="shared" si="470"/>
        <v/>
      </c>
      <c r="AI99" s="219" t="str">
        <f t="shared" si="471"/>
        <v/>
      </c>
      <c r="AJ99" s="220" t="str">
        <f t="shared" si="472"/>
        <v/>
      </c>
      <c r="AK99" s="220" t="str">
        <f t="shared" si="473"/>
        <v/>
      </c>
      <c r="AL99" s="219" t="str">
        <f t="shared" si="474"/>
        <v/>
      </c>
      <c r="AM99" s="220" t="str">
        <f t="shared" si="475"/>
        <v/>
      </c>
      <c r="AN99" s="220" t="str">
        <f t="shared" si="476"/>
        <v/>
      </c>
      <c r="AO99" s="219" t="str">
        <f t="shared" si="477"/>
        <v/>
      </c>
      <c r="AP99" s="220" t="str">
        <f t="shared" si="478"/>
        <v/>
      </c>
      <c r="AQ99" s="220" t="str">
        <f t="shared" si="479"/>
        <v/>
      </c>
      <c r="AR99" s="219" t="str">
        <f t="shared" si="480"/>
        <v/>
      </c>
      <c r="AS99" s="220" t="str">
        <f t="shared" si="481"/>
        <v/>
      </c>
      <c r="AT99" s="220" t="str">
        <f t="shared" si="482"/>
        <v/>
      </c>
      <c r="AU99" s="221"/>
      <c r="AV99" s="221"/>
      <c r="AW99" s="221"/>
      <c r="AY99" s="218" t="str">
        <f t="shared" si="483"/>
        <v/>
      </c>
      <c r="AZ99" s="218" t="str">
        <f t="shared" si="484"/>
        <v/>
      </c>
      <c r="BA99" s="218" t="str">
        <f t="shared" si="485"/>
        <v/>
      </c>
      <c r="BB99" s="218" t="str">
        <f t="shared" si="486"/>
        <v/>
      </c>
      <c r="BC99" s="218" t="str">
        <f t="shared" si="487"/>
        <v/>
      </c>
      <c r="BD99" s="218" t="str">
        <f t="shared" si="488"/>
        <v/>
      </c>
      <c r="BE99" s="218" t="str">
        <f t="shared" si="489"/>
        <v/>
      </c>
      <c r="BF99" s="218" t="str">
        <f t="shared" si="490"/>
        <v/>
      </c>
      <c r="BG99" s="218" t="str">
        <f t="shared" si="491"/>
        <v/>
      </c>
      <c r="BH99" s="218" t="str">
        <f t="shared" si="492"/>
        <v/>
      </c>
      <c r="BI99" s="218" t="str">
        <f t="shared" si="493"/>
        <v/>
      </c>
      <c r="BJ99" s="218" t="str">
        <f t="shared" si="494"/>
        <v/>
      </c>
      <c r="BK99" s="218" t="str">
        <f t="shared" si="495"/>
        <v/>
      </c>
      <c r="BL99" s="218" t="str">
        <f t="shared" si="496"/>
        <v/>
      </c>
      <c r="BM99" s="218" t="str">
        <f t="shared" si="497"/>
        <v/>
      </c>
      <c r="BN99" s="218" t="str">
        <f t="shared" si="498"/>
        <v/>
      </c>
      <c r="BO99" s="218" t="str">
        <f t="shared" si="499"/>
        <v/>
      </c>
      <c r="BP99" s="218" t="str">
        <f t="shared" si="500"/>
        <v/>
      </c>
      <c r="BQ99" s="218" t="str">
        <f t="shared" si="501"/>
        <v/>
      </c>
      <c r="BR99" s="218" t="str">
        <f t="shared" si="502"/>
        <v/>
      </c>
      <c r="BS99" s="218" t="str">
        <f t="shared" si="503"/>
        <v/>
      </c>
      <c r="BT99" s="218" t="str">
        <f t="shared" si="504"/>
        <v/>
      </c>
      <c r="BU99" s="218" t="str">
        <f t="shared" si="505"/>
        <v/>
      </c>
      <c r="BV99" s="218" t="str">
        <f t="shared" si="506"/>
        <v/>
      </c>
      <c r="BW99" s="218" t="str">
        <f t="shared" si="507"/>
        <v/>
      </c>
      <c r="BX99" s="218" t="str">
        <f t="shared" si="508"/>
        <v/>
      </c>
      <c r="BY99" s="218" t="str">
        <f t="shared" si="509"/>
        <v/>
      </c>
      <c r="BZ99" s="218" t="str">
        <f t="shared" si="510"/>
        <v/>
      </c>
      <c r="CA99" s="218" t="str">
        <f t="shared" si="511"/>
        <v/>
      </c>
      <c r="CB99" s="218" t="str">
        <f t="shared" si="512"/>
        <v/>
      </c>
      <c r="CD99" s="218" t="str">
        <f t="shared" si="513"/>
        <v/>
      </c>
      <c r="CE99" s="218" t="str">
        <f t="shared" si="514"/>
        <v/>
      </c>
      <c r="CF99" s="218" t="str">
        <f t="shared" si="515"/>
        <v/>
      </c>
      <c r="CG99" s="218" t="str">
        <f t="shared" si="516"/>
        <v/>
      </c>
      <c r="CH99" s="218" t="str">
        <f t="shared" si="517"/>
        <v/>
      </c>
      <c r="CI99" s="218" t="str">
        <f t="shared" si="518"/>
        <v/>
      </c>
      <c r="CJ99" s="218" t="str">
        <f t="shared" si="519"/>
        <v/>
      </c>
      <c r="CK99" s="218" t="str">
        <f t="shared" si="520"/>
        <v/>
      </c>
      <c r="CL99" s="218" t="str">
        <f t="shared" si="521"/>
        <v/>
      </c>
      <c r="CM99" s="218" t="str">
        <f t="shared" si="522"/>
        <v/>
      </c>
      <c r="CN99" s="218" t="str">
        <f t="shared" si="523"/>
        <v/>
      </c>
      <c r="CO99" s="218" t="str">
        <f t="shared" si="524"/>
        <v/>
      </c>
      <c r="CP99" s="218" t="str">
        <f t="shared" si="525"/>
        <v/>
      </c>
      <c r="CQ99" s="218" t="str">
        <f t="shared" si="526"/>
        <v/>
      </c>
      <c r="CR99" s="218" t="str">
        <f t="shared" si="527"/>
        <v/>
      </c>
      <c r="CS99" s="218" t="str">
        <f t="shared" si="528"/>
        <v/>
      </c>
      <c r="CT99" s="218" t="str">
        <f t="shared" si="529"/>
        <v/>
      </c>
      <c r="CU99" s="218" t="str">
        <f t="shared" si="530"/>
        <v/>
      </c>
      <c r="CV99" s="218" t="str">
        <f t="shared" si="531"/>
        <v/>
      </c>
      <c r="CW99" s="218" t="str">
        <f t="shared" si="532"/>
        <v/>
      </c>
      <c r="CX99" s="218" t="str">
        <f t="shared" si="533"/>
        <v/>
      </c>
      <c r="CY99" s="218" t="str">
        <f t="shared" si="534"/>
        <v/>
      </c>
      <c r="CZ99" s="218" t="str">
        <f t="shared" si="535"/>
        <v/>
      </c>
      <c r="DA99" s="218" t="str">
        <f t="shared" si="536"/>
        <v/>
      </c>
      <c r="DB99" s="218" t="str">
        <f t="shared" si="537"/>
        <v/>
      </c>
      <c r="DC99" s="218" t="str">
        <f t="shared" si="538"/>
        <v/>
      </c>
      <c r="DD99" s="218" t="str">
        <f t="shared" si="539"/>
        <v/>
      </c>
      <c r="DF99" s="218" t="str">
        <f t="shared" si="540"/>
        <v/>
      </c>
      <c r="DG99" s="218" t="str">
        <f t="shared" si="541"/>
        <v/>
      </c>
      <c r="DH99" s="218" t="str">
        <f t="shared" si="542"/>
        <v/>
      </c>
      <c r="DI99" s="218" t="str">
        <f t="shared" si="543"/>
        <v/>
      </c>
      <c r="DJ99" s="218" t="str">
        <f t="shared" si="544"/>
        <v/>
      </c>
      <c r="DK99" s="218" t="str">
        <f t="shared" si="545"/>
        <v/>
      </c>
      <c r="DL99" s="218" t="str">
        <f t="shared" si="546"/>
        <v/>
      </c>
      <c r="DM99" s="218" t="str">
        <f t="shared" si="547"/>
        <v/>
      </c>
      <c r="DN99" s="218" t="str">
        <f t="shared" si="548"/>
        <v/>
      </c>
      <c r="DO99" s="218" t="str">
        <f t="shared" si="549"/>
        <v/>
      </c>
      <c r="DP99" s="218" t="str">
        <f t="shared" si="550"/>
        <v/>
      </c>
      <c r="DQ99" s="218" t="str">
        <f t="shared" si="551"/>
        <v/>
      </c>
      <c r="DR99" s="218" t="str">
        <f t="shared" si="552"/>
        <v/>
      </c>
      <c r="DS99" s="218" t="str">
        <f t="shared" si="553"/>
        <v/>
      </c>
      <c r="DT99" s="218" t="str">
        <f t="shared" si="554"/>
        <v/>
      </c>
      <c r="DU99" s="218" t="str">
        <f t="shared" si="555"/>
        <v/>
      </c>
      <c r="DV99" s="218" t="str">
        <f t="shared" si="556"/>
        <v/>
      </c>
      <c r="DW99" s="218" t="str">
        <f t="shared" si="557"/>
        <v/>
      </c>
      <c r="DX99" s="218" t="str">
        <f t="shared" si="558"/>
        <v/>
      </c>
      <c r="DY99" s="218" t="str">
        <f t="shared" si="559"/>
        <v/>
      </c>
      <c r="DZ99" s="218" t="str">
        <f t="shared" si="560"/>
        <v/>
      </c>
      <c r="EA99" s="218" t="str">
        <f t="shared" si="561"/>
        <v/>
      </c>
      <c r="EB99" s="218" t="str">
        <f t="shared" si="562"/>
        <v/>
      </c>
      <c r="EC99" s="218" t="str">
        <f t="shared" si="563"/>
        <v/>
      </c>
      <c r="EE99" s="218" t="str">
        <f t="shared" si="564"/>
        <v/>
      </c>
      <c r="EF99" s="218" t="str">
        <f t="shared" si="565"/>
        <v/>
      </c>
      <c r="EG99" s="218" t="str">
        <f t="shared" si="566"/>
        <v/>
      </c>
      <c r="EH99" s="218" t="str">
        <f t="shared" si="567"/>
        <v/>
      </c>
      <c r="EI99" s="218" t="str">
        <f t="shared" si="568"/>
        <v/>
      </c>
      <c r="EJ99" s="218" t="str">
        <f t="shared" si="569"/>
        <v/>
      </c>
      <c r="EK99" s="218" t="str">
        <f t="shared" si="570"/>
        <v/>
      </c>
      <c r="EL99" s="218" t="str">
        <f t="shared" si="571"/>
        <v/>
      </c>
      <c r="EM99" s="218" t="str">
        <f t="shared" si="572"/>
        <v/>
      </c>
      <c r="EN99" s="218" t="str">
        <f t="shared" si="573"/>
        <v/>
      </c>
      <c r="EO99" s="218" t="str">
        <f t="shared" si="574"/>
        <v/>
      </c>
      <c r="EP99" s="218" t="str">
        <f t="shared" si="575"/>
        <v/>
      </c>
      <c r="EQ99" s="218" t="str">
        <f t="shared" si="576"/>
        <v/>
      </c>
      <c r="ER99" s="218" t="str">
        <f t="shared" si="577"/>
        <v/>
      </c>
      <c r="ES99" s="218" t="str">
        <f t="shared" si="578"/>
        <v/>
      </c>
      <c r="ET99" s="218" t="str">
        <f t="shared" si="579"/>
        <v/>
      </c>
      <c r="EU99" s="218" t="str">
        <f t="shared" si="580"/>
        <v/>
      </c>
      <c r="EV99" s="218" t="str">
        <f t="shared" si="581"/>
        <v/>
      </c>
      <c r="EW99" s="218" t="str">
        <f t="shared" si="582"/>
        <v/>
      </c>
      <c r="EX99" s="218" t="str">
        <f t="shared" si="583"/>
        <v/>
      </c>
      <c r="EY99" s="218" t="str">
        <f t="shared" si="584"/>
        <v/>
      </c>
      <c r="FA99" s="218" t="str">
        <f t="shared" si="585"/>
        <v/>
      </c>
      <c r="FB99" s="218" t="str">
        <f t="shared" si="586"/>
        <v/>
      </c>
      <c r="FC99" s="218" t="str">
        <f t="shared" si="587"/>
        <v/>
      </c>
      <c r="FD99" s="218" t="str">
        <f t="shared" si="588"/>
        <v/>
      </c>
      <c r="FE99" s="218" t="str">
        <f t="shared" si="589"/>
        <v/>
      </c>
      <c r="FF99" s="218" t="str">
        <f t="shared" si="590"/>
        <v/>
      </c>
      <c r="FG99" s="218" t="str">
        <f t="shared" si="591"/>
        <v/>
      </c>
      <c r="FH99" s="218" t="str">
        <f t="shared" si="592"/>
        <v/>
      </c>
      <c r="FI99" s="218" t="str">
        <f t="shared" si="593"/>
        <v/>
      </c>
      <c r="FJ99" s="218" t="str">
        <f t="shared" si="594"/>
        <v/>
      </c>
      <c r="FK99" s="218" t="str">
        <f t="shared" si="595"/>
        <v/>
      </c>
      <c r="FL99" s="218" t="str">
        <f t="shared" si="596"/>
        <v/>
      </c>
      <c r="FM99" s="218" t="str">
        <f t="shared" si="597"/>
        <v/>
      </c>
      <c r="FN99" s="218" t="str">
        <f t="shared" si="598"/>
        <v/>
      </c>
      <c r="FO99" s="218" t="str">
        <f t="shared" si="599"/>
        <v/>
      </c>
      <c r="FP99" s="218" t="str">
        <f t="shared" si="600"/>
        <v/>
      </c>
      <c r="FQ99" s="218" t="str">
        <f t="shared" si="601"/>
        <v/>
      </c>
      <c r="FR99" s="218" t="str">
        <f t="shared" si="602"/>
        <v/>
      </c>
      <c r="FT99" s="218" t="str">
        <f t="shared" si="603"/>
        <v/>
      </c>
      <c r="FU99" s="218" t="str">
        <f t="shared" si="604"/>
        <v/>
      </c>
      <c r="FV99" s="218" t="str">
        <f t="shared" si="605"/>
        <v/>
      </c>
      <c r="FW99" s="218" t="str">
        <f t="shared" si="606"/>
        <v/>
      </c>
      <c r="FX99" s="218" t="str">
        <f t="shared" si="607"/>
        <v/>
      </c>
      <c r="FY99" s="218" t="str">
        <f t="shared" si="608"/>
        <v/>
      </c>
      <c r="FZ99" s="218" t="str">
        <f t="shared" si="609"/>
        <v/>
      </c>
      <c r="GA99" s="218" t="str">
        <f t="shared" si="610"/>
        <v/>
      </c>
      <c r="GB99" s="218" t="str">
        <f t="shared" si="611"/>
        <v/>
      </c>
      <c r="GC99" s="218" t="str">
        <f t="shared" si="612"/>
        <v/>
      </c>
      <c r="GD99" s="218" t="str">
        <f t="shared" si="613"/>
        <v/>
      </c>
      <c r="GE99" s="218" t="str">
        <f t="shared" si="614"/>
        <v/>
      </c>
      <c r="GF99" s="218" t="str">
        <f t="shared" si="615"/>
        <v/>
      </c>
      <c r="GG99" s="218" t="str">
        <f t="shared" si="616"/>
        <v/>
      </c>
      <c r="GH99" s="218" t="str">
        <f t="shared" si="617"/>
        <v/>
      </c>
      <c r="GJ99" s="218" t="str">
        <f t="shared" si="618"/>
        <v/>
      </c>
      <c r="GK99" s="218" t="str">
        <f t="shared" si="619"/>
        <v/>
      </c>
      <c r="GL99" s="218" t="str">
        <f t="shared" si="620"/>
        <v/>
      </c>
      <c r="GM99" s="218" t="str">
        <f t="shared" si="621"/>
        <v/>
      </c>
      <c r="GN99" s="218" t="str">
        <f t="shared" si="622"/>
        <v/>
      </c>
      <c r="GO99" s="218" t="str">
        <f t="shared" si="623"/>
        <v/>
      </c>
      <c r="GP99" s="218" t="str">
        <f t="shared" si="624"/>
        <v/>
      </c>
      <c r="GQ99" s="218" t="str">
        <f t="shared" si="625"/>
        <v/>
      </c>
      <c r="GR99" s="218" t="str">
        <f t="shared" si="626"/>
        <v/>
      </c>
      <c r="GS99" s="218" t="str">
        <f t="shared" si="627"/>
        <v/>
      </c>
      <c r="GT99" s="218" t="str">
        <f t="shared" si="628"/>
        <v/>
      </c>
      <c r="GU99" s="218" t="str">
        <f t="shared" si="629"/>
        <v/>
      </c>
      <c r="GW99" s="218" t="str">
        <f t="shared" si="630"/>
        <v/>
      </c>
      <c r="GX99" s="218" t="str">
        <f t="shared" si="631"/>
        <v/>
      </c>
      <c r="GY99" s="218" t="str">
        <f t="shared" si="632"/>
        <v/>
      </c>
      <c r="GZ99" s="218" t="str">
        <f t="shared" si="633"/>
        <v/>
      </c>
      <c r="HA99" s="218" t="str">
        <f t="shared" si="634"/>
        <v/>
      </c>
      <c r="HB99" s="218" t="str">
        <f t="shared" si="635"/>
        <v/>
      </c>
      <c r="HC99" s="218" t="str">
        <f t="shared" si="636"/>
        <v/>
      </c>
      <c r="HD99" s="218" t="str">
        <f t="shared" si="637"/>
        <v/>
      </c>
      <c r="HE99" s="218" t="str">
        <f t="shared" si="638"/>
        <v/>
      </c>
      <c r="HG99" s="218" t="str">
        <f t="shared" si="639"/>
        <v/>
      </c>
      <c r="HH99" s="218" t="str">
        <f t="shared" si="640"/>
        <v/>
      </c>
      <c r="HI99" s="218" t="str">
        <f t="shared" si="641"/>
        <v/>
      </c>
      <c r="HJ99" s="218" t="str">
        <f t="shared" si="642"/>
        <v/>
      </c>
      <c r="HK99" s="218" t="str">
        <f t="shared" si="643"/>
        <v/>
      </c>
      <c r="HL99" s="218" t="str">
        <f t="shared" si="644"/>
        <v/>
      </c>
      <c r="HN99" s="218" t="str">
        <f t="shared" si="645"/>
        <v/>
      </c>
      <c r="HO99" s="218" t="str">
        <f t="shared" si="646"/>
        <v/>
      </c>
      <c r="HP99" s="218" t="str">
        <f t="shared" si="647"/>
        <v/>
      </c>
      <c r="HR99" s="218" t="str">
        <f t="shared" si="648"/>
        <v/>
      </c>
      <c r="HS99" s="218" t="str">
        <f t="shared" si="649"/>
        <v/>
      </c>
      <c r="HT99" s="218" t="str">
        <f t="shared" si="650"/>
        <v/>
      </c>
      <c r="HU99" s="218" t="str">
        <f t="shared" si="651"/>
        <v/>
      </c>
      <c r="HV99" s="218" t="str">
        <f t="shared" si="652"/>
        <v/>
      </c>
      <c r="HW99" s="218" t="str">
        <f t="shared" si="653"/>
        <v/>
      </c>
      <c r="HX99" s="218" t="str">
        <f t="shared" si="654"/>
        <v/>
      </c>
      <c r="HY99" s="218" t="str">
        <f t="shared" si="655"/>
        <v/>
      </c>
      <c r="HZ99" s="218" t="str">
        <f t="shared" si="656"/>
        <v/>
      </c>
      <c r="IA99" s="218" t="str">
        <f t="shared" si="657"/>
        <v/>
      </c>
      <c r="IB99" s="218" t="str">
        <f t="shared" si="658"/>
        <v/>
      </c>
      <c r="IC99" s="218" t="str">
        <f t="shared" si="659"/>
        <v/>
      </c>
      <c r="ID99" s="218" t="str">
        <f t="shared" si="660"/>
        <v/>
      </c>
      <c r="IE99" s="218" t="str">
        <f t="shared" si="661"/>
        <v/>
      </c>
      <c r="IF99" s="218" t="str">
        <f t="shared" si="662"/>
        <v/>
      </c>
      <c r="IG99" s="218" t="str">
        <f t="shared" si="663"/>
        <v/>
      </c>
      <c r="IH99" s="218" t="str">
        <f t="shared" si="664"/>
        <v/>
      </c>
      <c r="II99" s="218" t="str">
        <f t="shared" si="665"/>
        <v/>
      </c>
      <c r="IJ99" s="218" t="str">
        <f t="shared" si="666"/>
        <v/>
      </c>
      <c r="IK99" s="218" t="str">
        <f t="shared" si="667"/>
        <v/>
      </c>
      <c r="IL99" s="218" t="str">
        <f t="shared" si="668"/>
        <v/>
      </c>
      <c r="IM99" s="218" t="str">
        <f t="shared" si="669"/>
        <v/>
      </c>
      <c r="IN99" s="218" t="str">
        <f t="shared" si="670"/>
        <v/>
      </c>
      <c r="IO99" s="218" t="str">
        <f t="shared" si="671"/>
        <v/>
      </c>
      <c r="IP99" s="218" t="str">
        <f t="shared" si="672"/>
        <v/>
      </c>
      <c r="IQ99" s="218" t="str">
        <f t="shared" si="673"/>
        <v/>
      </c>
      <c r="IR99" s="218" t="str">
        <f t="shared" si="674"/>
        <v/>
      </c>
      <c r="IS99" s="218" t="str">
        <f t="shared" si="675"/>
        <v/>
      </c>
      <c r="IT99" s="218" t="str">
        <f t="shared" si="676"/>
        <v/>
      </c>
      <c r="IU99" s="218" t="str">
        <f t="shared" si="677"/>
        <v/>
      </c>
    </row>
    <row r="100" spans="1:255" x14ac:dyDescent="0.2">
      <c r="A100" s="200" t="s">
        <v>103</v>
      </c>
      <c r="B100" s="188"/>
      <c r="C100" s="181"/>
      <c r="D100" s="181"/>
      <c r="E100" s="181"/>
      <c r="F100" s="181"/>
      <c r="G100" s="181"/>
      <c r="H100" s="181"/>
      <c r="I100" s="181"/>
      <c r="J100" s="181"/>
      <c r="K100" s="183"/>
      <c r="L100" s="217" t="str">
        <f t="shared" si="441"/>
        <v/>
      </c>
      <c r="M100" s="218" t="str">
        <f>'HKG vs. BK'!M100</f>
        <v/>
      </c>
      <c r="N100" s="218" t="str">
        <f>'HKG vs. BK'!N100</f>
        <v/>
      </c>
      <c r="O100" s="218" t="str">
        <f>'HKG vs. BK'!O100</f>
        <v/>
      </c>
      <c r="P100" s="218" t="str">
        <f>'HKG vs. BK'!P100</f>
        <v/>
      </c>
      <c r="Q100" s="219" t="str">
        <f t="shared" si="453"/>
        <v/>
      </c>
      <c r="R100" s="220" t="str">
        <f t="shared" si="454"/>
        <v/>
      </c>
      <c r="S100" s="220" t="str">
        <f t="shared" si="455"/>
        <v/>
      </c>
      <c r="T100" s="219" t="str">
        <f t="shared" si="456"/>
        <v/>
      </c>
      <c r="U100" s="220" t="str">
        <f t="shared" si="457"/>
        <v/>
      </c>
      <c r="V100" s="220" t="str">
        <f t="shared" si="458"/>
        <v/>
      </c>
      <c r="W100" s="219" t="str">
        <f t="shared" si="459"/>
        <v/>
      </c>
      <c r="X100" s="220" t="str">
        <f t="shared" si="460"/>
        <v/>
      </c>
      <c r="Y100" s="220" t="str">
        <f t="shared" si="461"/>
        <v/>
      </c>
      <c r="Z100" s="219" t="str">
        <f t="shared" si="462"/>
        <v/>
      </c>
      <c r="AA100" s="220" t="str">
        <f t="shared" si="463"/>
        <v/>
      </c>
      <c r="AB100" s="220" t="str">
        <f t="shared" si="464"/>
        <v/>
      </c>
      <c r="AC100" s="219" t="str">
        <f t="shared" si="465"/>
        <v/>
      </c>
      <c r="AD100" s="220" t="str">
        <f t="shared" si="466"/>
        <v/>
      </c>
      <c r="AE100" s="220" t="str">
        <f t="shared" si="467"/>
        <v/>
      </c>
      <c r="AF100" s="219" t="str">
        <f t="shared" si="468"/>
        <v/>
      </c>
      <c r="AG100" s="220" t="str">
        <f t="shared" si="469"/>
        <v/>
      </c>
      <c r="AH100" s="220" t="str">
        <f t="shared" si="470"/>
        <v/>
      </c>
      <c r="AI100" s="219" t="str">
        <f t="shared" si="471"/>
        <v/>
      </c>
      <c r="AJ100" s="220" t="str">
        <f t="shared" si="472"/>
        <v/>
      </c>
      <c r="AK100" s="220" t="str">
        <f t="shared" si="473"/>
        <v/>
      </c>
      <c r="AL100" s="219" t="str">
        <f t="shared" si="474"/>
        <v/>
      </c>
      <c r="AM100" s="220" t="str">
        <f t="shared" si="475"/>
        <v/>
      </c>
      <c r="AN100" s="220" t="str">
        <f t="shared" si="476"/>
        <v/>
      </c>
      <c r="AO100" s="219" t="str">
        <f t="shared" si="477"/>
        <v/>
      </c>
      <c r="AP100" s="220" t="str">
        <f t="shared" si="478"/>
        <v/>
      </c>
      <c r="AQ100" s="220" t="str">
        <f t="shared" si="479"/>
        <v/>
      </c>
      <c r="AR100" s="219" t="str">
        <f t="shared" si="480"/>
        <v/>
      </c>
      <c r="AS100" s="220" t="str">
        <f t="shared" si="481"/>
        <v/>
      </c>
      <c r="AT100" s="220" t="str">
        <f t="shared" si="482"/>
        <v/>
      </c>
      <c r="AU100" s="221"/>
      <c r="AV100" s="221"/>
      <c r="AW100" s="221"/>
      <c r="AY100" s="218" t="str">
        <f t="shared" si="483"/>
        <v/>
      </c>
      <c r="AZ100" s="218" t="str">
        <f t="shared" si="484"/>
        <v/>
      </c>
      <c r="BA100" s="218" t="str">
        <f t="shared" si="485"/>
        <v/>
      </c>
      <c r="BB100" s="218" t="str">
        <f t="shared" si="486"/>
        <v/>
      </c>
      <c r="BC100" s="218" t="str">
        <f t="shared" si="487"/>
        <v/>
      </c>
      <c r="BD100" s="218" t="str">
        <f t="shared" si="488"/>
        <v/>
      </c>
      <c r="BE100" s="218" t="str">
        <f t="shared" si="489"/>
        <v/>
      </c>
      <c r="BF100" s="218" t="str">
        <f t="shared" si="490"/>
        <v/>
      </c>
      <c r="BG100" s="218" t="str">
        <f t="shared" si="491"/>
        <v/>
      </c>
      <c r="BH100" s="218" t="str">
        <f t="shared" si="492"/>
        <v/>
      </c>
      <c r="BI100" s="218" t="str">
        <f t="shared" si="493"/>
        <v/>
      </c>
      <c r="BJ100" s="218" t="str">
        <f t="shared" si="494"/>
        <v/>
      </c>
      <c r="BK100" s="218" t="str">
        <f t="shared" si="495"/>
        <v/>
      </c>
      <c r="BL100" s="218" t="str">
        <f t="shared" si="496"/>
        <v/>
      </c>
      <c r="BM100" s="218" t="str">
        <f t="shared" si="497"/>
        <v/>
      </c>
      <c r="BN100" s="218" t="str">
        <f t="shared" si="498"/>
        <v/>
      </c>
      <c r="BO100" s="218" t="str">
        <f t="shared" si="499"/>
        <v/>
      </c>
      <c r="BP100" s="218" t="str">
        <f t="shared" si="500"/>
        <v/>
      </c>
      <c r="BQ100" s="218" t="str">
        <f t="shared" si="501"/>
        <v/>
      </c>
      <c r="BR100" s="218" t="str">
        <f t="shared" si="502"/>
        <v/>
      </c>
      <c r="BS100" s="218" t="str">
        <f t="shared" si="503"/>
        <v/>
      </c>
      <c r="BT100" s="218" t="str">
        <f t="shared" si="504"/>
        <v/>
      </c>
      <c r="BU100" s="218" t="str">
        <f t="shared" si="505"/>
        <v/>
      </c>
      <c r="BV100" s="218" t="str">
        <f t="shared" si="506"/>
        <v/>
      </c>
      <c r="BW100" s="218" t="str">
        <f t="shared" si="507"/>
        <v/>
      </c>
      <c r="BX100" s="218" t="str">
        <f t="shared" si="508"/>
        <v/>
      </c>
      <c r="BY100" s="218" t="str">
        <f t="shared" si="509"/>
        <v/>
      </c>
      <c r="BZ100" s="218" t="str">
        <f t="shared" si="510"/>
        <v/>
      </c>
      <c r="CA100" s="218" t="str">
        <f t="shared" si="511"/>
        <v/>
      </c>
      <c r="CB100" s="218" t="str">
        <f t="shared" si="512"/>
        <v/>
      </c>
      <c r="CD100" s="218" t="str">
        <f t="shared" si="513"/>
        <v/>
      </c>
      <c r="CE100" s="218" t="str">
        <f t="shared" si="514"/>
        <v/>
      </c>
      <c r="CF100" s="218" t="str">
        <f t="shared" si="515"/>
        <v/>
      </c>
      <c r="CG100" s="218" t="str">
        <f t="shared" si="516"/>
        <v/>
      </c>
      <c r="CH100" s="218" t="str">
        <f t="shared" si="517"/>
        <v/>
      </c>
      <c r="CI100" s="218" t="str">
        <f t="shared" si="518"/>
        <v/>
      </c>
      <c r="CJ100" s="218" t="str">
        <f t="shared" si="519"/>
        <v/>
      </c>
      <c r="CK100" s="218" t="str">
        <f t="shared" si="520"/>
        <v/>
      </c>
      <c r="CL100" s="218" t="str">
        <f t="shared" si="521"/>
        <v/>
      </c>
      <c r="CM100" s="218" t="str">
        <f t="shared" si="522"/>
        <v/>
      </c>
      <c r="CN100" s="218" t="str">
        <f t="shared" si="523"/>
        <v/>
      </c>
      <c r="CO100" s="218" t="str">
        <f t="shared" si="524"/>
        <v/>
      </c>
      <c r="CP100" s="218" t="str">
        <f t="shared" si="525"/>
        <v/>
      </c>
      <c r="CQ100" s="218" t="str">
        <f t="shared" si="526"/>
        <v/>
      </c>
      <c r="CR100" s="218" t="str">
        <f t="shared" si="527"/>
        <v/>
      </c>
      <c r="CS100" s="218" t="str">
        <f t="shared" si="528"/>
        <v/>
      </c>
      <c r="CT100" s="218" t="str">
        <f t="shared" si="529"/>
        <v/>
      </c>
      <c r="CU100" s="218" t="str">
        <f t="shared" si="530"/>
        <v/>
      </c>
      <c r="CV100" s="218" t="str">
        <f t="shared" si="531"/>
        <v/>
      </c>
      <c r="CW100" s="218" t="str">
        <f t="shared" si="532"/>
        <v/>
      </c>
      <c r="CX100" s="218" t="str">
        <f t="shared" si="533"/>
        <v/>
      </c>
      <c r="CY100" s="218" t="str">
        <f t="shared" si="534"/>
        <v/>
      </c>
      <c r="CZ100" s="218" t="str">
        <f t="shared" si="535"/>
        <v/>
      </c>
      <c r="DA100" s="218" t="str">
        <f t="shared" si="536"/>
        <v/>
      </c>
      <c r="DB100" s="218" t="str">
        <f t="shared" si="537"/>
        <v/>
      </c>
      <c r="DC100" s="218" t="str">
        <f t="shared" si="538"/>
        <v/>
      </c>
      <c r="DD100" s="218" t="str">
        <f t="shared" si="539"/>
        <v/>
      </c>
      <c r="DF100" s="218" t="str">
        <f t="shared" si="540"/>
        <v/>
      </c>
      <c r="DG100" s="218" t="str">
        <f t="shared" si="541"/>
        <v/>
      </c>
      <c r="DH100" s="218" t="str">
        <f t="shared" si="542"/>
        <v/>
      </c>
      <c r="DI100" s="218" t="str">
        <f t="shared" si="543"/>
        <v/>
      </c>
      <c r="DJ100" s="218" t="str">
        <f t="shared" si="544"/>
        <v/>
      </c>
      <c r="DK100" s="218" t="str">
        <f t="shared" si="545"/>
        <v/>
      </c>
      <c r="DL100" s="218" t="str">
        <f t="shared" si="546"/>
        <v/>
      </c>
      <c r="DM100" s="218" t="str">
        <f t="shared" si="547"/>
        <v/>
      </c>
      <c r="DN100" s="218" t="str">
        <f t="shared" si="548"/>
        <v/>
      </c>
      <c r="DO100" s="218" t="str">
        <f t="shared" si="549"/>
        <v/>
      </c>
      <c r="DP100" s="218" t="str">
        <f t="shared" si="550"/>
        <v/>
      </c>
      <c r="DQ100" s="218" t="str">
        <f t="shared" si="551"/>
        <v/>
      </c>
      <c r="DR100" s="218" t="str">
        <f t="shared" si="552"/>
        <v/>
      </c>
      <c r="DS100" s="218" t="str">
        <f t="shared" si="553"/>
        <v/>
      </c>
      <c r="DT100" s="218" t="str">
        <f t="shared" si="554"/>
        <v/>
      </c>
      <c r="DU100" s="218" t="str">
        <f t="shared" si="555"/>
        <v/>
      </c>
      <c r="DV100" s="218" t="str">
        <f t="shared" si="556"/>
        <v/>
      </c>
      <c r="DW100" s="218" t="str">
        <f t="shared" si="557"/>
        <v/>
      </c>
      <c r="DX100" s="218" t="str">
        <f t="shared" si="558"/>
        <v/>
      </c>
      <c r="DY100" s="218" t="str">
        <f t="shared" si="559"/>
        <v/>
      </c>
      <c r="DZ100" s="218" t="str">
        <f t="shared" si="560"/>
        <v/>
      </c>
      <c r="EA100" s="218" t="str">
        <f t="shared" si="561"/>
        <v/>
      </c>
      <c r="EB100" s="218" t="str">
        <f t="shared" si="562"/>
        <v/>
      </c>
      <c r="EC100" s="218" t="str">
        <f t="shared" si="563"/>
        <v/>
      </c>
      <c r="EE100" s="218" t="str">
        <f t="shared" si="564"/>
        <v/>
      </c>
      <c r="EF100" s="218" t="str">
        <f t="shared" si="565"/>
        <v/>
      </c>
      <c r="EG100" s="218" t="str">
        <f t="shared" si="566"/>
        <v/>
      </c>
      <c r="EH100" s="218" t="str">
        <f t="shared" si="567"/>
        <v/>
      </c>
      <c r="EI100" s="218" t="str">
        <f t="shared" si="568"/>
        <v/>
      </c>
      <c r="EJ100" s="218" t="str">
        <f t="shared" si="569"/>
        <v/>
      </c>
      <c r="EK100" s="218" t="str">
        <f t="shared" si="570"/>
        <v/>
      </c>
      <c r="EL100" s="218" t="str">
        <f t="shared" si="571"/>
        <v/>
      </c>
      <c r="EM100" s="218" t="str">
        <f t="shared" si="572"/>
        <v/>
      </c>
      <c r="EN100" s="218" t="str">
        <f t="shared" si="573"/>
        <v/>
      </c>
      <c r="EO100" s="218" t="str">
        <f t="shared" si="574"/>
        <v/>
      </c>
      <c r="EP100" s="218" t="str">
        <f t="shared" si="575"/>
        <v/>
      </c>
      <c r="EQ100" s="218" t="str">
        <f t="shared" si="576"/>
        <v/>
      </c>
      <c r="ER100" s="218" t="str">
        <f t="shared" si="577"/>
        <v/>
      </c>
      <c r="ES100" s="218" t="str">
        <f t="shared" si="578"/>
        <v/>
      </c>
      <c r="ET100" s="218" t="str">
        <f t="shared" si="579"/>
        <v/>
      </c>
      <c r="EU100" s="218" t="str">
        <f t="shared" si="580"/>
        <v/>
      </c>
      <c r="EV100" s="218" t="str">
        <f t="shared" si="581"/>
        <v/>
      </c>
      <c r="EW100" s="218" t="str">
        <f t="shared" si="582"/>
        <v/>
      </c>
      <c r="EX100" s="218" t="str">
        <f t="shared" si="583"/>
        <v/>
      </c>
      <c r="EY100" s="218" t="str">
        <f t="shared" si="584"/>
        <v/>
      </c>
      <c r="FA100" s="218" t="str">
        <f t="shared" si="585"/>
        <v/>
      </c>
      <c r="FB100" s="218" t="str">
        <f t="shared" si="586"/>
        <v/>
      </c>
      <c r="FC100" s="218" t="str">
        <f t="shared" si="587"/>
        <v/>
      </c>
      <c r="FD100" s="218" t="str">
        <f t="shared" si="588"/>
        <v/>
      </c>
      <c r="FE100" s="218" t="str">
        <f t="shared" si="589"/>
        <v/>
      </c>
      <c r="FF100" s="218" t="str">
        <f t="shared" si="590"/>
        <v/>
      </c>
      <c r="FG100" s="218" t="str">
        <f t="shared" si="591"/>
        <v/>
      </c>
      <c r="FH100" s="218" t="str">
        <f t="shared" si="592"/>
        <v/>
      </c>
      <c r="FI100" s="218" t="str">
        <f t="shared" si="593"/>
        <v/>
      </c>
      <c r="FJ100" s="218" t="str">
        <f t="shared" si="594"/>
        <v/>
      </c>
      <c r="FK100" s="218" t="str">
        <f t="shared" si="595"/>
        <v/>
      </c>
      <c r="FL100" s="218" t="str">
        <f t="shared" si="596"/>
        <v/>
      </c>
      <c r="FM100" s="218" t="str">
        <f t="shared" si="597"/>
        <v/>
      </c>
      <c r="FN100" s="218" t="str">
        <f t="shared" si="598"/>
        <v/>
      </c>
      <c r="FO100" s="218" t="str">
        <f t="shared" si="599"/>
        <v/>
      </c>
      <c r="FP100" s="218" t="str">
        <f t="shared" si="600"/>
        <v/>
      </c>
      <c r="FQ100" s="218" t="str">
        <f t="shared" si="601"/>
        <v/>
      </c>
      <c r="FR100" s="218" t="str">
        <f t="shared" si="602"/>
        <v/>
      </c>
      <c r="FT100" s="218" t="str">
        <f t="shared" si="603"/>
        <v/>
      </c>
      <c r="FU100" s="218" t="str">
        <f t="shared" si="604"/>
        <v/>
      </c>
      <c r="FV100" s="218" t="str">
        <f t="shared" si="605"/>
        <v/>
      </c>
      <c r="FW100" s="218" t="str">
        <f t="shared" si="606"/>
        <v/>
      </c>
      <c r="FX100" s="218" t="str">
        <f t="shared" si="607"/>
        <v/>
      </c>
      <c r="FY100" s="218" t="str">
        <f t="shared" si="608"/>
        <v/>
      </c>
      <c r="FZ100" s="218" t="str">
        <f t="shared" si="609"/>
        <v/>
      </c>
      <c r="GA100" s="218" t="str">
        <f t="shared" si="610"/>
        <v/>
      </c>
      <c r="GB100" s="218" t="str">
        <f t="shared" si="611"/>
        <v/>
      </c>
      <c r="GC100" s="218" t="str">
        <f t="shared" si="612"/>
        <v/>
      </c>
      <c r="GD100" s="218" t="str">
        <f t="shared" si="613"/>
        <v/>
      </c>
      <c r="GE100" s="218" t="str">
        <f t="shared" si="614"/>
        <v/>
      </c>
      <c r="GF100" s="218" t="str">
        <f t="shared" si="615"/>
        <v/>
      </c>
      <c r="GG100" s="218" t="str">
        <f t="shared" si="616"/>
        <v/>
      </c>
      <c r="GH100" s="218" t="str">
        <f t="shared" si="617"/>
        <v/>
      </c>
      <c r="GJ100" s="218" t="str">
        <f t="shared" si="618"/>
        <v/>
      </c>
      <c r="GK100" s="218" t="str">
        <f t="shared" si="619"/>
        <v/>
      </c>
      <c r="GL100" s="218" t="str">
        <f t="shared" si="620"/>
        <v/>
      </c>
      <c r="GM100" s="218" t="str">
        <f t="shared" si="621"/>
        <v/>
      </c>
      <c r="GN100" s="218" t="str">
        <f t="shared" si="622"/>
        <v/>
      </c>
      <c r="GO100" s="218" t="str">
        <f t="shared" si="623"/>
        <v/>
      </c>
      <c r="GP100" s="218" t="str">
        <f t="shared" si="624"/>
        <v/>
      </c>
      <c r="GQ100" s="218" t="str">
        <f t="shared" si="625"/>
        <v/>
      </c>
      <c r="GR100" s="218" t="str">
        <f t="shared" si="626"/>
        <v/>
      </c>
      <c r="GS100" s="218" t="str">
        <f t="shared" si="627"/>
        <v/>
      </c>
      <c r="GT100" s="218" t="str">
        <f t="shared" si="628"/>
        <v/>
      </c>
      <c r="GU100" s="218" t="str">
        <f t="shared" si="629"/>
        <v/>
      </c>
      <c r="GW100" s="218" t="str">
        <f t="shared" si="630"/>
        <v/>
      </c>
      <c r="GX100" s="218" t="str">
        <f t="shared" si="631"/>
        <v/>
      </c>
      <c r="GY100" s="218" t="str">
        <f t="shared" si="632"/>
        <v/>
      </c>
      <c r="GZ100" s="218" t="str">
        <f t="shared" si="633"/>
        <v/>
      </c>
      <c r="HA100" s="218" t="str">
        <f t="shared" si="634"/>
        <v/>
      </c>
      <c r="HB100" s="218" t="str">
        <f t="shared" si="635"/>
        <v/>
      </c>
      <c r="HC100" s="218" t="str">
        <f t="shared" si="636"/>
        <v/>
      </c>
      <c r="HD100" s="218" t="str">
        <f t="shared" si="637"/>
        <v/>
      </c>
      <c r="HE100" s="218" t="str">
        <f t="shared" si="638"/>
        <v/>
      </c>
      <c r="HG100" s="218" t="str">
        <f t="shared" si="639"/>
        <v/>
      </c>
      <c r="HH100" s="218" t="str">
        <f t="shared" si="640"/>
        <v/>
      </c>
      <c r="HI100" s="218" t="str">
        <f t="shared" si="641"/>
        <v/>
      </c>
      <c r="HJ100" s="218" t="str">
        <f t="shared" si="642"/>
        <v/>
      </c>
      <c r="HK100" s="218" t="str">
        <f t="shared" si="643"/>
        <v/>
      </c>
      <c r="HL100" s="218" t="str">
        <f t="shared" si="644"/>
        <v/>
      </c>
      <c r="HN100" s="218" t="str">
        <f t="shared" si="645"/>
        <v/>
      </c>
      <c r="HO100" s="218" t="str">
        <f t="shared" si="646"/>
        <v/>
      </c>
      <c r="HP100" s="218" t="str">
        <f t="shared" si="647"/>
        <v/>
      </c>
      <c r="HR100" s="218" t="str">
        <f t="shared" si="648"/>
        <v/>
      </c>
      <c r="HS100" s="218" t="str">
        <f t="shared" si="649"/>
        <v/>
      </c>
      <c r="HT100" s="218" t="str">
        <f t="shared" si="650"/>
        <v/>
      </c>
      <c r="HU100" s="218" t="str">
        <f t="shared" si="651"/>
        <v/>
      </c>
      <c r="HV100" s="218" t="str">
        <f t="shared" si="652"/>
        <v/>
      </c>
      <c r="HW100" s="218" t="str">
        <f t="shared" si="653"/>
        <v/>
      </c>
      <c r="HX100" s="218" t="str">
        <f t="shared" si="654"/>
        <v/>
      </c>
      <c r="HY100" s="218" t="str">
        <f t="shared" si="655"/>
        <v/>
      </c>
      <c r="HZ100" s="218" t="str">
        <f t="shared" si="656"/>
        <v/>
      </c>
      <c r="IA100" s="218" t="str">
        <f t="shared" si="657"/>
        <v/>
      </c>
      <c r="IB100" s="218" t="str">
        <f t="shared" si="658"/>
        <v/>
      </c>
      <c r="IC100" s="218" t="str">
        <f t="shared" si="659"/>
        <v/>
      </c>
      <c r="ID100" s="218" t="str">
        <f t="shared" si="660"/>
        <v/>
      </c>
      <c r="IE100" s="218" t="str">
        <f t="shared" si="661"/>
        <v/>
      </c>
      <c r="IF100" s="218" t="str">
        <f t="shared" si="662"/>
        <v/>
      </c>
      <c r="IG100" s="218" t="str">
        <f t="shared" si="663"/>
        <v/>
      </c>
      <c r="IH100" s="218" t="str">
        <f t="shared" si="664"/>
        <v/>
      </c>
      <c r="II100" s="218" t="str">
        <f t="shared" si="665"/>
        <v/>
      </c>
      <c r="IJ100" s="218" t="str">
        <f t="shared" si="666"/>
        <v/>
      </c>
      <c r="IK100" s="218" t="str">
        <f t="shared" si="667"/>
        <v/>
      </c>
      <c r="IL100" s="218" t="str">
        <f t="shared" si="668"/>
        <v/>
      </c>
      <c r="IM100" s="218" t="str">
        <f t="shared" si="669"/>
        <v/>
      </c>
      <c r="IN100" s="218" t="str">
        <f t="shared" si="670"/>
        <v/>
      </c>
      <c r="IO100" s="218" t="str">
        <f t="shared" si="671"/>
        <v/>
      </c>
      <c r="IP100" s="218" t="str">
        <f t="shared" si="672"/>
        <v/>
      </c>
      <c r="IQ100" s="218" t="str">
        <f t="shared" si="673"/>
        <v/>
      </c>
      <c r="IR100" s="218" t="str">
        <f t="shared" si="674"/>
        <v/>
      </c>
      <c r="IS100" s="218" t="str">
        <f t="shared" si="675"/>
        <v/>
      </c>
      <c r="IT100" s="218" t="str">
        <f t="shared" si="676"/>
        <v/>
      </c>
      <c r="IU100" s="218" t="str">
        <f t="shared" si="677"/>
        <v/>
      </c>
    </row>
    <row r="101" spans="1:255" x14ac:dyDescent="0.2">
      <c r="A101" s="200" t="s">
        <v>104</v>
      </c>
      <c r="B101" s="188"/>
      <c r="C101" s="181"/>
      <c r="D101" s="181"/>
      <c r="E101" s="181"/>
      <c r="F101" s="181"/>
      <c r="G101" s="181"/>
      <c r="H101" s="181"/>
      <c r="I101" s="181"/>
      <c r="J101" s="181"/>
      <c r="K101" s="183"/>
      <c r="L101" s="217" t="str">
        <f t="shared" si="441"/>
        <v/>
      </c>
      <c r="M101" s="218" t="str">
        <f>'HKG vs. BK'!M101</f>
        <v/>
      </c>
      <c r="N101" s="218" t="str">
        <f>'HKG vs. BK'!N101</f>
        <v/>
      </c>
      <c r="O101" s="218" t="str">
        <f>'HKG vs. BK'!O101</f>
        <v/>
      </c>
      <c r="P101" s="218" t="str">
        <f>'HKG vs. BK'!P101</f>
        <v/>
      </c>
      <c r="Q101" s="219" t="str">
        <f t="shared" si="453"/>
        <v/>
      </c>
      <c r="R101" s="220" t="str">
        <f t="shared" si="454"/>
        <v/>
      </c>
      <c r="S101" s="220" t="str">
        <f t="shared" si="455"/>
        <v/>
      </c>
      <c r="T101" s="219" t="str">
        <f t="shared" si="456"/>
        <v/>
      </c>
      <c r="U101" s="220" t="str">
        <f t="shared" si="457"/>
        <v/>
      </c>
      <c r="V101" s="220" t="str">
        <f t="shared" si="458"/>
        <v/>
      </c>
      <c r="W101" s="219" t="str">
        <f t="shared" si="459"/>
        <v/>
      </c>
      <c r="X101" s="220" t="str">
        <f t="shared" si="460"/>
        <v/>
      </c>
      <c r="Y101" s="220" t="str">
        <f t="shared" si="461"/>
        <v/>
      </c>
      <c r="Z101" s="219" t="str">
        <f t="shared" si="462"/>
        <v/>
      </c>
      <c r="AA101" s="220" t="str">
        <f t="shared" si="463"/>
        <v/>
      </c>
      <c r="AB101" s="220" t="str">
        <f t="shared" si="464"/>
        <v/>
      </c>
      <c r="AC101" s="219" t="str">
        <f t="shared" si="465"/>
        <v/>
      </c>
      <c r="AD101" s="220" t="str">
        <f t="shared" si="466"/>
        <v/>
      </c>
      <c r="AE101" s="220" t="str">
        <f t="shared" si="467"/>
        <v/>
      </c>
      <c r="AF101" s="219" t="str">
        <f t="shared" si="468"/>
        <v/>
      </c>
      <c r="AG101" s="220" t="str">
        <f t="shared" si="469"/>
        <v/>
      </c>
      <c r="AH101" s="220" t="str">
        <f t="shared" si="470"/>
        <v/>
      </c>
      <c r="AI101" s="219" t="str">
        <f t="shared" si="471"/>
        <v/>
      </c>
      <c r="AJ101" s="220" t="str">
        <f t="shared" si="472"/>
        <v/>
      </c>
      <c r="AK101" s="220" t="str">
        <f t="shared" si="473"/>
        <v/>
      </c>
      <c r="AL101" s="219" t="str">
        <f t="shared" si="474"/>
        <v/>
      </c>
      <c r="AM101" s="220" t="str">
        <f t="shared" si="475"/>
        <v/>
      </c>
      <c r="AN101" s="220" t="str">
        <f t="shared" si="476"/>
        <v/>
      </c>
      <c r="AO101" s="219" t="str">
        <f t="shared" si="477"/>
        <v/>
      </c>
      <c r="AP101" s="220" t="str">
        <f t="shared" si="478"/>
        <v/>
      </c>
      <c r="AQ101" s="220" t="str">
        <f t="shared" si="479"/>
        <v/>
      </c>
      <c r="AR101" s="219" t="str">
        <f t="shared" si="480"/>
        <v/>
      </c>
      <c r="AS101" s="220" t="str">
        <f t="shared" si="481"/>
        <v/>
      </c>
      <c r="AT101" s="220" t="str">
        <f t="shared" si="482"/>
        <v/>
      </c>
      <c r="AU101" s="221"/>
      <c r="AV101" s="221"/>
      <c r="AW101" s="221"/>
      <c r="AY101" s="218" t="str">
        <f t="shared" si="483"/>
        <v/>
      </c>
      <c r="AZ101" s="218" t="str">
        <f t="shared" si="484"/>
        <v/>
      </c>
      <c r="BA101" s="218" t="str">
        <f t="shared" si="485"/>
        <v/>
      </c>
      <c r="BB101" s="218" t="str">
        <f t="shared" si="486"/>
        <v/>
      </c>
      <c r="BC101" s="218" t="str">
        <f t="shared" si="487"/>
        <v/>
      </c>
      <c r="BD101" s="218" t="str">
        <f t="shared" si="488"/>
        <v/>
      </c>
      <c r="BE101" s="218" t="str">
        <f t="shared" si="489"/>
        <v/>
      </c>
      <c r="BF101" s="218" t="str">
        <f t="shared" si="490"/>
        <v/>
      </c>
      <c r="BG101" s="218" t="str">
        <f t="shared" si="491"/>
        <v/>
      </c>
      <c r="BH101" s="218" t="str">
        <f t="shared" si="492"/>
        <v/>
      </c>
      <c r="BI101" s="218" t="str">
        <f t="shared" si="493"/>
        <v/>
      </c>
      <c r="BJ101" s="218" t="str">
        <f t="shared" si="494"/>
        <v/>
      </c>
      <c r="BK101" s="218" t="str">
        <f t="shared" si="495"/>
        <v/>
      </c>
      <c r="BL101" s="218" t="str">
        <f t="shared" si="496"/>
        <v/>
      </c>
      <c r="BM101" s="218" t="str">
        <f t="shared" si="497"/>
        <v/>
      </c>
      <c r="BN101" s="218" t="str">
        <f t="shared" si="498"/>
        <v/>
      </c>
      <c r="BO101" s="218" t="str">
        <f t="shared" si="499"/>
        <v/>
      </c>
      <c r="BP101" s="218" t="str">
        <f t="shared" si="500"/>
        <v/>
      </c>
      <c r="BQ101" s="218" t="str">
        <f t="shared" si="501"/>
        <v/>
      </c>
      <c r="BR101" s="218" t="str">
        <f t="shared" si="502"/>
        <v/>
      </c>
      <c r="BS101" s="218" t="str">
        <f t="shared" si="503"/>
        <v/>
      </c>
      <c r="BT101" s="218" t="str">
        <f t="shared" si="504"/>
        <v/>
      </c>
      <c r="BU101" s="218" t="str">
        <f t="shared" si="505"/>
        <v/>
      </c>
      <c r="BV101" s="218" t="str">
        <f t="shared" si="506"/>
        <v/>
      </c>
      <c r="BW101" s="218" t="str">
        <f t="shared" si="507"/>
        <v/>
      </c>
      <c r="BX101" s="218" t="str">
        <f t="shared" si="508"/>
        <v/>
      </c>
      <c r="BY101" s="218" t="str">
        <f t="shared" si="509"/>
        <v/>
      </c>
      <c r="BZ101" s="218" t="str">
        <f t="shared" si="510"/>
        <v/>
      </c>
      <c r="CA101" s="218" t="str">
        <f t="shared" si="511"/>
        <v/>
      </c>
      <c r="CB101" s="218" t="str">
        <f t="shared" si="512"/>
        <v/>
      </c>
      <c r="CD101" s="218" t="str">
        <f t="shared" si="513"/>
        <v/>
      </c>
      <c r="CE101" s="218" t="str">
        <f t="shared" si="514"/>
        <v/>
      </c>
      <c r="CF101" s="218" t="str">
        <f t="shared" si="515"/>
        <v/>
      </c>
      <c r="CG101" s="218" t="str">
        <f t="shared" si="516"/>
        <v/>
      </c>
      <c r="CH101" s="218" t="str">
        <f t="shared" si="517"/>
        <v/>
      </c>
      <c r="CI101" s="218" t="str">
        <f t="shared" si="518"/>
        <v/>
      </c>
      <c r="CJ101" s="218" t="str">
        <f t="shared" si="519"/>
        <v/>
      </c>
      <c r="CK101" s="218" t="str">
        <f t="shared" si="520"/>
        <v/>
      </c>
      <c r="CL101" s="218" t="str">
        <f t="shared" si="521"/>
        <v/>
      </c>
      <c r="CM101" s="218" t="str">
        <f t="shared" si="522"/>
        <v/>
      </c>
      <c r="CN101" s="218" t="str">
        <f t="shared" si="523"/>
        <v/>
      </c>
      <c r="CO101" s="218" t="str">
        <f t="shared" si="524"/>
        <v/>
      </c>
      <c r="CP101" s="218" t="str">
        <f t="shared" si="525"/>
        <v/>
      </c>
      <c r="CQ101" s="218" t="str">
        <f t="shared" si="526"/>
        <v/>
      </c>
      <c r="CR101" s="218" t="str">
        <f t="shared" si="527"/>
        <v/>
      </c>
      <c r="CS101" s="218" t="str">
        <f t="shared" si="528"/>
        <v/>
      </c>
      <c r="CT101" s="218" t="str">
        <f t="shared" si="529"/>
        <v/>
      </c>
      <c r="CU101" s="218" t="str">
        <f t="shared" si="530"/>
        <v/>
      </c>
      <c r="CV101" s="218" t="str">
        <f t="shared" si="531"/>
        <v/>
      </c>
      <c r="CW101" s="218" t="str">
        <f t="shared" si="532"/>
        <v/>
      </c>
      <c r="CX101" s="218" t="str">
        <f t="shared" si="533"/>
        <v/>
      </c>
      <c r="CY101" s="218" t="str">
        <f t="shared" si="534"/>
        <v/>
      </c>
      <c r="CZ101" s="218" t="str">
        <f t="shared" si="535"/>
        <v/>
      </c>
      <c r="DA101" s="218" t="str">
        <f t="shared" si="536"/>
        <v/>
      </c>
      <c r="DB101" s="218" t="str">
        <f t="shared" si="537"/>
        <v/>
      </c>
      <c r="DC101" s="218" t="str">
        <f t="shared" si="538"/>
        <v/>
      </c>
      <c r="DD101" s="218" t="str">
        <f t="shared" si="539"/>
        <v/>
      </c>
      <c r="DF101" s="218" t="str">
        <f t="shared" si="540"/>
        <v/>
      </c>
      <c r="DG101" s="218" t="str">
        <f t="shared" si="541"/>
        <v/>
      </c>
      <c r="DH101" s="218" t="str">
        <f t="shared" si="542"/>
        <v/>
      </c>
      <c r="DI101" s="218" t="str">
        <f t="shared" si="543"/>
        <v/>
      </c>
      <c r="DJ101" s="218" t="str">
        <f t="shared" si="544"/>
        <v/>
      </c>
      <c r="DK101" s="218" t="str">
        <f t="shared" si="545"/>
        <v/>
      </c>
      <c r="DL101" s="218" t="str">
        <f t="shared" si="546"/>
        <v/>
      </c>
      <c r="DM101" s="218" t="str">
        <f t="shared" si="547"/>
        <v/>
      </c>
      <c r="DN101" s="218" t="str">
        <f t="shared" si="548"/>
        <v/>
      </c>
      <c r="DO101" s="218" t="str">
        <f t="shared" si="549"/>
        <v/>
      </c>
      <c r="DP101" s="218" t="str">
        <f t="shared" si="550"/>
        <v/>
      </c>
      <c r="DQ101" s="218" t="str">
        <f t="shared" si="551"/>
        <v/>
      </c>
      <c r="DR101" s="218" t="str">
        <f t="shared" si="552"/>
        <v/>
      </c>
      <c r="DS101" s="218" t="str">
        <f t="shared" si="553"/>
        <v/>
      </c>
      <c r="DT101" s="218" t="str">
        <f t="shared" si="554"/>
        <v/>
      </c>
      <c r="DU101" s="218" t="str">
        <f t="shared" si="555"/>
        <v/>
      </c>
      <c r="DV101" s="218" t="str">
        <f t="shared" si="556"/>
        <v/>
      </c>
      <c r="DW101" s="218" t="str">
        <f t="shared" si="557"/>
        <v/>
      </c>
      <c r="DX101" s="218" t="str">
        <f t="shared" si="558"/>
        <v/>
      </c>
      <c r="DY101" s="218" t="str">
        <f t="shared" si="559"/>
        <v/>
      </c>
      <c r="DZ101" s="218" t="str">
        <f t="shared" si="560"/>
        <v/>
      </c>
      <c r="EA101" s="218" t="str">
        <f t="shared" si="561"/>
        <v/>
      </c>
      <c r="EB101" s="218" t="str">
        <f t="shared" si="562"/>
        <v/>
      </c>
      <c r="EC101" s="218" t="str">
        <f t="shared" si="563"/>
        <v/>
      </c>
      <c r="EE101" s="218" t="str">
        <f t="shared" si="564"/>
        <v/>
      </c>
      <c r="EF101" s="218" t="str">
        <f t="shared" si="565"/>
        <v/>
      </c>
      <c r="EG101" s="218" t="str">
        <f t="shared" si="566"/>
        <v/>
      </c>
      <c r="EH101" s="218" t="str">
        <f t="shared" si="567"/>
        <v/>
      </c>
      <c r="EI101" s="218" t="str">
        <f t="shared" si="568"/>
        <v/>
      </c>
      <c r="EJ101" s="218" t="str">
        <f t="shared" si="569"/>
        <v/>
      </c>
      <c r="EK101" s="218" t="str">
        <f t="shared" si="570"/>
        <v/>
      </c>
      <c r="EL101" s="218" t="str">
        <f t="shared" si="571"/>
        <v/>
      </c>
      <c r="EM101" s="218" t="str">
        <f t="shared" si="572"/>
        <v/>
      </c>
      <c r="EN101" s="218" t="str">
        <f t="shared" si="573"/>
        <v/>
      </c>
      <c r="EO101" s="218" t="str">
        <f t="shared" si="574"/>
        <v/>
      </c>
      <c r="EP101" s="218" t="str">
        <f t="shared" si="575"/>
        <v/>
      </c>
      <c r="EQ101" s="218" t="str">
        <f t="shared" si="576"/>
        <v/>
      </c>
      <c r="ER101" s="218" t="str">
        <f t="shared" si="577"/>
        <v/>
      </c>
      <c r="ES101" s="218" t="str">
        <f t="shared" si="578"/>
        <v/>
      </c>
      <c r="ET101" s="218" t="str">
        <f t="shared" si="579"/>
        <v/>
      </c>
      <c r="EU101" s="218" t="str">
        <f t="shared" si="580"/>
        <v/>
      </c>
      <c r="EV101" s="218" t="str">
        <f t="shared" si="581"/>
        <v/>
      </c>
      <c r="EW101" s="218" t="str">
        <f t="shared" si="582"/>
        <v/>
      </c>
      <c r="EX101" s="218" t="str">
        <f t="shared" si="583"/>
        <v/>
      </c>
      <c r="EY101" s="218" t="str">
        <f t="shared" si="584"/>
        <v/>
      </c>
      <c r="FA101" s="218" t="str">
        <f t="shared" si="585"/>
        <v/>
      </c>
      <c r="FB101" s="218" t="str">
        <f t="shared" si="586"/>
        <v/>
      </c>
      <c r="FC101" s="218" t="str">
        <f t="shared" si="587"/>
        <v/>
      </c>
      <c r="FD101" s="218" t="str">
        <f t="shared" si="588"/>
        <v/>
      </c>
      <c r="FE101" s="218" t="str">
        <f t="shared" si="589"/>
        <v/>
      </c>
      <c r="FF101" s="218" t="str">
        <f t="shared" si="590"/>
        <v/>
      </c>
      <c r="FG101" s="218" t="str">
        <f t="shared" si="591"/>
        <v/>
      </c>
      <c r="FH101" s="218" t="str">
        <f t="shared" si="592"/>
        <v/>
      </c>
      <c r="FI101" s="218" t="str">
        <f t="shared" si="593"/>
        <v/>
      </c>
      <c r="FJ101" s="218" t="str">
        <f t="shared" si="594"/>
        <v/>
      </c>
      <c r="FK101" s="218" t="str">
        <f t="shared" si="595"/>
        <v/>
      </c>
      <c r="FL101" s="218" t="str">
        <f t="shared" si="596"/>
        <v/>
      </c>
      <c r="FM101" s="218" t="str">
        <f t="shared" si="597"/>
        <v/>
      </c>
      <c r="FN101" s="218" t="str">
        <f t="shared" si="598"/>
        <v/>
      </c>
      <c r="FO101" s="218" t="str">
        <f t="shared" si="599"/>
        <v/>
      </c>
      <c r="FP101" s="218" t="str">
        <f t="shared" si="600"/>
        <v/>
      </c>
      <c r="FQ101" s="218" t="str">
        <f t="shared" si="601"/>
        <v/>
      </c>
      <c r="FR101" s="218" t="str">
        <f t="shared" si="602"/>
        <v/>
      </c>
      <c r="FT101" s="218" t="str">
        <f t="shared" si="603"/>
        <v/>
      </c>
      <c r="FU101" s="218" t="str">
        <f t="shared" si="604"/>
        <v/>
      </c>
      <c r="FV101" s="218" t="str">
        <f t="shared" si="605"/>
        <v/>
      </c>
      <c r="FW101" s="218" t="str">
        <f t="shared" si="606"/>
        <v/>
      </c>
      <c r="FX101" s="218" t="str">
        <f t="shared" si="607"/>
        <v/>
      </c>
      <c r="FY101" s="218" t="str">
        <f t="shared" si="608"/>
        <v/>
      </c>
      <c r="FZ101" s="218" t="str">
        <f t="shared" si="609"/>
        <v/>
      </c>
      <c r="GA101" s="218" t="str">
        <f t="shared" si="610"/>
        <v/>
      </c>
      <c r="GB101" s="218" t="str">
        <f t="shared" si="611"/>
        <v/>
      </c>
      <c r="GC101" s="218" t="str">
        <f t="shared" si="612"/>
        <v/>
      </c>
      <c r="GD101" s="218" t="str">
        <f t="shared" si="613"/>
        <v/>
      </c>
      <c r="GE101" s="218" t="str">
        <f t="shared" si="614"/>
        <v/>
      </c>
      <c r="GF101" s="218" t="str">
        <f t="shared" si="615"/>
        <v/>
      </c>
      <c r="GG101" s="218" t="str">
        <f t="shared" si="616"/>
        <v/>
      </c>
      <c r="GH101" s="218" t="str">
        <f t="shared" si="617"/>
        <v/>
      </c>
      <c r="GJ101" s="218" t="str">
        <f t="shared" si="618"/>
        <v/>
      </c>
      <c r="GK101" s="218" t="str">
        <f t="shared" si="619"/>
        <v/>
      </c>
      <c r="GL101" s="218" t="str">
        <f t="shared" si="620"/>
        <v/>
      </c>
      <c r="GM101" s="218" t="str">
        <f t="shared" si="621"/>
        <v/>
      </c>
      <c r="GN101" s="218" t="str">
        <f t="shared" si="622"/>
        <v/>
      </c>
      <c r="GO101" s="218" t="str">
        <f t="shared" si="623"/>
        <v/>
      </c>
      <c r="GP101" s="218" t="str">
        <f t="shared" si="624"/>
        <v/>
      </c>
      <c r="GQ101" s="218" t="str">
        <f t="shared" si="625"/>
        <v/>
      </c>
      <c r="GR101" s="218" t="str">
        <f t="shared" si="626"/>
        <v/>
      </c>
      <c r="GS101" s="218" t="str">
        <f t="shared" si="627"/>
        <v/>
      </c>
      <c r="GT101" s="218" t="str">
        <f t="shared" si="628"/>
        <v/>
      </c>
      <c r="GU101" s="218" t="str">
        <f t="shared" si="629"/>
        <v/>
      </c>
      <c r="GW101" s="218" t="str">
        <f t="shared" si="630"/>
        <v/>
      </c>
      <c r="GX101" s="218" t="str">
        <f t="shared" si="631"/>
        <v/>
      </c>
      <c r="GY101" s="218" t="str">
        <f t="shared" si="632"/>
        <v/>
      </c>
      <c r="GZ101" s="218" t="str">
        <f t="shared" si="633"/>
        <v/>
      </c>
      <c r="HA101" s="218" t="str">
        <f t="shared" si="634"/>
        <v/>
      </c>
      <c r="HB101" s="218" t="str">
        <f t="shared" si="635"/>
        <v/>
      </c>
      <c r="HC101" s="218" t="str">
        <f t="shared" si="636"/>
        <v/>
      </c>
      <c r="HD101" s="218" t="str">
        <f t="shared" si="637"/>
        <v/>
      </c>
      <c r="HE101" s="218" t="str">
        <f t="shared" si="638"/>
        <v/>
      </c>
      <c r="HG101" s="218" t="str">
        <f t="shared" si="639"/>
        <v/>
      </c>
      <c r="HH101" s="218" t="str">
        <f t="shared" si="640"/>
        <v/>
      </c>
      <c r="HI101" s="218" t="str">
        <f t="shared" si="641"/>
        <v/>
      </c>
      <c r="HJ101" s="218" t="str">
        <f t="shared" si="642"/>
        <v/>
      </c>
      <c r="HK101" s="218" t="str">
        <f t="shared" si="643"/>
        <v/>
      </c>
      <c r="HL101" s="218" t="str">
        <f t="shared" si="644"/>
        <v/>
      </c>
      <c r="HN101" s="218" t="str">
        <f t="shared" si="645"/>
        <v/>
      </c>
      <c r="HO101" s="218" t="str">
        <f t="shared" si="646"/>
        <v/>
      </c>
      <c r="HP101" s="218" t="str">
        <f t="shared" si="647"/>
        <v/>
      </c>
      <c r="HR101" s="218" t="str">
        <f t="shared" si="648"/>
        <v/>
      </c>
      <c r="HS101" s="218" t="str">
        <f t="shared" si="649"/>
        <v/>
      </c>
      <c r="HT101" s="218" t="str">
        <f t="shared" si="650"/>
        <v/>
      </c>
      <c r="HU101" s="218" t="str">
        <f t="shared" si="651"/>
        <v/>
      </c>
      <c r="HV101" s="218" t="str">
        <f t="shared" si="652"/>
        <v/>
      </c>
      <c r="HW101" s="218" t="str">
        <f t="shared" si="653"/>
        <v/>
      </c>
      <c r="HX101" s="218" t="str">
        <f t="shared" si="654"/>
        <v/>
      </c>
      <c r="HY101" s="218" t="str">
        <f t="shared" si="655"/>
        <v/>
      </c>
      <c r="HZ101" s="218" t="str">
        <f t="shared" si="656"/>
        <v/>
      </c>
      <c r="IA101" s="218" t="str">
        <f t="shared" si="657"/>
        <v/>
      </c>
      <c r="IB101" s="218" t="str">
        <f t="shared" si="658"/>
        <v/>
      </c>
      <c r="IC101" s="218" t="str">
        <f t="shared" si="659"/>
        <v/>
      </c>
      <c r="ID101" s="218" t="str">
        <f t="shared" si="660"/>
        <v/>
      </c>
      <c r="IE101" s="218" t="str">
        <f t="shared" si="661"/>
        <v/>
      </c>
      <c r="IF101" s="218" t="str">
        <f t="shared" si="662"/>
        <v/>
      </c>
      <c r="IG101" s="218" t="str">
        <f t="shared" si="663"/>
        <v/>
      </c>
      <c r="IH101" s="218" t="str">
        <f t="shared" si="664"/>
        <v/>
      </c>
      <c r="II101" s="218" t="str">
        <f t="shared" si="665"/>
        <v/>
      </c>
      <c r="IJ101" s="218" t="str">
        <f t="shared" si="666"/>
        <v/>
      </c>
      <c r="IK101" s="218" t="str">
        <f t="shared" si="667"/>
        <v/>
      </c>
      <c r="IL101" s="218" t="str">
        <f t="shared" si="668"/>
        <v/>
      </c>
      <c r="IM101" s="218" t="str">
        <f t="shared" si="669"/>
        <v/>
      </c>
      <c r="IN101" s="218" t="str">
        <f t="shared" si="670"/>
        <v/>
      </c>
      <c r="IO101" s="218" t="str">
        <f t="shared" si="671"/>
        <v/>
      </c>
      <c r="IP101" s="218" t="str">
        <f t="shared" si="672"/>
        <v/>
      </c>
      <c r="IQ101" s="218" t="str">
        <f t="shared" si="673"/>
        <v/>
      </c>
      <c r="IR101" s="218" t="str">
        <f t="shared" si="674"/>
        <v/>
      </c>
      <c r="IS101" s="218" t="str">
        <f t="shared" si="675"/>
        <v/>
      </c>
      <c r="IT101" s="218" t="str">
        <f t="shared" si="676"/>
        <v/>
      </c>
      <c r="IU101" s="218" t="str">
        <f t="shared" si="677"/>
        <v/>
      </c>
    </row>
    <row r="102" spans="1:255" x14ac:dyDescent="0.2">
      <c r="A102" s="200" t="s">
        <v>105</v>
      </c>
      <c r="B102" s="188"/>
      <c r="C102" s="181"/>
      <c r="D102" s="181"/>
      <c r="E102" s="181"/>
      <c r="F102" s="181"/>
      <c r="G102" s="181"/>
      <c r="H102" s="181"/>
      <c r="I102" s="181"/>
      <c r="J102" s="181"/>
      <c r="K102" s="183"/>
      <c r="L102" s="217" t="str">
        <f t="shared" si="441"/>
        <v/>
      </c>
      <c r="M102" s="218" t="str">
        <f>'HKG vs. BK'!M102</f>
        <v/>
      </c>
      <c r="N102" s="218" t="str">
        <f>'HKG vs. BK'!N102</f>
        <v/>
      </c>
      <c r="O102" s="218" t="str">
        <f>'HKG vs. BK'!O102</f>
        <v/>
      </c>
      <c r="P102" s="218" t="str">
        <f>'HKG vs. BK'!P102</f>
        <v/>
      </c>
      <c r="Q102" s="219" t="str">
        <f t="shared" si="453"/>
        <v/>
      </c>
      <c r="R102" s="220" t="str">
        <f t="shared" si="454"/>
        <v/>
      </c>
      <c r="S102" s="220" t="str">
        <f t="shared" si="455"/>
        <v/>
      </c>
      <c r="T102" s="219" t="str">
        <f t="shared" si="456"/>
        <v/>
      </c>
      <c r="U102" s="220" t="str">
        <f t="shared" si="457"/>
        <v/>
      </c>
      <c r="V102" s="220" t="str">
        <f t="shared" si="458"/>
        <v/>
      </c>
      <c r="W102" s="219" t="str">
        <f t="shared" si="459"/>
        <v/>
      </c>
      <c r="X102" s="220" t="str">
        <f t="shared" si="460"/>
        <v/>
      </c>
      <c r="Y102" s="220" t="str">
        <f t="shared" si="461"/>
        <v/>
      </c>
      <c r="Z102" s="219" t="str">
        <f t="shared" si="462"/>
        <v/>
      </c>
      <c r="AA102" s="220" t="str">
        <f t="shared" si="463"/>
        <v/>
      </c>
      <c r="AB102" s="220" t="str">
        <f t="shared" si="464"/>
        <v/>
      </c>
      <c r="AC102" s="219" t="str">
        <f t="shared" si="465"/>
        <v/>
      </c>
      <c r="AD102" s="220" t="str">
        <f t="shared" si="466"/>
        <v/>
      </c>
      <c r="AE102" s="220" t="str">
        <f t="shared" si="467"/>
        <v/>
      </c>
      <c r="AF102" s="219" t="str">
        <f t="shared" si="468"/>
        <v/>
      </c>
      <c r="AG102" s="220" t="str">
        <f t="shared" si="469"/>
        <v/>
      </c>
      <c r="AH102" s="220" t="str">
        <f t="shared" si="470"/>
        <v/>
      </c>
      <c r="AI102" s="219" t="str">
        <f t="shared" si="471"/>
        <v/>
      </c>
      <c r="AJ102" s="220" t="str">
        <f t="shared" si="472"/>
        <v/>
      </c>
      <c r="AK102" s="220" t="str">
        <f t="shared" si="473"/>
        <v/>
      </c>
      <c r="AL102" s="219" t="str">
        <f t="shared" si="474"/>
        <v/>
      </c>
      <c r="AM102" s="220" t="str">
        <f t="shared" si="475"/>
        <v/>
      </c>
      <c r="AN102" s="220" t="str">
        <f t="shared" si="476"/>
        <v/>
      </c>
      <c r="AO102" s="219" t="str">
        <f t="shared" si="477"/>
        <v/>
      </c>
      <c r="AP102" s="220" t="str">
        <f t="shared" si="478"/>
        <v/>
      </c>
      <c r="AQ102" s="220" t="str">
        <f t="shared" si="479"/>
        <v/>
      </c>
      <c r="AR102" s="219" t="str">
        <f t="shared" si="480"/>
        <v/>
      </c>
      <c r="AS102" s="220" t="str">
        <f t="shared" si="481"/>
        <v/>
      </c>
      <c r="AT102" s="220" t="str">
        <f t="shared" si="482"/>
        <v/>
      </c>
      <c r="AU102" s="221"/>
      <c r="AV102" s="221"/>
      <c r="AW102" s="221"/>
      <c r="AY102" s="218" t="str">
        <f t="shared" si="483"/>
        <v/>
      </c>
      <c r="AZ102" s="218" t="str">
        <f t="shared" si="484"/>
        <v/>
      </c>
      <c r="BA102" s="218" t="str">
        <f t="shared" si="485"/>
        <v/>
      </c>
      <c r="BB102" s="218" t="str">
        <f t="shared" si="486"/>
        <v/>
      </c>
      <c r="BC102" s="218" t="str">
        <f t="shared" si="487"/>
        <v/>
      </c>
      <c r="BD102" s="218" t="str">
        <f t="shared" si="488"/>
        <v/>
      </c>
      <c r="BE102" s="218" t="str">
        <f t="shared" si="489"/>
        <v/>
      </c>
      <c r="BF102" s="218" t="str">
        <f t="shared" si="490"/>
        <v/>
      </c>
      <c r="BG102" s="218" t="str">
        <f t="shared" si="491"/>
        <v/>
      </c>
      <c r="BH102" s="218" t="str">
        <f t="shared" si="492"/>
        <v/>
      </c>
      <c r="BI102" s="218" t="str">
        <f t="shared" si="493"/>
        <v/>
      </c>
      <c r="BJ102" s="218" t="str">
        <f t="shared" si="494"/>
        <v/>
      </c>
      <c r="BK102" s="218" t="str">
        <f t="shared" si="495"/>
        <v/>
      </c>
      <c r="BL102" s="218" t="str">
        <f t="shared" si="496"/>
        <v/>
      </c>
      <c r="BM102" s="218" t="str">
        <f t="shared" si="497"/>
        <v/>
      </c>
      <c r="BN102" s="218" t="str">
        <f t="shared" si="498"/>
        <v/>
      </c>
      <c r="BO102" s="218" t="str">
        <f t="shared" si="499"/>
        <v/>
      </c>
      <c r="BP102" s="218" t="str">
        <f t="shared" si="500"/>
        <v/>
      </c>
      <c r="BQ102" s="218" t="str">
        <f t="shared" si="501"/>
        <v/>
      </c>
      <c r="BR102" s="218" t="str">
        <f t="shared" si="502"/>
        <v/>
      </c>
      <c r="BS102" s="218" t="str">
        <f t="shared" si="503"/>
        <v/>
      </c>
      <c r="BT102" s="218" t="str">
        <f t="shared" si="504"/>
        <v/>
      </c>
      <c r="BU102" s="218" t="str">
        <f t="shared" si="505"/>
        <v/>
      </c>
      <c r="BV102" s="218" t="str">
        <f t="shared" si="506"/>
        <v/>
      </c>
      <c r="BW102" s="218" t="str">
        <f t="shared" si="507"/>
        <v/>
      </c>
      <c r="BX102" s="218" t="str">
        <f t="shared" si="508"/>
        <v/>
      </c>
      <c r="BY102" s="218" t="str">
        <f t="shared" si="509"/>
        <v/>
      </c>
      <c r="BZ102" s="218" t="str">
        <f t="shared" si="510"/>
        <v/>
      </c>
      <c r="CA102" s="218" t="str">
        <f t="shared" si="511"/>
        <v/>
      </c>
      <c r="CB102" s="218" t="str">
        <f t="shared" si="512"/>
        <v/>
      </c>
      <c r="CD102" s="218" t="str">
        <f t="shared" si="513"/>
        <v/>
      </c>
      <c r="CE102" s="218" t="str">
        <f t="shared" si="514"/>
        <v/>
      </c>
      <c r="CF102" s="218" t="str">
        <f t="shared" si="515"/>
        <v/>
      </c>
      <c r="CG102" s="218" t="str">
        <f t="shared" si="516"/>
        <v/>
      </c>
      <c r="CH102" s="218" t="str">
        <f t="shared" si="517"/>
        <v/>
      </c>
      <c r="CI102" s="218" t="str">
        <f t="shared" si="518"/>
        <v/>
      </c>
      <c r="CJ102" s="218" t="str">
        <f t="shared" si="519"/>
        <v/>
      </c>
      <c r="CK102" s="218" t="str">
        <f t="shared" si="520"/>
        <v/>
      </c>
      <c r="CL102" s="218" t="str">
        <f t="shared" si="521"/>
        <v/>
      </c>
      <c r="CM102" s="218" t="str">
        <f t="shared" si="522"/>
        <v/>
      </c>
      <c r="CN102" s="218" t="str">
        <f t="shared" si="523"/>
        <v/>
      </c>
      <c r="CO102" s="218" t="str">
        <f t="shared" si="524"/>
        <v/>
      </c>
      <c r="CP102" s="218" t="str">
        <f t="shared" si="525"/>
        <v/>
      </c>
      <c r="CQ102" s="218" t="str">
        <f t="shared" si="526"/>
        <v/>
      </c>
      <c r="CR102" s="218" t="str">
        <f t="shared" si="527"/>
        <v/>
      </c>
      <c r="CS102" s="218" t="str">
        <f t="shared" si="528"/>
        <v/>
      </c>
      <c r="CT102" s="218" t="str">
        <f t="shared" si="529"/>
        <v/>
      </c>
      <c r="CU102" s="218" t="str">
        <f t="shared" si="530"/>
        <v/>
      </c>
      <c r="CV102" s="218" t="str">
        <f t="shared" si="531"/>
        <v/>
      </c>
      <c r="CW102" s="218" t="str">
        <f t="shared" si="532"/>
        <v/>
      </c>
      <c r="CX102" s="218" t="str">
        <f t="shared" si="533"/>
        <v/>
      </c>
      <c r="CY102" s="218" t="str">
        <f t="shared" si="534"/>
        <v/>
      </c>
      <c r="CZ102" s="218" t="str">
        <f t="shared" si="535"/>
        <v/>
      </c>
      <c r="DA102" s="218" t="str">
        <f t="shared" si="536"/>
        <v/>
      </c>
      <c r="DB102" s="218" t="str">
        <f t="shared" si="537"/>
        <v/>
      </c>
      <c r="DC102" s="218" t="str">
        <f t="shared" si="538"/>
        <v/>
      </c>
      <c r="DD102" s="218" t="str">
        <f t="shared" si="539"/>
        <v/>
      </c>
      <c r="DF102" s="218" t="str">
        <f t="shared" si="540"/>
        <v/>
      </c>
      <c r="DG102" s="218" t="str">
        <f t="shared" si="541"/>
        <v/>
      </c>
      <c r="DH102" s="218" t="str">
        <f t="shared" si="542"/>
        <v/>
      </c>
      <c r="DI102" s="218" t="str">
        <f t="shared" si="543"/>
        <v/>
      </c>
      <c r="DJ102" s="218" t="str">
        <f t="shared" si="544"/>
        <v/>
      </c>
      <c r="DK102" s="218" t="str">
        <f t="shared" si="545"/>
        <v/>
      </c>
      <c r="DL102" s="218" t="str">
        <f t="shared" si="546"/>
        <v/>
      </c>
      <c r="DM102" s="218" t="str">
        <f t="shared" si="547"/>
        <v/>
      </c>
      <c r="DN102" s="218" t="str">
        <f t="shared" si="548"/>
        <v/>
      </c>
      <c r="DO102" s="218" t="str">
        <f t="shared" si="549"/>
        <v/>
      </c>
      <c r="DP102" s="218" t="str">
        <f t="shared" si="550"/>
        <v/>
      </c>
      <c r="DQ102" s="218" t="str">
        <f t="shared" si="551"/>
        <v/>
      </c>
      <c r="DR102" s="218" t="str">
        <f t="shared" si="552"/>
        <v/>
      </c>
      <c r="DS102" s="218" t="str">
        <f t="shared" si="553"/>
        <v/>
      </c>
      <c r="DT102" s="218" t="str">
        <f t="shared" si="554"/>
        <v/>
      </c>
      <c r="DU102" s="218" t="str">
        <f t="shared" si="555"/>
        <v/>
      </c>
      <c r="DV102" s="218" t="str">
        <f t="shared" si="556"/>
        <v/>
      </c>
      <c r="DW102" s="218" t="str">
        <f t="shared" si="557"/>
        <v/>
      </c>
      <c r="DX102" s="218" t="str">
        <f t="shared" si="558"/>
        <v/>
      </c>
      <c r="DY102" s="218" t="str">
        <f t="shared" si="559"/>
        <v/>
      </c>
      <c r="DZ102" s="218" t="str">
        <f t="shared" si="560"/>
        <v/>
      </c>
      <c r="EA102" s="218" t="str">
        <f t="shared" si="561"/>
        <v/>
      </c>
      <c r="EB102" s="218" t="str">
        <f t="shared" si="562"/>
        <v/>
      </c>
      <c r="EC102" s="218" t="str">
        <f t="shared" si="563"/>
        <v/>
      </c>
      <c r="EE102" s="218" t="str">
        <f t="shared" si="564"/>
        <v/>
      </c>
      <c r="EF102" s="218" t="str">
        <f t="shared" si="565"/>
        <v/>
      </c>
      <c r="EG102" s="218" t="str">
        <f t="shared" si="566"/>
        <v/>
      </c>
      <c r="EH102" s="218" t="str">
        <f t="shared" si="567"/>
        <v/>
      </c>
      <c r="EI102" s="218" t="str">
        <f t="shared" si="568"/>
        <v/>
      </c>
      <c r="EJ102" s="218" t="str">
        <f t="shared" si="569"/>
        <v/>
      </c>
      <c r="EK102" s="218" t="str">
        <f t="shared" si="570"/>
        <v/>
      </c>
      <c r="EL102" s="218" t="str">
        <f t="shared" si="571"/>
        <v/>
      </c>
      <c r="EM102" s="218" t="str">
        <f t="shared" si="572"/>
        <v/>
      </c>
      <c r="EN102" s="218" t="str">
        <f t="shared" si="573"/>
        <v/>
      </c>
      <c r="EO102" s="218" t="str">
        <f t="shared" si="574"/>
        <v/>
      </c>
      <c r="EP102" s="218" t="str">
        <f t="shared" si="575"/>
        <v/>
      </c>
      <c r="EQ102" s="218" t="str">
        <f t="shared" si="576"/>
        <v/>
      </c>
      <c r="ER102" s="218" t="str">
        <f t="shared" si="577"/>
        <v/>
      </c>
      <c r="ES102" s="218" t="str">
        <f t="shared" si="578"/>
        <v/>
      </c>
      <c r="ET102" s="218" t="str">
        <f t="shared" si="579"/>
        <v/>
      </c>
      <c r="EU102" s="218" t="str">
        <f t="shared" si="580"/>
        <v/>
      </c>
      <c r="EV102" s="218" t="str">
        <f t="shared" si="581"/>
        <v/>
      </c>
      <c r="EW102" s="218" t="str">
        <f t="shared" si="582"/>
        <v/>
      </c>
      <c r="EX102" s="218" t="str">
        <f t="shared" si="583"/>
        <v/>
      </c>
      <c r="EY102" s="218" t="str">
        <f t="shared" si="584"/>
        <v/>
      </c>
      <c r="FA102" s="218" t="str">
        <f t="shared" si="585"/>
        <v/>
      </c>
      <c r="FB102" s="218" t="str">
        <f t="shared" si="586"/>
        <v/>
      </c>
      <c r="FC102" s="218" t="str">
        <f t="shared" si="587"/>
        <v/>
      </c>
      <c r="FD102" s="218" t="str">
        <f t="shared" si="588"/>
        <v/>
      </c>
      <c r="FE102" s="218" t="str">
        <f t="shared" si="589"/>
        <v/>
      </c>
      <c r="FF102" s="218" t="str">
        <f t="shared" si="590"/>
        <v/>
      </c>
      <c r="FG102" s="218" t="str">
        <f t="shared" si="591"/>
        <v/>
      </c>
      <c r="FH102" s="218" t="str">
        <f t="shared" si="592"/>
        <v/>
      </c>
      <c r="FI102" s="218" t="str">
        <f t="shared" si="593"/>
        <v/>
      </c>
      <c r="FJ102" s="218" t="str">
        <f t="shared" si="594"/>
        <v/>
      </c>
      <c r="FK102" s="218" t="str">
        <f t="shared" si="595"/>
        <v/>
      </c>
      <c r="FL102" s="218" t="str">
        <f t="shared" si="596"/>
        <v/>
      </c>
      <c r="FM102" s="218" t="str">
        <f t="shared" si="597"/>
        <v/>
      </c>
      <c r="FN102" s="218" t="str">
        <f t="shared" si="598"/>
        <v/>
      </c>
      <c r="FO102" s="218" t="str">
        <f t="shared" si="599"/>
        <v/>
      </c>
      <c r="FP102" s="218" t="str">
        <f t="shared" si="600"/>
        <v/>
      </c>
      <c r="FQ102" s="218" t="str">
        <f t="shared" si="601"/>
        <v/>
      </c>
      <c r="FR102" s="218" t="str">
        <f t="shared" si="602"/>
        <v/>
      </c>
      <c r="FT102" s="218" t="str">
        <f t="shared" si="603"/>
        <v/>
      </c>
      <c r="FU102" s="218" t="str">
        <f t="shared" si="604"/>
        <v/>
      </c>
      <c r="FV102" s="218" t="str">
        <f t="shared" si="605"/>
        <v/>
      </c>
      <c r="FW102" s="218" t="str">
        <f t="shared" si="606"/>
        <v/>
      </c>
      <c r="FX102" s="218" t="str">
        <f t="shared" si="607"/>
        <v/>
      </c>
      <c r="FY102" s="218" t="str">
        <f t="shared" si="608"/>
        <v/>
      </c>
      <c r="FZ102" s="218" t="str">
        <f t="shared" si="609"/>
        <v/>
      </c>
      <c r="GA102" s="218" t="str">
        <f t="shared" si="610"/>
        <v/>
      </c>
      <c r="GB102" s="218" t="str">
        <f t="shared" si="611"/>
        <v/>
      </c>
      <c r="GC102" s="218" t="str">
        <f t="shared" si="612"/>
        <v/>
      </c>
      <c r="GD102" s="218" t="str">
        <f t="shared" si="613"/>
        <v/>
      </c>
      <c r="GE102" s="218" t="str">
        <f t="shared" si="614"/>
        <v/>
      </c>
      <c r="GF102" s="218" t="str">
        <f t="shared" si="615"/>
        <v/>
      </c>
      <c r="GG102" s="218" t="str">
        <f t="shared" si="616"/>
        <v/>
      </c>
      <c r="GH102" s="218" t="str">
        <f t="shared" si="617"/>
        <v/>
      </c>
      <c r="GJ102" s="218" t="str">
        <f t="shared" si="618"/>
        <v/>
      </c>
      <c r="GK102" s="218" t="str">
        <f t="shared" si="619"/>
        <v/>
      </c>
      <c r="GL102" s="218" t="str">
        <f t="shared" si="620"/>
        <v/>
      </c>
      <c r="GM102" s="218" t="str">
        <f t="shared" si="621"/>
        <v/>
      </c>
      <c r="GN102" s="218" t="str">
        <f t="shared" si="622"/>
        <v/>
      </c>
      <c r="GO102" s="218" t="str">
        <f t="shared" si="623"/>
        <v/>
      </c>
      <c r="GP102" s="218" t="str">
        <f t="shared" si="624"/>
        <v/>
      </c>
      <c r="GQ102" s="218" t="str">
        <f t="shared" si="625"/>
        <v/>
      </c>
      <c r="GR102" s="218" t="str">
        <f t="shared" si="626"/>
        <v/>
      </c>
      <c r="GS102" s="218" t="str">
        <f t="shared" si="627"/>
        <v/>
      </c>
      <c r="GT102" s="218" t="str">
        <f t="shared" si="628"/>
        <v/>
      </c>
      <c r="GU102" s="218" t="str">
        <f t="shared" si="629"/>
        <v/>
      </c>
      <c r="GW102" s="218" t="str">
        <f t="shared" si="630"/>
        <v/>
      </c>
      <c r="GX102" s="218" t="str">
        <f t="shared" si="631"/>
        <v/>
      </c>
      <c r="GY102" s="218" t="str">
        <f t="shared" si="632"/>
        <v/>
      </c>
      <c r="GZ102" s="218" t="str">
        <f t="shared" si="633"/>
        <v/>
      </c>
      <c r="HA102" s="218" t="str">
        <f t="shared" si="634"/>
        <v/>
      </c>
      <c r="HB102" s="218" t="str">
        <f t="shared" si="635"/>
        <v/>
      </c>
      <c r="HC102" s="218" t="str">
        <f t="shared" si="636"/>
        <v/>
      </c>
      <c r="HD102" s="218" t="str">
        <f t="shared" si="637"/>
        <v/>
      </c>
      <c r="HE102" s="218" t="str">
        <f t="shared" si="638"/>
        <v/>
      </c>
      <c r="HG102" s="218" t="str">
        <f t="shared" si="639"/>
        <v/>
      </c>
      <c r="HH102" s="218" t="str">
        <f t="shared" si="640"/>
        <v/>
      </c>
      <c r="HI102" s="218" t="str">
        <f t="shared" si="641"/>
        <v/>
      </c>
      <c r="HJ102" s="218" t="str">
        <f t="shared" si="642"/>
        <v/>
      </c>
      <c r="HK102" s="218" t="str">
        <f t="shared" si="643"/>
        <v/>
      </c>
      <c r="HL102" s="218" t="str">
        <f t="shared" si="644"/>
        <v/>
      </c>
      <c r="HN102" s="218" t="str">
        <f t="shared" si="645"/>
        <v/>
      </c>
      <c r="HO102" s="218" t="str">
        <f t="shared" si="646"/>
        <v/>
      </c>
      <c r="HP102" s="218" t="str">
        <f t="shared" si="647"/>
        <v/>
      </c>
      <c r="HR102" s="218" t="str">
        <f t="shared" si="648"/>
        <v/>
      </c>
      <c r="HS102" s="218" t="str">
        <f t="shared" si="649"/>
        <v/>
      </c>
      <c r="HT102" s="218" t="str">
        <f t="shared" si="650"/>
        <v/>
      </c>
      <c r="HU102" s="218" t="str">
        <f t="shared" si="651"/>
        <v/>
      </c>
      <c r="HV102" s="218" t="str">
        <f t="shared" si="652"/>
        <v/>
      </c>
      <c r="HW102" s="218" t="str">
        <f t="shared" si="653"/>
        <v/>
      </c>
      <c r="HX102" s="218" t="str">
        <f t="shared" si="654"/>
        <v/>
      </c>
      <c r="HY102" s="218" t="str">
        <f t="shared" si="655"/>
        <v/>
      </c>
      <c r="HZ102" s="218" t="str">
        <f t="shared" si="656"/>
        <v/>
      </c>
      <c r="IA102" s="218" t="str">
        <f t="shared" si="657"/>
        <v/>
      </c>
      <c r="IB102" s="218" t="str">
        <f t="shared" si="658"/>
        <v/>
      </c>
      <c r="IC102" s="218" t="str">
        <f t="shared" si="659"/>
        <v/>
      </c>
      <c r="ID102" s="218" t="str">
        <f t="shared" si="660"/>
        <v/>
      </c>
      <c r="IE102" s="218" t="str">
        <f t="shared" si="661"/>
        <v/>
      </c>
      <c r="IF102" s="218" t="str">
        <f t="shared" si="662"/>
        <v/>
      </c>
      <c r="IG102" s="218" t="str">
        <f t="shared" si="663"/>
        <v/>
      </c>
      <c r="IH102" s="218" t="str">
        <f t="shared" si="664"/>
        <v/>
      </c>
      <c r="II102" s="218" t="str">
        <f t="shared" si="665"/>
        <v/>
      </c>
      <c r="IJ102" s="218" t="str">
        <f t="shared" si="666"/>
        <v/>
      </c>
      <c r="IK102" s="218" t="str">
        <f t="shared" si="667"/>
        <v/>
      </c>
      <c r="IL102" s="218" t="str">
        <f t="shared" si="668"/>
        <v/>
      </c>
      <c r="IM102" s="218" t="str">
        <f t="shared" si="669"/>
        <v/>
      </c>
      <c r="IN102" s="218" t="str">
        <f t="shared" si="670"/>
        <v/>
      </c>
      <c r="IO102" s="218" t="str">
        <f t="shared" si="671"/>
        <v/>
      </c>
      <c r="IP102" s="218" t="str">
        <f t="shared" si="672"/>
        <v/>
      </c>
      <c r="IQ102" s="218" t="str">
        <f t="shared" si="673"/>
        <v/>
      </c>
      <c r="IR102" s="218" t="str">
        <f t="shared" si="674"/>
        <v/>
      </c>
      <c r="IS102" s="218" t="str">
        <f t="shared" si="675"/>
        <v/>
      </c>
      <c r="IT102" s="218" t="str">
        <f t="shared" si="676"/>
        <v/>
      </c>
      <c r="IU102" s="218" t="str">
        <f t="shared" si="677"/>
        <v/>
      </c>
    </row>
    <row r="103" spans="1:255" x14ac:dyDescent="0.2">
      <c r="A103" s="200" t="s">
        <v>106</v>
      </c>
      <c r="B103" s="188"/>
      <c r="C103" s="181"/>
      <c r="D103" s="181"/>
      <c r="E103" s="181"/>
      <c r="F103" s="181"/>
      <c r="G103" s="181"/>
      <c r="H103" s="181"/>
      <c r="I103" s="181"/>
      <c r="J103" s="181"/>
      <c r="K103" s="183"/>
      <c r="L103" s="217" t="str">
        <f t="shared" si="441"/>
        <v/>
      </c>
      <c r="M103" s="218" t="str">
        <f>'HKG vs. BK'!M103</f>
        <v/>
      </c>
      <c r="N103" s="218" t="str">
        <f>'HKG vs. BK'!N103</f>
        <v/>
      </c>
      <c r="O103" s="218" t="str">
        <f>'HKG vs. BK'!O103</f>
        <v/>
      </c>
      <c r="P103" s="218" t="str">
        <f>'HKG vs. BK'!P103</f>
        <v/>
      </c>
      <c r="Q103" s="219" t="str">
        <f t="shared" si="453"/>
        <v/>
      </c>
      <c r="R103" s="220" t="str">
        <f t="shared" si="454"/>
        <v/>
      </c>
      <c r="S103" s="220" t="str">
        <f t="shared" si="455"/>
        <v/>
      </c>
      <c r="T103" s="219" t="str">
        <f t="shared" si="456"/>
        <v/>
      </c>
      <c r="U103" s="220" t="str">
        <f t="shared" si="457"/>
        <v/>
      </c>
      <c r="V103" s="220" t="str">
        <f t="shared" si="458"/>
        <v/>
      </c>
      <c r="W103" s="219" t="str">
        <f t="shared" si="459"/>
        <v/>
      </c>
      <c r="X103" s="220" t="str">
        <f t="shared" si="460"/>
        <v/>
      </c>
      <c r="Y103" s="220" t="str">
        <f t="shared" si="461"/>
        <v/>
      </c>
      <c r="Z103" s="219" t="str">
        <f t="shared" si="462"/>
        <v/>
      </c>
      <c r="AA103" s="220" t="str">
        <f t="shared" si="463"/>
        <v/>
      </c>
      <c r="AB103" s="220" t="str">
        <f t="shared" si="464"/>
        <v/>
      </c>
      <c r="AC103" s="219" t="str">
        <f t="shared" si="465"/>
        <v/>
      </c>
      <c r="AD103" s="220" t="str">
        <f t="shared" si="466"/>
        <v/>
      </c>
      <c r="AE103" s="220" t="str">
        <f t="shared" si="467"/>
        <v/>
      </c>
      <c r="AF103" s="219" t="str">
        <f t="shared" si="468"/>
        <v/>
      </c>
      <c r="AG103" s="220" t="str">
        <f t="shared" si="469"/>
        <v/>
      </c>
      <c r="AH103" s="220" t="str">
        <f t="shared" si="470"/>
        <v/>
      </c>
      <c r="AI103" s="219" t="str">
        <f t="shared" si="471"/>
        <v/>
      </c>
      <c r="AJ103" s="220" t="str">
        <f t="shared" si="472"/>
        <v/>
      </c>
      <c r="AK103" s="220" t="str">
        <f t="shared" si="473"/>
        <v/>
      </c>
      <c r="AL103" s="219" t="str">
        <f t="shared" si="474"/>
        <v/>
      </c>
      <c r="AM103" s="220" t="str">
        <f t="shared" si="475"/>
        <v/>
      </c>
      <c r="AN103" s="220" t="str">
        <f t="shared" si="476"/>
        <v/>
      </c>
      <c r="AO103" s="219" t="str">
        <f t="shared" si="477"/>
        <v/>
      </c>
      <c r="AP103" s="220" t="str">
        <f t="shared" si="478"/>
        <v/>
      </c>
      <c r="AQ103" s="220" t="str">
        <f t="shared" si="479"/>
        <v/>
      </c>
      <c r="AR103" s="219" t="str">
        <f t="shared" si="480"/>
        <v/>
      </c>
      <c r="AS103" s="220" t="str">
        <f t="shared" si="481"/>
        <v/>
      </c>
      <c r="AT103" s="220" t="str">
        <f t="shared" si="482"/>
        <v/>
      </c>
      <c r="AU103" s="221"/>
      <c r="AV103" s="221"/>
      <c r="AW103" s="221"/>
      <c r="AY103" s="218" t="str">
        <f t="shared" si="483"/>
        <v/>
      </c>
      <c r="AZ103" s="218" t="str">
        <f t="shared" si="484"/>
        <v/>
      </c>
      <c r="BA103" s="218" t="str">
        <f t="shared" si="485"/>
        <v/>
      </c>
      <c r="BB103" s="218" t="str">
        <f t="shared" si="486"/>
        <v/>
      </c>
      <c r="BC103" s="218" t="str">
        <f t="shared" si="487"/>
        <v/>
      </c>
      <c r="BD103" s="218" t="str">
        <f t="shared" si="488"/>
        <v/>
      </c>
      <c r="BE103" s="218" t="str">
        <f t="shared" si="489"/>
        <v/>
      </c>
      <c r="BF103" s="218" t="str">
        <f t="shared" si="490"/>
        <v/>
      </c>
      <c r="BG103" s="218" t="str">
        <f t="shared" si="491"/>
        <v/>
      </c>
      <c r="BH103" s="218" t="str">
        <f t="shared" si="492"/>
        <v/>
      </c>
      <c r="BI103" s="218" t="str">
        <f t="shared" si="493"/>
        <v/>
      </c>
      <c r="BJ103" s="218" t="str">
        <f t="shared" si="494"/>
        <v/>
      </c>
      <c r="BK103" s="218" t="str">
        <f t="shared" si="495"/>
        <v/>
      </c>
      <c r="BL103" s="218" t="str">
        <f t="shared" si="496"/>
        <v/>
      </c>
      <c r="BM103" s="218" t="str">
        <f t="shared" si="497"/>
        <v/>
      </c>
      <c r="BN103" s="218" t="str">
        <f t="shared" si="498"/>
        <v/>
      </c>
      <c r="BO103" s="218" t="str">
        <f t="shared" si="499"/>
        <v/>
      </c>
      <c r="BP103" s="218" t="str">
        <f t="shared" si="500"/>
        <v/>
      </c>
      <c r="BQ103" s="218" t="str">
        <f t="shared" si="501"/>
        <v/>
      </c>
      <c r="BR103" s="218" t="str">
        <f t="shared" si="502"/>
        <v/>
      </c>
      <c r="BS103" s="218" t="str">
        <f t="shared" si="503"/>
        <v/>
      </c>
      <c r="BT103" s="218" t="str">
        <f t="shared" si="504"/>
        <v/>
      </c>
      <c r="BU103" s="218" t="str">
        <f t="shared" si="505"/>
        <v/>
      </c>
      <c r="BV103" s="218" t="str">
        <f t="shared" si="506"/>
        <v/>
      </c>
      <c r="BW103" s="218" t="str">
        <f t="shared" si="507"/>
        <v/>
      </c>
      <c r="BX103" s="218" t="str">
        <f t="shared" si="508"/>
        <v/>
      </c>
      <c r="BY103" s="218" t="str">
        <f t="shared" si="509"/>
        <v/>
      </c>
      <c r="BZ103" s="218" t="str">
        <f t="shared" si="510"/>
        <v/>
      </c>
      <c r="CA103" s="218" t="str">
        <f t="shared" si="511"/>
        <v/>
      </c>
      <c r="CB103" s="218" t="str">
        <f t="shared" si="512"/>
        <v/>
      </c>
      <c r="CD103" s="218" t="str">
        <f t="shared" si="513"/>
        <v/>
      </c>
      <c r="CE103" s="218" t="str">
        <f t="shared" si="514"/>
        <v/>
      </c>
      <c r="CF103" s="218" t="str">
        <f t="shared" si="515"/>
        <v/>
      </c>
      <c r="CG103" s="218" t="str">
        <f t="shared" si="516"/>
        <v/>
      </c>
      <c r="CH103" s="218" t="str">
        <f t="shared" si="517"/>
        <v/>
      </c>
      <c r="CI103" s="218" t="str">
        <f t="shared" si="518"/>
        <v/>
      </c>
      <c r="CJ103" s="218" t="str">
        <f t="shared" si="519"/>
        <v/>
      </c>
      <c r="CK103" s="218" t="str">
        <f t="shared" si="520"/>
        <v/>
      </c>
      <c r="CL103" s="218" t="str">
        <f t="shared" si="521"/>
        <v/>
      </c>
      <c r="CM103" s="218" t="str">
        <f t="shared" si="522"/>
        <v/>
      </c>
      <c r="CN103" s="218" t="str">
        <f t="shared" si="523"/>
        <v/>
      </c>
      <c r="CO103" s="218" t="str">
        <f t="shared" si="524"/>
        <v/>
      </c>
      <c r="CP103" s="218" t="str">
        <f t="shared" si="525"/>
        <v/>
      </c>
      <c r="CQ103" s="218" t="str">
        <f t="shared" si="526"/>
        <v/>
      </c>
      <c r="CR103" s="218" t="str">
        <f t="shared" si="527"/>
        <v/>
      </c>
      <c r="CS103" s="218" t="str">
        <f t="shared" si="528"/>
        <v/>
      </c>
      <c r="CT103" s="218" t="str">
        <f t="shared" si="529"/>
        <v/>
      </c>
      <c r="CU103" s="218" t="str">
        <f t="shared" si="530"/>
        <v/>
      </c>
      <c r="CV103" s="218" t="str">
        <f t="shared" si="531"/>
        <v/>
      </c>
      <c r="CW103" s="218" t="str">
        <f t="shared" si="532"/>
        <v/>
      </c>
      <c r="CX103" s="218" t="str">
        <f t="shared" si="533"/>
        <v/>
      </c>
      <c r="CY103" s="218" t="str">
        <f t="shared" si="534"/>
        <v/>
      </c>
      <c r="CZ103" s="218" t="str">
        <f t="shared" si="535"/>
        <v/>
      </c>
      <c r="DA103" s="218" t="str">
        <f t="shared" si="536"/>
        <v/>
      </c>
      <c r="DB103" s="218" t="str">
        <f t="shared" si="537"/>
        <v/>
      </c>
      <c r="DC103" s="218" t="str">
        <f t="shared" si="538"/>
        <v/>
      </c>
      <c r="DD103" s="218" t="str">
        <f t="shared" si="539"/>
        <v/>
      </c>
      <c r="DF103" s="218" t="str">
        <f t="shared" si="540"/>
        <v/>
      </c>
      <c r="DG103" s="218" t="str">
        <f t="shared" si="541"/>
        <v/>
      </c>
      <c r="DH103" s="218" t="str">
        <f t="shared" si="542"/>
        <v/>
      </c>
      <c r="DI103" s="218" t="str">
        <f t="shared" si="543"/>
        <v/>
      </c>
      <c r="DJ103" s="218" t="str">
        <f t="shared" si="544"/>
        <v/>
      </c>
      <c r="DK103" s="218" t="str">
        <f t="shared" si="545"/>
        <v/>
      </c>
      <c r="DL103" s="218" t="str">
        <f t="shared" si="546"/>
        <v/>
      </c>
      <c r="DM103" s="218" t="str">
        <f t="shared" si="547"/>
        <v/>
      </c>
      <c r="DN103" s="218" t="str">
        <f t="shared" si="548"/>
        <v/>
      </c>
      <c r="DO103" s="218" t="str">
        <f t="shared" si="549"/>
        <v/>
      </c>
      <c r="DP103" s="218" t="str">
        <f t="shared" si="550"/>
        <v/>
      </c>
      <c r="DQ103" s="218" t="str">
        <f t="shared" si="551"/>
        <v/>
      </c>
      <c r="DR103" s="218" t="str">
        <f t="shared" si="552"/>
        <v/>
      </c>
      <c r="DS103" s="218" t="str">
        <f t="shared" si="553"/>
        <v/>
      </c>
      <c r="DT103" s="218" t="str">
        <f t="shared" si="554"/>
        <v/>
      </c>
      <c r="DU103" s="218" t="str">
        <f t="shared" si="555"/>
        <v/>
      </c>
      <c r="DV103" s="218" t="str">
        <f t="shared" si="556"/>
        <v/>
      </c>
      <c r="DW103" s="218" t="str">
        <f t="shared" si="557"/>
        <v/>
      </c>
      <c r="DX103" s="218" t="str">
        <f t="shared" si="558"/>
        <v/>
      </c>
      <c r="DY103" s="218" t="str">
        <f t="shared" si="559"/>
        <v/>
      </c>
      <c r="DZ103" s="218" t="str">
        <f t="shared" si="560"/>
        <v/>
      </c>
      <c r="EA103" s="218" t="str">
        <f t="shared" si="561"/>
        <v/>
      </c>
      <c r="EB103" s="218" t="str">
        <f t="shared" si="562"/>
        <v/>
      </c>
      <c r="EC103" s="218" t="str">
        <f t="shared" si="563"/>
        <v/>
      </c>
      <c r="EE103" s="218" t="str">
        <f t="shared" si="564"/>
        <v/>
      </c>
      <c r="EF103" s="218" t="str">
        <f t="shared" si="565"/>
        <v/>
      </c>
      <c r="EG103" s="218" t="str">
        <f t="shared" si="566"/>
        <v/>
      </c>
      <c r="EH103" s="218" t="str">
        <f t="shared" si="567"/>
        <v/>
      </c>
      <c r="EI103" s="218" t="str">
        <f t="shared" si="568"/>
        <v/>
      </c>
      <c r="EJ103" s="218" t="str">
        <f t="shared" si="569"/>
        <v/>
      </c>
      <c r="EK103" s="218" t="str">
        <f t="shared" si="570"/>
        <v/>
      </c>
      <c r="EL103" s="218" t="str">
        <f t="shared" si="571"/>
        <v/>
      </c>
      <c r="EM103" s="218" t="str">
        <f t="shared" si="572"/>
        <v/>
      </c>
      <c r="EN103" s="218" t="str">
        <f t="shared" si="573"/>
        <v/>
      </c>
      <c r="EO103" s="218" t="str">
        <f t="shared" si="574"/>
        <v/>
      </c>
      <c r="EP103" s="218" t="str">
        <f t="shared" si="575"/>
        <v/>
      </c>
      <c r="EQ103" s="218" t="str">
        <f t="shared" si="576"/>
        <v/>
      </c>
      <c r="ER103" s="218" t="str">
        <f t="shared" si="577"/>
        <v/>
      </c>
      <c r="ES103" s="218" t="str">
        <f t="shared" si="578"/>
        <v/>
      </c>
      <c r="ET103" s="218" t="str">
        <f t="shared" si="579"/>
        <v/>
      </c>
      <c r="EU103" s="218" t="str">
        <f t="shared" si="580"/>
        <v/>
      </c>
      <c r="EV103" s="218" t="str">
        <f t="shared" si="581"/>
        <v/>
      </c>
      <c r="EW103" s="218" t="str">
        <f t="shared" si="582"/>
        <v/>
      </c>
      <c r="EX103" s="218" t="str">
        <f t="shared" si="583"/>
        <v/>
      </c>
      <c r="EY103" s="218" t="str">
        <f t="shared" si="584"/>
        <v/>
      </c>
      <c r="FA103" s="218" t="str">
        <f t="shared" si="585"/>
        <v/>
      </c>
      <c r="FB103" s="218" t="str">
        <f t="shared" si="586"/>
        <v/>
      </c>
      <c r="FC103" s="218" t="str">
        <f t="shared" si="587"/>
        <v/>
      </c>
      <c r="FD103" s="218" t="str">
        <f t="shared" si="588"/>
        <v/>
      </c>
      <c r="FE103" s="218" t="str">
        <f t="shared" si="589"/>
        <v/>
      </c>
      <c r="FF103" s="218" t="str">
        <f t="shared" si="590"/>
        <v/>
      </c>
      <c r="FG103" s="218" t="str">
        <f t="shared" si="591"/>
        <v/>
      </c>
      <c r="FH103" s="218" t="str">
        <f t="shared" si="592"/>
        <v/>
      </c>
      <c r="FI103" s="218" t="str">
        <f t="shared" si="593"/>
        <v/>
      </c>
      <c r="FJ103" s="218" t="str">
        <f t="shared" si="594"/>
        <v/>
      </c>
      <c r="FK103" s="218" t="str">
        <f t="shared" si="595"/>
        <v/>
      </c>
      <c r="FL103" s="218" t="str">
        <f t="shared" si="596"/>
        <v/>
      </c>
      <c r="FM103" s="218" t="str">
        <f t="shared" si="597"/>
        <v/>
      </c>
      <c r="FN103" s="218" t="str">
        <f t="shared" si="598"/>
        <v/>
      </c>
      <c r="FO103" s="218" t="str">
        <f t="shared" si="599"/>
        <v/>
      </c>
      <c r="FP103" s="218" t="str">
        <f t="shared" si="600"/>
        <v/>
      </c>
      <c r="FQ103" s="218" t="str">
        <f t="shared" si="601"/>
        <v/>
      </c>
      <c r="FR103" s="218" t="str">
        <f t="shared" si="602"/>
        <v/>
      </c>
      <c r="FT103" s="218" t="str">
        <f t="shared" si="603"/>
        <v/>
      </c>
      <c r="FU103" s="218" t="str">
        <f t="shared" si="604"/>
        <v/>
      </c>
      <c r="FV103" s="218" t="str">
        <f t="shared" si="605"/>
        <v/>
      </c>
      <c r="FW103" s="218" t="str">
        <f t="shared" si="606"/>
        <v/>
      </c>
      <c r="FX103" s="218" t="str">
        <f t="shared" si="607"/>
        <v/>
      </c>
      <c r="FY103" s="218" t="str">
        <f t="shared" si="608"/>
        <v/>
      </c>
      <c r="FZ103" s="218" t="str">
        <f t="shared" si="609"/>
        <v/>
      </c>
      <c r="GA103" s="218" t="str">
        <f t="shared" si="610"/>
        <v/>
      </c>
      <c r="GB103" s="218" t="str">
        <f t="shared" si="611"/>
        <v/>
      </c>
      <c r="GC103" s="218" t="str">
        <f t="shared" si="612"/>
        <v/>
      </c>
      <c r="GD103" s="218" t="str">
        <f t="shared" si="613"/>
        <v/>
      </c>
      <c r="GE103" s="218" t="str">
        <f t="shared" si="614"/>
        <v/>
      </c>
      <c r="GF103" s="218" t="str">
        <f t="shared" si="615"/>
        <v/>
      </c>
      <c r="GG103" s="218" t="str">
        <f t="shared" si="616"/>
        <v/>
      </c>
      <c r="GH103" s="218" t="str">
        <f t="shared" si="617"/>
        <v/>
      </c>
      <c r="GJ103" s="218" t="str">
        <f t="shared" si="618"/>
        <v/>
      </c>
      <c r="GK103" s="218" t="str">
        <f t="shared" si="619"/>
        <v/>
      </c>
      <c r="GL103" s="218" t="str">
        <f t="shared" si="620"/>
        <v/>
      </c>
      <c r="GM103" s="218" t="str">
        <f t="shared" si="621"/>
        <v/>
      </c>
      <c r="GN103" s="218" t="str">
        <f t="shared" si="622"/>
        <v/>
      </c>
      <c r="GO103" s="218" t="str">
        <f t="shared" si="623"/>
        <v/>
      </c>
      <c r="GP103" s="218" t="str">
        <f t="shared" si="624"/>
        <v/>
      </c>
      <c r="GQ103" s="218" t="str">
        <f t="shared" si="625"/>
        <v/>
      </c>
      <c r="GR103" s="218" t="str">
        <f t="shared" si="626"/>
        <v/>
      </c>
      <c r="GS103" s="218" t="str">
        <f t="shared" si="627"/>
        <v/>
      </c>
      <c r="GT103" s="218" t="str">
        <f t="shared" si="628"/>
        <v/>
      </c>
      <c r="GU103" s="218" t="str">
        <f t="shared" si="629"/>
        <v/>
      </c>
      <c r="GW103" s="218" t="str">
        <f t="shared" si="630"/>
        <v/>
      </c>
      <c r="GX103" s="218" t="str">
        <f t="shared" si="631"/>
        <v/>
      </c>
      <c r="GY103" s="218" t="str">
        <f t="shared" si="632"/>
        <v/>
      </c>
      <c r="GZ103" s="218" t="str">
        <f t="shared" si="633"/>
        <v/>
      </c>
      <c r="HA103" s="218" t="str">
        <f t="shared" si="634"/>
        <v/>
      </c>
      <c r="HB103" s="218" t="str">
        <f t="shared" si="635"/>
        <v/>
      </c>
      <c r="HC103" s="218" t="str">
        <f t="shared" si="636"/>
        <v/>
      </c>
      <c r="HD103" s="218" t="str">
        <f t="shared" si="637"/>
        <v/>
      </c>
      <c r="HE103" s="218" t="str">
        <f t="shared" si="638"/>
        <v/>
      </c>
      <c r="HG103" s="218" t="str">
        <f t="shared" si="639"/>
        <v/>
      </c>
      <c r="HH103" s="218" t="str">
        <f t="shared" si="640"/>
        <v/>
      </c>
      <c r="HI103" s="218" t="str">
        <f t="shared" si="641"/>
        <v/>
      </c>
      <c r="HJ103" s="218" t="str">
        <f t="shared" si="642"/>
        <v/>
      </c>
      <c r="HK103" s="218" t="str">
        <f t="shared" si="643"/>
        <v/>
      </c>
      <c r="HL103" s="218" t="str">
        <f t="shared" si="644"/>
        <v/>
      </c>
      <c r="HN103" s="218" t="str">
        <f t="shared" si="645"/>
        <v/>
      </c>
      <c r="HO103" s="218" t="str">
        <f t="shared" si="646"/>
        <v/>
      </c>
      <c r="HP103" s="218" t="str">
        <f t="shared" si="647"/>
        <v/>
      </c>
      <c r="HR103" s="218" t="str">
        <f t="shared" si="648"/>
        <v/>
      </c>
      <c r="HS103" s="218" t="str">
        <f t="shared" si="649"/>
        <v/>
      </c>
      <c r="HT103" s="218" t="str">
        <f t="shared" si="650"/>
        <v/>
      </c>
      <c r="HU103" s="218" t="str">
        <f t="shared" si="651"/>
        <v/>
      </c>
      <c r="HV103" s="218" t="str">
        <f t="shared" si="652"/>
        <v/>
      </c>
      <c r="HW103" s="218" t="str">
        <f t="shared" si="653"/>
        <v/>
      </c>
      <c r="HX103" s="218" t="str">
        <f t="shared" si="654"/>
        <v/>
      </c>
      <c r="HY103" s="218" t="str">
        <f t="shared" si="655"/>
        <v/>
      </c>
      <c r="HZ103" s="218" t="str">
        <f t="shared" si="656"/>
        <v/>
      </c>
      <c r="IA103" s="218" t="str">
        <f t="shared" si="657"/>
        <v/>
      </c>
      <c r="IB103" s="218" t="str">
        <f t="shared" si="658"/>
        <v/>
      </c>
      <c r="IC103" s="218" t="str">
        <f t="shared" si="659"/>
        <v/>
      </c>
      <c r="ID103" s="218" t="str">
        <f t="shared" si="660"/>
        <v/>
      </c>
      <c r="IE103" s="218" t="str">
        <f t="shared" si="661"/>
        <v/>
      </c>
      <c r="IF103" s="218" t="str">
        <f t="shared" si="662"/>
        <v/>
      </c>
      <c r="IG103" s="218" t="str">
        <f t="shared" si="663"/>
        <v/>
      </c>
      <c r="IH103" s="218" t="str">
        <f t="shared" si="664"/>
        <v/>
      </c>
      <c r="II103" s="218" t="str">
        <f t="shared" si="665"/>
        <v/>
      </c>
      <c r="IJ103" s="218" t="str">
        <f t="shared" si="666"/>
        <v/>
      </c>
      <c r="IK103" s="218" t="str">
        <f t="shared" si="667"/>
        <v/>
      </c>
      <c r="IL103" s="218" t="str">
        <f t="shared" si="668"/>
        <v/>
      </c>
      <c r="IM103" s="218" t="str">
        <f t="shared" si="669"/>
        <v/>
      </c>
      <c r="IN103" s="218" t="str">
        <f t="shared" si="670"/>
        <v/>
      </c>
      <c r="IO103" s="218" t="str">
        <f t="shared" si="671"/>
        <v/>
      </c>
      <c r="IP103" s="218" t="str">
        <f t="shared" si="672"/>
        <v/>
      </c>
      <c r="IQ103" s="218" t="str">
        <f t="shared" si="673"/>
        <v/>
      </c>
      <c r="IR103" s="218" t="str">
        <f t="shared" si="674"/>
        <v/>
      </c>
      <c r="IS103" s="218" t="str">
        <f t="shared" si="675"/>
        <v/>
      </c>
      <c r="IT103" s="218" t="str">
        <f t="shared" si="676"/>
        <v/>
      </c>
      <c r="IU103" s="218" t="str">
        <f t="shared" si="677"/>
        <v/>
      </c>
    </row>
    <row r="104" spans="1:255" x14ac:dyDescent="0.2">
      <c r="A104" s="200" t="s">
        <v>107</v>
      </c>
      <c r="B104" s="188"/>
      <c r="C104" s="181"/>
      <c r="D104" s="181"/>
      <c r="E104" s="181"/>
      <c r="F104" s="181"/>
      <c r="G104" s="181"/>
      <c r="H104" s="181"/>
      <c r="I104" s="181"/>
      <c r="J104" s="181"/>
      <c r="K104" s="183"/>
      <c r="L104" s="217" t="str">
        <f t="shared" si="441"/>
        <v/>
      </c>
      <c r="M104" s="218" t="str">
        <f>'HKG vs. BK'!M104</f>
        <v/>
      </c>
      <c r="N104" s="218" t="str">
        <f>'HKG vs. BK'!N104</f>
        <v/>
      </c>
      <c r="O104" s="218" t="str">
        <f>'HKG vs. BK'!O104</f>
        <v/>
      </c>
      <c r="P104" s="218" t="str">
        <f>'HKG vs. BK'!P104</f>
        <v/>
      </c>
      <c r="Q104" s="219" t="str">
        <f t="shared" si="453"/>
        <v/>
      </c>
      <c r="R104" s="220" t="str">
        <f t="shared" si="454"/>
        <v/>
      </c>
      <c r="S104" s="220" t="str">
        <f t="shared" si="455"/>
        <v/>
      </c>
      <c r="T104" s="219" t="str">
        <f t="shared" si="456"/>
        <v/>
      </c>
      <c r="U104" s="220" t="str">
        <f t="shared" si="457"/>
        <v/>
      </c>
      <c r="V104" s="220" t="str">
        <f t="shared" si="458"/>
        <v/>
      </c>
      <c r="W104" s="219" t="str">
        <f t="shared" si="459"/>
        <v/>
      </c>
      <c r="X104" s="220" t="str">
        <f t="shared" si="460"/>
        <v/>
      </c>
      <c r="Y104" s="220" t="str">
        <f t="shared" si="461"/>
        <v/>
      </c>
      <c r="Z104" s="219" t="str">
        <f t="shared" si="462"/>
        <v/>
      </c>
      <c r="AA104" s="220" t="str">
        <f t="shared" si="463"/>
        <v/>
      </c>
      <c r="AB104" s="220" t="str">
        <f t="shared" si="464"/>
        <v/>
      </c>
      <c r="AC104" s="219" t="str">
        <f t="shared" si="465"/>
        <v/>
      </c>
      <c r="AD104" s="220" t="str">
        <f t="shared" si="466"/>
        <v/>
      </c>
      <c r="AE104" s="220" t="str">
        <f t="shared" si="467"/>
        <v/>
      </c>
      <c r="AF104" s="219" t="str">
        <f t="shared" si="468"/>
        <v/>
      </c>
      <c r="AG104" s="220" t="str">
        <f t="shared" si="469"/>
        <v/>
      </c>
      <c r="AH104" s="220" t="str">
        <f t="shared" si="470"/>
        <v/>
      </c>
      <c r="AI104" s="219" t="str">
        <f t="shared" si="471"/>
        <v/>
      </c>
      <c r="AJ104" s="220" t="str">
        <f t="shared" si="472"/>
        <v/>
      </c>
      <c r="AK104" s="220" t="str">
        <f t="shared" si="473"/>
        <v/>
      </c>
      <c r="AL104" s="219" t="str">
        <f t="shared" si="474"/>
        <v/>
      </c>
      <c r="AM104" s="220" t="str">
        <f t="shared" si="475"/>
        <v/>
      </c>
      <c r="AN104" s="220" t="str">
        <f t="shared" si="476"/>
        <v/>
      </c>
      <c r="AO104" s="219" t="str">
        <f t="shared" si="477"/>
        <v/>
      </c>
      <c r="AP104" s="220" t="str">
        <f t="shared" si="478"/>
        <v/>
      </c>
      <c r="AQ104" s="220" t="str">
        <f t="shared" si="479"/>
        <v/>
      </c>
      <c r="AR104" s="219" t="str">
        <f t="shared" si="480"/>
        <v/>
      </c>
      <c r="AS104" s="220" t="str">
        <f t="shared" si="481"/>
        <v/>
      </c>
      <c r="AT104" s="220" t="str">
        <f t="shared" si="482"/>
        <v/>
      </c>
      <c r="AU104" s="221"/>
      <c r="AV104" s="221"/>
      <c r="AW104" s="221"/>
      <c r="AY104" s="218" t="str">
        <f t="shared" si="483"/>
        <v/>
      </c>
      <c r="AZ104" s="218" t="str">
        <f t="shared" si="484"/>
        <v/>
      </c>
      <c r="BA104" s="218" t="str">
        <f t="shared" si="485"/>
        <v/>
      </c>
      <c r="BB104" s="218" t="str">
        <f t="shared" si="486"/>
        <v/>
      </c>
      <c r="BC104" s="218" t="str">
        <f t="shared" si="487"/>
        <v/>
      </c>
      <c r="BD104" s="218" t="str">
        <f t="shared" si="488"/>
        <v/>
      </c>
      <c r="BE104" s="218" t="str">
        <f t="shared" si="489"/>
        <v/>
      </c>
      <c r="BF104" s="218" t="str">
        <f t="shared" si="490"/>
        <v/>
      </c>
      <c r="BG104" s="218" t="str">
        <f t="shared" si="491"/>
        <v/>
      </c>
      <c r="BH104" s="218" t="str">
        <f t="shared" si="492"/>
        <v/>
      </c>
      <c r="BI104" s="218" t="str">
        <f t="shared" si="493"/>
        <v/>
      </c>
      <c r="BJ104" s="218" t="str">
        <f t="shared" si="494"/>
        <v/>
      </c>
      <c r="BK104" s="218" t="str">
        <f t="shared" si="495"/>
        <v/>
      </c>
      <c r="BL104" s="218" t="str">
        <f t="shared" si="496"/>
        <v/>
      </c>
      <c r="BM104" s="218" t="str">
        <f t="shared" si="497"/>
        <v/>
      </c>
      <c r="BN104" s="218" t="str">
        <f t="shared" si="498"/>
        <v/>
      </c>
      <c r="BO104" s="218" t="str">
        <f t="shared" si="499"/>
        <v/>
      </c>
      <c r="BP104" s="218" t="str">
        <f t="shared" si="500"/>
        <v/>
      </c>
      <c r="BQ104" s="218" t="str">
        <f t="shared" si="501"/>
        <v/>
      </c>
      <c r="BR104" s="218" t="str">
        <f t="shared" si="502"/>
        <v/>
      </c>
      <c r="BS104" s="218" t="str">
        <f t="shared" si="503"/>
        <v/>
      </c>
      <c r="BT104" s="218" t="str">
        <f t="shared" si="504"/>
        <v/>
      </c>
      <c r="BU104" s="218" t="str">
        <f t="shared" si="505"/>
        <v/>
      </c>
      <c r="BV104" s="218" t="str">
        <f t="shared" si="506"/>
        <v/>
      </c>
      <c r="BW104" s="218" t="str">
        <f t="shared" si="507"/>
        <v/>
      </c>
      <c r="BX104" s="218" t="str">
        <f t="shared" si="508"/>
        <v/>
      </c>
      <c r="BY104" s="218" t="str">
        <f t="shared" si="509"/>
        <v/>
      </c>
      <c r="BZ104" s="218" t="str">
        <f t="shared" si="510"/>
        <v/>
      </c>
      <c r="CA104" s="218" t="str">
        <f t="shared" si="511"/>
        <v/>
      </c>
      <c r="CB104" s="218" t="str">
        <f t="shared" si="512"/>
        <v/>
      </c>
      <c r="CD104" s="218" t="str">
        <f t="shared" si="513"/>
        <v/>
      </c>
      <c r="CE104" s="218" t="str">
        <f t="shared" si="514"/>
        <v/>
      </c>
      <c r="CF104" s="218" t="str">
        <f t="shared" si="515"/>
        <v/>
      </c>
      <c r="CG104" s="218" t="str">
        <f t="shared" si="516"/>
        <v/>
      </c>
      <c r="CH104" s="218" t="str">
        <f t="shared" si="517"/>
        <v/>
      </c>
      <c r="CI104" s="218" t="str">
        <f t="shared" si="518"/>
        <v/>
      </c>
      <c r="CJ104" s="218" t="str">
        <f t="shared" si="519"/>
        <v/>
      </c>
      <c r="CK104" s="218" t="str">
        <f t="shared" si="520"/>
        <v/>
      </c>
      <c r="CL104" s="218" t="str">
        <f t="shared" si="521"/>
        <v/>
      </c>
      <c r="CM104" s="218" t="str">
        <f t="shared" si="522"/>
        <v/>
      </c>
      <c r="CN104" s="218" t="str">
        <f t="shared" si="523"/>
        <v/>
      </c>
      <c r="CO104" s="218" t="str">
        <f t="shared" si="524"/>
        <v/>
      </c>
      <c r="CP104" s="218" t="str">
        <f t="shared" si="525"/>
        <v/>
      </c>
      <c r="CQ104" s="218" t="str">
        <f t="shared" si="526"/>
        <v/>
      </c>
      <c r="CR104" s="218" t="str">
        <f t="shared" si="527"/>
        <v/>
      </c>
      <c r="CS104" s="218" t="str">
        <f t="shared" si="528"/>
        <v/>
      </c>
      <c r="CT104" s="218" t="str">
        <f t="shared" si="529"/>
        <v/>
      </c>
      <c r="CU104" s="218" t="str">
        <f t="shared" si="530"/>
        <v/>
      </c>
      <c r="CV104" s="218" t="str">
        <f t="shared" si="531"/>
        <v/>
      </c>
      <c r="CW104" s="218" t="str">
        <f t="shared" si="532"/>
        <v/>
      </c>
      <c r="CX104" s="218" t="str">
        <f t="shared" si="533"/>
        <v/>
      </c>
      <c r="CY104" s="218" t="str">
        <f t="shared" si="534"/>
        <v/>
      </c>
      <c r="CZ104" s="218" t="str">
        <f t="shared" si="535"/>
        <v/>
      </c>
      <c r="DA104" s="218" t="str">
        <f t="shared" si="536"/>
        <v/>
      </c>
      <c r="DB104" s="218" t="str">
        <f t="shared" si="537"/>
        <v/>
      </c>
      <c r="DC104" s="218" t="str">
        <f t="shared" si="538"/>
        <v/>
      </c>
      <c r="DD104" s="218" t="str">
        <f t="shared" si="539"/>
        <v/>
      </c>
      <c r="DF104" s="218" t="str">
        <f t="shared" si="540"/>
        <v/>
      </c>
      <c r="DG104" s="218" t="str">
        <f t="shared" si="541"/>
        <v/>
      </c>
      <c r="DH104" s="218" t="str">
        <f t="shared" si="542"/>
        <v/>
      </c>
      <c r="DI104" s="218" t="str">
        <f t="shared" si="543"/>
        <v/>
      </c>
      <c r="DJ104" s="218" t="str">
        <f t="shared" si="544"/>
        <v/>
      </c>
      <c r="DK104" s="218" t="str">
        <f t="shared" si="545"/>
        <v/>
      </c>
      <c r="DL104" s="218" t="str">
        <f t="shared" si="546"/>
        <v/>
      </c>
      <c r="DM104" s="218" t="str">
        <f t="shared" si="547"/>
        <v/>
      </c>
      <c r="DN104" s="218" t="str">
        <f t="shared" si="548"/>
        <v/>
      </c>
      <c r="DO104" s="218" t="str">
        <f t="shared" si="549"/>
        <v/>
      </c>
      <c r="DP104" s="218" t="str">
        <f t="shared" si="550"/>
        <v/>
      </c>
      <c r="DQ104" s="218" t="str">
        <f t="shared" si="551"/>
        <v/>
      </c>
      <c r="DR104" s="218" t="str">
        <f t="shared" si="552"/>
        <v/>
      </c>
      <c r="DS104" s="218" t="str">
        <f t="shared" si="553"/>
        <v/>
      </c>
      <c r="DT104" s="218" t="str">
        <f t="shared" si="554"/>
        <v/>
      </c>
      <c r="DU104" s="218" t="str">
        <f t="shared" si="555"/>
        <v/>
      </c>
      <c r="DV104" s="218" t="str">
        <f t="shared" si="556"/>
        <v/>
      </c>
      <c r="DW104" s="218" t="str">
        <f t="shared" si="557"/>
        <v/>
      </c>
      <c r="DX104" s="218" t="str">
        <f t="shared" si="558"/>
        <v/>
      </c>
      <c r="DY104" s="218" t="str">
        <f t="shared" si="559"/>
        <v/>
      </c>
      <c r="DZ104" s="218" t="str">
        <f t="shared" si="560"/>
        <v/>
      </c>
      <c r="EA104" s="218" t="str">
        <f t="shared" si="561"/>
        <v/>
      </c>
      <c r="EB104" s="218" t="str">
        <f t="shared" si="562"/>
        <v/>
      </c>
      <c r="EC104" s="218" t="str">
        <f t="shared" si="563"/>
        <v/>
      </c>
      <c r="EE104" s="218" t="str">
        <f t="shared" si="564"/>
        <v/>
      </c>
      <c r="EF104" s="218" t="str">
        <f t="shared" si="565"/>
        <v/>
      </c>
      <c r="EG104" s="218" t="str">
        <f t="shared" si="566"/>
        <v/>
      </c>
      <c r="EH104" s="218" t="str">
        <f t="shared" si="567"/>
        <v/>
      </c>
      <c r="EI104" s="218" t="str">
        <f t="shared" si="568"/>
        <v/>
      </c>
      <c r="EJ104" s="218" t="str">
        <f t="shared" si="569"/>
        <v/>
      </c>
      <c r="EK104" s="218" t="str">
        <f t="shared" si="570"/>
        <v/>
      </c>
      <c r="EL104" s="218" t="str">
        <f t="shared" si="571"/>
        <v/>
      </c>
      <c r="EM104" s="218" t="str">
        <f t="shared" si="572"/>
        <v/>
      </c>
      <c r="EN104" s="218" t="str">
        <f t="shared" si="573"/>
        <v/>
      </c>
      <c r="EO104" s="218" t="str">
        <f t="shared" si="574"/>
        <v/>
      </c>
      <c r="EP104" s="218" t="str">
        <f t="shared" si="575"/>
        <v/>
      </c>
      <c r="EQ104" s="218" t="str">
        <f t="shared" si="576"/>
        <v/>
      </c>
      <c r="ER104" s="218" t="str">
        <f t="shared" si="577"/>
        <v/>
      </c>
      <c r="ES104" s="218" t="str">
        <f t="shared" si="578"/>
        <v/>
      </c>
      <c r="ET104" s="218" t="str">
        <f t="shared" si="579"/>
        <v/>
      </c>
      <c r="EU104" s="218" t="str">
        <f t="shared" si="580"/>
        <v/>
      </c>
      <c r="EV104" s="218" t="str">
        <f t="shared" si="581"/>
        <v/>
      </c>
      <c r="EW104" s="218" t="str">
        <f t="shared" si="582"/>
        <v/>
      </c>
      <c r="EX104" s="218" t="str">
        <f t="shared" si="583"/>
        <v/>
      </c>
      <c r="EY104" s="218" t="str">
        <f t="shared" si="584"/>
        <v/>
      </c>
      <c r="FA104" s="218" t="str">
        <f t="shared" si="585"/>
        <v/>
      </c>
      <c r="FB104" s="218" t="str">
        <f t="shared" si="586"/>
        <v/>
      </c>
      <c r="FC104" s="218" t="str">
        <f t="shared" si="587"/>
        <v/>
      </c>
      <c r="FD104" s="218" t="str">
        <f t="shared" si="588"/>
        <v/>
      </c>
      <c r="FE104" s="218" t="str">
        <f t="shared" si="589"/>
        <v/>
      </c>
      <c r="FF104" s="218" t="str">
        <f t="shared" si="590"/>
        <v/>
      </c>
      <c r="FG104" s="218" t="str">
        <f t="shared" si="591"/>
        <v/>
      </c>
      <c r="FH104" s="218" t="str">
        <f t="shared" si="592"/>
        <v/>
      </c>
      <c r="FI104" s="218" t="str">
        <f t="shared" si="593"/>
        <v/>
      </c>
      <c r="FJ104" s="218" t="str">
        <f t="shared" si="594"/>
        <v/>
      </c>
      <c r="FK104" s="218" t="str">
        <f t="shared" si="595"/>
        <v/>
      </c>
      <c r="FL104" s="218" t="str">
        <f t="shared" si="596"/>
        <v/>
      </c>
      <c r="FM104" s="218" t="str">
        <f t="shared" si="597"/>
        <v/>
      </c>
      <c r="FN104" s="218" t="str">
        <f t="shared" si="598"/>
        <v/>
      </c>
      <c r="FO104" s="218" t="str">
        <f t="shared" si="599"/>
        <v/>
      </c>
      <c r="FP104" s="218" t="str">
        <f t="shared" si="600"/>
        <v/>
      </c>
      <c r="FQ104" s="218" t="str">
        <f t="shared" si="601"/>
        <v/>
      </c>
      <c r="FR104" s="218" t="str">
        <f t="shared" si="602"/>
        <v/>
      </c>
      <c r="FT104" s="218" t="str">
        <f t="shared" si="603"/>
        <v/>
      </c>
      <c r="FU104" s="218" t="str">
        <f t="shared" si="604"/>
        <v/>
      </c>
      <c r="FV104" s="218" t="str">
        <f t="shared" si="605"/>
        <v/>
      </c>
      <c r="FW104" s="218" t="str">
        <f t="shared" si="606"/>
        <v/>
      </c>
      <c r="FX104" s="218" t="str">
        <f t="shared" si="607"/>
        <v/>
      </c>
      <c r="FY104" s="218" t="str">
        <f t="shared" si="608"/>
        <v/>
      </c>
      <c r="FZ104" s="218" t="str">
        <f t="shared" si="609"/>
        <v/>
      </c>
      <c r="GA104" s="218" t="str">
        <f t="shared" si="610"/>
        <v/>
      </c>
      <c r="GB104" s="218" t="str">
        <f t="shared" si="611"/>
        <v/>
      </c>
      <c r="GC104" s="218" t="str">
        <f t="shared" si="612"/>
        <v/>
      </c>
      <c r="GD104" s="218" t="str">
        <f t="shared" si="613"/>
        <v/>
      </c>
      <c r="GE104" s="218" t="str">
        <f t="shared" si="614"/>
        <v/>
      </c>
      <c r="GF104" s="218" t="str">
        <f t="shared" si="615"/>
        <v/>
      </c>
      <c r="GG104" s="218" t="str">
        <f t="shared" si="616"/>
        <v/>
      </c>
      <c r="GH104" s="218" t="str">
        <f t="shared" si="617"/>
        <v/>
      </c>
      <c r="GJ104" s="218" t="str">
        <f t="shared" si="618"/>
        <v/>
      </c>
      <c r="GK104" s="218" t="str">
        <f t="shared" si="619"/>
        <v/>
      </c>
      <c r="GL104" s="218" t="str">
        <f t="shared" si="620"/>
        <v/>
      </c>
      <c r="GM104" s="218" t="str">
        <f t="shared" si="621"/>
        <v/>
      </c>
      <c r="GN104" s="218" t="str">
        <f t="shared" si="622"/>
        <v/>
      </c>
      <c r="GO104" s="218" t="str">
        <f t="shared" si="623"/>
        <v/>
      </c>
      <c r="GP104" s="218" t="str">
        <f t="shared" si="624"/>
        <v/>
      </c>
      <c r="GQ104" s="218" t="str">
        <f t="shared" si="625"/>
        <v/>
      </c>
      <c r="GR104" s="218" t="str">
        <f t="shared" si="626"/>
        <v/>
      </c>
      <c r="GS104" s="218" t="str">
        <f t="shared" si="627"/>
        <v/>
      </c>
      <c r="GT104" s="218" t="str">
        <f t="shared" si="628"/>
        <v/>
      </c>
      <c r="GU104" s="218" t="str">
        <f t="shared" si="629"/>
        <v/>
      </c>
      <c r="GW104" s="218" t="str">
        <f t="shared" si="630"/>
        <v/>
      </c>
      <c r="GX104" s="218" t="str">
        <f t="shared" si="631"/>
        <v/>
      </c>
      <c r="GY104" s="218" t="str">
        <f t="shared" si="632"/>
        <v/>
      </c>
      <c r="GZ104" s="218" t="str">
        <f t="shared" si="633"/>
        <v/>
      </c>
      <c r="HA104" s="218" t="str">
        <f t="shared" si="634"/>
        <v/>
      </c>
      <c r="HB104" s="218" t="str">
        <f t="shared" si="635"/>
        <v/>
      </c>
      <c r="HC104" s="218" t="str">
        <f t="shared" si="636"/>
        <v/>
      </c>
      <c r="HD104" s="218" t="str">
        <f t="shared" si="637"/>
        <v/>
      </c>
      <c r="HE104" s="218" t="str">
        <f t="shared" si="638"/>
        <v/>
      </c>
      <c r="HG104" s="218" t="str">
        <f t="shared" si="639"/>
        <v/>
      </c>
      <c r="HH104" s="218" t="str">
        <f t="shared" si="640"/>
        <v/>
      </c>
      <c r="HI104" s="218" t="str">
        <f t="shared" si="641"/>
        <v/>
      </c>
      <c r="HJ104" s="218" t="str">
        <f t="shared" si="642"/>
        <v/>
      </c>
      <c r="HK104" s="218" t="str">
        <f t="shared" si="643"/>
        <v/>
      </c>
      <c r="HL104" s="218" t="str">
        <f t="shared" si="644"/>
        <v/>
      </c>
      <c r="HN104" s="218" t="str">
        <f t="shared" si="645"/>
        <v/>
      </c>
      <c r="HO104" s="218" t="str">
        <f t="shared" si="646"/>
        <v/>
      </c>
      <c r="HP104" s="218" t="str">
        <f t="shared" si="647"/>
        <v/>
      </c>
      <c r="HR104" s="218" t="str">
        <f t="shared" si="648"/>
        <v/>
      </c>
      <c r="HS104" s="218" t="str">
        <f t="shared" si="649"/>
        <v/>
      </c>
      <c r="HT104" s="218" t="str">
        <f t="shared" si="650"/>
        <v/>
      </c>
      <c r="HU104" s="218" t="str">
        <f t="shared" si="651"/>
        <v/>
      </c>
      <c r="HV104" s="218" t="str">
        <f t="shared" si="652"/>
        <v/>
      </c>
      <c r="HW104" s="218" t="str">
        <f t="shared" si="653"/>
        <v/>
      </c>
      <c r="HX104" s="218" t="str">
        <f t="shared" si="654"/>
        <v/>
      </c>
      <c r="HY104" s="218" t="str">
        <f t="shared" si="655"/>
        <v/>
      </c>
      <c r="HZ104" s="218" t="str">
        <f t="shared" si="656"/>
        <v/>
      </c>
      <c r="IA104" s="218" t="str">
        <f t="shared" si="657"/>
        <v/>
      </c>
      <c r="IB104" s="218" t="str">
        <f t="shared" si="658"/>
        <v/>
      </c>
      <c r="IC104" s="218" t="str">
        <f t="shared" si="659"/>
        <v/>
      </c>
      <c r="ID104" s="218" t="str">
        <f t="shared" si="660"/>
        <v/>
      </c>
      <c r="IE104" s="218" t="str">
        <f t="shared" si="661"/>
        <v/>
      </c>
      <c r="IF104" s="218" t="str">
        <f t="shared" si="662"/>
        <v/>
      </c>
      <c r="IG104" s="218" t="str">
        <f t="shared" si="663"/>
        <v/>
      </c>
      <c r="IH104" s="218" t="str">
        <f t="shared" si="664"/>
        <v/>
      </c>
      <c r="II104" s="218" t="str">
        <f t="shared" si="665"/>
        <v/>
      </c>
      <c r="IJ104" s="218" t="str">
        <f t="shared" si="666"/>
        <v/>
      </c>
      <c r="IK104" s="218" t="str">
        <f t="shared" si="667"/>
        <v/>
      </c>
      <c r="IL104" s="218" t="str">
        <f t="shared" si="668"/>
        <v/>
      </c>
      <c r="IM104" s="218" t="str">
        <f t="shared" si="669"/>
        <v/>
      </c>
      <c r="IN104" s="218" t="str">
        <f t="shared" si="670"/>
        <v/>
      </c>
      <c r="IO104" s="218" t="str">
        <f t="shared" si="671"/>
        <v/>
      </c>
      <c r="IP104" s="218" t="str">
        <f t="shared" si="672"/>
        <v/>
      </c>
      <c r="IQ104" s="218" t="str">
        <f t="shared" si="673"/>
        <v/>
      </c>
      <c r="IR104" s="218" t="str">
        <f t="shared" si="674"/>
        <v/>
      </c>
      <c r="IS104" s="218" t="str">
        <f t="shared" si="675"/>
        <v/>
      </c>
      <c r="IT104" s="218" t="str">
        <f t="shared" si="676"/>
        <v/>
      </c>
      <c r="IU104" s="218" t="str">
        <f t="shared" si="677"/>
        <v/>
      </c>
    </row>
    <row r="105" spans="1:255" x14ac:dyDescent="0.2">
      <c r="A105" s="200" t="s">
        <v>108</v>
      </c>
      <c r="B105" s="189"/>
      <c r="C105" s="192"/>
      <c r="D105" s="192"/>
      <c r="E105" s="192"/>
      <c r="F105" s="192"/>
      <c r="G105" s="192"/>
      <c r="H105" s="192"/>
      <c r="I105" s="192"/>
      <c r="J105" s="192"/>
      <c r="K105" s="199"/>
      <c r="L105" s="217" t="str">
        <f t="shared" si="441"/>
        <v/>
      </c>
      <c r="M105" s="218" t="str">
        <f>'HKG vs. BK'!M105</f>
        <v/>
      </c>
      <c r="N105" s="218" t="str">
        <f>'HKG vs. BK'!N105</f>
        <v/>
      </c>
      <c r="O105" s="218" t="str">
        <f>'HKG vs. BK'!O105</f>
        <v/>
      </c>
      <c r="P105" s="218" t="str">
        <f>'HKG vs. BK'!P105</f>
        <v/>
      </c>
      <c r="Q105" s="219" t="str">
        <f t="shared" si="453"/>
        <v/>
      </c>
      <c r="R105" s="220" t="str">
        <f t="shared" si="454"/>
        <v/>
      </c>
      <c r="S105" s="220" t="str">
        <f t="shared" si="455"/>
        <v/>
      </c>
      <c r="T105" s="219" t="str">
        <f t="shared" si="456"/>
        <v/>
      </c>
      <c r="U105" s="220" t="str">
        <f t="shared" si="457"/>
        <v/>
      </c>
      <c r="V105" s="220" t="str">
        <f t="shared" si="458"/>
        <v/>
      </c>
      <c r="W105" s="219" t="str">
        <f t="shared" si="459"/>
        <v/>
      </c>
      <c r="X105" s="220" t="str">
        <f t="shared" si="460"/>
        <v/>
      </c>
      <c r="Y105" s="220" t="str">
        <f t="shared" si="461"/>
        <v/>
      </c>
      <c r="Z105" s="219" t="str">
        <f t="shared" si="462"/>
        <v/>
      </c>
      <c r="AA105" s="220" t="str">
        <f t="shared" si="463"/>
        <v/>
      </c>
      <c r="AB105" s="220" t="str">
        <f t="shared" si="464"/>
        <v/>
      </c>
      <c r="AC105" s="219" t="str">
        <f t="shared" si="465"/>
        <v/>
      </c>
      <c r="AD105" s="220" t="str">
        <f t="shared" si="466"/>
        <v/>
      </c>
      <c r="AE105" s="220" t="str">
        <f t="shared" si="467"/>
        <v/>
      </c>
      <c r="AF105" s="219" t="str">
        <f t="shared" si="468"/>
        <v/>
      </c>
      <c r="AG105" s="220" t="str">
        <f t="shared" si="469"/>
        <v/>
      </c>
      <c r="AH105" s="220" t="str">
        <f t="shared" si="470"/>
        <v/>
      </c>
      <c r="AI105" s="219" t="str">
        <f t="shared" si="471"/>
        <v/>
      </c>
      <c r="AJ105" s="220" t="str">
        <f t="shared" si="472"/>
        <v/>
      </c>
      <c r="AK105" s="220" t="str">
        <f t="shared" si="473"/>
        <v/>
      </c>
      <c r="AL105" s="219" t="str">
        <f t="shared" si="474"/>
        <v/>
      </c>
      <c r="AM105" s="220" t="str">
        <f t="shared" si="475"/>
        <v/>
      </c>
      <c r="AN105" s="220" t="str">
        <f t="shared" si="476"/>
        <v/>
      </c>
      <c r="AO105" s="219" t="str">
        <f t="shared" si="477"/>
        <v/>
      </c>
      <c r="AP105" s="220" t="str">
        <f t="shared" si="478"/>
        <v/>
      </c>
      <c r="AQ105" s="220" t="str">
        <f t="shared" si="479"/>
        <v/>
      </c>
      <c r="AR105" s="219" t="str">
        <f t="shared" si="480"/>
        <v/>
      </c>
      <c r="AS105" s="220" t="str">
        <f t="shared" si="481"/>
        <v/>
      </c>
      <c r="AT105" s="220" t="str">
        <f t="shared" si="482"/>
        <v/>
      </c>
      <c r="AU105" s="221"/>
      <c r="AV105" s="221"/>
      <c r="AW105" s="221"/>
      <c r="AY105" s="218" t="str">
        <f t="shared" si="483"/>
        <v/>
      </c>
      <c r="AZ105" s="218" t="str">
        <f t="shared" si="484"/>
        <v/>
      </c>
      <c r="BA105" s="218" t="str">
        <f t="shared" si="485"/>
        <v/>
      </c>
      <c r="BB105" s="218" t="str">
        <f t="shared" si="486"/>
        <v/>
      </c>
      <c r="BC105" s="218" t="str">
        <f t="shared" si="487"/>
        <v/>
      </c>
      <c r="BD105" s="218" t="str">
        <f t="shared" si="488"/>
        <v/>
      </c>
      <c r="BE105" s="218" t="str">
        <f t="shared" si="489"/>
        <v/>
      </c>
      <c r="BF105" s="218" t="str">
        <f t="shared" si="490"/>
        <v/>
      </c>
      <c r="BG105" s="218" t="str">
        <f t="shared" si="491"/>
        <v/>
      </c>
      <c r="BH105" s="218" t="str">
        <f t="shared" si="492"/>
        <v/>
      </c>
      <c r="BI105" s="218" t="str">
        <f t="shared" si="493"/>
        <v/>
      </c>
      <c r="BJ105" s="218" t="str">
        <f t="shared" si="494"/>
        <v/>
      </c>
      <c r="BK105" s="218" t="str">
        <f t="shared" si="495"/>
        <v/>
      </c>
      <c r="BL105" s="218" t="str">
        <f t="shared" si="496"/>
        <v/>
      </c>
      <c r="BM105" s="218" t="str">
        <f t="shared" si="497"/>
        <v/>
      </c>
      <c r="BN105" s="218" t="str">
        <f t="shared" si="498"/>
        <v/>
      </c>
      <c r="BO105" s="218" t="str">
        <f t="shared" si="499"/>
        <v/>
      </c>
      <c r="BP105" s="218" t="str">
        <f t="shared" si="500"/>
        <v/>
      </c>
      <c r="BQ105" s="218" t="str">
        <f t="shared" si="501"/>
        <v/>
      </c>
      <c r="BR105" s="218" t="str">
        <f t="shared" si="502"/>
        <v/>
      </c>
      <c r="BS105" s="218" t="str">
        <f t="shared" si="503"/>
        <v/>
      </c>
      <c r="BT105" s="218" t="str">
        <f t="shared" si="504"/>
        <v/>
      </c>
      <c r="BU105" s="218" t="str">
        <f t="shared" si="505"/>
        <v/>
      </c>
      <c r="BV105" s="218" t="str">
        <f t="shared" si="506"/>
        <v/>
      </c>
      <c r="BW105" s="218" t="str">
        <f t="shared" si="507"/>
        <v/>
      </c>
      <c r="BX105" s="218" t="str">
        <f t="shared" si="508"/>
        <v/>
      </c>
      <c r="BY105" s="218" t="str">
        <f t="shared" si="509"/>
        <v/>
      </c>
      <c r="BZ105" s="218" t="str">
        <f t="shared" si="510"/>
        <v/>
      </c>
      <c r="CA105" s="218" t="str">
        <f t="shared" si="511"/>
        <v/>
      </c>
      <c r="CB105" s="218" t="str">
        <f t="shared" si="512"/>
        <v/>
      </c>
      <c r="CD105" s="218" t="str">
        <f t="shared" si="513"/>
        <v/>
      </c>
      <c r="CE105" s="218" t="str">
        <f t="shared" si="514"/>
        <v/>
      </c>
      <c r="CF105" s="218" t="str">
        <f t="shared" si="515"/>
        <v/>
      </c>
      <c r="CG105" s="218" t="str">
        <f t="shared" si="516"/>
        <v/>
      </c>
      <c r="CH105" s="218" t="str">
        <f t="shared" si="517"/>
        <v/>
      </c>
      <c r="CI105" s="218" t="str">
        <f t="shared" si="518"/>
        <v/>
      </c>
      <c r="CJ105" s="218" t="str">
        <f t="shared" si="519"/>
        <v/>
      </c>
      <c r="CK105" s="218" t="str">
        <f t="shared" si="520"/>
        <v/>
      </c>
      <c r="CL105" s="218" t="str">
        <f t="shared" si="521"/>
        <v/>
      </c>
      <c r="CM105" s="218" t="str">
        <f t="shared" si="522"/>
        <v/>
      </c>
      <c r="CN105" s="218" t="str">
        <f t="shared" si="523"/>
        <v/>
      </c>
      <c r="CO105" s="218" t="str">
        <f t="shared" si="524"/>
        <v/>
      </c>
      <c r="CP105" s="218" t="str">
        <f t="shared" si="525"/>
        <v/>
      </c>
      <c r="CQ105" s="218" t="str">
        <f t="shared" si="526"/>
        <v/>
      </c>
      <c r="CR105" s="218" t="str">
        <f t="shared" si="527"/>
        <v/>
      </c>
      <c r="CS105" s="218" t="str">
        <f t="shared" si="528"/>
        <v/>
      </c>
      <c r="CT105" s="218" t="str">
        <f t="shared" si="529"/>
        <v/>
      </c>
      <c r="CU105" s="218" t="str">
        <f t="shared" si="530"/>
        <v/>
      </c>
      <c r="CV105" s="218" t="str">
        <f t="shared" si="531"/>
        <v/>
      </c>
      <c r="CW105" s="218" t="str">
        <f t="shared" si="532"/>
        <v/>
      </c>
      <c r="CX105" s="218" t="str">
        <f t="shared" si="533"/>
        <v/>
      </c>
      <c r="CY105" s="218" t="str">
        <f t="shared" si="534"/>
        <v/>
      </c>
      <c r="CZ105" s="218" t="str">
        <f t="shared" si="535"/>
        <v/>
      </c>
      <c r="DA105" s="218" t="str">
        <f t="shared" si="536"/>
        <v/>
      </c>
      <c r="DB105" s="218" t="str">
        <f t="shared" si="537"/>
        <v/>
      </c>
      <c r="DC105" s="218" t="str">
        <f t="shared" si="538"/>
        <v/>
      </c>
      <c r="DD105" s="218" t="str">
        <f t="shared" si="539"/>
        <v/>
      </c>
      <c r="DF105" s="218" t="str">
        <f t="shared" si="540"/>
        <v/>
      </c>
      <c r="DG105" s="218" t="str">
        <f t="shared" si="541"/>
        <v/>
      </c>
      <c r="DH105" s="218" t="str">
        <f t="shared" si="542"/>
        <v/>
      </c>
      <c r="DI105" s="218" t="str">
        <f t="shared" si="543"/>
        <v/>
      </c>
      <c r="DJ105" s="218" t="str">
        <f t="shared" si="544"/>
        <v/>
      </c>
      <c r="DK105" s="218" t="str">
        <f t="shared" si="545"/>
        <v/>
      </c>
      <c r="DL105" s="218" t="str">
        <f t="shared" si="546"/>
        <v/>
      </c>
      <c r="DM105" s="218" t="str">
        <f t="shared" si="547"/>
        <v/>
      </c>
      <c r="DN105" s="218" t="str">
        <f t="shared" si="548"/>
        <v/>
      </c>
      <c r="DO105" s="218" t="str">
        <f t="shared" si="549"/>
        <v/>
      </c>
      <c r="DP105" s="218" t="str">
        <f t="shared" si="550"/>
        <v/>
      </c>
      <c r="DQ105" s="218" t="str">
        <f t="shared" si="551"/>
        <v/>
      </c>
      <c r="DR105" s="218" t="str">
        <f t="shared" si="552"/>
        <v/>
      </c>
      <c r="DS105" s="218" t="str">
        <f t="shared" si="553"/>
        <v/>
      </c>
      <c r="DT105" s="218" t="str">
        <f t="shared" si="554"/>
        <v/>
      </c>
      <c r="DU105" s="218" t="str">
        <f t="shared" si="555"/>
        <v/>
      </c>
      <c r="DV105" s="218" t="str">
        <f t="shared" si="556"/>
        <v/>
      </c>
      <c r="DW105" s="218" t="str">
        <f t="shared" si="557"/>
        <v/>
      </c>
      <c r="DX105" s="218" t="str">
        <f t="shared" si="558"/>
        <v/>
      </c>
      <c r="DY105" s="218" t="str">
        <f t="shared" si="559"/>
        <v/>
      </c>
      <c r="DZ105" s="218" t="str">
        <f t="shared" si="560"/>
        <v/>
      </c>
      <c r="EA105" s="218" t="str">
        <f t="shared" si="561"/>
        <v/>
      </c>
      <c r="EB105" s="218" t="str">
        <f t="shared" si="562"/>
        <v/>
      </c>
      <c r="EC105" s="218" t="str">
        <f t="shared" si="563"/>
        <v/>
      </c>
      <c r="EE105" s="218" t="str">
        <f t="shared" si="564"/>
        <v/>
      </c>
      <c r="EF105" s="218" t="str">
        <f t="shared" si="565"/>
        <v/>
      </c>
      <c r="EG105" s="218" t="str">
        <f t="shared" si="566"/>
        <v/>
      </c>
      <c r="EH105" s="218" t="str">
        <f t="shared" si="567"/>
        <v/>
      </c>
      <c r="EI105" s="218" t="str">
        <f t="shared" si="568"/>
        <v/>
      </c>
      <c r="EJ105" s="218" t="str">
        <f t="shared" si="569"/>
        <v/>
      </c>
      <c r="EK105" s="218" t="str">
        <f t="shared" si="570"/>
        <v/>
      </c>
      <c r="EL105" s="218" t="str">
        <f t="shared" si="571"/>
        <v/>
      </c>
      <c r="EM105" s="218" t="str">
        <f t="shared" si="572"/>
        <v/>
      </c>
      <c r="EN105" s="218" t="str">
        <f t="shared" si="573"/>
        <v/>
      </c>
      <c r="EO105" s="218" t="str">
        <f t="shared" si="574"/>
        <v/>
      </c>
      <c r="EP105" s="218" t="str">
        <f t="shared" si="575"/>
        <v/>
      </c>
      <c r="EQ105" s="218" t="str">
        <f t="shared" si="576"/>
        <v/>
      </c>
      <c r="ER105" s="218" t="str">
        <f t="shared" si="577"/>
        <v/>
      </c>
      <c r="ES105" s="218" t="str">
        <f t="shared" si="578"/>
        <v/>
      </c>
      <c r="ET105" s="218" t="str">
        <f t="shared" si="579"/>
        <v/>
      </c>
      <c r="EU105" s="218" t="str">
        <f t="shared" si="580"/>
        <v/>
      </c>
      <c r="EV105" s="218" t="str">
        <f t="shared" si="581"/>
        <v/>
      </c>
      <c r="EW105" s="218" t="str">
        <f t="shared" si="582"/>
        <v/>
      </c>
      <c r="EX105" s="218" t="str">
        <f t="shared" si="583"/>
        <v/>
      </c>
      <c r="EY105" s="218" t="str">
        <f t="shared" si="584"/>
        <v/>
      </c>
      <c r="FA105" s="218" t="str">
        <f t="shared" si="585"/>
        <v/>
      </c>
      <c r="FB105" s="218" t="str">
        <f t="shared" si="586"/>
        <v/>
      </c>
      <c r="FC105" s="218" t="str">
        <f t="shared" si="587"/>
        <v/>
      </c>
      <c r="FD105" s="218" t="str">
        <f t="shared" si="588"/>
        <v/>
      </c>
      <c r="FE105" s="218" t="str">
        <f t="shared" si="589"/>
        <v/>
      </c>
      <c r="FF105" s="218" t="str">
        <f t="shared" si="590"/>
        <v/>
      </c>
      <c r="FG105" s="218" t="str">
        <f t="shared" si="591"/>
        <v/>
      </c>
      <c r="FH105" s="218" t="str">
        <f t="shared" si="592"/>
        <v/>
      </c>
      <c r="FI105" s="218" t="str">
        <f t="shared" si="593"/>
        <v/>
      </c>
      <c r="FJ105" s="218" t="str">
        <f t="shared" si="594"/>
        <v/>
      </c>
      <c r="FK105" s="218" t="str">
        <f t="shared" si="595"/>
        <v/>
      </c>
      <c r="FL105" s="218" t="str">
        <f t="shared" si="596"/>
        <v/>
      </c>
      <c r="FM105" s="218" t="str">
        <f t="shared" si="597"/>
        <v/>
      </c>
      <c r="FN105" s="218" t="str">
        <f t="shared" si="598"/>
        <v/>
      </c>
      <c r="FO105" s="218" t="str">
        <f t="shared" si="599"/>
        <v/>
      </c>
      <c r="FP105" s="218" t="str">
        <f t="shared" si="600"/>
        <v/>
      </c>
      <c r="FQ105" s="218" t="str">
        <f t="shared" si="601"/>
        <v/>
      </c>
      <c r="FR105" s="218" t="str">
        <f t="shared" si="602"/>
        <v/>
      </c>
      <c r="FT105" s="218" t="str">
        <f t="shared" si="603"/>
        <v/>
      </c>
      <c r="FU105" s="218" t="str">
        <f t="shared" si="604"/>
        <v/>
      </c>
      <c r="FV105" s="218" t="str">
        <f t="shared" si="605"/>
        <v/>
      </c>
      <c r="FW105" s="218" t="str">
        <f t="shared" si="606"/>
        <v/>
      </c>
      <c r="FX105" s="218" t="str">
        <f t="shared" si="607"/>
        <v/>
      </c>
      <c r="FY105" s="218" t="str">
        <f t="shared" si="608"/>
        <v/>
      </c>
      <c r="FZ105" s="218" t="str">
        <f t="shared" si="609"/>
        <v/>
      </c>
      <c r="GA105" s="218" t="str">
        <f t="shared" si="610"/>
        <v/>
      </c>
      <c r="GB105" s="218" t="str">
        <f t="shared" si="611"/>
        <v/>
      </c>
      <c r="GC105" s="218" t="str">
        <f t="shared" si="612"/>
        <v/>
      </c>
      <c r="GD105" s="218" t="str">
        <f t="shared" si="613"/>
        <v/>
      </c>
      <c r="GE105" s="218" t="str">
        <f t="shared" si="614"/>
        <v/>
      </c>
      <c r="GF105" s="218" t="str">
        <f t="shared" si="615"/>
        <v/>
      </c>
      <c r="GG105" s="218" t="str">
        <f t="shared" si="616"/>
        <v/>
      </c>
      <c r="GH105" s="218" t="str">
        <f t="shared" si="617"/>
        <v/>
      </c>
      <c r="GJ105" s="218" t="str">
        <f t="shared" si="618"/>
        <v/>
      </c>
      <c r="GK105" s="218" t="str">
        <f t="shared" si="619"/>
        <v/>
      </c>
      <c r="GL105" s="218" t="str">
        <f t="shared" si="620"/>
        <v/>
      </c>
      <c r="GM105" s="218" t="str">
        <f t="shared" si="621"/>
        <v/>
      </c>
      <c r="GN105" s="218" t="str">
        <f t="shared" si="622"/>
        <v/>
      </c>
      <c r="GO105" s="218" t="str">
        <f t="shared" si="623"/>
        <v/>
      </c>
      <c r="GP105" s="218" t="str">
        <f t="shared" si="624"/>
        <v/>
      </c>
      <c r="GQ105" s="218" t="str">
        <f t="shared" si="625"/>
        <v/>
      </c>
      <c r="GR105" s="218" t="str">
        <f t="shared" si="626"/>
        <v/>
      </c>
      <c r="GS105" s="218" t="str">
        <f t="shared" si="627"/>
        <v/>
      </c>
      <c r="GT105" s="218" t="str">
        <f t="shared" si="628"/>
        <v/>
      </c>
      <c r="GU105" s="218" t="str">
        <f t="shared" si="629"/>
        <v/>
      </c>
      <c r="GW105" s="218" t="str">
        <f t="shared" si="630"/>
        <v/>
      </c>
      <c r="GX105" s="218" t="str">
        <f t="shared" si="631"/>
        <v/>
      </c>
      <c r="GY105" s="218" t="str">
        <f t="shared" si="632"/>
        <v/>
      </c>
      <c r="GZ105" s="218" t="str">
        <f t="shared" si="633"/>
        <v/>
      </c>
      <c r="HA105" s="218" t="str">
        <f t="shared" si="634"/>
        <v/>
      </c>
      <c r="HB105" s="218" t="str">
        <f t="shared" si="635"/>
        <v/>
      </c>
      <c r="HC105" s="218" t="str">
        <f t="shared" si="636"/>
        <v/>
      </c>
      <c r="HD105" s="218" t="str">
        <f t="shared" si="637"/>
        <v/>
      </c>
      <c r="HE105" s="218" t="str">
        <f t="shared" si="638"/>
        <v/>
      </c>
      <c r="HG105" s="218" t="str">
        <f t="shared" si="639"/>
        <v/>
      </c>
      <c r="HH105" s="218" t="str">
        <f t="shared" si="640"/>
        <v/>
      </c>
      <c r="HI105" s="218" t="str">
        <f t="shared" si="641"/>
        <v/>
      </c>
      <c r="HJ105" s="218" t="str">
        <f t="shared" si="642"/>
        <v/>
      </c>
      <c r="HK105" s="218" t="str">
        <f t="shared" si="643"/>
        <v/>
      </c>
      <c r="HL105" s="218" t="str">
        <f t="shared" si="644"/>
        <v/>
      </c>
      <c r="HN105" s="218" t="str">
        <f t="shared" si="645"/>
        <v/>
      </c>
      <c r="HO105" s="218" t="str">
        <f t="shared" si="646"/>
        <v/>
      </c>
      <c r="HP105" s="218" t="str">
        <f t="shared" si="647"/>
        <v/>
      </c>
      <c r="HR105" s="218" t="str">
        <f t="shared" si="648"/>
        <v/>
      </c>
      <c r="HS105" s="218" t="str">
        <f t="shared" si="649"/>
        <v/>
      </c>
      <c r="HT105" s="218" t="str">
        <f t="shared" si="650"/>
        <v/>
      </c>
      <c r="HU105" s="218" t="str">
        <f t="shared" si="651"/>
        <v/>
      </c>
      <c r="HV105" s="218" t="str">
        <f t="shared" si="652"/>
        <v/>
      </c>
      <c r="HW105" s="218" t="str">
        <f t="shared" si="653"/>
        <v/>
      </c>
      <c r="HX105" s="218" t="str">
        <f t="shared" si="654"/>
        <v/>
      </c>
      <c r="HY105" s="218" t="str">
        <f t="shared" si="655"/>
        <v/>
      </c>
      <c r="HZ105" s="218" t="str">
        <f t="shared" si="656"/>
        <v/>
      </c>
      <c r="IA105" s="218" t="str">
        <f t="shared" si="657"/>
        <v/>
      </c>
      <c r="IB105" s="218" t="str">
        <f t="shared" si="658"/>
        <v/>
      </c>
      <c r="IC105" s="218" t="str">
        <f t="shared" si="659"/>
        <v/>
      </c>
      <c r="ID105" s="218" t="str">
        <f t="shared" si="660"/>
        <v/>
      </c>
      <c r="IE105" s="218" t="str">
        <f t="shared" si="661"/>
        <v/>
      </c>
      <c r="IF105" s="218" t="str">
        <f t="shared" si="662"/>
        <v/>
      </c>
      <c r="IG105" s="218" t="str">
        <f t="shared" si="663"/>
        <v/>
      </c>
      <c r="IH105" s="218" t="str">
        <f t="shared" si="664"/>
        <v/>
      </c>
      <c r="II105" s="218" t="str">
        <f t="shared" si="665"/>
        <v/>
      </c>
      <c r="IJ105" s="218" t="str">
        <f t="shared" si="666"/>
        <v/>
      </c>
      <c r="IK105" s="218" t="str">
        <f t="shared" si="667"/>
        <v/>
      </c>
      <c r="IL105" s="218" t="str">
        <f t="shared" si="668"/>
        <v/>
      </c>
      <c r="IM105" s="218" t="str">
        <f t="shared" si="669"/>
        <v/>
      </c>
      <c r="IN105" s="218" t="str">
        <f t="shared" si="670"/>
        <v/>
      </c>
      <c r="IO105" s="218" t="str">
        <f t="shared" si="671"/>
        <v/>
      </c>
      <c r="IP105" s="218" t="str">
        <f t="shared" si="672"/>
        <v/>
      </c>
      <c r="IQ105" s="218" t="str">
        <f t="shared" si="673"/>
        <v/>
      </c>
      <c r="IR105" s="218" t="str">
        <f t="shared" si="674"/>
        <v/>
      </c>
      <c r="IS105" s="218" t="str">
        <f t="shared" si="675"/>
        <v/>
      </c>
      <c r="IT105" s="218" t="str">
        <f t="shared" si="676"/>
        <v/>
      </c>
      <c r="IU105" s="218" t="str">
        <f t="shared" si="677"/>
        <v/>
      </c>
    </row>
    <row r="106" spans="1:255" s="33" customFormat="1" x14ac:dyDescent="0.2">
      <c r="A106" s="222"/>
      <c r="B106" s="222"/>
      <c r="C106" s="222"/>
      <c r="D106" s="222"/>
      <c r="E106" s="222"/>
      <c r="F106" s="222"/>
      <c r="G106" s="222"/>
      <c r="H106" s="222"/>
      <c r="I106" s="222"/>
      <c r="J106" s="222"/>
      <c r="K106" s="222"/>
      <c r="L106" s="223"/>
      <c r="M106" s="221"/>
      <c r="N106" s="221"/>
      <c r="O106" s="221"/>
      <c r="P106" s="221"/>
      <c r="Q106" s="221" t="str">
        <f t="shared" si="453"/>
        <v/>
      </c>
      <c r="R106" s="221"/>
      <c r="S106" s="221" t="str">
        <f>IF((L106&gt;0)*AND(B$109&gt;0),(Q106/B$110-1)*100,"")</f>
        <v/>
      </c>
      <c r="T106" s="221" t="str">
        <f t="shared" si="456"/>
        <v/>
      </c>
      <c r="U106" s="221"/>
      <c r="V106" s="221" t="str">
        <f t="shared" si="458"/>
        <v/>
      </c>
      <c r="W106" s="221" t="str">
        <f t="shared" si="459"/>
        <v/>
      </c>
      <c r="X106" s="221"/>
      <c r="Y106" s="221" t="str">
        <f t="shared" si="461"/>
        <v/>
      </c>
      <c r="Z106" s="221" t="str">
        <f t="shared" si="462"/>
        <v/>
      </c>
      <c r="AA106" s="221"/>
      <c r="AB106" s="221" t="str">
        <f t="shared" si="464"/>
        <v/>
      </c>
      <c r="AC106" s="221" t="str">
        <f t="shared" si="465"/>
        <v/>
      </c>
      <c r="AD106" s="221"/>
      <c r="AE106" s="221" t="str">
        <f t="shared" si="467"/>
        <v/>
      </c>
      <c r="AF106" s="221"/>
      <c r="AG106" s="221"/>
      <c r="AH106" s="221"/>
      <c r="AI106" s="221"/>
      <c r="AJ106" s="221"/>
      <c r="AK106" s="221"/>
      <c r="AL106" s="221"/>
      <c r="AM106" s="221"/>
      <c r="AN106" s="221"/>
      <c r="AO106" s="221"/>
      <c r="AP106" s="221"/>
      <c r="AQ106" s="221"/>
      <c r="AR106" s="221"/>
      <c r="AS106" s="221"/>
      <c r="AT106" s="221"/>
      <c r="AU106" s="221" t="str">
        <f>IF(L106&gt;0,GEOMEAN(B106:F106),"")</f>
        <v/>
      </c>
      <c r="AV106" s="221"/>
      <c r="AW106" s="221" t="str">
        <f>IF(L106&gt;0,STDEV(S106,V106,Y106,AB106,AE106),"")</f>
        <v/>
      </c>
      <c r="AX106" s="224"/>
      <c r="AY106" s="225"/>
      <c r="AZ106" s="225"/>
      <c r="BA106" s="225"/>
      <c r="BB106" s="225"/>
      <c r="BC106" s="225"/>
      <c r="BD106" s="225"/>
      <c r="BE106" s="225"/>
      <c r="BF106" s="225"/>
      <c r="BG106" s="225"/>
      <c r="BH106" s="225"/>
      <c r="BI106" s="225"/>
      <c r="BJ106" s="225"/>
      <c r="BK106" s="225"/>
      <c r="BL106" s="225"/>
      <c r="BM106" s="225"/>
      <c r="BN106" s="225"/>
      <c r="BO106" s="225"/>
      <c r="BP106" s="225"/>
      <c r="BQ106" s="225"/>
      <c r="BR106" s="225"/>
      <c r="BS106" s="225"/>
      <c r="BT106" s="225"/>
      <c r="BU106" s="225"/>
      <c r="BV106" s="225"/>
      <c r="BW106" s="225"/>
      <c r="BX106" s="225"/>
      <c r="BY106" s="225"/>
    </row>
    <row r="107" spans="1:255" s="33" customFormat="1" x14ac:dyDescent="0.2">
      <c r="A107" s="226" t="s">
        <v>167</v>
      </c>
      <c r="B107" s="227"/>
      <c r="C107" s="227"/>
      <c r="D107" s="227"/>
      <c r="E107" s="227"/>
      <c r="F107" s="227"/>
      <c r="G107" s="227"/>
      <c r="H107" s="227"/>
      <c r="I107" s="227"/>
      <c r="J107" s="227"/>
      <c r="K107" s="227"/>
      <c r="L107" s="227"/>
      <c r="M107" s="227"/>
      <c r="N107" s="226"/>
      <c r="O107" s="221"/>
      <c r="P107" s="221"/>
      <c r="Q107" s="221"/>
      <c r="R107" s="221"/>
      <c r="S107" s="221"/>
      <c r="T107" s="221"/>
      <c r="U107" s="221"/>
      <c r="V107" s="221"/>
      <c r="W107" s="221"/>
      <c r="X107" s="221"/>
      <c r="Y107" s="221"/>
      <c r="Z107" s="221"/>
      <c r="AA107" s="221"/>
      <c r="AB107" s="221"/>
      <c r="AC107" s="221"/>
      <c r="AD107" s="221"/>
      <c r="AE107" s="221"/>
      <c r="AF107" s="221"/>
      <c r="AG107" s="221"/>
      <c r="AH107" s="221"/>
      <c r="AI107" s="221"/>
      <c r="AJ107" s="221"/>
      <c r="AK107" s="221"/>
      <c r="AL107" s="221"/>
      <c r="AM107" s="221"/>
      <c r="AN107" s="221"/>
      <c r="AO107" s="221"/>
      <c r="AP107" s="221"/>
      <c r="AQ107" s="221"/>
      <c r="AR107" s="221"/>
      <c r="AS107" s="221"/>
      <c r="AT107" s="221"/>
      <c r="AU107" s="221"/>
      <c r="AV107" s="222" t="s">
        <v>225</v>
      </c>
      <c r="AW107" s="222"/>
      <c r="AX107" s="224"/>
      <c r="AY107" s="225"/>
      <c r="AZ107" s="225"/>
      <c r="BA107" s="225"/>
      <c r="BB107" s="225"/>
      <c r="BC107" s="225"/>
      <c r="BD107" s="225"/>
      <c r="BE107" s="225"/>
      <c r="BF107" s="225"/>
      <c r="BG107" s="225"/>
      <c r="BH107" s="225"/>
      <c r="BI107" s="225"/>
      <c r="BJ107" s="225"/>
      <c r="BK107" s="225"/>
      <c r="BL107" s="225"/>
      <c r="BM107" s="225"/>
      <c r="BN107" s="225"/>
      <c r="BO107" s="225"/>
      <c r="BP107" s="225"/>
      <c r="BQ107" s="225"/>
      <c r="BR107" s="225"/>
      <c r="BS107" s="225"/>
      <c r="BT107" s="225"/>
      <c r="BU107" s="225"/>
      <c r="BV107" s="225"/>
      <c r="BW107" s="225"/>
      <c r="BX107" s="225"/>
      <c r="BY107" s="225"/>
    </row>
    <row r="108" spans="1:255" x14ac:dyDescent="0.2">
      <c r="A108" s="227"/>
      <c r="B108" s="227" t="s">
        <v>227</v>
      </c>
      <c r="C108" s="227" t="s">
        <v>228</v>
      </c>
      <c r="D108" s="227" t="s">
        <v>229</v>
      </c>
      <c r="E108" s="227" t="s">
        <v>230</v>
      </c>
      <c r="F108" s="227" t="s">
        <v>231</v>
      </c>
      <c r="G108" s="227" t="s">
        <v>232</v>
      </c>
      <c r="H108" s="227" t="s">
        <v>233</v>
      </c>
      <c r="I108" s="227" t="s">
        <v>234</v>
      </c>
      <c r="J108" s="227" t="s">
        <v>235</v>
      </c>
      <c r="K108" s="227" t="s">
        <v>236</v>
      </c>
      <c r="L108" s="218"/>
      <c r="M108" s="227" t="s">
        <v>149</v>
      </c>
      <c r="N108" s="218"/>
      <c r="O108" s="228"/>
      <c r="P108" s="229"/>
      <c r="Q108" s="230" t="s">
        <v>9</v>
      </c>
      <c r="R108" s="230" t="str">
        <f t="shared" ref="R108:R139" si="678">IF(AND(NOT($P$198=""),NOT(R6="")),$P$198^R6,"")</f>
        <v/>
      </c>
      <c r="S108" s="230"/>
      <c r="T108" s="230"/>
      <c r="U108" s="230" t="str">
        <f t="shared" ref="U108:U139" si="679">IF(AND(NOT($P$199=""),NOT(U6="")),$P$199^U6,"")</f>
        <v/>
      </c>
      <c r="V108" s="230"/>
      <c r="W108" s="230"/>
      <c r="X108" s="230" t="str">
        <f t="shared" ref="X108:X139" si="680">IF(AND(NOT($P$200=""),NOT(X6="")),$P$200^X6,"")</f>
        <v/>
      </c>
      <c r="Y108" s="230"/>
      <c r="Z108" s="230"/>
      <c r="AA108" s="230" t="str">
        <f t="shared" ref="AA108:AA139" si="681">IF(AND(NOT($P$201=""),NOT(AA6="")),$P$201^AA6,"")</f>
        <v/>
      </c>
      <c r="AB108" s="230"/>
      <c r="AC108" s="230"/>
      <c r="AD108" s="230" t="str">
        <f t="shared" ref="AD108:AD139" si="682">IF(AND(NOT($P$202=""),NOT(AD6="")),$P$202^AD6,"")</f>
        <v/>
      </c>
      <c r="AE108" s="230"/>
      <c r="AF108" s="230"/>
      <c r="AG108" s="230" t="str">
        <f t="shared" ref="AG108:AG139" si="683">IF(AND(NOT($P$203=""),NOT(AG6="")),$P$203^AG6,"")</f>
        <v/>
      </c>
      <c r="AH108" s="230"/>
      <c r="AI108" s="230"/>
      <c r="AJ108" s="230" t="str">
        <f t="shared" ref="AJ108:AJ139" si="684">IF(AND(NOT($P$204=""),NOT(AJ6="")),$P$204^AJ6,"")</f>
        <v/>
      </c>
      <c r="AK108" s="230"/>
      <c r="AL108" s="230"/>
      <c r="AM108" s="230" t="str">
        <f t="shared" ref="AM108:AM139" si="685">IF(AND(NOT($P$205=""),NOT(AM6="")),$P$205^AM6,"")</f>
        <v/>
      </c>
      <c r="AN108" s="230"/>
      <c r="AO108" s="230"/>
      <c r="AP108" s="230" t="str">
        <f t="shared" ref="AP108:AP139" si="686">IF(AND(NOT($P$206=""),NOT(AP6="")),$P$206^AP6,"")</f>
        <v/>
      </c>
      <c r="AQ108" s="230"/>
      <c r="AR108" s="230"/>
      <c r="AS108" s="230" t="str">
        <f t="shared" ref="AS108:AS139" si="687">IF(AND(NOT($P$207=""),NOT(AS6="")),$P$207^AS6,"")</f>
        <v/>
      </c>
      <c r="AT108" s="230"/>
      <c r="AU108" s="221"/>
      <c r="AV108" s="230" t="e">
        <f>IF(L6&gt;0,STDEV(R108,U108,X108,AA108,AD108,AG108,AJ108,AM108,AP108,AS108),"")</f>
        <v>#DIV/0!</v>
      </c>
      <c r="AW108" s="222"/>
      <c r="AX108" s="205"/>
      <c r="AY108" s="214" t="s">
        <v>2</v>
      </c>
      <c r="AZ108" s="214" t="s">
        <v>4</v>
      </c>
      <c r="BA108" s="214" t="s">
        <v>152</v>
      </c>
      <c r="BB108" s="215" t="s">
        <v>2</v>
      </c>
      <c r="BC108" s="215" t="s">
        <v>6</v>
      </c>
      <c r="BD108" s="215" t="s">
        <v>153</v>
      </c>
      <c r="BE108" s="215" t="s">
        <v>2</v>
      </c>
      <c r="BF108" s="215" t="s">
        <v>8</v>
      </c>
      <c r="BG108" s="215" t="s">
        <v>154</v>
      </c>
      <c r="BH108" s="215" t="s">
        <v>2</v>
      </c>
      <c r="BI108" s="215" t="s">
        <v>0</v>
      </c>
      <c r="BJ108" s="215" t="s">
        <v>155</v>
      </c>
      <c r="BK108" s="214" t="s">
        <v>2</v>
      </c>
      <c r="BL108" s="214" t="s">
        <v>133</v>
      </c>
      <c r="BM108" s="214" t="s">
        <v>160</v>
      </c>
      <c r="BN108" s="215" t="s">
        <v>2</v>
      </c>
      <c r="BO108" s="215" t="s">
        <v>142</v>
      </c>
      <c r="BP108" s="215" t="s">
        <v>161</v>
      </c>
      <c r="BQ108" s="215" t="s">
        <v>2</v>
      </c>
      <c r="BR108" s="215" t="s">
        <v>131</v>
      </c>
      <c r="BS108" s="215" t="s">
        <v>162</v>
      </c>
      <c r="BT108" s="215" t="s">
        <v>2</v>
      </c>
      <c r="BU108" s="215" t="s">
        <v>129</v>
      </c>
      <c r="BV108" s="215" t="s">
        <v>163</v>
      </c>
      <c r="BW108" s="215" t="s">
        <v>2</v>
      </c>
      <c r="BX108" s="215" t="s">
        <v>126</v>
      </c>
      <c r="BY108" s="215" t="s">
        <v>164</v>
      </c>
      <c r="BZ108" s="215" t="s">
        <v>2</v>
      </c>
      <c r="CA108" s="215" t="s">
        <v>165</v>
      </c>
      <c r="CB108" s="215" t="s">
        <v>166</v>
      </c>
      <c r="CC108" s="205"/>
      <c r="CD108" s="215" t="s">
        <v>4</v>
      </c>
      <c r="CE108" s="215" t="s">
        <v>6</v>
      </c>
      <c r="CF108" s="215" t="s">
        <v>168</v>
      </c>
      <c r="CG108" s="215" t="s">
        <v>4</v>
      </c>
      <c r="CH108" s="215" t="s">
        <v>8</v>
      </c>
      <c r="CI108" s="215" t="s">
        <v>176</v>
      </c>
      <c r="CJ108" s="215" t="s">
        <v>4</v>
      </c>
      <c r="CK108" s="215" t="s">
        <v>0</v>
      </c>
      <c r="CL108" s="215" t="s">
        <v>175</v>
      </c>
      <c r="CM108" s="215" t="s">
        <v>4</v>
      </c>
      <c r="CN108" s="214" t="s">
        <v>133</v>
      </c>
      <c r="CO108" s="214" t="s">
        <v>174</v>
      </c>
      <c r="CP108" s="215" t="s">
        <v>4</v>
      </c>
      <c r="CQ108" s="215" t="s">
        <v>142</v>
      </c>
      <c r="CR108" s="215" t="s">
        <v>173</v>
      </c>
      <c r="CS108" s="215" t="s">
        <v>4</v>
      </c>
      <c r="CT108" s="215" t="s">
        <v>131</v>
      </c>
      <c r="CU108" s="215" t="s">
        <v>172</v>
      </c>
      <c r="CV108" s="215" t="s">
        <v>4</v>
      </c>
      <c r="CW108" s="215" t="s">
        <v>129</v>
      </c>
      <c r="CX108" s="215" t="s">
        <v>171</v>
      </c>
      <c r="CY108" s="215" t="s">
        <v>4</v>
      </c>
      <c r="CZ108" s="215" t="s">
        <v>126</v>
      </c>
      <c r="DA108" s="215" t="s">
        <v>170</v>
      </c>
      <c r="DB108" s="215" t="s">
        <v>4</v>
      </c>
      <c r="DC108" s="215" t="s">
        <v>165</v>
      </c>
      <c r="DD108" s="215" t="s">
        <v>169</v>
      </c>
      <c r="DE108" s="33"/>
      <c r="DF108" s="215" t="s">
        <v>6</v>
      </c>
      <c r="DG108" s="215" t="s">
        <v>8</v>
      </c>
      <c r="DH108" s="215" t="s">
        <v>184</v>
      </c>
      <c r="DI108" s="215" t="s">
        <v>6</v>
      </c>
      <c r="DJ108" s="215" t="s">
        <v>0</v>
      </c>
      <c r="DK108" s="215" t="s">
        <v>183</v>
      </c>
      <c r="DL108" s="215" t="s">
        <v>6</v>
      </c>
      <c r="DM108" s="214" t="s">
        <v>133</v>
      </c>
      <c r="DN108" s="214" t="s">
        <v>182</v>
      </c>
      <c r="DO108" s="215" t="s">
        <v>6</v>
      </c>
      <c r="DP108" s="215" t="s">
        <v>142</v>
      </c>
      <c r="DQ108" s="215" t="s">
        <v>181</v>
      </c>
      <c r="DR108" s="215" t="s">
        <v>6</v>
      </c>
      <c r="DS108" s="215" t="s">
        <v>131</v>
      </c>
      <c r="DT108" s="215" t="s">
        <v>180</v>
      </c>
      <c r="DU108" s="215" t="s">
        <v>6</v>
      </c>
      <c r="DV108" s="215" t="s">
        <v>129</v>
      </c>
      <c r="DW108" s="215" t="s">
        <v>179</v>
      </c>
      <c r="DX108" s="215" t="s">
        <v>6</v>
      </c>
      <c r="DY108" s="215" t="s">
        <v>126</v>
      </c>
      <c r="DZ108" s="215" t="s">
        <v>178</v>
      </c>
      <c r="EA108" s="215" t="s">
        <v>6</v>
      </c>
      <c r="EB108" s="215" t="s">
        <v>165</v>
      </c>
      <c r="EC108" s="215" t="s">
        <v>177</v>
      </c>
      <c r="ED108" s="33"/>
      <c r="EE108" s="215" t="s">
        <v>8</v>
      </c>
      <c r="EF108" s="215" t="s">
        <v>0</v>
      </c>
      <c r="EG108" s="215" t="s">
        <v>192</v>
      </c>
      <c r="EH108" s="215" t="s">
        <v>8</v>
      </c>
      <c r="EI108" s="214" t="s">
        <v>133</v>
      </c>
      <c r="EJ108" s="214" t="s">
        <v>191</v>
      </c>
      <c r="EK108" s="215" t="s">
        <v>8</v>
      </c>
      <c r="EL108" s="215" t="s">
        <v>142</v>
      </c>
      <c r="EM108" s="215" t="s">
        <v>190</v>
      </c>
      <c r="EN108" s="215" t="s">
        <v>8</v>
      </c>
      <c r="EO108" s="215" t="s">
        <v>131</v>
      </c>
      <c r="EP108" s="215" t="s">
        <v>189</v>
      </c>
      <c r="EQ108" s="215" t="s">
        <v>8</v>
      </c>
      <c r="ER108" s="215" t="s">
        <v>129</v>
      </c>
      <c r="ES108" s="215" t="s">
        <v>188</v>
      </c>
      <c r="ET108" s="215" t="s">
        <v>8</v>
      </c>
      <c r="EU108" s="215" t="s">
        <v>126</v>
      </c>
      <c r="EV108" s="215" t="s">
        <v>187</v>
      </c>
      <c r="EW108" s="215" t="s">
        <v>8</v>
      </c>
      <c r="EX108" s="215" t="s">
        <v>165</v>
      </c>
      <c r="EY108" s="215" t="s">
        <v>186</v>
      </c>
      <c r="FA108" s="215" t="s">
        <v>0</v>
      </c>
      <c r="FB108" s="214" t="s">
        <v>133</v>
      </c>
      <c r="FC108" s="214" t="s">
        <v>193</v>
      </c>
      <c r="FD108" s="215" t="s">
        <v>0</v>
      </c>
      <c r="FE108" s="215" t="s">
        <v>142</v>
      </c>
      <c r="FF108" s="215" t="s">
        <v>194</v>
      </c>
      <c r="FG108" s="215" t="s">
        <v>0</v>
      </c>
      <c r="FH108" s="215" t="s">
        <v>131</v>
      </c>
      <c r="FI108" s="215" t="s">
        <v>195</v>
      </c>
      <c r="FJ108" s="215" t="s">
        <v>0</v>
      </c>
      <c r="FK108" s="215" t="s">
        <v>129</v>
      </c>
      <c r="FL108" s="215" t="s">
        <v>196</v>
      </c>
      <c r="FM108" s="215" t="s">
        <v>0</v>
      </c>
      <c r="FN108" s="215" t="s">
        <v>126</v>
      </c>
      <c r="FO108" s="215" t="s">
        <v>197</v>
      </c>
      <c r="FP108" s="215" t="s">
        <v>0</v>
      </c>
      <c r="FQ108" s="215" t="s">
        <v>165</v>
      </c>
      <c r="FR108" s="215" t="s">
        <v>198</v>
      </c>
      <c r="FT108" s="215" t="s">
        <v>133</v>
      </c>
      <c r="FU108" s="215" t="s">
        <v>142</v>
      </c>
      <c r="FV108" s="215" t="s">
        <v>203</v>
      </c>
      <c r="FW108" s="215" t="s">
        <v>133</v>
      </c>
      <c r="FX108" s="215" t="s">
        <v>131</v>
      </c>
      <c r="FY108" s="215" t="s">
        <v>202</v>
      </c>
      <c r="FZ108" s="215" t="s">
        <v>133</v>
      </c>
      <c r="GA108" s="215" t="s">
        <v>129</v>
      </c>
      <c r="GB108" s="215" t="s">
        <v>201</v>
      </c>
      <c r="GC108" s="215" t="s">
        <v>133</v>
      </c>
      <c r="GD108" s="215" t="s">
        <v>126</v>
      </c>
      <c r="GE108" s="215" t="s">
        <v>200</v>
      </c>
      <c r="GF108" s="215" t="s">
        <v>133</v>
      </c>
      <c r="GG108" s="215" t="s">
        <v>165</v>
      </c>
      <c r="GH108" s="215" t="s">
        <v>199</v>
      </c>
      <c r="GI108" s="33"/>
      <c r="GJ108" s="215" t="s">
        <v>142</v>
      </c>
      <c r="GK108" s="215" t="s">
        <v>131</v>
      </c>
      <c r="GL108" s="215" t="s">
        <v>204</v>
      </c>
      <c r="GM108" s="215" t="s">
        <v>142</v>
      </c>
      <c r="GN108" s="215" t="s">
        <v>129</v>
      </c>
      <c r="GO108" s="215" t="s">
        <v>205</v>
      </c>
      <c r="GP108" s="215" t="s">
        <v>142</v>
      </c>
      <c r="GQ108" s="215" t="s">
        <v>126</v>
      </c>
      <c r="GR108" s="215" t="s">
        <v>206</v>
      </c>
      <c r="GS108" s="215" t="s">
        <v>142</v>
      </c>
      <c r="GT108" s="215" t="s">
        <v>165</v>
      </c>
      <c r="GU108" s="215" t="s">
        <v>207</v>
      </c>
      <c r="GW108" s="215" t="s">
        <v>131</v>
      </c>
      <c r="GX108" s="215" t="s">
        <v>129</v>
      </c>
      <c r="GY108" s="215" t="s">
        <v>208</v>
      </c>
      <c r="GZ108" s="215" t="s">
        <v>131</v>
      </c>
      <c r="HA108" s="215" t="s">
        <v>126</v>
      </c>
      <c r="HB108" s="215" t="s">
        <v>209</v>
      </c>
      <c r="HC108" s="215" t="s">
        <v>131</v>
      </c>
      <c r="HD108" s="215" t="s">
        <v>165</v>
      </c>
      <c r="HE108" s="215" t="s">
        <v>210</v>
      </c>
      <c r="HR108" s="215" t="s">
        <v>165</v>
      </c>
      <c r="HS108" s="215" t="s">
        <v>2</v>
      </c>
      <c r="HT108" s="215" t="s">
        <v>318</v>
      </c>
      <c r="HU108" s="215" t="s">
        <v>165</v>
      </c>
      <c r="HV108" s="215" t="s">
        <v>4</v>
      </c>
      <c r="HW108" s="215" t="s">
        <v>319</v>
      </c>
      <c r="HX108" s="215" t="s">
        <v>165</v>
      </c>
      <c r="HY108" s="215" t="s">
        <v>6</v>
      </c>
      <c r="HZ108" s="215" t="s">
        <v>327</v>
      </c>
      <c r="IA108" s="215" t="s">
        <v>165</v>
      </c>
      <c r="IB108" s="215" t="s">
        <v>8</v>
      </c>
      <c r="IC108" s="215" t="s">
        <v>326</v>
      </c>
      <c r="ID108" s="215" t="s">
        <v>165</v>
      </c>
      <c r="IE108" s="215" t="s">
        <v>0</v>
      </c>
      <c r="IF108" s="215" t="s">
        <v>325</v>
      </c>
      <c r="IG108" s="215" t="s">
        <v>165</v>
      </c>
      <c r="IH108" s="215" t="s">
        <v>133</v>
      </c>
      <c r="II108" s="215" t="s">
        <v>324</v>
      </c>
      <c r="IJ108" s="215" t="s">
        <v>165</v>
      </c>
      <c r="IK108" s="215" t="s">
        <v>142</v>
      </c>
      <c r="IL108" s="215" t="s">
        <v>323</v>
      </c>
      <c r="IM108" s="215" t="s">
        <v>165</v>
      </c>
      <c r="IN108" s="215" t="s">
        <v>131</v>
      </c>
      <c r="IO108" s="215" t="s">
        <v>322</v>
      </c>
      <c r="IP108" s="215" t="s">
        <v>165</v>
      </c>
      <c r="IQ108" s="215" t="s">
        <v>129</v>
      </c>
      <c r="IR108" s="215" t="s">
        <v>321</v>
      </c>
      <c r="IS108" s="215" t="s">
        <v>165</v>
      </c>
      <c r="IT108" s="215" t="s">
        <v>126</v>
      </c>
      <c r="IU108" s="215" t="s">
        <v>320</v>
      </c>
    </row>
    <row r="109" spans="1:255" x14ac:dyDescent="0.2">
      <c r="A109" s="231" t="s">
        <v>1</v>
      </c>
      <c r="B109" s="217">
        <f>COUNT(B6:B105)</f>
        <v>0</v>
      </c>
      <c r="C109" s="217">
        <f t="shared" ref="C109:K109" si="688">COUNT(C6:C105)</f>
        <v>0</v>
      </c>
      <c r="D109" s="217">
        <f t="shared" si="688"/>
        <v>0</v>
      </c>
      <c r="E109" s="217">
        <f t="shared" si="688"/>
        <v>0</v>
      </c>
      <c r="F109" s="217">
        <f t="shared" si="688"/>
        <v>0</v>
      </c>
      <c r="G109" s="217">
        <f t="shared" si="688"/>
        <v>0</v>
      </c>
      <c r="H109" s="217">
        <f t="shared" si="688"/>
        <v>0</v>
      </c>
      <c r="I109" s="217">
        <f t="shared" si="688"/>
        <v>0</v>
      </c>
      <c r="J109" s="217">
        <f t="shared" si="688"/>
        <v>0</v>
      </c>
      <c r="K109" s="217">
        <f t="shared" si="688"/>
        <v>0</v>
      </c>
      <c r="L109" s="231">
        <f>COUNT(M6:M105)</f>
        <v>28</v>
      </c>
      <c r="M109" s="231">
        <f>COUNT(M6:M105)</f>
        <v>28</v>
      </c>
      <c r="N109" s="231" t="s">
        <v>1</v>
      </c>
      <c r="O109" s="228"/>
      <c r="P109" s="229"/>
      <c r="Q109" s="230" t="s">
        <v>10</v>
      </c>
      <c r="R109" s="230" t="str">
        <f t="shared" si="678"/>
        <v/>
      </c>
      <c r="S109" s="230"/>
      <c r="T109" s="230"/>
      <c r="U109" s="230" t="str">
        <f t="shared" si="679"/>
        <v/>
      </c>
      <c r="V109" s="230"/>
      <c r="W109" s="230"/>
      <c r="X109" s="230" t="str">
        <f t="shared" si="680"/>
        <v/>
      </c>
      <c r="Y109" s="230"/>
      <c r="Z109" s="230"/>
      <c r="AA109" s="230" t="str">
        <f t="shared" si="681"/>
        <v/>
      </c>
      <c r="AB109" s="230"/>
      <c r="AC109" s="230"/>
      <c r="AD109" s="230" t="str">
        <f t="shared" si="682"/>
        <v/>
      </c>
      <c r="AE109" s="230"/>
      <c r="AF109" s="230"/>
      <c r="AG109" s="230" t="str">
        <f t="shared" si="683"/>
        <v/>
      </c>
      <c r="AH109" s="230"/>
      <c r="AI109" s="230"/>
      <c r="AJ109" s="230" t="str">
        <f t="shared" si="684"/>
        <v/>
      </c>
      <c r="AK109" s="230"/>
      <c r="AL109" s="230"/>
      <c r="AM109" s="230" t="str">
        <f t="shared" si="685"/>
        <v/>
      </c>
      <c r="AN109" s="230"/>
      <c r="AO109" s="230"/>
      <c r="AP109" s="230" t="str">
        <f t="shared" si="686"/>
        <v/>
      </c>
      <c r="AQ109" s="230"/>
      <c r="AR109" s="230"/>
      <c r="AS109" s="230" t="str">
        <f t="shared" si="687"/>
        <v/>
      </c>
      <c r="AT109" s="230"/>
      <c r="AU109" s="232"/>
      <c r="AV109" s="230" t="e">
        <f t="shared" ref="AV109:AV114" si="689">IF(L7&gt;0,STDEV(R109,U109,X109,AA109,AD109,AG109,AJ109,AM109,AP109,AS109),"")</f>
        <v>#DIV/0!</v>
      </c>
      <c r="AW109" s="233"/>
      <c r="AX109" s="234" t="s">
        <v>111</v>
      </c>
      <c r="AY109" s="235">
        <f>COUNT(AY6:AY105)</f>
        <v>0</v>
      </c>
      <c r="AZ109" s="235">
        <f>COUNT(AZ6:AZ105)</f>
        <v>0</v>
      </c>
      <c r="BA109" s="236">
        <f>FLOOR((AY109+AZ109)/2,1)</f>
        <v>0</v>
      </c>
      <c r="BB109" s="235">
        <f>COUNT(BB6:BB105)</f>
        <v>0</v>
      </c>
      <c r="BC109" s="235">
        <f>COUNT(BC6:BC105)</f>
        <v>0</v>
      </c>
      <c r="BD109" s="236">
        <f>FLOOR((BB109+BC109)/2,1)</f>
        <v>0</v>
      </c>
      <c r="BE109" s="235">
        <f>COUNT(BE6:BE105)</f>
        <v>0</v>
      </c>
      <c r="BF109" s="235">
        <f>COUNT(BF6:BF105)</f>
        <v>0</v>
      </c>
      <c r="BG109" s="236">
        <f>FLOOR((BE109+BF109)/2,1)</f>
        <v>0</v>
      </c>
      <c r="BH109" s="235">
        <f>COUNT(BH6:BH105)</f>
        <v>0</v>
      </c>
      <c r="BI109" s="235">
        <f>COUNT(BI6:BI105)</f>
        <v>0</v>
      </c>
      <c r="BJ109" s="236">
        <f>FLOOR((BH109+BI109)/2,1)</f>
        <v>0</v>
      </c>
      <c r="BK109" s="235">
        <f>COUNT(BK6:BK105)</f>
        <v>0</v>
      </c>
      <c r="BL109" s="235">
        <f>COUNT(BL6:BL105)</f>
        <v>0</v>
      </c>
      <c r="BM109" s="236">
        <f>FLOOR((BK109+BL109)/2,1)</f>
        <v>0</v>
      </c>
      <c r="BN109" s="235">
        <f>COUNT(BN6:BN105)</f>
        <v>0</v>
      </c>
      <c r="BO109" s="235">
        <f>COUNT(BO6:BO105)</f>
        <v>0</v>
      </c>
      <c r="BP109" s="236">
        <f>FLOOR((BN109+BO109)/2,1)</f>
        <v>0</v>
      </c>
      <c r="BQ109" s="235">
        <f>COUNT(BQ6:BQ105)</f>
        <v>0</v>
      </c>
      <c r="BR109" s="235">
        <f>COUNT(BR6:BR105)</f>
        <v>0</v>
      </c>
      <c r="BS109" s="236">
        <f>FLOOR((BQ109+BR109)/2,1)</f>
        <v>0</v>
      </c>
      <c r="BT109" s="235">
        <f>COUNT(BT6:BT105)</f>
        <v>0</v>
      </c>
      <c r="BU109" s="235">
        <f>COUNT(BU6:BU105)</f>
        <v>0</v>
      </c>
      <c r="BV109" s="236">
        <f>FLOOR((BT109+BU109)/2,1)</f>
        <v>0</v>
      </c>
      <c r="BW109" s="235">
        <f>COUNT(BW6:BW105)</f>
        <v>0</v>
      </c>
      <c r="BX109" s="235">
        <f>COUNT(BX6:BX105)</f>
        <v>0</v>
      </c>
      <c r="BY109" s="236">
        <f>FLOOR((BW109+BX109)/2,1)</f>
        <v>0</v>
      </c>
      <c r="BZ109" s="235">
        <f>COUNT(BZ6:BZ105)</f>
        <v>0</v>
      </c>
      <c r="CA109" s="235">
        <f>COUNT(CA6:CA105)</f>
        <v>0</v>
      </c>
      <c r="CB109" s="236">
        <f>FLOOR((BZ109+CA109)/2,1)</f>
        <v>0</v>
      </c>
      <c r="CC109" s="234" t="s">
        <v>111</v>
      </c>
      <c r="CD109" s="235">
        <f>COUNT(CD6:CD105)</f>
        <v>0</v>
      </c>
      <c r="CE109" s="235">
        <f>COUNT(CE6:CE105)</f>
        <v>0</v>
      </c>
      <c r="CF109" s="236">
        <f>FLOOR((CD109+CE109)/2,1)</f>
        <v>0</v>
      </c>
      <c r="CG109" s="235">
        <f>COUNT(CG6:CG105)</f>
        <v>0</v>
      </c>
      <c r="CH109" s="235">
        <f>COUNT(CH6:CH105)</f>
        <v>0</v>
      </c>
      <c r="CI109" s="236">
        <f>FLOOR((CG109+CH109)/2,1)</f>
        <v>0</v>
      </c>
      <c r="CJ109" s="235">
        <f>COUNT(CJ6:CJ105)</f>
        <v>0</v>
      </c>
      <c r="CK109" s="235">
        <f>COUNT(CK6:CK105)</f>
        <v>0</v>
      </c>
      <c r="CL109" s="236">
        <f>FLOOR((CJ109+CK109)/2,1)</f>
        <v>0</v>
      </c>
      <c r="CM109" s="235">
        <f>COUNT(CM6:CM105)</f>
        <v>0</v>
      </c>
      <c r="CN109" s="235">
        <f>COUNT(CN6:CN105)</f>
        <v>0</v>
      </c>
      <c r="CO109" s="236">
        <f>FLOOR((CM109+CN109)/2,1)</f>
        <v>0</v>
      </c>
      <c r="CP109" s="235">
        <f>COUNT(CP6:CP105)</f>
        <v>0</v>
      </c>
      <c r="CQ109" s="235">
        <f>COUNT(CQ6:CQ105)</f>
        <v>0</v>
      </c>
      <c r="CR109" s="236">
        <f>FLOOR((CP109+CQ109)/2,1)</f>
        <v>0</v>
      </c>
      <c r="CS109" s="235">
        <f>COUNT(CS6:CS105)</f>
        <v>0</v>
      </c>
      <c r="CT109" s="235">
        <f>COUNT(CT6:CT105)</f>
        <v>0</v>
      </c>
      <c r="CU109" s="236">
        <f>FLOOR((CS109+CT109)/2,1)</f>
        <v>0</v>
      </c>
      <c r="CV109" s="235">
        <f>COUNT(CV6:CV105)</f>
        <v>0</v>
      </c>
      <c r="CW109" s="235">
        <f>COUNT(CW6:CW105)</f>
        <v>0</v>
      </c>
      <c r="CX109" s="236">
        <f>FLOOR((CV109+CW109)/2,1)</f>
        <v>0</v>
      </c>
      <c r="CY109" s="235">
        <f>COUNT(CY6:CY105)</f>
        <v>0</v>
      </c>
      <c r="CZ109" s="235">
        <f>COUNT(CZ6:CZ105)</f>
        <v>0</v>
      </c>
      <c r="DA109" s="236">
        <f>FLOOR((CY109+CZ109)/2,1)</f>
        <v>0</v>
      </c>
      <c r="DB109" s="235">
        <f>COUNT(DB6:DB105)</f>
        <v>0</v>
      </c>
      <c r="DC109" s="235">
        <f>COUNT(DC6:DC105)</f>
        <v>0</v>
      </c>
      <c r="DD109" s="236">
        <f>FLOOR((DB109+DC109)/2,1)</f>
        <v>0</v>
      </c>
      <c r="DE109" s="234" t="s">
        <v>111</v>
      </c>
      <c r="DF109" s="235">
        <f>COUNT(DF6:DF105)</f>
        <v>0</v>
      </c>
      <c r="DG109" s="235">
        <f>COUNT(DG6:DG105)</f>
        <v>0</v>
      </c>
      <c r="DH109" s="236">
        <f>FLOOR((DF109+DG109)/2,1)</f>
        <v>0</v>
      </c>
      <c r="DI109" s="235">
        <f>COUNT(DI6:DI105)</f>
        <v>0</v>
      </c>
      <c r="DJ109" s="235">
        <f>COUNT(DJ6:DJ105)</f>
        <v>0</v>
      </c>
      <c r="DK109" s="236">
        <f>FLOOR((DI109+DJ109)/2,1)</f>
        <v>0</v>
      </c>
      <c r="DL109" s="235">
        <f>COUNT(DL6:DL105)</f>
        <v>0</v>
      </c>
      <c r="DM109" s="235">
        <f>COUNT(DM6:DM105)</f>
        <v>0</v>
      </c>
      <c r="DN109" s="236">
        <f>FLOOR((DL109+DM109)/2,1)</f>
        <v>0</v>
      </c>
      <c r="DO109" s="235">
        <f>COUNT(DO6:DO105)</f>
        <v>0</v>
      </c>
      <c r="DP109" s="235">
        <f>COUNT(DP6:DP105)</f>
        <v>0</v>
      </c>
      <c r="DQ109" s="236">
        <f>FLOOR((DO109+DP109)/2,1)</f>
        <v>0</v>
      </c>
      <c r="DR109" s="235">
        <f>COUNT(DR6:DR105)</f>
        <v>0</v>
      </c>
      <c r="DS109" s="235">
        <f>COUNT(DS6:DS105)</f>
        <v>0</v>
      </c>
      <c r="DT109" s="236">
        <f>FLOOR((DR109+DS109)/2,1)</f>
        <v>0</v>
      </c>
      <c r="DU109" s="235">
        <f>COUNT(DU6:DU105)</f>
        <v>0</v>
      </c>
      <c r="DV109" s="235">
        <f>COUNT(DV6:DV105)</f>
        <v>0</v>
      </c>
      <c r="DW109" s="236">
        <f>FLOOR((DU109+DV109)/2,1)</f>
        <v>0</v>
      </c>
      <c r="DX109" s="235">
        <f>COUNT(DX6:DX105)</f>
        <v>0</v>
      </c>
      <c r="DY109" s="235">
        <f>COUNT(DY6:DY105)</f>
        <v>0</v>
      </c>
      <c r="DZ109" s="236">
        <f>FLOOR((DX109+DY109)/2,1)</f>
        <v>0</v>
      </c>
      <c r="EA109" s="235">
        <f>COUNT(EA6:EA105)</f>
        <v>0</v>
      </c>
      <c r="EB109" s="235">
        <f>COUNT(EB6:EB105)</f>
        <v>0</v>
      </c>
      <c r="EC109" s="236">
        <f>FLOOR((EA109+EB109)/2,1)</f>
        <v>0</v>
      </c>
      <c r="ED109" s="234" t="s">
        <v>111</v>
      </c>
      <c r="EE109" s="235">
        <f>COUNT(EE6:EE105)</f>
        <v>0</v>
      </c>
      <c r="EF109" s="235">
        <f>COUNT(EF6:EF105)</f>
        <v>0</v>
      </c>
      <c r="EG109" s="236">
        <f>FLOOR((EE109+EF109)/2,1)</f>
        <v>0</v>
      </c>
      <c r="EH109" s="235">
        <f>COUNT(EH6:EH105)</f>
        <v>0</v>
      </c>
      <c r="EI109" s="235">
        <f>COUNT(EI6:EI105)</f>
        <v>0</v>
      </c>
      <c r="EJ109" s="236">
        <f>FLOOR((EH109+EI109)/2,1)</f>
        <v>0</v>
      </c>
      <c r="EK109" s="235">
        <f>COUNT(EK6:EK105)</f>
        <v>0</v>
      </c>
      <c r="EL109" s="235">
        <f>COUNT(EL6:EL105)</f>
        <v>0</v>
      </c>
      <c r="EM109" s="236">
        <f>FLOOR((EK109+EL109)/2,1)</f>
        <v>0</v>
      </c>
      <c r="EN109" s="235">
        <f>COUNT(EN6:EN105)</f>
        <v>0</v>
      </c>
      <c r="EO109" s="235">
        <f>COUNT(EO6:EO105)</f>
        <v>0</v>
      </c>
      <c r="EP109" s="236">
        <f>FLOOR((EN109+EO109)/2,1)</f>
        <v>0</v>
      </c>
      <c r="EQ109" s="235">
        <f>COUNT(EQ6:EQ105)</f>
        <v>0</v>
      </c>
      <c r="ER109" s="235">
        <f>COUNT(ER6:ER105)</f>
        <v>0</v>
      </c>
      <c r="ES109" s="236">
        <f>FLOOR((EQ109+ER109)/2,1)</f>
        <v>0</v>
      </c>
      <c r="ET109" s="235">
        <f>COUNT(ET6:ET105)</f>
        <v>0</v>
      </c>
      <c r="EU109" s="235">
        <f>COUNT(EU6:EU105)</f>
        <v>0</v>
      </c>
      <c r="EV109" s="236">
        <f>FLOOR((ET109+EU109)/2,1)</f>
        <v>0</v>
      </c>
      <c r="EW109" s="235">
        <f>COUNT(EW6:EW105)</f>
        <v>0</v>
      </c>
      <c r="EX109" s="235">
        <f>COUNT(EX6:EX105)</f>
        <v>0</v>
      </c>
      <c r="EY109" s="236">
        <f>FLOOR((EW109+EX109)/2,1)</f>
        <v>0</v>
      </c>
      <c r="EZ109" s="234" t="s">
        <v>111</v>
      </c>
      <c r="FA109" s="235">
        <f>COUNT(FA6:FA105)</f>
        <v>0</v>
      </c>
      <c r="FB109" s="235">
        <f>COUNT(FB6:FB105)</f>
        <v>0</v>
      </c>
      <c r="FC109" s="236">
        <f>FLOOR((FA109+FB109)/2,1)</f>
        <v>0</v>
      </c>
      <c r="FD109" s="235">
        <f>COUNT(FD6:FD105)</f>
        <v>0</v>
      </c>
      <c r="FE109" s="235">
        <f>COUNT(FE6:FE105)</f>
        <v>0</v>
      </c>
      <c r="FF109" s="236">
        <f>FLOOR((FD109+FE109)/2,1)</f>
        <v>0</v>
      </c>
      <c r="FG109" s="235">
        <f>COUNT(FG6:FG105)</f>
        <v>0</v>
      </c>
      <c r="FH109" s="235">
        <f>COUNT(FH6:FH105)</f>
        <v>0</v>
      </c>
      <c r="FI109" s="236">
        <f>FLOOR((FG109+FH109)/2,1)</f>
        <v>0</v>
      </c>
      <c r="FJ109" s="235">
        <f>COUNT(FJ6:FJ105)</f>
        <v>0</v>
      </c>
      <c r="FK109" s="235">
        <f>COUNT(FK6:FK105)</f>
        <v>0</v>
      </c>
      <c r="FL109" s="236">
        <f>FLOOR((FJ109+FK109)/2,1)</f>
        <v>0</v>
      </c>
      <c r="FM109" s="235">
        <f>COUNT(FM6:FM105)</f>
        <v>0</v>
      </c>
      <c r="FN109" s="235">
        <f>COUNT(FN6:FN105)</f>
        <v>0</v>
      </c>
      <c r="FO109" s="236">
        <f>FLOOR((FM109+FN109)/2,1)</f>
        <v>0</v>
      </c>
      <c r="FP109" s="235">
        <f>COUNT(FP6:FP105)</f>
        <v>0</v>
      </c>
      <c r="FQ109" s="235">
        <f>COUNT(FQ6:FQ105)</f>
        <v>0</v>
      </c>
      <c r="FR109" s="236">
        <f>FLOOR((FP109+FQ109)/2,1)</f>
        <v>0</v>
      </c>
      <c r="FS109" s="234" t="s">
        <v>111</v>
      </c>
      <c r="FT109" s="235">
        <f>COUNT(FT6:FT105)</f>
        <v>0</v>
      </c>
      <c r="FU109" s="235">
        <f>COUNT(FU6:FU105)</f>
        <v>0</v>
      </c>
      <c r="FV109" s="236">
        <f>FLOOR((FT109+FU109)/2,1)</f>
        <v>0</v>
      </c>
      <c r="FW109" s="235">
        <f>COUNT(FW6:FW105)</f>
        <v>0</v>
      </c>
      <c r="FX109" s="235">
        <f>COUNT(FX6:FX105)</f>
        <v>0</v>
      </c>
      <c r="FY109" s="236">
        <f>FLOOR((FW109+FX109)/2,1)</f>
        <v>0</v>
      </c>
      <c r="FZ109" s="235">
        <f>COUNT(FZ6:FZ105)</f>
        <v>0</v>
      </c>
      <c r="GA109" s="235">
        <f>COUNT(GA6:GA105)</f>
        <v>0</v>
      </c>
      <c r="GB109" s="236">
        <f>FLOOR((FZ109+GA109)/2,1)</f>
        <v>0</v>
      </c>
      <c r="GC109" s="235">
        <f>COUNT(GC6:GC105)</f>
        <v>0</v>
      </c>
      <c r="GD109" s="235">
        <f>COUNT(GD6:GD105)</f>
        <v>0</v>
      </c>
      <c r="GE109" s="236">
        <f>FLOOR((GC109+GD109)/2,1)</f>
        <v>0</v>
      </c>
      <c r="GF109" s="235">
        <f>COUNT(GF6:GF105)</f>
        <v>0</v>
      </c>
      <c r="GG109" s="235">
        <f>COUNT(GG6:GG105)</f>
        <v>0</v>
      </c>
      <c r="GH109" s="236">
        <f>FLOOR((GF109+GG109)/2,1)</f>
        <v>0</v>
      </c>
      <c r="GI109" s="234" t="s">
        <v>111</v>
      </c>
      <c r="GJ109" s="235">
        <f>COUNT(GJ5:GJ104)</f>
        <v>0</v>
      </c>
      <c r="GK109" s="235">
        <f>COUNT(GK5:GK104)</f>
        <v>0</v>
      </c>
      <c r="GL109" s="236">
        <f>FLOOR((GJ109+GK109)/2,1)</f>
        <v>0</v>
      </c>
      <c r="GM109" s="235">
        <f>COUNT(GM5:GM104)</f>
        <v>0</v>
      </c>
      <c r="GN109" s="235">
        <f>COUNT(GN5:GN104)</f>
        <v>0</v>
      </c>
      <c r="GO109" s="236">
        <f>FLOOR((GM109+GN109)/2,1)</f>
        <v>0</v>
      </c>
      <c r="GP109" s="235">
        <f>COUNT(GP5:GP104)</f>
        <v>0</v>
      </c>
      <c r="GQ109" s="235">
        <f>COUNT(GQ5:GQ104)</f>
        <v>0</v>
      </c>
      <c r="GR109" s="236">
        <f>FLOOR((GP109+GQ109)/2,1)</f>
        <v>0</v>
      </c>
      <c r="GS109" s="235">
        <f>COUNT(GS5:GS104)</f>
        <v>0</v>
      </c>
      <c r="GT109" s="235">
        <f>COUNT(GT5:GT104)</f>
        <v>0</v>
      </c>
      <c r="GU109" s="236">
        <f>FLOOR((GS109+GT109)/2,1)</f>
        <v>0</v>
      </c>
      <c r="GV109" s="234" t="s">
        <v>111</v>
      </c>
      <c r="GW109" s="235">
        <f>COUNT(GW5:GW104)</f>
        <v>0</v>
      </c>
      <c r="GX109" s="235">
        <f>COUNT(GX5:GX104)</f>
        <v>0</v>
      </c>
      <c r="GY109" s="236">
        <f>FLOOR((GW109+GX109)/2,1)</f>
        <v>0</v>
      </c>
      <c r="GZ109" s="235">
        <f>COUNT(GZ5:GZ104)</f>
        <v>0</v>
      </c>
      <c r="HA109" s="235">
        <f>COUNT(HA5:HA104)</f>
        <v>0</v>
      </c>
      <c r="HB109" s="236">
        <f>FLOOR((GZ109+HA109)/2,1)</f>
        <v>0</v>
      </c>
      <c r="HC109" s="235">
        <f>COUNT(HC5:HC104)</f>
        <v>0</v>
      </c>
      <c r="HD109" s="235">
        <f>COUNT(HD5:HD104)</f>
        <v>0</v>
      </c>
      <c r="HE109" s="236">
        <f>FLOOR((HC109+HD109)/2,1)</f>
        <v>0</v>
      </c>
      <c r="HF109" s="234" t="s">
        <v>111</v>
      </c>
      <c r="HG109" s="235">
        <f>COUNT(HG5:HG104)</f>
        <v>0</v>
      </c>
      <c r="HH109" s="235">
        <f>COUNT(HH5:HH104)</f>
        <v>0</v>
      </c>
      <c r="HI109" s="236">
        <f>FLOOR((HG109+HH109)/2,1)</f>
        <v>0</v>
      </c>
      <c r="HJ109" s="235">
        <f>COUNT(HJ6:HJ105)</f>
        <v>0</v>
      </c>
      <c r="HK109" s="235">
        <f>COUNT(HK6:HK105)</f>
        <v>0</v>
      </c>
      <c r="HL109" s="236">
        <f>FLOOR((HJ109+HK109)/2,1)</f>
        <v>0</v>
      </c>
      <c r="HM109" s="234" t="s">
        <v>111</v>
      </c>
      <c r="HN109" s="235">
        <f>COUNT(HN6:HN105)</f>
        <v>0</v>
      </c>
      <c r="HO109" s="235">
        <f>COUNT(HO6:HO105)</f>
        <v>0</v>
      </c>
      <c r="HP109" s="236">
        <f>FLOOR((HN109+HO109)/2,1)</f>
        <v>0</v>
      </c>
      <c r="HQ109" s="234" t="s">
        <v>111</v>
      </c>
      <c r="HR109" s="235">
        <f>COUNT(HR6:HR105)</f>
        <v>0</v>
      </c>
      <c r="HS109" s="235">
        <f>COUNT(HS6:HS105)</f>
        <v>0</v>
      </c>
      <c r="HT109" s="236">
        <f>FLOOR((HR109+HS109)/2,1)</f>
        <v>0</v>
      </c>
      <c r="HU109" s="235">
        <f>COUNT(HU6:HU105)</f>
        <v>0</v>
      </c>
      <c r="HV109" s="235">
        <f>COUNT(HV6:HV105)</f>
        <v>0</v>
      </c>
      <c r="HW109" s="236">
        <f>FLOOR((HU109+HV109)/2,1)</f>
        <v>0</v>
      </c>
      <c r="HX109" s="235">
        <f>COUNT(HX6:HX105)</f>
        <v>0</v>
      </c>
      <c r="HY109" s="235">
        <f>COUNT(HY6:HY105)</f>
        <v>0</v>
      </c>
      <c r="HZ109" s="236">
        <f>FLOOR((HX109+HY109)/2,1)</f>
        <v>0</v>
      </c>
      <c r="IA109" s="235">
        <f>COUNT(IA6:IA105)</f>
        <v>0</v>
      </c>
      <c r="IB109" s="235">
        <f>COUNT(IB6:IB105)</f>
        <v>0</v>
      </c>
      <c r="IC109" s="236">
        <f>FLOOR((IA109+IB109)/2,1)</f>
        <v>0</v>
      </c>
      <c r="ID109" s="235">
        <f>COUNT(ID6:ID105)</f>
        <v>0</v>
      </c>
      <c r="IE109" s="235">
        <f>COUNT(IE6:IE105)</f>
        <v>0</v>
      </c>
      <c r="IF109" s="236">
        <f>FLOOR((ID109+IE109)/2,1)</f>
        <v>0</v>
      </c>
      <c r="IG109" s="235">
        <f>COUNT(IG6:IG105)</f>
        <v>0</v>
      </c>
      <c r="IH109" s="235">
        <f>COUNT(IH6:IH105)</f>
        <v>0</v>
      </c>
      <c r="II109" s="236">
        <f>FLOOR((IG109+IH109)/2,1)</f>
        <v>0</v>
      </c>
      <c r="IJ109" s="235">
        <f>COUNT(IJ6:IJ105)</f>
        <v>0</v>
      </c>
      <c r="IK109" s="235">
        <f>COUNT(IK6:IK105)</f>
        <v>0</v>
      </c>
      <c r="IL109" s="236">
        <f>FLOOR((IJ109+IK109)/2,1)</f>
        <v>0</v>
      </c>
      <c r="IM109" s="235">
        <f>COUNT(IM6:IM105)</f>
        <v>0</v>
      </c>
      <c r="IN109" s="235">
        <f>COUNT(IN6:IN105)</f>
        <v>0</v>
      </c>
      <c r="IO109" s="236">
        <f>FLOOR((IM109+IN109)/2,1)</f>
        <v>0</v>
      </c>
      <c r="IP109" s="235">
        <f>COUNT(IP6:IP105)</f>
        <v>0</v>
      </c>
      <c r="IQ109" s="235">
        <f>COUNT(IQ6:IQ105)</f>
        <v>0</v>
      </c>
      <c r="IR109" s="236">
        <f>FLOOR((IP109+IQ109)/2,1)</f>
        <v>0</v>
      </c>
      <c r="IS109" s="235">
        <f>COUNT(IS6:IS105)</f>
        <v>0</v>
      </c>
      <c r="IT109" s="235">
        <f>COUNT(IT6:IT105)</f>
        <v>0</v>
      </c>
      <c r="IU109" s="236">
        <f>FLOOR((IS109+IT109)/2,1)</f>
        <v>0</v>
      </c>
    </row>
    <row r="110" spans="1:255" x14ac:dyDescent="0.2">
      <c r="A110" s="227" t="s">
        <v>156</v>
      </c>
      <c r="B110" s="227" t="str">
        <f>IF(B109&gt;0,GEOMEAN(B6:B105),"")</f>
        <v/>
      </c>
      <c r="C110" s="227" t="str">
        <f t="shared" ref="C110:M110" si="690">IF(C109&gt;0,GEOMEAN(C6:C105),"")</f>
        <v/>
      </c>
      <c r="D110" s="227" t="str">
        <f t="shared" si="690"/>
        <v/>
      </c>
      <c r="E110" s="227" t="str">
        <f t="shared" si="690"/>
        <v/>
      </c>
      <c r="F110" s="227" t="str">
        <f t="shared" si="690"/>
        <v/>
      </c>
      <c r="G110" s="227" t="str">
        <f t="shared" si="690"/>
        <v/>
      </c>
      <c r="H110" s="227" t="str">
        <f t="shared" si="690"/>
        <v/>
      </c>
      <c r="I110" s="227" t="str">
        <f t="shared" si="690"/>
        <v/>
      </c>
      <c r="J110" s="227" t="str">
        <f t="shared" si="690"/>
        <v/>
      </c>
      <c r="K110" s="227" t="str">
        <f t="shared" si="690"/>
        <v/>
      </c>
      <c r="L110" s="237" t="s">
        <v>224</v>
      </c>
      <c r="M110" s="227">
        <f t="shared" si="690"/>
        <v>21.598117157419043</v>
      </c>
      <c r="N110" s="227" t="s">
        <v>156</v>
      </c>
      <c r="O110" s="228"/>
      <c r="P110" s="229"/>
      <c r="Q110" s="230" t="s">
        <v>11</v>
      </c>
      <c r="R110" s="230" t="str">
        <f t="shared" si="678"/>
        <v/>
      </c>
      <c r="S110" s="230"/>
      <c r="T110" s="230"/>
      <c r="U110" s="230" t="str">
        <f t="shared" si="679"/>
        <v/>
      </c>
      <c r="V110" s="230"/>
      <c r="W110" s="230"/>
      <c r="X110" s="230" t="str">
        <f t="shared" si="680"/>
        <v/>
      </c>
      <c r="Y110" s="230"/>
      <c r="Z110" s="230"/>
      <c r="AA110" s="230" t="str">
        <f t="shared" si="681"/>
        <v/>
      </c>
      <c r="AB110" s="230"/>
      <c r="AC110" s="230"/>
      <c r="AD110" s="230" t="str">
        <f t="shared" si="682"/>
        <v/>
      </c>
      <c r="AE110" s="230"/>
      <c r="AF110" s="230"/>
      <c r="AG110" s="230" t="str">
        <f t="shared" si="683"/>
        <v/>
      </c>
      <c r="AH110" s="230"/>
      <c r="AI110" s="230"/>
      <c r="AJ110" s="230" t="str">
        <f t="shared" si="684"/>
        <v/>
      </c>
      <c r="AK110" s="230"/>
      <c r="AL110" s="230"/>
      <c r="AM110" s="230" t="str">
        <f t="shared" si="685"/>
        <v/>
      </c>
      <c r="AN110" s="230"/>
      <c r="AO110" s="230"/>
      <c r="AP110" s="230" t="str">
        <f t="shared" si="686"/>
        <v/>
      </c>
      <c r="AQ110" s="230"/>
      <c r="AR110" s="230"/>
      <c r="AS110" s="230" t="str">
        <f t="shared" si="687"/>
        <v/>
      </c>
      <c r="AT110" s="230"/>
      <c r="AU110" s="200"/>
      <c r="AV110" s="230" t="e">
        <f t="shared" si="689"/>
        <v>#DIV/0!</v>
      </c>
      <c r="AW110" s="222"/>
      <c r="AX110" s="234" t="s">
        <v>112</v>
      </c>
      <c r="AY110" s="235">
        <f t="shared" ref="AY110:BY110" si="691">SUM(AY6:AY105)</f>
        <v>0</v>
      </c>
      <c r="AZ110" s="235">
        <f t="shared" si="691"/>
        <v>0</v>
      </c>
      <c r="BA110" s="236">
        <f t="shared" si="691"/>
        <v>0</v>
      </c>
      <c r="BB110" s="235">
        <f t="shared" si="691"/>
        <v>0</v>
      </c>
      <c r="BC110" s="235">
        <f t="shared" si="691"/>
        <v>0</v>
      </c>
      <c r="BD110" s="236">
        <f t="shared" si="691"/>
        <v>0</v>
      </c>
      <c r="BE110" s="235">
        <f t="shared" si="691"/>
        <v>0</v>
      </c>
      <c r="BF110" s="235">
        <f t="shared" si="691"/>
        <v>0</v>
      </c>
      <c r="BG110" s="236">
        <f t="shared" si="691"/>
        <v>0</v>
      </c>
      <c r="BH110" s="235">
        <f t="shared" si="691"/>
        <v>0</v>
      </c>
      <c r="BI110" s="235">
        <f t="shared" si="691"/>
        <v>0</v>
      </c>
      <c r="BJ110" s="236">
        <f t="shared" si="691"/>
        <v>0</v>
      </c>
      <c r="BK110" s="235">
        <f t="shared" si="691"/>
        <v>0</v>
      </c>
      <c r="BL110" s="235">
        <f t="shared" si="691"/>
        <v>0</v>
      </c>
      <c r="BM110" s="236">
        <f t="shared" si="691"/>
        <v>0</v>
      </c>
      <c r="BN110" s="235">
        <f t="shared" si="691"/>
        <v>0</v>
      </c>
      <c r="BO110" s="235">
        <f t="shared" si="691"/>
        <v>0</v>
      </c>
      <c r="BP110" s="236">
        <f t="shared" si="691"/>
        <v>0</v>
      </c>
      <c r="BQ110" s="235">
        <f t="shared" si="691"/>
        <v>0</v>
      </c>
      <c r="BR110" s="235">
        <f t="shared" si="691"/>
        <v>0</v>
      </c>
      <c r="BS110" s="236">
        <f t="shared" si="691"/>
        <v>0</v>
      </c>
      <c r="BT110" s="235">
        <f t="shared" si="691"/>
        <v>0</v>
      </c>
      <c r="BU110" s="235">
        <f t="shared" si="691"/>
        <v>0</v>
      </c>
      <c r="BV110" s="236">
        <f t="shared" si="691"/>
        <v>0</v>
      </c>
      <c r="BW110" s="235">
        <f t="shared" si="691"/>
        <v>0</v>
      </c>
      <c r="BX110" s="235">
        <f t="shared" si="691"/>
        <v>0</v>
      </c>
      <c r="BY110" s="236">
        <f t="shared" si="691"/>
        <v>0</v>
      </c>
      <c r="BZ110" s="235">
        <f>SUM(BZ6:BZ105)</f>
        <v>0</v>
      </c>
      <c r="CA110" s="235">
        <f>SUM(CA6:CA105)</f>
        <v>0</v>
      </c>
      <c r="CB110" s="236">
        <f>SUM(CB6:CB105)</f>
        <v>0</v>
      </c>
      <c r="CC110" s="234" t="s">
        <v>112</v>
      </c>
      <c r="CD110" s="235">
        <f>SUM(CD6:CD105)</f>
        <v>0</v>
      </c>
      <c r="CE110" s="235">
        <f>SUM(CE6:CE105)</f>
        <v>0</v>
      </c>
      <c r="CF110" s="236">
        <f>SUM(CF6:CF105)</f>
        <v>0</v>
      </c>
      <c r="CG110" s="235">
        <f t="shared" ref="CG110:DD110" si="692">SUM(CG6:CG105)</f>
        <v>0</v>
      </c>
      <c r="CH110" s="235">
        <f t="shared" si="692"/>
        <v>0</v>
      </c>
      <c r="CI110" s="236">
        <f t="shared" si="692"/>
        <v>0</v>
      </c>
      <c r="CJ110" s="235">
        <f t="shared" si="692"/>
        <v>0</v>
      </c>
      <c r="CK110" s="235">
        <f t="shared" si="692"/>
        <v>0</v>
      </c>
      <c r="CL110" s="236">
        <f t="shared" si="692"/>
        <v>0</v>
      </c>
      <c r="CM110" s="235">
        <f t="shared" si="692"/>
        <v>0</v>
      </c>
      <c r="CN110" s="235">
        <f t="shared" si="692"/>
        <v>0</v>
      </c>
      <c r="CO110" s="236">
        <f t="shared" si="692"/>
        <v>0</v>
      </c>
      <c r="CP110" s="235">
        <f t="shared" si="692"/>
        <v>0</v>
      </c>
      <c r="CQ110" s="235">
        <f t="shared" si="692"/>
        <v>0</v>
      </c>
      <c r="CR110" s="236">
        <f t="shared" si="692"/>
        <v>0</v>
      </c>
      <c r="CS110" s="235">
        <f t="shared" si="692"/>
        <v>0</v>
      </c>
      <c r="CT110" s="235">
        <f t="shared" si="692"/>
        <v>0</v>
      </c>
      <c r="CU110" s="236">
        <f t="shared" si="692"/>
        <v>0</v>
      </c>
      <c r="CV110" s="235">
        <f t="shared" si="692"/>
        <v>0</v>
      </c>
      <c r="CW110" s="235">
        <f t="shared" si="692"/>
        <v>0</v>
      </c>
      <c r="CX110" s="236">
        <f t="shared" si="692"/>
        <v>0</v>
      </c>
      <c r="CY110" s="235">
        <f t="shared" si="692"/>
        <v>0</v>
      </c>
      <c r="CZ110" s="235">
        <f t="shared" si="692"/>
        <v>0</v>
      </c>
      <c r="DA110" s="236">
        <f t="shared" si="692"/>
        <v>0</v>
      </c>
      <c r="DB110" s="235">
        <f t="shared" si="692"/>
        <v>0</v>
      </c>
      <c r="DC110" s="235">
        <f t="shared" si="692"/>
        <v>0</v>
      </c>
      <c r="DD110" s="236">
        <f t="shared" si="692"/>
        <v>0</v>
      </c>
      <c r="DE110" s="234" t="s">
        <v>112</v>
      </c>
      <c r="DF110" s="235">
        <f t="shared" ref="DF110:EC110" si="693">SUM(DF6:DF105)</f>
        <v>0</v>
      </c>
      <c r="DG110" s="235">
        <f t="shared" si="693"/>
        <v>0</v>
      </c>
      <c r="DH110" s="236">
        <f t="shared" si="693"/>
        <v>0</v>
      </c>
      <c r="DI110" s="235">
        <f t="shared" si="693"/>
        <v>0</v>
      </c>
      <c r="DJ110" s="235">
        <f t="shared" si="693"/>
        <v>0</v>
      </c>
      <c r="DK110" s="236">
        <f t="shared" si="693"/>
        <v>0</v>
      </c>
      <c r="DL110" s="235">
        <f t="shared" si="693"/>
        <v>0</v>
      </c>
      <c r="DM110" s="235">
        <f t="shared" si="693"/>
        <v>0</v>
      </c>
      <c r="DN110" s="236">
        <f t="shared" si="693"/>
        <v>0</v>
      </c>
      <c r="DO110" s="235">
        <f t="shared" si="693"/>
        <v>0</v>
      </c>
      <c r="DP110" s="235">
        <f t="shared" si="693"/>
        <v>0</v>
      </c>
      <c r="DQ110" s="236">
        <f t="shared" si="693"/>
        <v>0</v>
      </c>
      <c r="DR110" s="235">
        <f t="shared" si="693"/>
        <v>0</v>
      </c>
      <c r="DS110" s="235">
        <f t="shared" si="693"/>
        <v>0</v>
      </c>
      <c r="DT110" s="236">
        <f t="shared" si="693"/>
        <v>0</v>
      </c>
      <c r="DU110" s="235">
        <f t="shared" si="693"/>
        <v>0</v>
      </c>
      <c r="DV110" s="235">
        <f t="shared" si="693"/>
        <v>0</v>
      </c>
      <c r="DW110" s="236">
        <f t="shared" si="693"/>
        <v>0</v>
      </c>
      <c r="DX110" s="235">
        <f t="shared" si="693"/>
        <v>0</v>
      </c>
      <c r="DY110" s="235">
        <f t="shared" si="693"/>
        <v>0</v>
      </c>
      <c r="DZ110" s="236">
        <f t="shared" si="693"/>
        <v>0</v>
      </c>
      <c r="EA110" s="235">
        <f t="shared" si="693"/>
        <v>0</v>
      </c>
      <c r="EB110" s="235">
        <f t="shared" si="693"/>
        <v>0</v>
      </c>
      <c r="EC110" s="236">
        <f t="shared" si="693"/>
        <v>0</v>
      </c>
      <c r="ED110" s="234" t="s">
        <v>112</v>
      </c>
      <c r="EE110" s="235">
        <f t="shared" ref="EE110:EY110" si="694">SUM(EE6:EE105)</f>
        <v>0</v>
      </c>
      <c r="EF110" s="235">
        <f t="shared" si="694"/>
        <v>0</v>
      </c>
      <c r="EG110" s="236">
        <f t="shared" si="694"/>
        <v>0</v>
      </c>
      <c r="EH110" s="235">
        <f t="shared" si="694"/>
        <v>0</v>
      </c>
      <c r="EI110" s="235">
        <f t="shared" si="694"/>
        <v>0</v>
      </c>
      <c r="EJ110" s="236">
        <f t="shared" si="694"/>
        <v>0</v>
      </c>
      <c r="EK110" s="235">
        <f t="shared" si="694"/>
        <v>0</v>
      </c>
      <c r="EL110" s="235">
        <f t="shared" si="694"/>
        <v>0</v>
      </c>
      <c r="EM110" s="236">
        <f t="shared" si="694"/>
        <v>0</v>
      </c>
      <c r="EN110" s="235">
        <f t="shared" si="694"/>
        <v>0</v>
      </c>
      <c r="EO110" s="235">
        <f t="shared" si="694"/>
        <v>0</v>
      </c>
      <c r="EP110" s="236">
        <f t="shared" si="694"/>
        <v>0</v>
      </c>
      <c r="EQ110" s="235">
        <f t="shared" si="694"/>
        <v>0</v>
      </c>
      <c r="ER110" s="235">
        <f t="shared" si="694"/>
        <v>0</v>
      </c>
      <c r="ES110" s="236">
        <f t="shared" si="694"/>
        <v>0</v>
      </c>
      <c r="ET110" s="235">
        <f t="shared" si="694"/>
        <v>0</v>
      </c>
      <c r="EU110" s="235">
        <f t="shared" si="694"/>
        <v>0</v>
      </c>
      <c r="EV110" s="236">
        <f t="shared" si="694"/>
        <v>0</v>
      </c>
      <c r="EW110" s="235">
        <f t="shared" si="694"/>
        <v>0</v>
      </c>
      <c r="EX110" s="235">
        <f t="shared" si="694"/>
        <v>0</v>
      </c>
      <c r="EY110" s="236">
        <f t="shared" si="694"/>
        <v>0</v>
      </c>
      <c r="EZ110" s="234" t="s">
        <v>112</v>
      </c>
      <c r="FA110" s="235">
        <f t="shared" ref="FA110:FR110" si="695">SUM(FA6:FA105)</f>
        <v>0</v>
      </c>
      <c r="FB110" s="235">
        <f t="shared" si="695"/>
        <v>0</v>
      </c>
      <c r="FC110" s="236">
        <f t="shared" si="695"/>
        <v>0</v>
      </c>
      <c r="FD110" s="235">
        <f t="shared" si="695"/>
        <v>0</v>
      </c>
      <c r="FE110" s="235">
        <f t="shared" si="695"/>
        <v>0</v>
      </c>
      <c r="FF110" s="236">
        <f t="shared" si="695"/>
        <v>0</v>
      </c>
      <c r="FG110" s="235">
        <f t="shared" si="695"/>
        <v>0</v>
      </c>
      <c r="FH110" s="235">
        <f t="shared" si="695"/>
        <v>0</v>
      </c>
      <c r="FI110" s="236">
        <f t="shared" si="695"/>
        <v>0</v>
      </c>
      <c r="FJ110" s="235">
        <f t="shared" si="695"/>
        <v>0</v>
      </c>
      <c r="FK110" s="235">
        <f t="shared" si="695"/>
        <v>0</v>
      </c>
      <c r="FL110" s="236">
        <f t="shared" si="695"/>
        <v>0</v>
      </c>
      <c r="FM110" s="235">
        <f t="shared" si="695"/>
        <v>0</v>
      </c>
      <c r="FN110" s="235">
        <f t="shared" si="695"/>
        <v>0</v>
      </c>
      <c r="FO110" s="236">
        <f t="shared" si="695"/>
        <v>0</v>
      </c>
      <c r="FP110" s="235">
        <f t="shared" si="695"/>
        <v>0</v>
      </c>
      <c r="FQ110" s="235">
        <f t="shared" si="695"/>
        <v>0</v>
      </c>
      <c r="FR110" s="236">
        <f t="shared" si="695"/>
        <v>0</v>
      </c>
      <c r="FS110" s="234" t="s">
        <v>112</v>
      </c>
      <c r="FT110" s="235">
        <f t="shared" ref="FT110:GH110" si="696">SUM(FT6:FT105)</f>
        <v>0</v>
      </c>
      <c r="FU110" s="235">
        <f t="shared" si="696"/>
        <v>0</v>
      </c>
      <c r="FV110" s="236">
        <f t="shared" si="696"/>
        <v>0</v>
      </c>
      <c r="FW110" s="235">
        <f t="shared" si="696"/>
        <v>0</v>
      </c>
      <c r="FX110" s="235">
        <f t="shared" si="696"/>
        <v>0</v>
      </c>
      <c r="FY110" s="236">
        <f t="shared" si="696"/>
        <v>0</v>
      </c>
      <c r="FZ110" s="235">
        <f t="shared" si="696"/>
        <v>0</v>
      </c>
      <c r="GA110" s="235">
        <f t="shared" si="696"/>
        <v>0</v>
      </c>
      <c r="GB110" s="236">
        <f t="shared" si="696"/>
        <v>0</v>
      </c>
      <c r="GC110" s="235">
        <f t="shared" si="696"/>
        <v>0</v>
      </c>
      <c r="GD110" s="235">
        <f t="shared" si="696"/>
        <v>0</v>
      </c>
      <c r="GE110" s="236">
        <f t="shared" si="696"/>
        <v>0</v>
      </c>
      <c r="GF110" s="235">
        <f t="shared" si="696"/>
        <v>0</v>
      </c>
      <c r="GG110" s="235">
        <f t="shared" si="696"/>
        <v>0</v>
      </c>
      <c r="GH110" s="236">
        <f t="shared" si="696"/>
        <v>0</v>
      </c>
      <c r="GI110" s="234" t="s">
        <v>112</v>
      </c>
      <c r="GJ110" s="235">
        <f t="shared" ref="GJ110:GU110" si="697">SUM(GJ5:GJ104)</f>
        <v>0</v>
      </c>
      <c r="GK110" s="235">
        <f t="shared" si="697"/>
        <v>0</v>
      </c>
      <c r="GL110" s="236">
        <f t="shared" si="697"/>
        <v>0</v>
      </c>
      <c r="GM110" s="235">
        <f t="shared" si="697"/>
        <v>0</v>
      </c>
      <c r="GN110" s="235">
        <f t="shared" si="697"/>
        <v>0</v>
      </c>
      <c r="GO110" s="236">
        <f t="shared" si="697"/>
        <v>0</v>
      </c>
      <c r="GP110" s="235">
        <f t="shared" si="697"/>
        <v>0</v>
      </c>
      <c r="GQ110" s="235">
        <f t="shared" si="697"/>
        <v>0</v>
      </c>
      <c r="GR110" s="236">
        <f t="shared" si="697"/>
        <v>0</v>
      </c>
      <c r="GS110" s="235">
        <f t="shared" si="697"/>
        <v>0</v>
      </c>
      <c r="GT110" s="235">
        <f t="shared" si="697"/>
        <v>0</v>
      </c>
      <c r="GU110" s="236">
        <f t="shared" si="697"/>
        <v>0</v>
      </c>
      <c r="GV110" s="234" t="s">
        <v>112</v>
      </c>
      <c r="GW110" s="235">
        <f t="shared" ref="GW110:HE110" si="698">SUM(GW5:GW104)</f>
        <v>0</v>
      </c>
      <c r="GX110" s="235">
        <f t="shared" si="698"/>
        <v>0</v>
      </c>
      <c r="GY110" s="236">
        <f t="shared" si="698"/>
        <v>0</v>
      </c>
      <c r="GZ110" s="235">
        <f t="shared" si="698"/>
        <v>0</v>
      </c>
      <c r="HA110" s="235">
        <f t="shared" si="698"/>
        <v>0</v>
      </c>
      <c r="HB110" s="236">
        <f t="shared" si="698"/>
        <v>0</v>
      </c>
      <c r="HC110" s="235">
        <f t="shared" si="698"/>
        <v>0</v>
      </c>
      <c r="HD110" s="235">
        <f t="shared" si="698"/>
        <v>0</v>
      </c>
      <c r="HE110" s="236">
        <f t="shared" si="698"/>
        <v>0</v>
      </c>
      <c r="HF110" s="234" t="s">
        <v>112</v>
      </c>
      <c r="HG110" s="235">
        <f>SUM(HG5:HG104)</f>
        <v>0</v>
      </c>
      <c r="HH110" s="235">
        <f>SUM(HH5:HH104)</f>
        <v>0</v>
      </c>
      <c r="HI110" s="236">
        <f>SUM(HI5:HI104)</f>
        <v>0</v>
      </c>
      <c r="HJ110" s="235">
        <f>SUM(HJ6:HJ105)</f>
        <v>0</v>
      </c>
      <c r="HK110" s="235">
        <f>SUM(HK6:HK105)</f>
        <v>0</v>
      </c>
      <c r="HL110" s="236">
        <f>SUM(HL6:HL105)</f>
        <v>0</v>
      </c>
      <c r="HM110" s="234" t="s">
        <v>112</v>
      </c>
      <c r="HN110" s="235">
        <f>SUM(HN6:HN105)</f>
        <v>0</v>
      </c>
      <c r="HO110" s="235">
        <f>SUM(HO6:HO105)</f>
        <v>0</v>
      </c>
      <c r="HP110" s="236">
        <f>SUM(HP6:HP105)</f>
        <v>0</v>
      </c>
      <c r="HQ110" s="234" t="s">
        <v>112</v>
      </c>
      <c r="HR110" s="235">
        <f t="shared" ref="HR110:IU110" si="699">SUM(HR6:HR105)</f>
        <v>0</v>
      </c>
      <c r="HS110" s="235">
        <f t="shared" si="699"/>
        <v>0</v>
      </c>
      <c r="HT110" s="236">
        <f t="shared" si="699"/>
        <v>0</v>
      </c>
      <c r="HU110" s="235">
        <f t="shared" si="699"/>
        <v>0</v>
      </c>
      <c r="HV110" s="235">
        <f t="shared" si="699"/>
        <v>0</v>
      </c>
      <c r="HW110" s="236">
        <f t="shared" si="699"/>
        <v>0</v>
      </c>
      <c r="HX110" s="235">
        <f t="shared" si="699"/>
        <v>0</v>
      </c>
      <c r="HY110" s="235">
        <f t="shared" si="699"/>
        <v>0</v>
      </c>
      <c r="HZ110" s="236">
        <f t="shared" si="699"/>
        <v>0</v>
      </c>
      <c r="IA110" s="235">
        <f t="shared" si="699"/>
        <v>0</v>
      </c>
      <c r="IB110" s="235">
        <f t="shared" si="699"/>
        <v>0</v>
      </c>
      <c r="IC110" s="236">
        <f t="shared" si="699"/>
        <v>0</v>
      </c>
      <c r="ID110" s="235">
        <f t="shared" si="699"/>
        <v>0</v>
      </c>
      <c r="IE110" s="235">
        <f t="shared" si="699"/>
        <v>0</v>
      </c>
      <c r="IF110" s="236">
        <f t="shared" si="699"/>
        <v>0</v>
      </c>
      <c r="IG110" s="235">
        <f t="shared" si="699"/>
        <v>0</v>
      </c>
      <c r="IH110" s="235">
        <f t="shared" si="699"/>
        <v>0</v>
      </c>
      <c r="II110" s="236">
        <f t="shared" si="699"/>
        <v>0</v>
      </c>
      <c r="IJ110" s="235">
        <f t="shared" si="699"/>
        <v>0</v>
      </c>
      <c r="IK110" s="235">
        <f t="shared" si="699"/>
        <v>0</v>
      </c>
      <c r="IL110" s="236">
        <f t="shared" si="699"/>
        <v>0</v>
      </c>
      <c r="IM110" s="235">
        <f t="shared" si="699"/>
        <v>0</v>
      </c>
      <c r="IN110" s="235">
        <f t="shared" si="699"/>
        <v>0</v>
      </c>
      <c r="IO110" s="236">
        <f t="shared" si="699"/>
        <v>0</v>
      </c>
      <c r="IP110" s="235">
        <f t="shared" si="699"/>
        <v>0</v>
      </c>
      <c r="IQ110" s="235">
        <f t="shared" si="699"/>
        <v>0</v>
      </c>
      <c r="IR110" s="236">
        <f t="shared" si="699"/>
        <v>0</v>
      </c>
      <c r="IS110" s="235">
        <f t="shared" si="699"/>
        <v>0</v>
      </c>
      <c r="IT110" s="235">
        <f t="shared" si="699"/>
        <v>0</v>
      </c>
      <c r="IU110" s="236">
        <f t="shared" si="699"/>
        <v>0</v>
      </c>
    </row>
    <row r="111" spans="1:255" x14ac:dyDescent="0.2">
      <c r="A111" s="227" t="s">
        <v>157</v>
      </c>
      <c r="B111" s="227" t="str">
        <f>IF(B109&gt;0,AVERAGE(B6:B105),"")</f>
        <v/>
      </c>
      <c r="C111" s="227" t="str">
        <f t="shared" ref="C111:K111" si="700">IF(C109&gt;0,AVERAGE(C6:C105),"")</f>
        <v/>
      </c>
      <c r="D111" s="227" t="str">
        <f t="shared" si="700"/>
        <v/>
      </c>
      <c r="E111" s="227" t="str">
        <f t="shared" si="700"/>
        <v/>
      </c>
      <c r="F111" s="227" t="str">
        <f t="shared" si="700"/>
        <v/>
      </c>
      <c r="G111" s="227" t="str">
        <f t="shared" si="700"/>
        <v/>
      </c>
      <c r="H111" s="227" t="str">
        <f t="shared" si="700"/>
        <v/>
      </c>
      <c r="I111" s="227" t="str">
        <f t="shared" si="700"/>
        <v/>
      </c>
      <c r="J111" s="227" t="str">
        <f t="shared" si="700"/>
        <v/>
      </c>
      <c r="K111" s="227" t="str">
        <f t="shared" si="700"/>
        <v/>
      </c>
      <c r="L111" s="237" t="s">
        <v>224</v>
      </c>
      <c r="M111" s="227">
        <f>IF(M109&gt;0,AVERAGE(M6:M105),"")</f>
        <v>21.635007515875213</v>
      </c>
      <c r="N111" s="227" t="s">
        <v>157</v>
      </c>
      <c r="O111" s="228"/>
      <c r="P111" s="229"/>
      <c r="Q111" s="230" t="s">
        <v>12</v>
      </c>
      <c r="R111" s="230" t="str">
        <f t="shared" si="678"/>
        <v/>
      </c>
      <c r="S111" s="230"/>
      <c r="T111" s="230"/>
      <c r="U111" s="230" t="str">
        <f t="shared" si="679"/>
        <v/>
      </c>
      <c r="V111" s="230"/>
      <c r="W111" s="230"/>
      <c r="X111" s="230" t="str">
        <f t="shared" si="680"/>
        <v/>
      </c>
      <c r="Y111" s="230"/>
      <c r="Z111" s="230"/>
      <c r="AA111" s="230" t="str">
        <f t="shared" si="681"/>
        <v/>
      </c>
      <c r="AB111" s="230"/>
      <c r="AC111" s="230"/>
      <c r="AD111" s="230" t="str">
        <f t="shared" si="682"/>
        <v/>
      </c>
      <c r="AE111" s="230"/>
      <c r="AF111" s="230"/>
      <c r="AG111" s="230" t="str">
        <f t="shared" si="683"/>
        <v/>
      </c>
      <c r="AH111" s="230"/>
      <c r="AI111" s="230"/>
      <c r="AJ111" s="230" t="str">
        <f t="shared" si="684"/>
        <v/>
      </c>
      <c r="AK111" s="230"/>
      <c r="AL111" s="230"/>
      <c r="AM111" s="230" t="str">
        <f t="shared" si="685"/>
        <v/>
      </c>
      <c r="AN111" s="230"/>
      <c r="AO111" s="230"/>
      <c r="AP111" s="230" t="str">
        <f t="shared" si="686"/>
        <v/>
      </c>
      <c r="AQ111" s="230"/>
      <c r="AR111" s="230"/>
      <c r="AS111" s="230" t="str">
        <f t="shared" si="687"/>
        <v/>
      </c>
      <c r="AT111" s="230"/>
      <c r="AU111" s="200"/>
      <c r="AV111" s="230" t="e">
        <f t="shared" si="689"/>
        <v>#DIV/0!</v>
      </c>
      <c r="AW111" s="233"/>
      <c r="AX111" s="234" t="s">
        <v>113</v>
      </c>
      <c r="AY111" s="235" t="str">
        <f>IF(AY109&gt;0,ROUND(AVERAGE(AY6:AY105),3),"")</f>
        <v/>
      </c>
      <c r="AZ111" s="235" t="str">
        <f>IF(AZ109&gt;0,ROUND(AVERAGE(AZ6:AZ105),3),"")</f>
        <v/>
      </c>
      <c r="BA111" s="202"/>
      <c r="BB111" s="235" t="str">
        <f>IF(BB109&gt;0,ROUND(AVERAGE(BB6:BB105),3),"")</f>
        <v/>
      </c>
      <c r="BC111" s="235" t="str">
        <f>IF(BC109&gt;0,ROUND(AVERAGE(BC6:BC105),3),"")</f>
        <v/>
      </c>
      <c r="BD111" s="202"/>
      <c r="BE111" s="235" t="str">
        <f>IF(BE109&gt;0,ROUND(AVERAGE(BE6:BE105),3),"")</f>
        <v/>
      </c>
      <c r="BF111" s="235" t="str">
        <f>IF(BF109&gt;0,ROUND(AVERAGE(BF6:BF105),3),"")</f>
        <v/>
      </c>
      <c r="BG111" s="202"/>
      <c r="BH111" s="235" t="str">
        <f>IF(BH109&gt;0,ROUND(AVERAGE(BH6:BH105),3),"")</f>
        <v/>
      </c>
      <c r="BI111" s="235" t="str">
        <f>IF(BI109&gt;0,ROUND(AVERAGE(BI6:BI105),3),"")</f>
        <v/>
      </c>
      <c r="BJ111" s="202"/>
      <c r="BK111" s="235" t="str">
        <f>IF(BK109&gt;0,ROUND(AVERAGE(BK6:BK105),3),"")</f>
        <v/>
      </c>
      <c r="BL111" s="235" t="str">
        <f>IF(BL109&gt;0,ROUND(AVERAGE(BL6:BL105),3),"")</f>
        <v/>
      </c>
      <c r="BM111" s="202"/>
      <c r="BN111" s="235" t="str">
        <f>IF(BN109&gt;0,ROUND(AVERAGE(BN6:BN105),3),"")</f>
        <v/>
      </c>
      <c r="BO111" s="235" t="str">
        <f>IF(BO109&gt;0,ROUND(AVERAGE(BO6:BO105),3),"")</f>
        <v/>
      </c>
      <c r="BP111" s="202"/>
      <c r="BQ111" s="235" t="str">
        <f>IF(BQ109&gt;0,ROUND(AVERAGE(BQ6:BQ105),3),"")</f>
        <v/>
      </c>
      <c r="BR111" s="235" t="str">
        <f>IF(BR109&gt;0,ROUND(AVERAGE(BR6:BR105),3),"")</f>
        <v/>
      </c>
      <c r="BS111" s="202"/>
      <c r="BT111" s="235" t="str">
        <f>IF(BT109&gt;0,ROUND(AVERAGE(BT6:BT105),3),"")</f>
        <v/>
      </c>
      <c r="BU111" s="235" t="str">
        <f>IF(BU109&gt;0,ROUND(AVERAGE(BU6:BU105),3),"")</f>
        <v/>
      </c>
      <c r="BV111" s="202"/>
      <c r="BW111" s="235" t="str">
        <f>IF(BW109&gt;0,ROUND(AVERAGE(BW6:BW105),3),"")</f>
        <v/>
      </c>
      <c r="BX111" s="235" t="str">
        <f>IF(BX109&gt;0,ROUND(AVERAGE(BX6:BX105),3),"")</f>
        <v/>
      </c>
      <c r="BY111" s="202"/>
      <c r="BZ111" s="235" t="str">
        <f>IF(BZ109&gt;0,ROUND(AVERAGE(BZ6:BZ105),3),"")</f>
        <v/>
      </c>
      <c r="CA111" s="235" t="str">
        <f>IF(CA109&gt;0,ROUND(AVERAGE(CA6:CA105),3),"")</f>
        <v/>
      </c>
      <c r="CB111" s="202"/>
      <c r="CC111" s="234" t="s">
        <v>113</v>
      </c>
      <c r="CD111" s="235" t="str">
        <f>IF(CD109&gt;0,ROUND(AVERAGE(CD6:CD105),3),"")</f>
        <v/>
      </c>
      <c r="CE111" s="235" t="str">
        <f>IF(CE109&gt;0,ROUND(AVERAGE(CE6:CE105),3),"")</f>
        <v/>
      </c>
      <c r="CF111" s="202"/>
      <c r="CG111" s="235" t="str">
        <f>IF(CG109&gt;0,ROUND(AVERAGE(CG6:CG105),3),"")</f>
        <v/>
      </c>
      <c r="CH111" s="235" t="str">
        <f>IF(CH109&gt;0,ROUND(AVERAGE(CH6:CH105),3),"")</f>
        <v/>
      </c>
      <c r="CI111" s="202"/>
      <c r="CJ111" s="235" t="str">
        <f>IF(CJ109&gt;0,ROUND(AVERAGE(CJ6:CJ105),3),"")</f>
        <v/>
      </c>
      <c r="CK111" s="235" t="str">
        <f>IF(CK109&gt;0,ROUND(AVERAGE(CK6:CK105),3),"")</f>
        <v/>
      </c>
      <c r="CL111" s="202"/>
      <c r="CM111" s="235" t="str">
        <f>IF(CM109&gt;0,ROUND(AVERAGE(CM6:CM105),3),"")</f>
        <v/>
      </c>
      <c r="CN111" s="235" t="str">
        <f>IF(CN109&gt;0,ROUND(AVERAGE(CN6:CN105),3),"")</f>
        <v/>
      </c>
      <c r="CO111" s="202"/>
      <c r="CP111" s="235" t="str">
        <f>IF(CP109&gt;0,ROUND(AVERAGE(CP6:CP105),3),"")</f>
        <v/>
      </c>
      <c r="CQ111" s="235" t="str">
        <f>IF(CQ109&gt;0,ROUND(AVERAGE(CQ6:CQ105),3),"")</f>
        <v/>
      </c>
      <c r="CR111" s="202"/>
      <c r="CS111" s="235" t="str">
        <f>IF(CS109&gt;0,ROUND(AVERAGE(CS6:CS105),3),"")</f>
        <v/>
      </c>
      <c r="CT111" s="235" t="str">
        <f>IF(CT109&gt;0,ROUND(AVERAGE(CT6:CT105),3),"")</f>
        <v/>
      </c>
      <c r="CU111" s="202"/>
      <c r="CV111" s="235" t="str">
        <f>IF(CV109&gt;0,ROUND(AVERAGE(CV6:CV105),3),"")</f>
        <v/>
      </c>
      <c r="CW111" s="235" t="str">
        <f>IF(CW109&gt;0,ROUND(AVERAGE(CW6:CW105),3),"")</f>
        <v/>
      </c>
      <c r="CX111" s="202"/>
      <c r="CY111" s="235" t="str">
        <f>IF(CY109&gt;0,ROUND(AVERAGE(CY6:CY105),3),"")</f>
        <v/>
      </c>
      <c r="CZ111" s="235" t="str">
        <f>IF(CZ109&gt;0,ROUND(AVERAGE(CZ6:CZ105),3),"")</f>
        <v/>
      </c>
      <c r="DA111" s="202"/>
      <c r="DB111" s="235" t="str">
        <f>IF(DB109&gt;0,ROUND(AVERAGE(DB6:DB105),3),"")</f>
        <v/>
      </c>
      <c r="DC111" s="235" t="str">
        <f>IF(DC109&gt;0,ROUND(AVERAGE(DC6:DC105),3),"")</f>
        <v/>
      </c>
      <c r="DD111" s="202"/>
      <c r="DE111" s="234" t="s">
        <v>113</v>
      </c>
      <c r="DF111" s="235" t="str">
        <f>IF(DF109&gt;0,ROUND(AVERAGE(DF6:DF105),3),"")</f>
        <v/>
      </c>
      <c r="DG111" s="235" t="str">
        <f>IF(DG109&gt;0,ROUND(AVERAGE(DG6:DG105),3),"")</f>
        <v/>
      </c>
      <c r="DH111" s="202"/>
      <c r="DI111" s="235" t="str">
        <f>IF(DI109&gt;0,ROUND(AVERAGE(DI6:DI105),3),"")</f>
        <v/>
      </c>
      <c r="DJ111" s="235" t="str">
        <f>IF(DJ109&gt;0,ROUND(AVERAGE(DJ6:DJ105),3),"")</f>
        <v/>
      </c>
      <c r="DK111" s="202"/>
      <c r="DL111" s="235" t="str">
        <f>IF(DL109&gt;0,ROUND(AVERAGE(DL6:DL105),3),"")</f>
        <v/>
      </c>
      <c r="DM111" s="235" t="str">
        <f>IF(DM109&gt;0,ROUND(AVERAGE(DM6:DM105),3),"")</f>
        <v/>
      </c>
      <c r="DN111" s="202"/>
      <c r="DO111" s="235" t="str">
        <f>IF(DO109&gt;0,ROUND(AVERAGE(DO6:DO105),3),"")</f>
        <v/>
      </c>
      <c r="DP111" s="235" t="str">
        <f>IF(DP109&gt;0,ROUND(AVERAGE(DP6:DP105),3),"")</f>
        <v/>
      </c>
      <c r="DQ111" s="202"/>
      <c r="DR111" s="235" t="str">
        <f>IF(DR109&gt;0,ROUND(AVERAGE(DR6:DR105),3),"")</f>
        <v/>
      </c>
      <c r="DS111" s="235" t="str">
        <f>IF(DS109&gt;0,ROUND(AVERAGE(DS6:DS105),3),"")</f>
        <v/>
      </c>
      <c r="DT111" s="202"/>
      <c r="DU111" s="235" t="str">
        <f>IF(DU109&gt;0,ROUND(AVERAGE(DU6:DU105),3),"")</f>
        <v/>
      </c>
      <c r="DV111" s="235" t="str">
        <f>IF(DV109&gt;0,ROUND(AVERAGE(DV6:DV105),3),"")</f>
        <v/>
      </c>
      <c r="DW111" s="202"/>
      <c r="DX111" s="235" t="str">
        <f>IF(DX109&gt;0,ROUND(AVERAGE(DX6:DX105),3),"")</f>
        <v/>
      </c>
      <c r="DY111" s="235" t="str">
        <f>IF(DY109&gt;0,ROUND(AVERAGE(DY6:DY105),3),"")</f>
        <v/>
      </c>
      <c r="DZ111" s="202"/>
      <c r="EA111" s="235" t="str">
        <f>IF(EA109&gt;0,ROUND(AVERAGE(EA6:EA105),3),"")</f>
        <v/>
      </c>
      <c r="EB111" s="235" t="str">
        <f>IF(EB109&gt;0,ROUND(AVERAGE(EB6:EB105),3),"")</f>
        <v/>
      </c>
      <c r="EC111" s="202"/>
      <c r="ED111" s="234" t="s">
        <v>113</v>
      </c>
      <c r="EE111" s="235" t="str">
        <f>IF(EE109&gt;0,ROUND(AVERAGE(EE6:EE105),3),"")</f>
        <v/>
      </c>
      <c r="EF111" s="235" t="str">
        <f>IF(EF109&gt;0,ROUND(AVERAGE(EF6:EF105),3),"")</f>
        <v/>
      </c>
      <c r="EG111" s="202"/>
      <c r="EH111" s="235" t="str">
        <f>IF(EH109&gt;0,ROUND(AVERAGE(EH6:EH105),3),"")</f>
        <v/>
      </c>
      <c r="EI111" s="235" t="str">
        <f>IF(EI109&gt;0,ROUND(AVERAGE(EI6:EI105),3),"")</f>
        <v/>
      </c>
      <c r="EJ111" s="202"/>
      <c r="EK111" s="235" t="str">
        <f>IF(EK109&gt;0,ROUND(AVERAGE(EK6:EK105),3),"")</f>
        <v/>
      </c>
      <c r="EL111" s="235" t="str">
        <f>IF(EL109&gt;0,ROUND(AVERAGE(EL6:EL105),3),"")</f>
        <v/>
      </c>
      <c r="EM111" s="202"/>
      <c r="EN111" s="235" t="str">
        <f>IF(EN109&gt;0,ROUND(AVERAGE(EN6:EN105),3),"")</f>
        <v/>
      </c>
      <c r="EO111" s="235" t="str">
        <f>IF(EO109&gt;0,ROUND(AVERAGE(EO6:EO105),3),"")</f>
        <v/>
      </c>
      <c r="EP111" s="202"/>
      <c r="EQ111" s="235" t="str">
        <f>IF(EQ109&gt;0,ROUND(AVERAGE(EQ6:EQ105),3),"")</f>
        <v/>
      </c>
      <c r="ER111" s="235" t="str">
        <f>IF(ER109&gt;0,ROUND(AVERAGE(ER6:ER105),3),"")</f>
        <v/>
      </c>
      <c r="ES111" s="202"/>
      <c r="ET111" s="235" t="str">
        <f>IF(ET109&gt;0,ROUND(AVERAGE(ET6:ET105),3),"")</f>
        <v/>
      </c>
      <c r="EU111" s="235" t="str">
        <f>IF(EU109&gt;0,ROUND(AVERAGE(EU6:EU105),3),"")</f>
        <v/>
      </c>
      <c r="EV111" s="202"/>
      <c r="EW111" s="235" t="str">
        <f>IF(EW109&gt;0,ROUND(AVERAGE(EW6:EW105),3),"")</f>
        <v/>
      </c>
      <c r="EX111" s="235" t="str">
        <f>IF(EX109&gt;0,ROUND(AVERAGE(EX6:EX105),3),"")</f>
        <v/>
      </c>
      <c r="EY111" s="202"/>
      <c r="EZ111" s="234" t="s">
        <v>113</v>
      </c>
      <c r="FA111" s="235" t="str">
        <f>IF(FA109&gt;0,ROUND(AVERAGE(FA6:FA105),3),"")</f>
        <v/>
      </c>
      <c r="FB111" s="235" t="str">
        <f>IF(FB109&gt;0,ROUND(AVERAGE(FB6:FB105),3),"")</f>
        <v/>
      </c>
      <c r="FC111" s="202"/>
      <c r="FD111" s="235" t="str">
        <f>IF(FD109&gt;0,ROUND(AVERAGE(FD6:FD105),3),"")</f>
        <v/>
      </c>
      <c r="FE111" s="235" t="str">
        <f>IF(FE109&gt;0,ROUND(AVERAGE(FE6:FE105),3),"")</f>
        <v/>
      </c>
      <c r="FF111" s="202"/>
      <c r="FG111" s="235" t="str">
        <f>IF(FG109&gt;0,ROUND(AVERAGE(FG6:FG105),3),"")</f>
        <v/>
      </c>
      <c r="FH111" s="235" t="str">
        <f>IF(FH109&gt;0,ROUND(AVERAGE(FH6:FH105),3),"")</f>
        <v/>
      </c>
      <c r="FI111" s="202"/>
      <c r="FJ111" s="235" t="str">
        <f>IF(FJ109&gt;0,ROUND(AVERAGE(FJ6:FJ105),3),"")</f>
        <v/>
      </c>
      <c r="FK111" s="235" t="str">
        <f>IF(FK109&gt;0,ROUND(AVERAGE(FK6:FK105),3),"")</f>
        <v/>
      </c>
      <c r="FL111" s="202"/>
      <c r="FM111" s="235" t="str">
        <f>IF(FM109&gt;0,ROUND(AVERAGE(FM6:FM105),3),"")</f>
        <v/>
      </c>
      <c r="FN111" s="235" t="str">
        <f>IF(FN109&gt;0,ROUND(AVERAGE(FN6:FN105),3),"")</f>
        <v/>
      </c>
      <c r="FO111" s="202"/>
      <c r="FP111" s="235" t="str">
        <f>IF(FP109&gt;0,ROUND(AVERAGE(FP6:FP105),3),"")</f>
        <v/>
      </c>
      <c r="FQ111" s="235" t="str">
        <f>IF(FQ109&gt;0,ROUND(AVERAGE(FQ6:FQ105),3),"")</f>
        <v/>
      </c>
      <c r="FR111" s="202"/>
      <c r="FS111" s="234" t="s">
        <v>113</v>
      </c>
      <c r="FT111" s="235" t="str">
        <f>IF(FT109&gt;0,ROUND(AVERAGE(FT6:FT105),3),"")</f>
        <v/>
      </c>
      <c r="FU111" s="235" t="str">
        <f>IF(FU109&gt;0,ROUND(AVERAGE(FU6:FU105),3),"")</f>
        <v/>
      </c>
      <c r="FV111" s="202"/>
      <c r="FW111" s="235" t="str">
        <f>IF(FW109&gt;0,ROUND(AVERAGE(FW6:FW105),3),"")</f>
        <v/>
      </c>
      <c r="FX111" s="235" t="str">
        <f>IF(FX109&gt;0,ROUND(AVERAGE(FX6:FX105),3),"")</f>
        <v/>
      </c>
      <c r="FY111" s="202"/>
      <c r="FZ111" s="235" t="str">
        <f>IF(FZ109&gt;0,ROUND(AVERAGE(FZ6:FZ105),3),"")</f>
        <v/>
      </c>
      <c r="GA111" s="235" t="str">
        <f>IF(GA109&gt;0,ROUND(AVERAGE(GA6:GA105),3),"")</f>
        <v/>
      </c>
      <c r="GB111" s="202"/>
      <c r="GC111" s="235" t="str">
        <f>IF(GC109&gt;0,ROUND(AVERAGE(GC6:GC105),3),"")</f>
        <v/>
      </c>
      <c r="GD111" s="235" t="str">
        <f>IF(GD109&gt;0,ROUND(AVERAGE(GD6:GD105),3),"")</f>
        <v/>
      </c>
      <c r="GE111" s="202"/>
      <c r="GF111" s="235" t="str">
        <f>IF(GF109&gt;0,ROUND(AVERAGE(GF6:GF105),3),"")</f>
        <v/>
      </c>
      <c r="GG111" s="235" t="str">
        <f>IF(GG109&gt;0,ROUND(AVERAGE(GG6:GG105),3),"")</f>
        <v/>
      </c>
      <c r="GH111" s="202"/>
      <c r="GI111" s="234" t="s">
        <v>113</v>
      </c>
      <c r="GJ111" s="235" t="str">
        <f>IF(GJ109&gt;0,ROUND(AVERAGE(GJ5:GJ104),3),"")</f>
        <v/>
      </c>
      <c r="GK111" s="235" t="str">
        <f>IF(GK109&gt;0,ROUND(AVERAGE(GK5:GK104),3),"")</f>
        <v/>
      </c>
      <c r="GL111" s="202"/>
      <c r="GM111" s="235" t="str">
        <f>IF(GM109&gt;0,ROUND(AVERAGE(GM5:GM104),3),"")</f>
        <v/>
      </c>
      <c r="GN111" s="235" t="str">
        <f>IF(GN109&gt;0,ROUND(AVERAGE(GN5:GN104),3),"")</f>
        <v/>
      </c>
      <c r="GO111" s="202"/>
      <c r="GP111" s="235" t="str">
        <f>IF(GP109&gt;0,ROUND(AVERAGE(GP5:GP104),3),"")</f>
        <v/>
      </c>
      <c r="GQ111" s="235" t="str">
        <f>IF(GQ109&gt;0,ROUND(AVERAGE(GQ5:GQ104),3),"")</f>
        <v/>
      </c>
      <c r="GR111" s="202"/>
      <c r="GS111" s="235" t="str">
        <f>IF(GS109&gt;0,ROUND(AVERAGE(GS5:GS104),3),"")</f>
        <v/>
      </c>
      <c r="GT111" s="235" t="str">
        <f>IF(GT109&gt;0,ROUND(AVERAGE(GT5:GT104),3),"")</f>
        <v/>
      </c>
      <c r="GU111" s="202"/>
      <c r="GV111" s="234" t="s">
        <v>113</v>
      </c>
      <c r="GW111" s="235" t="str">
        <f>IF(GW109&gt;0,ROUND(AVERAGE(GW5:GW104),3),"")</f>
        <v/>
      </c>
      <c r="GX111" s="235" t="str">
        <f>IF(GX109&gt;0,ROUND(AVERAGE(GX5:GX104),3),"")</f>
        <v/>
      </c>
      <c r="GY111" s="202"/>
      <c r="GZ111" s="235" t="str">
        <f>IF(GZ109&gt;0,ROUND(AVERAGE(GZ5:GZ104),3),"")</f>
        <v/>
      </c>
      <c r="HA111" s="235" t="str">
        <f>IF(HA109&gt;0,ROUND(AVERAGE(HA5:HA104),3),"")</f>
        <v/>
      </c>
      <c r="HB111" s="202"/>
      <c r="HC111" s="235" t="str">
        <f>IF(HC109&gt;0,ROUND(AVERAGE(HC5:HC104),3),"")</f>
        <v/>
      </c>
      <c r="HD111" s="235" t="str">
        <f>IF(HD109&gt;0,ROUND(AVERAGE(HD5:HD104),3),"")</f>
        <v/>
      </c>
      <c r="HE111" s="202"/>
      <c r="HF111" s="234" t="s">
        <v>113</v>
      </c>
      <c r="HG111" s="235" t="str">
        <f>IF(HG109&gt;0,ROUND(AVERAGE(HG5:HG104),3),"")</f>
        <v/>
      </c>
      <c r="HH111" s="235" t="str">
        <f>IF(HH109&gt;0,ROUND(AVERAGE(HH5:HH104),3),"")</f>
        <v/>
      </c>
      <c r="HI111" s="202"/>
      <c r="HJ111" s="235" t="str">
        <f>IF(HJ109&gt;0,ROUND(AVERAGE(HJ6:HJ105),3),"")</f>
        <v/>
      </c>
      <c r="HK111" s="235" t="str">
        <f>IF(HK109&gt;0,ROUND(AVERAGE(HK6:HK105),3),"")</f>
        <v/>
      </c>
      <c r="HL111" s="202"/>
      <c r="HM111" s="234" t="s">
        <v>113</v>
      </c>
      <c r="HN111" s="235" t="str">
        <f>IF(HN109&gt;0,ROUND(AVERAGE(HN6:HN105),3),"")</f>
        <v/>
      </c>
      <c r="HO111" s="235" t="str">
        <f>IF(HO109&gt;0,ROUND(AVERAGE(HO6:HO105),3),"")</f>
        <v/>
      </c>
      <c r="HP111" s="202"/>
      <c r="HQ111" s="234" t="s">
        <v>113</v>
      </c>
      <c r="HR111" s="235" t="str">
        <f>IF(HR109&gt;0,ROUND(AVERAGE(HR6:HR105),3),"")</f>
        <v/>
      </c>
      <c r="HS111" s="235" t="str">
        <f>IF(HS109&gt;0,ROUND(AVERAGE(HS6:HS105),3),"")</f>
        <v/>
      </c>
      <c r="HT111" s="202"/>
      <c r="HU111" s="235" t="str">
        <f>IF(HU109&gt;0,ROUND(AVERAGE(HU6:HU105),3),"")</f>
        <v/>
      </c>
      <c r="HV111" s="235" t="str">
        <f>IF(HV109&gt;0,ROUND(AVERAGE(HV6:HV105),3),"")</f>
        <v/>
      </c>
      <c r="HW111" s="202"/>
      <c r="HX111" s="235" t="str">
        <f>IF(HX109&gt;0,ROUND(AVERAGE(HX6:HX105),3),"")</f>
        <v/>
      </c>
      <c r="HY111" s="235" t="str">
        <f>IF(HY109&gt;0,ROUND(AVERAGE(HY6:HY105),3),"")</f>
        <v/>
      </c>
      <c r="HZ111" s="202"/>
      <c r="IA111" s="235" t="str">
        <f>IF(IA109&gt;0,ROUND(AVERAGE(IA6:IA105),3),"")</f>
        <v/>
      </c>
      <c r="IB111" s="235" t="str">
        <f>IF(IB109&gt;0,ROUND(AVERAGE(IB6:IB105),3),"")</f>
        <v/>
      </c>
      <c r="IC111" s="202"/>
      <c r="ID111" s="235" t="str">
        <f>IF(ID109&gt;0,ROUND(AVERAGE(ID6:ID105),3),"")</f>
        <v/>
      </c>
      <c r="IE111" s="235" t="str">
        <f>IF(IE109&gt;0,ROUND(AVERAGE(IE6:IE105),3),"")</f>
        <v/>
      </c>
      <c r="IF111" s="202"/>
      <c r="IG111" s="235" t="str">
        <f>IF(IG109&gt;0,ROUND(AVERAGE(IG6:IG105),3),"")</f>
        <v/>
      </c>
      <c r="IH111" s="235" t="str">
        <f>IF(IH109&gt;0,ROUND(AVERAGE(IH6:IH105),3),"")</f>
        <v/>
      </c>
      <c r="II111" s="202"/>
      <c r="IJ111" s="235" t="str">
        <f>IF(IJ109&gt;0,ROUND(AVERAGE(IJ6:IJ105),3),"")</f>
        <v/>
      </c>
      <c r="IK111" s="235" t="str">
        <f>IF(IK109&gt;0,ROUND(AVERAGE(IK6:IK105),3),"")</f>
        <v/>
      </c>
      <c r="IL111" s="202"/>
      <c r="IM111" s="235" t="str">
        <f>IF(IM109&gt;0,ROUND(AVERAGE(IM6:IM105),3),"")</f>
        <v/>
      </c>
      <c r="IN111" s="235" t="str">
        <f>IF(IN109&gt;0,ROUND(AVERAGE(IN6:IN105),3),"")</f>
        <v/>
      </c>
      <c r="IO111" s="202"/>
      <c r="IP111" s="235" t="str">
        <f>IF(IP109&gt;0,ROUND(AVERAGE(IP6:IP105),3),"")</f>
        <v/>
      </c>
      <c r="IQ111" s="235" t="str">
        <f>IF(IQ109&gt;0,ROUND(AVERAGE(IQ6:IQ105),3),"")</f>
        <v/>
      </c>
      <c r="IR111" s="202"/>
      <c r="IS111" s="235" t="str">
        <f>IF(IS109&gt;0,ROUND(AVERAGE(IS6:IS105),3),"")</f>
        <v/>
      </c>
      <c r="IT111" s="235" t="str">
        <f>IF(IT109&gt;0,ROUND(AVERAGE(IT6:IT105),3),"")</f>
        <v/>
      </c>
      <c r="IU111" s="202"/>
    </row>
    <row r="112" spans="1:255" x14ac:dyDescent="0.2">
      <c r="A112" s="227" t="s">
        <v>158</v>
      </c>
      <c r="B112" s="218" t="str">
        <f>IF(B109&gt;0,MIN(B6:B105),"")</f>
        <v/>
      </c>
      <c r="C112" s="218" t="str">
        <f t="shared" ref="C112:K112" si="701">IF(C109&gt;0,MIN(C6:C105),"")</f>
        <v/>
      </c>
      <c r="D112" s="218" t="str">
        <f t="shared" si="701"/>
        <v/>
      </c>
      <c r="E112" s="218" t="str">
        <f t="shared" si="701"/>
        <v/>
      </c>
      <c r="F112" s="218" t="str">
        <f t="shared" si="701"/>
        <v/>
      </c>
      <c r="G112" s="218" t="str">
        <f t="shared" si="701"/>
        <v/>
      </c>
      <c r="H112" s="218" t="str">
        <f t="shared" si="701"/>
        <v/>
      </c>
      <c r="I112" s="218" t="str">
        <f t="shared" si="701"/>
        <v/>
      </c>
      <c r="J112" s="218" t="str">
        <f t="shared" si="701"/>
        <v/>
      </c>
      <c r="K112" s="218" t="str">
        <f t="shared" si="701"/>
        <v/>
      </c>
      <c r="L112" s="231">
        <f>IF(L109&gt;0,MIN(L6:L105),"")</f>
        <v>0</v>
      </c>
      <c r="M112" s="227">
        <f>IF(M109&gt;0,MIN(M6:M105),"")</f>
        <v>19.924131660822795</v>
      </c>
      <c r="N112" s="227" t="s">
        <v>158</v>
      </c>
      <c r="O112" s="228"/>
      <c r="P112" s="229"/>
      <c r="Q112" s="230" t="s">
        <v>13</v>
      </c>
      <c r="R112" s="230" t="str">
        <f t="shared" si="678"/>
        <v/>
      </c>
      <c r="S112" s="230"/>
      <c r="T112" s="230"/>
      <c r="U112" s="230" t="str">
        <f t="shared" si="679"/>
        <v/>
      </c>
      <c r="V112" s="230"/>
      <c r="W112" s="230"/>
      <c r="X112" s="230" t="str">
        <f t="shared" si="680"/>
        <v/>
      </c>
      <c r="Y112" s="230"/>
      <c r="Z112" s="230"/>
      <c r="AA112" s="230" t="str">
        <f t="shared" si="681"/>
        <v/>
      </c>
      <c r="AB112" s="230"/>
      <c r="AC112" s="230"/>
      <c r="AD112" s="230" t="str">
        <f t="shared" si="682"/>
        <v/>
      </c>
      <c r="AE112" s="230"/>
      <c r="AF112" s="230"/>
      <c r="AG112" s="230" t="str">
        <f t="shared" si="683"/>
        <v/>
      </c>
      <c r="AH112" s="230"/>
      <c r="AI112" s="230"/>
      <c r="AJ112" s="230" t="str">
        <f t="shared" si="684"/>
        <v/>
      </c>
      <c r="AK112" s="230"/>
      <c r="AL112" s="230"/>
      <c r="AM112" s="230" t="str">
        <f t="shared" si="685"/>
        <v/>
      </c>
      <c r="AN112" s="230"/>
      <c r="AO112" s="230"/>
      <c r="AP112" s="230" t="str">
        <f t="shared" si="686"/>
        <v/>
      </c>
      <c r="AQ112" s="230"/>
      <c r="AR112" s="230"/>
      <c r="AS112" s="230" t="str">
        <f t="shared" si="687"/>
        <v/>
      </c>
      <c r="AT112" s="230"/>
      <c r="AU112" s="202"/>
      <c r="AV112" s="230" t="e">
        <f t="shared" si="689"/>
        <v>#DIV/0!</v>
      </c>
      <c r="AW112" s="222"/>
      <c r="AX112" s="234" t="s">
        <v>114</v>
      </c>
      <c r="AY112" s="235" t="str">
        <f>IF(AY109&gt;0,ROUND(SUMSQ(AY6:AY105),3),"")</f>
        <v/>
      </c>
      <c r="AZ112" s="235" t="str">
        <f>IF(AZ109&gt;0,ROUND(SUMSQ(AZ6:AZ105),3),"")</f>
        <v/>
      </c>
      <c r="BA112" s="202"/>
      <c r="BB112" s="235" t="str">
        <f>IF(BB109&gt;0,ROUND(SUMSQ(BB6:BB105),3),"")</f>
        <v/>
      </c>
      <c r="BC112" s="235" t="str">
        <f>IF(BC109&gt;0,ROUND(SUMSQ(BC6:BC105),3),"")</f>
        <v/>
      </c>
      <c r="BD112" s="202"/>
      <c r="BE112" s="235" t="str">
        <f>IF(BE109&gt;0,ROUND(SUMSQ(BE6:BE105),3),"")</f>
        <v/>
      </c>
      <c r="BF112" s="235" t="str">
        <f>IF(BF109&gt;0,ROUND(SUMSQ(BF6:BF105),3),"")</f>
        <v/>
      </c>
      <c r="BG112" s="202"/>
      <c r="BH112" s="235" t="str">
        <f>IF(BH109&gt;0,ROUND(SUMSQ(BH6:BH105),3),"")</f>
        <v/>
      </c>
      <c r="BI112" s="235" t="str">
        <f>IF(BI109&gt;0,ROUND(SUMSQ(BI6:BI105),3),"")</f>
        <v/>
      </c>
      <c r="BJ112" s="202"/>
      <c r="BK112" s="235" t="str">
        <f>IF(BK109&gt;0,ROUND(SUMSQ(BK6:BK105),3),"")</f>
        <v/>
      </c>
      <c r="BL112" s="235" t="str">
        <f>IF(BL109&gt;0,ROUND(SUMSQ(BL6:BL105),3),"")</f>
        <v/>
      </c>
      <c r="BM112" s="202"/>
      <c r="BN112" s="235" t="str">
        <f>IF(BN109&gt;0,ROUND(SUMSQ(BN6:BN105),3),"")</f>
        <v/>
      </c>
      <c r="BO112" s="235" t="str">
        <f>IF(BO109&gt;0,ROUND(SUMSQ(BO6:BO105),3),"")</f>
        <v/>
      </c>
      <c r="BP112" s="202"/>
      <c r="BQ112" s="235" t="str">
        <f>IF(BQ109&gt;0,ROUND(SUMSQ(BQ6:BQ105),3),"")</f>
        <v/>
      </c>
      <c r="BR112" s="235" t="str">
        <f>IF(BR109&gt;0,ROUND(SUMSQ(BR6:BR105),3),"")</f>
        <v/>
      </c>
      <c r="BS112" s="202"/>
      <c r="BT112" s="235" t="str">
        <f>IF(BT109&gt;0,ROUND(SUMSQ(BT6:BT105),3),"")</f>
        <v/>
      </c>
      <c r="BU112" s="235" t="str">
        <f>IF(BU109&gt;0,ROUND(SUMSQ(BU6:BU105),3),"")</f>
        <v/>
      </c>
      <c r="BV112" s="202"/>
      <c r="BW112" s="235" t="str">
        <f>IF(BW109&gt;0,ROUND(SUMSQ(BW6:BW105),3),"")</f>
        <v/>
      </c>
      <c r="BX112" s="235" t="str">
        <f>IF(BX109&gt;0,ROUND(SUMSQ(BX6:BX105),3),"")</f>
        <v/>
      </c>
      <c r="BY112" s="202"/>
      <c r="BZ112" s="235" t="str">
        <f>IF(BZ109&gt;0,ROUND(SUMSQ(BZ6:BZ105),3),"")</f>
        <v/>
      </c>
      <c r="CA112" s="235" t="str">
        <f>IF(CA109&gt;0,ROUND(SUMSQ(CA6:CA105),3),"")</f>
        <v/>
      </c>
      <c r="CB112" s="202"/>
      <c r="CC112" s="234" t="s">
        <v>114</v>
      </c>
      <c r="CD112" s="235" t="str">
        <f>IF(CD109&gt;0,ROUND(SUMSQ(CD6:CD105),3),"")</f>
        <v/>
      </c>
      <c r="CE112" s="235" t="str">
        <f>IF(CE109&gt;0,ROUND(SUMSQ(CE6:CE105),3),"")</f>
        <v/>
      </c>
      <c r="CF112" s="202"/>
      <c r="CG112" s="235" t="str">
        <f>IF(CG109&gt;0,ROUND(SUMSQ(CG6:CG105),3),"")</f>
        <v/>
      </c>
      <c r="CH112" s="235" t="str">
        <f>IF(CH109&gt;0,ROUND(SUMSQ(CH6:CH105),3),"")</f>
        <v/>
      </c>
      <c r="CI112" s="202"/>
      <c r="CJ112" s="235" t="str">
        <f>IF(CJ109&gt;0,ROUND(SUMSQ(CJ6:CJ105),3),"")</f>
        <v/>
      </c>
      <c r="CK112" s="235" t="str">
        <f>IF(CK109&gt;0,ROUND(SUMSQ(CK6:CK105),3),"")</f>
        <v/>
      </c>
      <c r="CL112" s="202"/>
      <c r="CM112" s="235" t="str">
        <f>IF(CM109&gt;0,ROUND(SUMSQ(CM6:CM105),3),"")</f>
        <v/>
      </c>
      <c r="CN112" s="235" t="str">
        <f>IF(CN109&gt;0,ROUND(SUMSQ(CN6:CN105),3),"")</f>
        <v/>
      </c>
      <c r="CO112" s="202"/>
      <c r="CP112" s="235" t="str">
        <f>IF(CP109&gt;0,ROUND(SUMSQ(CP6:CP105),3),"")</f>
        <v/>
      </c>
      <c r="CQ112" s="235" t="str">
        <f>IF(CQ109&gt;0,ROUND(SUMSQ(CQ6:CQ105),3),"")</f>
        <v/>
      </c>
      <c r="CR112" s="202"/>
      <c r="CS112" s="235" t="str">
        <f>IF(CS109&gt;0,ROUND(SUMSQ(CS6:CS105),3),"")</f>
        <v/>
      </c>
      <c r="CT112" s="235" t="str">
        <f>IF(CT109&gt;0,ROUND(SUMSQ(CT6:CT105),3),"")</f>
        <v/>
      </c>
      <c r="CU112" s="202"/>
      <c r="CV112" s="235" t="str">
        <f>IF(CV109&gt;0,ROUND(SUMSQ(CV6:CV105),3),"")</f>
        <v/>
      </c>
      <c r="CW112" s="235" t="str">
        <f>IF(CW109&gt;0,ROUND(SUMSQ(CW6:CW105),3),"")</f>
        <v/>
      </c>
      <c r="CX112" s="202"/>
      <c r="CY112" s="235" t="str">
        <f>IF(CY109&gt;0,ROUND(SUMSQ(CY6:CY105),3),"")</f>
        <v/>
      </c>
      <c r="CZ112" s="235" t="str">
        <f>IF(CZ109&gt;0,ROUND(SUMSQ(CZ6:CZ105),3),"")</f>
        <v/>
      </c>
      <c r="DA112" s="202"/>
      <c r="DB112" s="235" t="str">
        <f>IF(DB109&gt;0,ROUND(SUMSQ(DB6:DB105),3),"")</f>
        <v/>
      </c>
      <c r="DC112" s="235" t="str">
        <f>IF(DC109&gt;0,ROUND(SUMSQ(DC6:DC105),3),"")</f>
        <v/>
      </c>
      <c r="DD112" s="202"/>
      <c r="DE112" s="234" t="s">
        <v>114</v>
      </c>
      <c r="DF112" s="235" t="str">
        <f>IF(DF109&gt;0,ROUND(SUMSQ(DF6:DF105),3),"")</f>
        <v/>
      </c>
      <c r="DG112" s="235" t="str">
        <f>IF(DG109&gt;0,ROUND(SUMSQ(DG6:DG105),3),"")</f>
        <v/>
      </c>
      <c r="DH112" s="202"/>
      <c r="DI112" s="235" t="str">
        <f>IF(DI109&gt;0,ROUND(SUMSQ(DI6:DI105),3),"")</f>
        <v/>
      </c>
      <c r="DJ112" s="235" t="str">
        <f>IF(DJ109&gt;0,ROUND(SUMSQ(DJ6:DJ105),3),"")</f>
        <v/>
      </c>
      <c r="DK112" s="202"/>
      <c r="DL112" s="235" t="str">
        <f>IF(DL109&gt;0,ROUND(SUMSQ(DL6:DL105),3),"")</f>
        <v/>
      </c>
      <c r="DM112" s="235" t="str">
        <f>IF(DM109&gt;0,ROUND(SUMSQ(DM6:DM105),3),"")</f>
        <v/>
      </c>
      <c r="DN112" s="202"/>
      <c r="DO112" s="235" t="str">
        <f>IF(DO109&gt;0,ROUND(SUMSQ(DO6:DO105),3),"")</f>
        <v/>
      </c>
      <c r="DP112" s="235" t="str">
        <f>IF(DP109&gt;0,ROUND(SUMSQ(DP6:DP105),3),"")</f>
        <v/>
      </c>
      <c r="DQ112" s="202"/>
      <c r="DR112" s="235" t="str">
        <f>IF(DR109&gt;0,ROUND(SUMSQ(DR6:DR105),3),"")</f>
        <v/>
      </c>
      <c r="DS112" s="235" t="str">
        <f>IF(DS109&gt;0,ROUND(SUMSQ(DS6:DS105),3),"")</f>
        <v/>
      </c>
      <c r="DT112" s="202"/>
      <c r="DU112" s="235" t="str">
        <f>IF(DU109&gt;0,ROUND(SUMSQ(DU6:DU105),3),"")</f>
        <v/>
      </c>
      <c r="DV112" s="235" t="str">
        <f>IF(DV109&gt;0,ROUND(SUMSQ(DV6:DV105),3),"")</f>
        <v/>
      </c>
      <c r="DW112" s="202"/>
      <c r="DX112" s="235" t="str">
        <f>IF(DX109&gt;0,ROUND(SUMSQ(DX6:DX105),3),"")</f>
        <v/>
      </c>
      <c r="DY112" s="235" t="str">
        <f>IF(DY109&gt;0,ROUND(SUMSQ(DY6:DY105),3),"")</f>
        <v/>
      </c>
      <c r="DZ112" s="202"/>
      <c r="EA112" s="235" t="str">
        <f>IF(EA109&gt;0,ROUND(SUMSQ(EA6:EA105),3),"")</f>
        <v/>
      </c>
      <c r="EB112" s="235" t="str">
        <f>IF(EB109&gt;0,ROUND(SUMSQ(EB6:EB105),3),"")</f>
        <v/>
      </c>
      <c r="EC112" s="202"/>
      <c r="ED112" s="234" t="s">
        <v>114</v>
      </c>
      <c r="EE112" s="235" t="str">
        <f>IF(EE109&gt;0,ROUND(SUMSQ(EE6:EE105),3),"")</f>
        <v/>
      </c>
      <c r="EF112" s="235" t="str">
        <f>IF(EF109&gt;0,ROUND(SUMSQ(EF6:EF105),3),"")</f>
        <v/>
      </c>
      <c r="EG112" s="202"/>
      <c r="EH112" s="235" t="str">
        <f>IF(EH109&gt;0,ROUND(SUMSQ(EH6:EH105),3),"")</f>
        <v/>
      </c>
      <c r="EI112" s="235" t="str">
        <f>IF(EI109&gt;0,ROUND(SUMSQ(EI6:EI105),3),"")</f>
        <v/>
      </c>
      <c r="EJ112" s="202"/>
      <c r="EK112" s="235" t="str">
        <f>IF(EK109&gt;0,ROUND(SUMSQ(EK6:EK105),3),"")</f>
        <v/>
      </c>
      <c r="EL112" s="235" t="str">
        <f>IF(EL109&gt;0,ROUND(SUMSQ(EL6:EL105),3),"")</f>
        <v/>
      </c>
      <c r="EM112" s="202"/>
      <c r="EN112" s="235" t="str">
        <f>IF(EN109&gt;0,ROUND(SUMSQ(EN6:EN105),3),"")</f>
        <v/>
      </c>
      <c r="EO112" s="235" t="str">
        <f>IF(EO109&gt;0,ROUND(SUMSQ(EO6:EO105),3),"")</f>
        <v/>
      </c>
      <c r="EP112" s="202"/>
      <c r="EQ112" s="235" t="str">
        <f>IF(EQ109&gt;0,ROUND(SUMSQ(EQ6:EQ105),3),"")</f>
        <v/>
      </c>
      <c r="ER112" s="235" t="str">
        <f>IF(ER109&gt;0,ROUND(SUMSQ(ER6:ER105),3),"")</f>
        <v/>
      </c>
      <c r="ES112" s="202"/>
      <c r="ET112" s="235" t="str">
        <f>IF(ET109&gt;0,ROUND(SUMSQ(ET6:ET105),3),"")</f>
        <v/>
      </c>
      <c r="EU112" s="235" t="str">
        <f>IF(EU109&gt;0,ROUND(SUMSQ(EU6:EU105),3),"")</f>
        <v/>
      </c>
      <c r="EV112" s="202"/>
      <c r="EW112" s="235" t="str">
        <f>IF(EW109&gt;0,ROUND(SUMSQ(EW6:EW105),3),"")</f>
        <v/>
      </c>
      <c r="EX112" s="235" t="str">
        <f>IF(EX109&gt;0,ROUND(SUMSQ(EX6:EX105),3),"")</f>
        <v/>
      </c>
      <c r="EY112" s="202"/>
      <c r="EZ112" s="234" t="s">
        <v>114</v>
      </c>
      <c r="FA112" s="235" t="str">
        <f>IF(FA109&gt;0,ROUND(SUMSQ(FA6:FA105),3),"")</f>
        <v/>
      </c>
      <c r="FB112" s="235" t="str">
        <f>IF(FB109&gt;0,ROUND(SUMSQ(FB6:FB105),3),"")</f>
        <v/>
      </c>
      <c r="FC112" s="202"/>
      <c r="FD112" s="235" t="str">
        <f>IF(FD109&gt;0,ROUND(SUMSQ(FD6:FD105),3),"")</f>
        <v/>
      </c>
      <c r="FE112" s="235" t="str">
        <f>IF(FE109&gt;0,ROUND(SUMSQ(FE6:FE105),3),"")</f>
        <v/>
      </c>
      <c r="FF112" s="202"/>
      <c r="FG112" s="235" t="str">
        <f>IF(FG109&gt;0,ROUND(SUMSQ(FG6:FG105),3),"")</f>
        <v/>
      </c>
      <c r="FH112" s="235" t="str">
        <f>IF(FH109&gt;0,ROUND(SUMSQ(FH6:FH105),3),"")</f>
        <v/>
      </c>
      <c r="FI112" s="202"/>
      <c r="FJ112" s="235" t="str">
        <f>IF(FJ109&gt;0,ROUND(SUMSQ(FJ6:FJ105),3),"")</f>
        <v/>
      </c>
      <c r="FK112" s="235" t="str">
        <f>IF(FK109&gt;0,ROUND(SUMSQ(FK6:FK105),3),"")</f>
        <v/>
      </c>
      <c r="FL112" s="202"/>
      <c r="FM112" s="235" t="str">
        <f>IF(FM109&gt;0,ROUND(SUMSQ(FM6:FM105),3),"")</f>
        <v/>
      </c>
      <c r="FN112" s="235" t="str">
        <f>IF(FN109&gt;0,ROUND(SUMSQ(FN6:FN105),3),"")</f>
        <v/>
      </c>
      <c r="FO112" s="202"/>
      <c r="FP112" s="235" t="str">
        <f>IF(FP109&gt;0,ROUND(SUMSQ(FP6:FP105),3),"")</f>
        <v/>
      </c>
      <c r="FQ112" s="235" t="str">
        <f>IF(FQ109&gt;0,ROUND(SUMSQ(FQ6:FQ105),3),"")</f>
        <v/>
      </c>
      <c r="FR112" s="202"/>
      <c r="FS112" s="234" t="s">
        <v>114</v>
      </c>
      <c r="FT112" s="235" t="str">
        <f>IF(FT109&gt;0,ROUND(SUMSQ(FT6:FT105),3),"")</f>
        <v/>
      </c>
      <c r="FU112" s="235" t="str">
        <f>IF(FU109&gt;0,ROUND(SUMSQ(FU6:FU105),3),"")</f>
        <v/>
      </c>
      <c r="FV112" s="202"/>
      <c r="FW112" s="235" t="str">
        <f>IF(FW109&gt;0,ROUND(SUMSQ(FW6:FW105),3),"")</f>
        <v/>
      </c>
      <c r="FX112" s="235" t="str">
        <f>IF(FX109&gt;0,ROUND(SUMSQ(FX6:FX105),3),"")</f>
        <v/>
      </c>
      <c r="FY112" s="202"/>
      <c r="FZ112" s="235" t="str">
        <f>IF(FZ109&gt;0,ROUND(SUMSQ(FZ6:FZ105),3),"")</f>
        <v/>
      </c>
      <c r="GA112" s="235" t="str">
        <f>IF(GA109&gt;0,ROUND(SUMSQ(GA6:GA105),3),"")</f>
        <v/>
      </c>
      <c r="GB112" s="202"/>
      <c r="GC112" s="235" t="str">
        <f>IF(GC109&gt;0,ROUND(SUMSQ(GC6:GC105),3),"")</f>
        <v/>
      </c>
      <c r="GD112" s="235" t="str">
        <f>IF(GD109&gt;0,ROUND(SUMSQ(GD6:GD105),3),"")</f>
        <v/>
      </c>
      <c r="GE112" s="202"/>
      <c r="GF112" s="235" t="str">
        <f>IF(GF109&gt;0,ROUND(SUMSQ(GF6:GF105),3),"")</f>
        <v/>
      </c>
      <c r="GG112" s="235" t="str">
        <f>IF(GG109&gt;0,ROUND(SUMSQ(GG6:GG105),3),"")</f>
        <v/>
      </c>
      <c r="GH112" s="202"/>
      <c r="GI112" s="234" t="s">
        <v>114</v>
      </c>
      <c r="GJ112" s="235" t="str">
        <f>IF(GJ109&gt;0,ROUND(SUMSQ(GJ5:GJ104),3),"")</f>
        <v/>
      </c>
      <c r="GK112" s="235" t="str">
        <f>IF(GK109&gt;0,ROUND(SUMSQ(GK5:GK104),3),"")</f>
        <v/>
      </c>
      <c r="GL112" s="202"/>
      <c r="GM112" s="235" t="str">
        <f>IF(GM109&gt;0,ROUND(SUMSQ(GM5:GM104),3),"")</f>
        <v/>
      </c>
      <c r="GN112" s="235" t="str">
        <f>IF(GN109&gt;0,ROUND(SUMSQ(GN5:GN104),3),"")</f>
        <v/>
      </c>
      <c r="GO112" s="202"/>
      <c r="GP112" s="235" t="str">
        <f>IF(GP109&gt;0,ROUND(SUMSQ(GP5:GP104),3),"")</f>
        <v/>
      </c>
      <c r="GQ112" s="235" t="str">
        <f>IF(GQ109&gt;0,ROUND(SUMSQ(GQ5:GQ104),3),"")</f>
        <v/>
      </c>
      <c r="GR112" s="202"/>
      <c r="GS112" s="235" t="str">
        <f>IF(GS109&gt;0,ROUND(SUMSQ(GS5:GS104),3),"")</f>
        <v/>
      </c>
      <c r="GT112" s="235" t="str">
        <f>IF(GT109&gt;0,ROUND(SUMSQ(GT5:GT104),3),"")</f>
        <v/>
      </c>
      <c r="GU112" s="202"/>
      <c r="GV112" s="234" t="s">
        <v>114</v>
      </c>
      <c r="GW112" s="235" t="str">
        <f>IF(GW109&gt;0,ROUND(SUMSQ(GW5:GW104),3),"")</f>
        <v/>
      </c>
      <c r="GX112" s="235" t="str">
        <f>IF(GX109&gt;0,ROUND(SUMSQ(GX5:GX104),3),"")</f>
        <v/>
      </c>
      <c r="GY112" s="202"/>
      <c r="GZ112" s="235" t="str">
        <f>IF(GZ109&gt;0,ROUND(SUMSQ(GZ5:GZ104),3),"")</f>
        <v/>
      </c>
      <c r="HA112" s="235" t="str">
        <f>IF(HA109&gt;0,ROUND(SUMSQ(HA5:HA104),3),"")</f>
        <v/>
      </c>
      <c r="HB112" s="202"/>
      <c r="HC112" s="235" t="str">
        <f>IF(HC109&gt;0,ROUND(SUMSQ(HC5:HC104),3),"")</f>
        <v/>
      </c>
      <c r="HD112" s="235" t="str">
        <f>IF(HD109&gt;0,ROUND(SUMSQ(HD5:HD104),3),"")</f>
        <v/>
      </c>
      <c r="HE112" s="202"/>
      <c r="HF112" s="234" t="s">
        <v>114</v>
      </c>
      <c r="HG112" s="235" t="str">
        <f>IF(HG109&gt;0,ROUND(SUMSQ(HG5:HG104),3),"")</f>
        <v/>
      </c>
      <c r="HH112" s="235" t="str">
        <f>IF(HH109&gt;0,ROUND(SUMSQ(HH5:HH104),3),"")</f>
        <v/>
      </c>
      <c r="HI112" s="202"/>
      <c r="HJ112" s="235" t="str">
        <f>IF(HJ109&gt;0,ROUND(SUMSQ(HJ6:HJ105),3),"")</f>
        <v/>
      </c>
      <c r="HK112" s="235" t="str">
        <f>IF(HK109&gt;0,ROUND(SUMSQ(HK6:HK105),3),"")</f>
        <v/>
      </c>
      <c r="HL112" s="202"/>
      <c r="HM112" s="234" t="s">
        <v>114</v>
      </c>
      <c r="HN112" s="235" t="str">
        <f>IF(HN109&gt;0,ROUND(SUMSQ(HN6:HN105),3),"")</f>
        <v/>
      </c>
      <c r="HO112" s="235" t="str">
        <f>IF(HO109&gt;0,ROUND(SUMSQ(HO6:HO105),3),"")</f>
        <v/>
      </c>
      <c r="HP112" s="202"/>
      <c r="HQ112" s="234" t="s">
        <v>114</v>
      </c>
      <c r="HR112" s="235" t="str">
        <f>IF(HR109&gt;0,ROUND(SUMSQ(HR6:HR105),3),"")</f>
        <v/>
      </c>
      <c r="HS112" s="235" t="str">
        <f>IF(HS109&gt;0,ROUND(SUMSQ(HS6:HS105),3),"")</f>
        <v/>
      </c>
      <c r="HT112" s="202"/>
      <c r="HU112" s="235" t="str">
        <f>IF(HU109&gt;0,ROUND(SUMSQ(HU6:HU105),3),"")</f>
        <v/>
      </c>
      <c r="HV112" s="235" t="str">
        <f>IF(HV109&gt;0,ROUND(SUMSQ(HV6:HV105),3),"")</f>
        <v/>
      </c>
      <c r="HW112" s="202"/>
      <c r="HX112" s="235" t="str">
        <f>IF(HX109&gt;0,ROUND(SUMSQ(HX6:HX105),3),"")</f>
        <v/>
      </c>
      <c r="HY112" s="235" t="str">
        <f>IF(HY109&gt;0,ROUND(SUMSQ(HY6:HY105),3),"")</f>
        <v/>
      </c>
      <c r="HZ112" s="202"/>
      <c r="IA112" s="235" t="str">
        <f>IF(IA109&gt;0,ROUND(SUMSQ(IA6:IA105),3),"")</f>
        <v/>
      </c>
      <c r="IB112" s="235" t="str">
        <f>IF(IB109&gt;0,ROUND(SUMSQ(IB6:IB105),3),"")</f>
        <v/>
      </c>
      <c r="IC112" s="202"/>
      <c r="ID112" s="235" t="str">
        <f>IF(ID109&gt;0,ROUND(SUMSQ(ID6:ID105),3),"")</f>
        <v/>
      </c>
      <c r="IE112" s="235" t="str">
        <f>IF(IE109&gt;0,ROUND(SUMSQ(IE6:IE105),3),"")</f>
        <v/>
      </c>
      <c r="IF112" s="202"/>
      <c r="IG112" s="235" t="str">
        <f>IF(IG109&gt;0,ROUND(SUMSQ(IG6:IG105),3),"")</f>
        <v/>
      </c>
      <c r="IH112" s="235" t="str">
        <f>IF(IH109&gt;0,ROUND(SUMSQ(IH6:IH105),3),"")</f>
        <v/>
      </c>
      <c r="II112" s="202"/>
      <c r="IJ112" s="235" t="str">
        <f>IF(IJ109&gt;0,ROUND(SUMSQ(IJ6:IJ105),3),"")</f>
        <v/>
      </c>
      <c r="IK112" s="235" t="str">
        <f>IF(IK109&gt;0,ROUND(SUMSQ(IK6:IK105),3),"")</f>
        <v/>
      </c>
      <c r="IL112" s="202"/>
      <c r="IM112" s="235" t="str">
        <f>IF(IM109&gt;0,ROUND(SUMSQ(IM6:IM105),3),"")</f>
        <v/>
      </c>
      <c r="IN112" s="235" t="str">
        <f>IF(IN109&gt;0,ROUND(SUMSQ(IN6:IN105),3),"")</f>
        <v/>
      </c>
      <c r="IO112" s="202"/>
      <c r="IP112" s="235" t="str">
        <f>IF(IP109&gt;0,ROUND(SUMSQ(IP6:IP105),3),"")</f>
        <v/>
      </c>
      <c r="IQ112" s="235" t="str">
        <f>IF(IQ109&gt;0,ROUND(SUMSQ(IQ6:IQ105),3),"")</f>
        <v/>
      </c>
      <c r="IR112" s="202"/>
      <c r="IS112" s="235" t="str">
        <f>IF(IS109&gt;0,ROUND(SUMSQ(IS6:IS105),3),"")</f>
        <v/>
      </c>
      <c r="IT112" s="235" t="str">
        <f>IF(IT109&gt;0,ROUND(SUMSQ(IT6:IT105),3),"")</f>
        <v/>
      </c>
      <c r="IU112" s="202"/>
    </row>
    <row r="113" spans="1:255" x14ac:dyDescent="0.2">
      <c r="A113" s="227" t="s">
        <v>159</v>
      </c>
      <c r="B113" s="218" t="str">
        <f>IF(B109&gt;0,MAX(B6:B105),"")</f>
        <v/>
      </c>
      <c r="C113" s="218" t="str">
        <f t="shared" ref="C113:K113" si="702">IF(C109&gt;0,MAX(C6:C105),"")</f>
        <v/>
      </c>
      <c r="D113" s="218" t="str">
        <f t="shared" si="702"/>
        <v/>
      </c>
      <c r="E113" s="218" t="str">
        <f t="shared" si="702"/>
        <v/>
      </c>
      <c r="F113" s="218" t="str">
        <f t="shared" si="702"/>
        <v/>
      </c>
      <c r="G113" s="218" t="str">
        <f t="shared" si="702"/>
        <v/>
      </c>
      <c r="H113" s="218" t="str">
        <f t="shared" si="702"/>
        <v/>
      </c>
      <c r="I113" s="218" t="str">
        <f t="shared" si="702"/>
        <v/>
      </c>
      <c r="J113" s="218" t="str">
        <f t="shared" si="702"/>
        <v/>
      </c>
      <c r="K113" s="218" t="str">
        <f t="shared" si="702"/>
        <v/>
      </c>
      <c r="L113" s="231">
        <f>IF(L109&gt;0,MAX(L6:L105),"")</f>
        <v>0</v>
      </c>
      <c r="M113" s="227">
        <f>IF(M109&gt;0,MAX(M6:M105),"")</f>
        <v>25.947119292885088</v>
      </c>
      <c r="N113" s="227" t="s">
        <v>159</v>
      </c>
      <c r="O113" s="228"/>
      <c r="P113" s="229"/>
      <c r="Q113" s="230" t="s">
        <v>14</v>
      </c>
      <c r="R113" s="230" t="str">
        <f t="shared" si="678"/>
        <v/>
      </c>
      <c r="S113" s="230"/>
      <c r="T113" s="230"/>
      <c r="U113" s="230" t="str">
        <f t="shared" si="679"/>
        <v/>
      </c>
      <c r="V113" s="230"/>
      <c r="W113" s="230"/>
      <c r="X113" s="230" t="str">
        <f t="shared" si="680"/>
        <v/>
      </c>
      <c r="Y113" s="230"/>
      <c r="Z113" s="230"/>
      <c r="AA113" s="230" t="str">
        <f t="shared" si="681"/>
        <v/>
      </c>
      <c r="AB113" s="230"/>
      <c r="AC113" s="230"/>
      <c r="AD113" s="230" t="str">
        <f t="shared" si="682"/>
        <v/>
      </c>
      <c r="AE113" s="230"/>
      <c r="AF113" s="230"/>
      <c r="AG113" s="230" t="str">
        <f t="shared" si="683"/>
        <v/>
      </c>
      <c r="AH113" s="230"/>
      <c r="AI113" s="230"/>
      <c r="AJ113" s="230" t="str">
        <f t="shared" si="684"/>
        <v/>
      </c>
      <c r="AK113" s="230"/>
      <c r="AL113" s="230"/>
      <c r="AM113" s="230" t="str">
        <f t="shared" si="685"/>
        <v/>
      </c>
      <c r="AN113" s="230"/>
      <c r="AO113" s="230"/>
      <c r="AP113" s="230" t="str">
        <f t="shared" si="686"/>
        <v/>
      </c>
      <c r="AQ113" s="230"/>
      <c r="AR113" s="230"/>
      <c r="AS113" s="230" t="str">
        <f t="shared" si="687"/>
        <v/>
      </c>
      <c r="AT113" s="230"/>
      <c r="AU113" s="202"/>
      <c r="AV113" s="230" t="e">
        <f t="shared" si="689"/>
        <v>#DIV/0!</v>
      </c>
      <c r="AW113" s="233"/>
      <c r="AX113" s="234" t="s">
        <v>115</v>
      </c>
      <c r="AY113" s="235" t="str">
        <f>IF(AY109&gt;0,ROUND(AY112-((AY110^2)/AY109),3),"")</f>
        <v/>
      </c>
      <c r="AZ113" s="235" t="str">
        <f>IF(AZ109&gt;0,ROUND(AZ112-((AZ110^2)/AZ109),3),"")</f>
        <v/>
      </c>
      <c r="BA113" s="236" t="str">
        <f>IF(BA109&gt;0,ROUND(BA110-((AY110*AZ110)/BA109),3),"")</f>
        <v/>
      </c>
      <c r="BB113" s="235" t="str">
        <f>IF(BB109&gt;0,ROUND(BB112-((BB110^2)/BB109),3),"")</f>
        <v/>
      </c>
      <c r="BC113" s="235" t="str">
        <f>IF(BC109&gt;0,ROUND(BC112-((BC110^2)/BC109),3),"")</f>
        <v/>
      </c>
      <c r="BD113" s="236" t="str">
        <f>IF(BD109&gt;0,ROUND(BD110-((BB110*BC110)/BD109),3),"")</f>
        <v/>
      </c>
      <c r="BE113" s="235" t="str">
        <f>IF(BE109&gt;0,ROUND(BE112-((BE110^2)/BE109),3),"")</f>
        <v/>
      </c>
      <c r="BF113" s="235" t="str">
        <f>IF(BF109&gt;0,ROUND(BF112-((BF110^2)/BF109),3),"")</f>
        <v/>
      </c>
      <c r="BG113" s="236" t="str">
        <f>IF(BG109&gt;0,ROUND(BG110-((BE110*BF110)/BG109),3),"")</f>
        <v/>
      </c>
      <c r="BH113" s="235" t="str">
        <f>IF(BH109&gt;0,ROUND(BH112-((BH110^2)/BH109),3),"")</f>
        <v/>
      </c>
      <c r="BI113" s="235" t="str">
        <f>IF(BI109&gt;0,ROUND(BI112-((BI110^2)/BI109),3),"")</f>
        <v/>
      </c>
      <c r="BJ113" s="236" t="str">
        <f>IF(BJ109&gt;0,ROUND(BJ110-((BH110*BI110)/BJ109),3),"")</f>
        <v/>
      </c>
      <c r="BK113" s="235" t="str">
        <f>IF(BK109&gt;0,ROUND(BK112-((BK110^2)/BK109),3),"")</f>
        <v/>
      </c>
      <c r="BL113" s="235" t="str">
        <f>IF(BL109&gt;0,ROUND(BL112-((BL110^2)/BL109),3),"")</f>
        <v/>
      </c>
      <c r="BM113" s="236" t="str">
        <f>IF(BM109&gt;0,ROUND(BM110-((BK110*BL110)/BM109),3),"")</f>
        <v/>
      </c>
      <c r="BN113" s="235" t="str">
        <f>IF(BN109&gt;0,ROUND(BN112-((BN110^2)/BN109),3),"")</f>
        <v/>
      </c>
      <c r="BO113" s="235" t="str">
        <f>IF(BO109&gt;0,ROUND(BO112-((BO110^2)/BO109),3),"")</f>
        <v/>
      </c>
      <c r="BP113" s="236" t="str">
        <f>IF(BP109&gt;0,ROUND(BP110-((BN110*BO110)/BP109),3),"")</f>
        <v/>
      </c>
      <c r="BQ113" s="235" t="str">
        <f>IF(BQ109&gt;0,ROUND(BQ112-((BQ110^2)/BQ109),3),"")</f>
        <v/>
      </c>
      <c r="BR113" s="235" t="str">
        <f>IF(BR109&gt;0,ROUND(BR112-((BR110^2)/BR109),3),"")</f>
        <v/>
      </c>
      <c r="BS113" s="236" t="str">
        <f>IF(BS109&gt;0,ROUND(BS110-((BQ110*BR110)/BS109),3),"")</f>
        <v/>
      </c>
      <c r="BT113" s="235" t="str">
        <f>IF(BT109&gt;0,ROUND(BT112-((BT110^2)/BT109),3),"")</f>
        <v/>
      </c>
      <c r="BU113" s="235" t="str">
        <f>IF(BU109&gt;0,ROUND(BU112-((BU110^2)/BU109),3),"")</f>
        <v/>
      </c>
      <c r="BV113" s="236" t="str">
        <f>IF(BV109&gt;0,ROUND(BV110-((BT110*BU110)/BV109),3),"")</f>
        <v/>
      </c>
      <c r="BW113" s="235" t="str">
        <f>IF(BW109&gt;0,ROUND(BW112-((BW110^2)/BW109),3),"")</f>
        <v/>
      </c>
      <c r="BX113" s="235" t="str">
        <f>IF(BX109&gt;0,ROUND(BX112-((BX110^2)/BX109),3),"")</f>
        <v/>
      </c>
      <c r="BY113" s="236" t="str">
        <f>IF(BY109&gt;0,ROUND(BY110-((BW110*BX110)/BY109),3),"")</f>
        <v/>
      </c>
      <c r="BZ113" s="235" t="str">
        <f>IF(BZ109&gt;0,ROUND(BZ112-((BZ110^2)/BZ109),3),"")</f>
        <v/>
      </c>
      <c r="CA113" s="235" t="str">
        <f>IF(CA109&gt;0,ROUND(CA112-((CA110^2)/CA109),3),"")</f>
        <v/>
      </c>
      <c r="CB113" s="236" t="str">
        <f>IF(CB109&gt;0,ROUND(CB110-((BZ110*CA110)/CB109),3),"")</f>
        <v/>
      </c>
      <c r="CC113" s="234" t="s">
        <v>115</v>
      </c>
      <c r="CD113" s="235" t="str">
        <f>IF(CD109&gt;0,ROUND(CD112-((CD110^2)/CD109),3),"")</f>
        <v/>
      </c>
      <c r="CE113" s="235" t="str">
        <f>IF(CE109&gt;0,ROUND(CE112-((CE110^2)/CE109),3),"")</f>
        <v/>
      </c>
      <c r="CF113" s="236" t="str">
        <f>IF(CF109&gt;0,ROUND(CF110-((CD110*CE110)/CF109),3),"")</f>
        <v/>
      </c>
      <c r="CG113" s="235" t="str">
        <f>IF(CG109&gt;0,ROUND(CG112-((CG110^2)/CG109),3),"")</f>
        <v/>
      </c>
      <c r="CH113" s="235" t="str">
        <f>IF(CH109&gt;0,ROUND(CH112-((CH110^2)/CH109),3),"")</f>
        <v/>
      </c>
      <c r="CI113" s="236" t="str">
        <f>IF(CI109&gt;0,ROUND(CI110-((CG110*CH110)/CI109),3),"")</f>
        <v/>
      </c>
      <c r="CJ113" s="235" t="str">
        <f>IF(CJ109&gt;0,ROUND(CJ112-((CJ110^2)/CJ109),3),"")</f>
        <v/>
      </c>
      <c r="CK113" s="235" t="str">
        <f>IF(CK109&gt;0,ROUND(CK112-((CK110^2)/CK109),3),"")</f>
        <v/>
      </c>
      <c r="CL113" s="236" t="str">
        <f>IF(CL109&gt;0,ROUND(CL110-((CJ110*CK110)/CL109),3),"")</f>
        <v/>
      </c>
      <c r="CM113" s="235" t="str">
        <f>IF(CM109&gt;0,ROUND(CM112-((CM110^2)/CM109),3),"")</f>
        <v/>
      </c>
      <c r="CN113" s="235" t="str">
        <f>IF(CN109&gt;0,ROUND(CN112-((CN110^2)/CN109),3),"")</f>
        <v/>
      </c>
      <c r="CO113" s="236" t="str">
        <f>IF(CO109&gt;0,ROUND(CO110-((CM110*CN110)/CO109),3),"")</f>
        <v/>
      </c>
      <c r="CP113" s="235" t="str">
        <f>IF(CP109&gt;0,ROUND(CP112-((CP110^2)/CP109),3),"")</f>
        <v/>
      </c>
      <c r="CQ113" s="235" t="str">
        <f>IF(CQ109&gt;0,ROUND(CQ112-((CQ110^2)/CQ109),3),"")</f>
        <v/>
      </c>
      <c r="CR113" s="236" t="str">
        <f>IF(CR109&gt;0,ROUND(CR110-((CP110*CQ110)/CR109),3),"")</f>
        <v/>
      </c>
      <c r="CS113" s="235" t="str">
        <f>IF(CS109&gt;0,ROUND(CS112-((CS110^2)/CS109),3),"")</f>
        <v/>
      </c>
      <c r="CT113" s="235" t="str">
        <f>IF(CT109&gt;0,ROUND(CT112-((CT110^2)/CT109),3),"")</f>
        <v/>
      </c>
      <c r="CU113" s="236" t="str">
        <f>IF(CU109&gt;0,ROUND(CU110-((CS110*CT110)/CU109),3),"")</f>
        <v/>
      </c>
      <c r="CV113" s="235" t="str">
        <f>IF(CV109&gt;0,ROUND(CV112-((CV110^2)/CV109),3),"")</f>
        <v/>
      </c>
      <c r="CW113" s="235" t="str">
        <f>IF(CW109&gt;0,ROUND(CW112-((CW110^2)/CW109),3),"")</f>
        <v/>
      </c>
      <c r="CX113" s="236" t="str">
        <f>IF(CX109&gt;0,ROUND(CX110-((CV110*CW110)/CX109),3),"")</f>
        <v/>
      </c>
      <c r="CY113" s="235" t="str">
        <f>IF(CY109&gt;0,ROUND(CY112-((CY110^2)/CY109),3),"")</f>
        <v/>
      </c>
      <c r="CZ113" s="235" t="str">
        <f>IF(CZ109&gt;0,ROUND(CZ112-((CZ110^2)/CZ109),3),"")</f>
        <v/>
      </c>
      <c r="DA113" s="236" t="str">
        <f>IF(DA109&gt;0,ROUND(DA110-((CY110*CZ110)/DA109),3),"")</f>
        <v/>
      </c>
      <c r="DB113" s="235" t="str">
        <f>IF(DB109&gt;0,ROUND(DB112-((DB110^2)/DB109),3),"")</f>
        <v/>
      </c>
      <c r="DC113" s="235" t="str">
        <f>IF(DC109&gt;0,ROUND(DC112-((DC110^2)/DC109),3),"")</f>
        <v/>
      </c>
      <c r="DD113" s="236" t="str">
        <f>IF(DD109&gt;0,ROUND(DD110-((DB110*DC110)/DD109),3),"")</f>
        <v/>
      </c>
      <c r="DE113" s="234" t="s">
        <v>115</v>
      </c>
      <c r="DF113" s="235" t="str">
        <f>IF(DF109&gt;0,ROUND(DF112-((DF110^2)/DF109),3),"")</f>
        <v/>
      </c>
      <c r="DG113" s="235" t="str">
        <f>IF(DG109&gt;0,ROUND(DG112-((DG110^2)/DG109),3),"")</f>
        <v/>
      </c>
      <c r="DH113" s="236" t="str">
        <f>IF(DH109&gt;0,ROUND(DH110-((DF110*DG110)/DH109),3),"")</f>
        <v/>
      </c>
      <c r="DI113" s="235" t="str">
        <f>IF(DI109&gt;0,ROUND(DI112-((DI110^2)/DI109),3),"")</f>
        <v/>
      </c>
      <c r="DJ113" s="235" t="str">
        <f>IF(DJ109&gt;0,ROUND(DJ112-((DJ110^2)/DJ109),3),"")</f>
        <v/>
      </c>
      <c r="DK113" s="236" t="str">
        <f>IF(DK109&gt;0,ROUND(DK110-((DI110*DJ110)/DK109),3),"")</f>
        <v/>
      </c>
      <c r="DL113" s="235" t="str">
        <f>IF(DL109&gt;0,ROUND(DL112-((DL110^2)/DL109),3),"")</f>
        <v/>
      </c>
      <c r="DM113" s="235" t="str">
        <f>IF(DM109&gt;0,ROUND(DM112-((DM110^2)/DM109),3),"")</f>
        <v/>
      </c>
      <c r="DN113" s="236" t="str">
        <f>IF(DN109&gt;0,ROUND(DN110-((DL110*DM110)/DN109),3),"")</f>
        <v/>
      </c>
      <c r="DO113" s="235" t="str">
        <f>IF(DO109&gt;0,ROUND(DO112-((DO110^2)/DO109),3),"")</f>
        <v/>
      </c>
      <c r="DP113" s="235" t="str">
        <f>IF(DP109&gt;0,ROUND(DP112-((DP110^2)/DP109),3),"")</f>
        <v/>
      </c>
      <c r="DQ113" s="236" t="str">
        <f>IF(DQ109&gt;0,ROUND(DQ110-((DO110*DP110)/DQ109),3),"")</f>
        <v/>
      </c>
      <c r="DR113" s="235" t="str">
        <f>IF(DR109&gt;0,ROUND(DR112-((DR110^2)/DR109),3),"")</f>
        <v/>
      </c>
      <c r="DS113" s="235" t="str">
        <f>IF(DS109&gt;0,ROUND(DS112-((DS110^2)/DS109),3),"")</f>
        <v/>
      </c>
      <c r="DT113" s="236" t="str">
        <f>IF(DT109&gt;0,ROUND(DT110-((DR110*DS110)/DT109),3),"")</f>
        <v/>
      </c>
      <c r="DU113" s="235" t="str">
        <f>IF(DU109&gt;0,ROUND(DU112-((DU110^2)/DU109),3),"")</f>
        <v/>
      </c>
      <c r="DV113" s="235" t="str">
        <f>IF(DV109&gt;0,ROUND(DV112-((DV110^2)/DV109),3),"")</f>
        <v/>
      </c>
      <c r="DW113" s="236" t="str">
        <f>IF(DW109&gt;0,ROUND(DW110-((DU110*DV110)/DW109),3),"")</f>
        <v/>
      </c>
      <c r="DX113" s="235" t="str">
        <f>IF(DX109&gt;0,ROUND(DX112-((DX110^2)/DX109),3),"")</f>
        <v/>
      </c>
      <c r="DY113" s="235" t="str">
        <f>IF(DY109&gt;0,ROUND(DY112-((DY110^2)/DY109),3),"")</f>
        <v/>
      </c>
      <c r="DZ113" s="236" t="str">
        <f>IF(DZ109&gt;0,ROUND(DZ110-((DX110*DY110)/DZ109),3),"")</f>
        <v/>
      </c>
      <c r="EA113" s="235" t="str">
        <f>IF(EA109&gt;0,ROUND(EA112-((EA110^2)/EA109),3),"")</f>
        <v/>
      </c>
      <c r="EB113" s="235" t="str">
        <f>IF(EB109&gt;0,ROUND(EB112-((EB110^2)/EB109),3),"")</f>
        <v/>
      </c>
      <c r="EC113" s="236" t="str">
        <f>IF(EC109&gt;0,ROUND(EC110-((EA110*EB110)/EC109),3),"")</f>
        <v/>
      </c>
      <c r="ED113" s="234" t="s">
        <v>115</v>
      </c>
      <c r="EE113" s="235" t="str">
        <f>IF(EE109&gt;0,ROUND(EE112-((EE110^2)/EE109),3),"")</f>
        <v/>
      </c>
      <c r="EF113" s="235" t="str">
        <f>IF(EF109&gt;0,ROUND(EF112-((EF110^2)/EF109),3),"")</f>
        <v/>
      </c>
      <c r="EG113" s="236" t="str">
        <f>IF(EG109&gt;0,ROUND(EG110-((EE110*EF110)/EG109),3),"")</f>
        <v/>
      </c>
      <c r="EH113" s="235" t="str">
        <f>IF(EH109&gt;0,ROUND(EH112-((EH110^2)/EH109),3),"")</f>
        <v/>
      </c>
      <c r="EI113" s="235" t="str">
        <f>IF(EI109&gt;0,ROUND(EI112-((EI110^2)/EI109),3),"")</f>
        <v/>
      </c>
      <c r="EJ113" s="236" t="str">
        <f>IF(EJ109&gt;0,ROUND(EJ110-((EH110*EI110)/EJ109),3),"")</f>
        <v/>
      </c>
      <c r="EK113" s="235" t="str">
        <f>IF(EK109&gt;0,ROUND(EK112-((EK110^2)/EK109),3),"")</f>
        <v/>
      </c>
      <c r="EL113" s="235" t="str">
        <f>IF(EL109&gt;0,ROUND(EL112-((EL110^2)/EL109),3),"")</f>
        <v/>
      </c>
      <c r="EM113" s="236" t="str">
        <f>IF(EM109&gt;0,ROUND(EM110-((EK110*EL110)/EM109),3),"")</f>
        <v/>
      </c>
      <c r="EN113" s="235" t="str">
        <f>IF(EN109&gt;0,ROUND(EN112-((EN110^2)/EN109),3),"")</f>
        <v/>
      </c>
      <c r="EO113" s="235" t="str">
        <f>IF(EO109&gt;0,ROUND(EO112-((EO110^2)/EO109),3),"")</f>
        <v/>
      </c>
      <c r="EP113" s="236" t="str">
        <f>IF(EP109&gt;0,ROUND(EP110-((EN110*EO110)/EP109),3),"")</f>
        <v/>
      </c>
      <c r="EQ113" s="235" t="str">
        <f>IF(EQ109&gt;0,ROUND(EQ112-((EQ110^2)/EQ109),3),"")</f>
        <v/>
      </c>
      <c r="ER113" s="235" t="str">
        <f>IF(ER109&gt;0,ROUND(ER112-((ER110^2)/ER109),3),"")</f>
        <v/>
      </c>
      <c r="ES113" s="236" t="str">
        <f>IF(ES109&gt;0,ROUND(ES110-((EQ110*ER110)/ES109),3),"")</f>
        <v/>
      </c>
      <c r="ET113" s="235" t="str">
        <f>IF(ET109&gt;0,ROUND(ET112-((ET110^2)/ET109),3),"")</f>
        <v/>
      </c>
      <c r="EU113" s="235" t="str">
        <f>IF(EU109&gt;0,ROUND(EU112-((EU110^2)/EU109),3),"")</f>
        <v/>
      </c>
      <c r="EV113" s="236" t="str">
        <f>IF(EV109&gt;0,ROUND(EV110-((ET110*EU110)/EV109),3),"")</f>
        <v/>
      </c>
      <c r="EW113" s="235" t="str">
        <f>IF(EW109&gt;0,ROUND(EW112-((EW110^2)/EW109),3),"")</f>
        <v/>
      </c>
      <c r="EX113" s="235" t="str">
        <f>IF(EX109&gt;0,ROUND(EX112-((EX110^2)/EX109),3),"")</f>
        <v/>
      </c>
      <c r="EY113" s="236" t="str">
        <f>IF(EY109&gt;0,ROUND(EY110-((EW110*EX110)/EY109),3),"")</f>
        <v/>
      </c>
      <c r="EZ113" s="234" t="s">
        <v>115</v>
      </c>
      <c r="FA113" s="235" t="str">
        <f>IF(FA109&gt;0,ROUND(FA112-((FA110^2)/FA109),3),"")</f>
        <v/>
      </c>
      <c r="FB113" s="235" t="str">
        <f>IF(FB109&gt;0,ROUND(FB112-((FB110^2)/FB109),3),"")</f>
        <v/>
      </c>
      <c r="FC113" s="236" t="str">
        <f>IF(FC109&gt;0,ROUND(FC110-((FA110*FB110)/FC109),3),"")</f>
        <v/>
      </c>
      <c r="FD113" s="235" t="str">
        <f>IF(FD109&gt;0,ROUND(FD112-((FD110^2)/FD109),3),"")</f>
        <v/>
      </c>
      <c r="FE113" s="235" t="str">
        <f>IF(FE109&gt;0,ROUND(FE112-((FE110^2)/FE109),3),"")</f>
        <v/>
      </c>
      <c r="FF113" s="236" t="str">
        <f>IF(FF109&gt;0,ROUND(FF110-((FD110*FE110)/FF109),3),"")</f>
        <v/>
      </c>
      <c r="FG113" s="235" t="str">
        <f>IF(FG109&gt;0,ROUND(FG112-((FG110^2)/FG109),3),"")</f>
        <v/>
      </c>
      <c r="FH113" s="235" t="str">
        <f>IF(FH109&gt;0,ROUND(FH112-((FH110^2)/FH109),3),"")</f>
        <v/>
      </c>
      <c r="FI113" s="236" t="str">
        <f>IF(FI109&gt;0,ROUND(FI110-((FG110*FH110)/FI109),3),"")</f>
        <v/>
      </c>
      <c r="FJ113" s="235" t="str">
        <f>IF(FJ109&gt;0,ROUND(FJ112-((FJ110^2)/FJ109),3),"")</f>
        <v/>
      </c>
      <c r="FK113" s="235" t="str">
        <f>IF(FK109&gt;0,ROUND(FK112-((FK110^2)/FK109),3),"")</f>
        <v/>
      </c>
      <c r="FL113" s="236" t="str">
        <f>IF(FL109&gt;0,ROUND(FL110-((FJ110*FK110)/FL109),3),"")</f>
        <v/>
      </c>
      <c r="FM113" s="235" t="str">
        <f>IF(FM109&gt;0,ROUND(FM112-((FM110^2)/FM109),3),"")</f>
        <v/>
      </c>
      <c r="FN113" s="235" t="str">
        <f>IF(FN109&gt;0,ROUND(FN112-((FN110^2)/FN109),3),"")</f>
        <v/>
      </c>
      <c r="FO113" s="236" t="str">
        <f>IF(FO109&gt;0,ROUND(FO110-((FM110*FN110)/FO109),3),"")</f>
        <v/>
      </c>
      <c r="FP113" s="235" t="str">
        <f>IF(FP109&gt;0,ROUND(FP112-((FP110^2)/FP109),3),"")</f>
        <v/>
      </c>
      <c r="FQ113" s="235" t="str">
        <f>IF(FQ109&gt;0,ROUND(FQ112-((FQ110^2)/FQ109),3),"")</f>
        <v/>
      </c>
      <c r="FR113" s="236" t="str">
        <f>IF(FR109&gt;0,ROUND(FR110-((FP110*FQ110)/FR109),3),"")</f>
        <v/>
      </c>
      <c r="FS113" s="234" t="s">
        <v>115</v>
      </c>
      <c r="FT113" s="235" t="str">
        <f>IF(FT109&gt;0,ROUND(FT112-((FT110^2)/FT109),3),"")</f>
        <v/>
      </c>
      <c r="FU113" s="235" t="str">
        <f>IF(FU109&gt;0,ROUND(FU112-((FU110^2)/FU109),3),"")</f>
        <v/>
      </c>
      <c r="FV113" s="236" t="str">
        <f>IF(FV109&gt;0,ROUND(FV110-((FT110*FU110)/FV109),3),"")</f>
        <v/>
      </c>
      <c r="FW113" s="235" t="str">
        <f>IF(FW109&gt;0,ROUND(FW112-((FW110^2)/FW109),3),"")</f>
        <v/>
      </c>
      <c r="FX113" s="235" t="str">
        <f>IF(FX109&gt;0,ROUND(FX112-((FX110^2)/FX109),3),"")</f>
        <v/>
      </c>
      <c r="FY113" s="236" t="str">
        <f>IF(FY109&gt;0,ROUND(FY110-((FW110*FX110)/FY109),3),"")</f>
        <v/>
      </c>
      <c r="FZ113" s="235" t="str">
        <f>IF(FZ109&gt;0,ROUND(FZ112-((FZ110^2)/FZ109),3),"")</f>
        <v/>
      </c>
      <c r="GA113" s="235" t="str">
        <f>IF(GA109&gt;0,ROUND(GA112-((GA110^2)/GA109),3),"")</f>
        <v/>
      </c>
      <c r="GB113" s="236" t="str">
        <f>IF(GB109&gt;0,ROUND(GB110-((FZ110*GA110)/GB109),3),"")</f>
        <v/>
      </c>
      <c r="GC113" s="235" t="str">
        <f>IF(GC109&gt;0,ROUND(GC112-((GC110^2)/GC109),3),"")</f>
        <v/>
      </c>
      <c r="GD113" s="235" t="str">
        <f>IF(GD109&gt;0,ROUND(GD112-((GD110^2)/GD109),3),"")</f>
        <v/>
      </c>
      <c r="GE113" s="236" t="str">
        <f>IF(GE109&gt;0,ROUND(GE110-((GC110*GD110)/GE109),3),"")</f>
        <v/>
      </c>
      <c r="GF113" s="235" t="str">
        <f>IF(GF109&gt;0,ROUND(GF112-((GF110^2)/GF109),3),"")</f>
        <v/>
      </c>
      <c r="GG113" s="235" t="str">
        <f>IF(GG109&gt;0,ROUND(GG112-((GG110^2)/GG109),3),"")</f>
        <v/>
      </c>
      <c r="GH113" s="236" t="str">
        <f>IF(GH109&gt;0,ROUND(GH110-((GF110*GG110)/GH109),3),"")</f>
        <v/>
      </c>
      <c r="GI113" s="234" t="s">
        <v>115</v>
      </c>
      <c r="GJ113" s="235" t="str">
        <f>IF(GJ109&gt;0,ROUND(GJ112-((GJ110^2)/GJ109),3),"")</f>
        <v/>
      </c>
      <c r="GK113" s="235" t="str">
        <f>IF(GK109&gt;0,ROUND(GK112-((GK110^2)/GK109),3),"")</f>
        <v/>
      </c>
      <c r="GL113" s="236" t="str">
        <f>IF(GL109&gt;0,ROUND(GL110-((GJ110*GK110)/GL109),3),"")</f>
        <v/>
      </c>
      <c r="GM113" s="235" t="str">
        <f>IF(GM109&gt;0,ROUND(GM112-((GM110^2)/GM109),3),"")</f>
        <v/>
      </c>
      <c r="GN113" s="235" t="str">
        <f>IF(GN109&gt;0,ROUND(GN112-((GN110^2)/GN109),3),"")</f>
        <v/>
      </c>
      <c r="GO113" s="236" t="str">
        <f>IF(GO109&gt;0,ROUND(GO110-((GM110*GN110)/GO109),3),"")</f>
        <v/>
      </c>
      <c r="GP113" s="235" t="str">
        <f>IF(GP109&gt;0,ROUND(GP112-((GP110^2)/GP109),3),"")</f>
        <v/>
      </c>
      <c r="GQ113" s="235" t="str">
        <f>IF(GQ109&gt;0,ROUND(GQ112-((GQ110^2)/GQ109),3),"")</f>
        <v/>
      </c>
      <c r="GR113" s="236" t="str">
        <f>IF(GR109&gt;0,ROUND(GR110-((GP110*GQ110)/GR109),3),"")</f>
        <v/>
      </c>
      <c r="GS113" s="235" t="str">
        <f>IF(GS109&gt;0,ROUND(GS112-((GS110^2)/GS109),3),"")</f>
        <v/>
      </c>
      <c r="GT113" s="235" t="str">
        <f>IF(GT109&gt;0,ROUND(GT112-((GT110^2)/GT109),3),"")</f>
        <v/>
      </c>
      <c r="GU113" s="236" t="str">
        <f>IF(GU109&gt;0,ROUND(GU110-((GS110*GT110)/GU109),3),"")</f>
        <v/>
      </c>
      <c r="GV113" s="234" t="s">
        <v>115</v>
      </c>
      <c r="GW113" s="235" t="str">
        <f>IF(GW109&gt;0,ROUND(GW112-((GW110^2)/GW109),3),"")</f>
        <v/>
      </c>
      <c r="GX113" s="235" t="str">
        <f>IF(GX109&gt;0,ROUND(GX112-((GX110^2)/GX109),3),"")</f>
        <v/>
      </c>
      <c r="GY113" s="236" t="str">
        <f>IF(GY109&gt;0,ROUND(GY110-((GW110*GX110)/GY109),3),"")</f>
        <v/>
      </c>
      <c r="GZ113" s="235" t="str">
        <f>IF(GZ109&gt;0,ROUND(GZ112-((GZ110^2)/GZ109),3),"")</f>
        <v/>
      </c>
      <c r="HA113" s="235" t="str">
        <f>IF(HA109&gt;0,ROUND(HA112-((HA110^2)/HA109),3),"")</f>
        <v/>
      </c>
      <c r="HB113" s="236" t="str">
        <f>IF(HB109&gt;0,ROUND(HB110-((GZ110*HA110)/HB109),3),"")</f>
        <v/>
      </c>
      <c r="HC113" s="235" t="str">
        <f>IF(HC109&gt;0,ROUND(HC112-((HC110^2)/HC109),3),"")</f>
        <v/>
      </c>
      <c r="HD113" s="235" t="str">
        <f>IF(HD109&gt;0,ROUND(HD112-((HD110^2)/HD109),3),"")</f>
        <v/>
      </c>
      <c r="HE113" s="236" t="str">
        <f>IF(HE109&gt;0,ROUND(HE110-((HC110*HD110)/HE109),3),"")</f>
        <v/>
      </c>
      <c r="HF113" s="234" t="s">
        <v>115</v>
      </c>
      <c r="HG113" s="235" t="str">
        <f>IF(HG109&gt;0,ROUND(HG112-((HG110^2)/HG109),3),"")</f>
        <v/>
      </c>
      <c r="HH113" s="235" t="str">
        <f>IF(HH109&gt;0,ROUND(HH112-((HH110^2)/HH109),3),"")</f>
        <v/>
      </c>
      <c r="HI113" s="236" t="str">
        <f>IF(HI109&gt;0,ROUND(HI110-((HG110*HH110)/HI109),3),"")</f>
        <v/>
      </c>
      <c r="HJ113" s="235" t="str">
        <f>IF(HJ109&gt;0,ROUND(HJ112-((HJ110^2)/HJ109),3),"")</f>
        <v/>
      </c>
      <c r="HK113" s="235" t="str">
        <f>IF(HK109&gt;0,ROUND(HK112-((HK110^2)/HK109),3),"")</f>
        <v/>
      </c>
      <c r="HL113" s="236" t="str">
        <f>IF(HL109&gt;0,ROUND(HL110-((HJ110*HK110)/HL109),3),"")</f>
        <v/>
      </c>
      <c r="HM113" s="234" t="s">
        <v>115</v>
      </c>
      <c r="HN113" s="235" t="str">
        <f>IF(HN109&gt;0,ROUND(HN112-((HN110^2)/HN109),3),"")</f>
        <v/>
      </c>
      <c r="HO113" s="235" t="str">
        <f>IF(HO109&gt;0,ROUND(HO112-((HO110^2)/HO109),3),"")</f>
        <v/>
      </c>
      <c r="HP113" s="236" t="str">
        <f>IF(HP109&gt;0,ROUND(HP110-((HN110*HO110)/HP109),3),"")</f>
        <v/>
      </c>
      <c r="HQ113" s="234" t="s">
        <v>115</v>
      </c>
      <c r="HR113" s="235" t="str">
        <f>IF(HR109&gt;0,ROUND(HR112-((HR110^2)/HR109),3),"")</f>
        <v/>
      </c>
      <c r="HS113" s="235" t="str">
        <f>IF(HS109&gt;0,ROUND(HS112-((HS110^2)/HS109),3),"")</f>
        <v/>
      </c>
      <c r="HT113" s="236" t="str">
        <f>IF(HT109&gt;0,ROUND(HT110-((HR110*HS110)/HT109),3),"")</f>
        <v/>
      </c>
      <c r="HU113" s="235" t="str">
        <f>IF(HU109&gt;0,ROUND(HU112-((HU110^2)/HU109),3),"")</f>
        <v/>
      </c>
      <c r="HV113" s="235" t="str">
        <f>IF(HV109&gt;0,ROUND(HV112-((HV110^2)/HV109),3),"")</f>
        <v/>
      </c>
      <c r="HW113" s="236" t="str">
        <f>IF(HW109&gt;0,ROUND(HW110-((HU110*HV110)/HW109),3),"")</f>
        <v/>
      </c>
      <c r="HX113" s="235" t="str">
        <f>IF(HX109&gt;0,ROUND(HX112-((HX110^2)/HX109),3),"")</f>
        <v/>
      </c>
      <c r="HY113" s="235" t="str">
        <f>IF(HY109&gt;0,ROUND(HY112-((HY110^2)/HY109),3),"")</f>
        <v/>
      </c>
      <c r="HZ113" s="236" t="str">
        <f>IF(HZ109&gt;0,ROUND(HZ110-((HX110*HY110)/HZ109),3),"")</f>
        <v/>
      </c>
      <c r="IA113" s="235" t="str">
        <f>IF(IA109&gt;0,ROUND(IA112-((IA110^2)/IA109),3),"")</f>
        <v/>
      </c>
      <c r="IB113" s="235" t="str">
        <f>IF(IB109&gt;0,ROUND(IB112-((IB110^2)/IB109),3),"")</f>
        <v/>
      </c>
      <c r="IC113" s="236" t="str">
        <f>IF(IC109&gt;0,ROUND(IC110-((IA110*IB110)/IC109),3),"")</f>
        <v/>
      </c>
      <c r="ID113" s="235" t="str">
        <f>IF(ID109&gt;0,ROUND(ID112-((ID110^2)/ID109),3),"")</f>
        <v/>
      </c>
      <c r="IE113" s="235" t="str">
        <f>IF(IE109&gt;0,ROUND(IE112-((IE110^2)/IE109),3),"")</f>
        <v/>
      </c>
      <c r="IF113" s="236" t="str">
        <f>IF(IF109&gt;0,ROUND(IF110-((ID110*IE110)/IF109),3),"")</f>
        <v/>
      </c>
      <c r="IG113" s="235" t="str">
        <f>IF(IG109&gt;0,ROUND(IG112-((IG110^2)/IG109),3),"")</f>
        <v/>
      </c>
      <c r="IH113" s="235" t="str">
        <f>IF(IH109&gt;0,ROUND(IH112-((IH110^2)/IH109),3),"")</f>
        <v/>
      </c>
      <c r="II113" s="236" t="str">
        <f>IF(II109&gt;0,ROUND(II110-((IG110*IH110)/II109),3),"")</f>
        <v/>
      </c>
      <c r="IJ113" s="235" t="str">
        <f>IF(IJ109&gt;0,ROUND(IJ112-((IJ110^2)/IJ109),3),"")</f>
        <v/>
      </c>
      <c r="IK113" s="235" t="str">
        <f>IF(IK109&gt;0,ROUND(IK112-((IK110^2)/IK109),3),"")</f>
        <v/>
      </c>
      <c r="IL113" s="236" t="str">
        <f>IF(IL109&gt;0,ROUND(IL110-((IJ110*IK110)/IL109),3),"")</f>
        <v/>
      </c>
      <c r="IM113" s="235" t="str">
        <f>IF(IM109&gt;0,ROUND(IM112-((IM110^2)/IM109),3),"")</f>
        <v/>
      </c>
      <c r="IN113" s="235" t="str">
        <f>IF(IN109&gt;0,ROUND(IN112-((IN110^2)/IN109),3),"")</f>
        <v/>
      </c>
      <c r="IO113" s="236" t="str">
        <f>IF(IO109&gt;0,ROUND(IO110-((IM110*IN110)/IO109),3),"")</f>
        <v/>
      </c>
      <c r="IP113" s="235" t="str">
        <f>IF(IP109&gt;0,ROUND(IP112-((IP110^2)/IP109),3),"")</f>
        <v/>
      </c>
      <c r="IQ113" s="235" t="str">
        <f>IF(IQ109&gt;0,ROUND(IQ112-((IQ110^2)/IQ109),3),"")</f>
        <v/>
      </c>
      <c r="IR113" s="236" t="str">
        <f>IF(IR109&gt;0,ROUND(IR110-((IP110*IQ110)/IR109),3),"")</f>
        <v/>
      </c>
      <c r="IS113" s="235" t="str">
        <f>IF(IS109&gt;0,ROUND(IS112-((IS110^2)/IS109),3),"")</f>
        <v/>
      </c>
      <c r="IT113" s="235" t="str">
        <f>IF(IT109&gt;0,ROUND(IT112-((IT110^2)/IT109),3),"")</f>
        <v/>
      </c>
      <c r="IU113" s="236" t="str">
        <f>IF(IU109&gt;0,ROUND(IU110-((IS110*IT110)/IU109),3),"")</f>
        <v/>
      </c>
    </row>
    <row r="114" spans="1:255" x14ac:dyDescent="0.2">
      <c r="A114" s="227" t="s">
        <v>328</v>
      </c>
      <c r="B114" s="227" t="str">
        <f>IF(B109&gt;0,AVEDEV(B6:B105),"")</f>
        <v/>
      </c>
      <c r="C114" s="227" t="str">
        <f t="shared" ref="C114:K114" si="703">IF(C109&gt;0,AVEDEV(C6:C105),"")</f>
        <v/>
      </c>
      <c r="D114" s="227" t="str">
        <f t="shared" si="703"/>
        <v/>
      </c>
      <c r="E114" s="227" t="str">
        <f t="shared" si="703"/>
        <v/>
      </c>
      <c r="F114" s="227" t="str">
        <f t="shared" si="703"/>
        <v/>
      </c>
      <c r="G114" s="227" t="str">
        <f t="shared" si="703"/>
        <v/>
      </c>
      <c r="H114" s="227" t="str">
        <f t="shared" si="703"/>
        <v/>
      </c>
      <c r="I114" s="227" t="str">
        <f t="shared" si="703"/>
        <v/>
      </c>
      <c r="J114" s="227" t="str">
        <f t="shared" si="703"/>
        <v/>
      </c>
      <c r="K114" s="227" t="str">
        <f t="shared" si="703"/>
        <v/>
      </c>
      <c r="L114" s="237" t="s">
        <v>224</v>
      </c>
      <c r="M114" s="227">
        <f>IF(M109&gt;0,AVEDEV(M6:M105),"")</f>
        <v>0.94784222454135869</v>
      </c>
      <c r="N114" s="227" t="s">
        <v>328</v>
      </c>
      <c r="O114" s="228"/>
      <c r="P114" s="229"/>
      <c r="Q114" s="230" t="s">
        <v>15</v>
      </c>
      <c r="R114" s="230" t="str">
        <f t="shared" si="678"/>
        <v/>
      </c>
      <c r="S114" s="230"/>
      <c r="T114" s="230"/>
      <c r="U114" s="230" t="str">
        <f t="shared" si="679"/>
        <v/>
      </c>
      <c r="V114" s="230"/>
      <c r="W114" s="230"/>
      <c r="X114" s="230" t="str">
        <f t="shared" si="680"/>
        <v/>
      </c>
      <c r="Y114" s="230"/>
      <c r="Z114" s="230"/>
      <c r="AA114" s="230" t="str">
        <f t="shared" si="681"/>
        <v/>
      </c>
      <c r="AB114" s="230"/>
      <c r="AC114" s="230"/>
      <c r="AD114" s="230" t="str">
        <f t="shared" si="682"/>
        <v/>
      </c>
      <c r="AE114" s="230"/>
      <c r="AF114" s="230"/>
      <c r="AG114" s="230" t="str">
        <f t="shared" si="683"/>
        <v/>
      </c>
      <c r="AH114" s="230"/>
      <c r="AI114" s="230"/>
      <c r="AJ114" s="230" t="str">
        <f t="shared" si="684"/>
        <v/>
      </c>
      <c r="AK114" s="230"/>
      <c r="AL114" s="230"/>
      <c r="AM114" s="230" t="str">
        <f t="shared" si="685"/>
        <v/>
      </c>
      <c r="AN114" s="230"/>
      <c r="AO114" s="230"/>
      <c r="AP114" s="230" t="str">
        <f t="shared" si="686"/>
        <v/>
      </c>
      <c r="AQ114" s="230"/>
      <c r="AR114" s="230"/>
      <c r="AS114" s="230" t="str">
        <f t="shared" si="687"/>
        <v/>
      </c>
      <c r="AT114" s="230"/>
      <c r="AU114" s="202"/>
      <c r="AV114" s="230" t="e">
        <f t="shared" si="689"/>
        <v>#DIV/0!</v>
      </c>
      <c r="AW114" s="225"/>
      <c r="AX114" s="234" t="s">
        <v>116</v>
      </c>
      <c r="AY114" s="235" t="str">
        <f>IF(BA109&gt;0,ROUND(VAR(AY6:AY105),3),"")</f>
        <v/>
      </c>
      <c r="AZ114" s="235" t="str">
        <f>IF(BA109&gt;0,ROUND(VAR(AZ6:AZ105),3),"")</f>
        <v/>
      </c>
      <c r="BA114" s="238"/>
      <c r="BB114" s="235" t="str">
        <f>IF(BD109&gt;0,ROUND(VAR(BB6:BB105),3),"")</f>
        <v/>
      </c>
      <c r="BC114" s="235" t="str">
        <f>IF(BD109&gt;0,ROUND(VAR(BC6:BC105),3),"")</f>
        <v/>
      </c>
      <c r="BD114" s="238"/>
      <c r="BE114" s="235" t="str">
        <f>IF(BG109&gt;0,ROUND(VAR(BE6:BE105),3),"")</f>
        <v/>
      </c>
      <c r="BF114" s="235" t="str">
        <f>IF(BG109&gt;0,ROUND(VAR(BF6:BF105),3),"")</f>
        <v/>
      </c>
      <c r="BG114" s="238"/>
      <c r="BH114" s="235" t="str">
        <f>IF(BJ109&gt;0,ROUND(VAR(BH6:BH105),3),"")</f>
        <v/>
      </c>
      <c r="BI114" s="235" t="str">
        <f>IF(BJ109&gt;0,ROUND(VAR(BI6:BI105),3),"")</f>
        <v/>
      </c>
      <c r="BJ114" s="238"/>
      <c r="BK114" s="235" t="str">
        <f>IF(BM109&gt;0,ROUND(VAR(BK6:BK105),3),"")</f>
        <v/>
      </c>
      <c r="BL114" s="235" t="str">
        <f>IF(BM109&gt;0,ROUND(VAR(BL6:BL105),3),"")</f>
        <v/>
      </c>
      <c r="BM114" s="238"/>
      <c r="BN114" s="235" t="str">
        <f>IF(BP109&gt;0,ROUND(VAR(BN6:BN105),3),"")</f>
        <v/>
      </c>
      <c r="BO114" s="235" t="str">
        <f>IF(BP109&gt;0,ROUND(VAR(BO6:BO105),3),"")</f>
        <v/>
      </c>
      <c r="BP114" s="238"/>
      <c r="BQ114" s="235" t="str">
        <f>IF(BS109&gt;0,ROUND(VAR(BQ6:BQ105),3),"")</f>
        <v/>
      </c>
      <c r="BR114" s="235" t="str">
        <f>IF(BS109&gt;0,ROUND(VAR(BR6:BR105),3),"")</f>
        <v/>
      </c>
      <c r="BS114" s="238"/>
      <c r="BT114" s="235" t="str">
        <f>IF(BV109&gt;0,ROUND(VAR(BT6:BT105),3),"")</f>
        <v/>
      </c>
      <c r="BU114" s="235" t="str">
        <f>IF(BV109&gt;0,ROUND(VAR(BU6:BU105),3),"")</f>
        <v/>
      </c>
      <c r="BV114" s="238"/>
      <c r="BW114" s="235" t="str">
        <f>IF(BY109&gt;0,ROUND(VAR(BW6:BW105),3),"")</f>
        <v/>
      </c>
      <c r="BX114" s="235" t="str">
        <f>IF(BY109&gt;0,ROUND(VAR(BX6:BX105),3),"")</f>
        <v/>
      </c>
      <c r="BY114" s="238"/>
      <c r="BZ114" s="235" t="str">
        <f>IF(CB109&gt;0,ROUND(VAR(BZ6:BZ105),3),"")</f>
        <v/>
      </c>
      <c r="CA114" s="235" t="str">
        <f>IF(CB109&gt;0,ROUND(VAR(CA6:CA105),3),"")</f>
        <v/>
      </c>
      <c r="CB114" s="238"/>
      <c r="CC114" s="234" t="s">
        <v>116</v>
      </c>
      <c r="CD114" s="235" t="str">
        <f>IF(CF109&gt;0,ROUND(VAR(CD6:CD105),3),"")</f>
        <v/>
      </c>
      <c r="CE114" s="235" t="str">
        <f>IF(CF109&gt;0,ROUND(VAR(CE6:CE105),3),"")</f>
        <v/>
      </c>
      <c r="CF114" s="238"/>
      <c r="CG114" s="235" t="str">
        <f>IF(CI109&gt;0,ROUND(VAR(CG6:CG105),3),"")</f>
        <v/>
      </c>
      <c r="CH114" s="235" t="str">
        <f>IF(CI109&gt;0,ROUND(VAR(CH6:CH105),3),"")</f>
        <v/>
      </c>
      <c r="CI114" s="238"/>
      <c r="CJ114" s="235" t="str">
        <f>IF(CL109&gt;0,ROUND(VAR(CJ6:CJ105),3),"")</f>
        <v/>
      </c>
      <c r="CK114" s="235" t="str">
        <f>IF(CL109&gt;0,ROUND(VAR(CK6:CK105),3),"")</f>
        <v/>
      </c>
      <c r="CL114" s="238"/>
      <c r="CM114" s="235" t="str">
        <f>IF(CO109&gt;0,ROUND(VAR(CM6:CM105),3),"")</f>
        <v/>
      </c>
      <c r="CN114" s="235" t="str">
        <f>IF(CO109&gt;0,ROUND(VAR(CN6:CN105),3),"")</f>
        <v/>
      </c>
      <c r="CO114" s="238"/>
      <c r="CP114" s="235" t="str">
        <f>IF(CR109&gt;0,ROUND(VAR(CP6:CP105),3),"")</f>
        <v/>
      </c>
      <c r="CQ114" s="235" t="str">
        <f>IF(CR109&gt;0,ROUND(VAR(CQ6:CQ105),3),"")</f>
        <v/>
      </c>
      <c r="CR114" s="238"/>
      <c r="CS114" s="235" t="str">
        <f>IF(CU109&gt;0,ROUND(VAR(CS6:CS105),3),"")</f>
        <v/>
      </c>
      <c r="CT114" s="235" t="str">
        <f>IF(CU109&gt;0,ROUND(VAR(CT6:CT105),3),"")</f>
        <v/>
      </c>
      <c r="CU114" s="238"/>
      <c r="CV114" s="235" t="str">
        <f>IF(CX109&gt;0,ROUND(VAR(CV6:CV105),3),"")</f>
        <v/>
      </c>
      <c r="CW114" s="235" t="str">
        <f>IF(CX109&gt;0,ROUND(VAR(CW6:CW105),3),"")</f>
        <v/>
      </c>
      <c r="CX114" s="238"/>
      <c r="CY114" s="235" t="str">
        <f>IF(DA109&gt;0,ROUND(VAR(CY6:CY105),3),"")</f>
        <v/>
      </c>
      <c r="CZ114" s="235" t="str">
        <f>IF(DA109&gt;0,ROUND(VAR(CZ6:CZ105),3),"")</f>
        <v/>
      </c>
      <c r="DA114" s="238"/>
      <c r="DB114" s="235" t="str">
        <f>IF(DD109&gt;0,ROUND(VAR(DB6:DB105),3),"")</f>
        <v/>
      </c>
      <c r="DC114" s="235" t="str">
        <f>IF(DD109&gt;0,ROUND(VAR(DC6:DC105),3),"")</f>
        <v/>
      </c>
      <c r="DD114" s="238"/>
      <c r="DE114" s="234" t="s">
        <v>116</v>
      </c>
      <c r="DF114" s="235" t="str">
        <f>IF(DH109&gt;0,ROUND(VAR(DF6:DF105),3),"")</f>
        <v/>
      </c>
      <c r="DG114" s="235" t="str">
        <f>IF(DH109&gt;0,ROUND(VAR(DG6:DG105),3),"")</f>
        <v/>
      </c>
      <c r="DH114" s="238"/>
      <c r="DI114" s="235" t="str">
        <f>IF(DK109&gt;0,ROUND(VAR(DI6:DI105),3),"")</f>
        <v/>
      </c>
      <c r="DJ114" s="235" t="str">
        <f>IF(DK109&gt;0,ROUND(VAR(DJ6:DJ105),3),"")</f>
        <v/>
      </c>
      <c r="DK114" s="238"/>
      <c r="DL114" s="235" t="str">
        <f>IF(DN109&gt;0,ROUND(VAR(DL6:DL105),3),"")</f>
        <v/>
      </c>
      <c r="DM114" s="235" t="str">
        <f>IF(DN109&gt;0,ROUND(VAR(DM6:DM105),3),"")</f>
        <v/>
      </c>
      <c r="DN114" s="238"/>
      <c r="DO114" s="235" t="str">
        <f>IF(DQ109&gt;0,ROUND(VAR(DO6:DO105),3),"")</f>
        <v/>
      </c>
      <c r="DP114" s="235" t="str">
        <f>IF(DQ109&gt;0,ROUND(VAR(DP6:DP105),3),"")</f>
        <v/>
      </c>
      <c r="DQ114" s="238"/>
      <c r="DR114" s="235" t="str">
        <f>IF(DT109&gt;0,ROUND(VAR(DR6:DR105),3),"")</f>
        <v/>
      </c>
      <c r="DS114" s="235" t="str">
        <f>IF(DT109&gt;0,ROUND(VAR(DS6:DS105),3),"")</f>
        <v/>
      </c>
      <c r="DT114" s="238"/>
      <c r="DU114" s="235" t="str">
        <f>IF(DW109&gt;0,ROUND(VAR(DU6:DU105),3),"")</f>
        <v/>
      </c>
      <c r="DV114" s="235" t="str">
        <f>IF(DW109&gt;0,ROUND(VAR(DV6:DV105),3),"")</f>
        <v/>
      </c>
      <c r="DW114" s="238"/>
      <c r="DX114" s="235" t="str">
        <f>IF(DZ109&gt;0,ROUND(VAR(DX6:DX105),3),"")</f>
        <v/>
      </c>
      <c r="DY114" s="235" t="str">
        <f>IF(DZ109&gt;0,ROUND(VAR(DY6:DY105),3),"")</f>
        <v/>
      </c>
      <c r="DZ114" s="238"/>
      <c r="EA114" s="235" t="str">
        <f>IF(EC109&gt;0,ROUND(VAR(EA6:EA105),3),"")</f>
        <v/>
      </c>
      <c r="EB114" s="235" t="str">
        <f>IF(EC109&gt;0,ROUND(VAR(EB6:EB105),3),"")</f>
        <v/>
      </c>
      <c r="EC114" s="238"/>
      <c r="ED114" s="234" t="s">
        <v>116</v>
      </c>
      <c r="EE114" s="235" t="str">
        <f>IF(EG109&gt;0,ROUND(VAR(EE6:EE105),3),"")</f>
        <v/>
      </c>
      <c r="EF114" s="235" t="str">
        <f>IF(EG109&gt;0,ROUND(VAR(EF6:EF105),3),"")</f>
        <v/>
      </c>
      <c r="EG114" s="238"/>
      <c r="EH114" s="235" t="str">
        <f>IF(EJ109&gt;0,ROUND(VAR(EH6:EH105),3),"")</f>
        <v/>
      </c>
      <c r="EI114" s="235" t="str">
        <f>IF(EJ109&gt;0,ROUND(VAR(EI6:EI105),3),"")</f>
        <v/>
      </c>
      <c r="EJ114" s="238"/>
      <c r="EK114" s="235" t="str">
        <f>IF(EM109&gt;0,ROUND(VAR(EK6:EK105),3),"")</f>
        <v/>
      </c>
      <c r="EL114" s="235" t="str">
        <f>IF(EM109&gt;0,ROUND(VAR(EL6:EL105),3),"")</f>
        <v/>
      </c>
      <c r="EM114" s="238"/>
      <c r="EN114" s="235" t="str">
        <f>IF(EP109&gt;0,ROUND(VAR(EN6:EN105),3),"")</f>
        <v/>
      </c>
      <c r="EO114" s="235" t="str">
        <f>IF(EP109&gt;0,ROUND(VAR(EO6:EO105),3),"")</f>
        <v/>
      </c>
      <c r="EP114" s="238"/>
      <c r="EQ114" s="235" t="str">
        <f>IF(ES109&gt;0,ROUND(VAR(EQ6:EQ105),3),"")</f>
        <v/>
      </c>
      <c r="ER114" s="235" t="str">
        <f>IF(ES109&gt;0,ROUND(VAR(ER6:ER105),3),"")</f>
        <v/>
      </c>
      <c r="ES114" s="238"/>
      <c r="ET114" s="235" t="str">
        <f>IF(EV109&gt;0,ROUND(VAR(ET6:ET105),3),"")</f>
        <v/>
      </c>
      <c r="EU114" s="235" t="str">
        <f>IF(EV109&gt;0,ROUND(VAR(EU6:EU105),3),"")</f>
        <v/>
      </c>
      <c r="EV114" s="238"/>
      <c r="EW114" s="235" t="str">
        <f>IF(EY109&gt;0,ROUND(VAR(EW6:EW105),3),"")</f>
        <v/>
      </c>
      <c r="EX114" s="235" t="str">
        <f>IF(EY109&gt;0,ROUND(VAR(EX6:EX105),3),"")</f>
        <v/>
      </c>
      <c r="EY114" s="238"/>
      <c r="EZ114" s="234" t="s">
        <v>116</v>
      </c>
      <c r="FA114" s="235" t="str">
        <f>IF(FC109&gt;0,ROUND(VAR(FA6:FA105),3),"")</f>
        <v/>
      </c>
      <c r="FB114" s="235" t="str">
        <f>IF(FC109&gt;0,ROUND(VAR(FB6:FB105),3),"")</f>
        <v/>
      </c>
      <c r="FC114" s="238"/>
      <c r="FD114" s="235" t="str">
        <f>IF(FF109&gt;0,ROUND(VAR(FD6:FD105),3),"")</f>
        <v/>
      </c>
      <c r="FE114" s="235" t="str">
        <f>IF(FF109&gt;0,ROUND(VAR(FE6:FE105),3),"")</f>
        <v/>
      </c>
      <c r="FF114" s="238"/>
      <c r="FG114" s="235" t="str">
        <f>IF(FI109&gt;0,ROUND(VAR(FG6:FG105),3),"")</f>
        <v/>
      </c>
      <c r="FH114" s="235" t="str">
        <f>IF(FI109&gt;0,ROUND(VAR(FH6:FH105),3),"")</f>
        <v/>
      </c>
      <c r="FI114" s="238"/>
      <c r="FJ114" s="235" t="str">
        <f>IF(FL109&gt;0,ROUND(VAR(FJ6:FJ105),3),"")</f>
        <v/>
      </c>
      <c r="FK114" s="235" t="str">
        <f>IF(FL109&gt;0,ROUND(VAR(FK6:FK105),3),"")</f>
        <v/>
      </c>
      <c r="FL114" s="238"/>
      <c r="FM114" s="235" t="str">
        <f>IF(FO109&gt;0,ROUND(VAR(FM6:FM105),3),"")</f>
        <v/>
      </c>
      <c r="FN114" s="235" t="str">
        <f>IF(FO109&gt;0,ROUND(VAR(FN6:FN105),3),"")</f>
        <v/>
      </c>
      <c r="FO114" s="238"/>
      <c r="FP114" s="235" t="str">
        <f>IF(FR109&gt;0,ROUND(VAR(FP6:FP105),3),"")</f>
        <v/>
      </c>
      <c r="FQ114" s="235" t="str">
        <f>IF(FR109&gt;0,ROUND(VAR(FQ6:FQ105),3),"")</f>
        <v/>
      </c>
      <c r="FR114" s="238"/>
      <c r="FS114" s="234" t="s">
        <v>116</v>
      </c>
      <c r="FT114" s="235" t="str">
        <f>IF(FV109&gt;0,ROUND(VAR(FT6:FT105),3),"")</f>
        <v/>
      </c>
      <c r="FU114" s="235" t="str">
        <f>IF(FV109&gt;0,ROUND(VAR(FU6:FU105),3),"")</f>
        <v/>
      </c>
      <c r="FV114" s="238"/>
      <c r="FW114" s="235" t="str">
        <f>IF(FY109&gt;0,ROUND(VAR(FW6:FW105),3),"")</f>
        <v/>
      </c>
      <c r="FX114" s="235" t="str">
        <f>IF(FY109&gt;0,ROUND(VAR(FX6:FX105),3),"")</f>
        <v/>
      </c>
      <c r="FY114" s="238"/>
      <c r="FZ114" s="235" t="str">
        <f>IF(GB109&gt;0,ROUND(VAR(FZ6:FZ105),3),"")</f>
        <v/>
      </c>
      <c r="GA114" s="235" t="str">
        <f>IF(GB109&gt;0,ROUND(VAR(GA6:GA105),3),"")</f>
        <v/>
      </c>
      <c r="GB114" s="238"/>
      <c r="GC114" s="235" t="str">
        <f>IF(GE109&gt;0,ROUND(VAR(GC6:GC105),3),"")</f>
        <v/>
      </c>
      <c r="GD114" s="235" t="str">
        <f>IF(GE109&gt;0,ROUND(VAR(GD6:GD105),3),"")</f>
        <v/>
      </c>
      <c r="GE114" s="238"/>
      <c r="GF114" s="235" t="str">
        <f>IF(GH109&gt;0,ROUND(VAR(GF6:GF105),3),"")</f>
        <v/>
      </c>
      <c r="GG114" s="235" t="str">
        <f>IF(GH109&gt;0,ROUND(VAR(GG6:GG105),3),"")</f>
        <v/>
      </c>
      <c r="GH114" s="238"/>
      <c r="GI114" s="234" t="s">
        <v>116</v>
      </c>
      <c r="GJ114" s="235" t="str">
        <f>IF(GL109&gt;0,ROUND(VAR(GJ5:GJ104),3),"")</f>
        <v/>
      </c>
      <c r="GK114" s="235" t="str">
        <f>IF(GL109&gt;0,ROUND(VAR(GK5:GK104),3),"")</f>
        <v/>
      </c>
      <c r="GL114" s="238"/>
      <c r="GM114" s="235" t="str">
        <f>IF(GO109&gt;0,ROUND(VAR(GM5:GM104),3),"")</f>
        <v/>
      </c>
      <c r="GN114" s="235" t="str">
        <f>IF(GO109&gt;0,ROUND(VAR(GN5:GN104),3),"")</f>
        <v/>
      </c>
      <c r="GO114" s="238"/>
      <c r="GP114" s="235" t="str">
        <f>IF(GR109&gt;0,ROUND(VAR(GP5:GP104),3),"")</f>
        <v/>
      </c>
      <c r="GQ114" s="235" t="str">
        <f>IF(GR109&gt;0,ROUND(VAR(GQ5:GQ104),3),"")</f>
        <v/>
      </c>
      <c r="GR114" s="238"/>
      <c r="GS114" s="235" t="str">
        <f>IF(GU109&gt;0,ROUND(VAR(GS5:GS104),3),"")</f>
        <v/>
      </c>
      <c r="GT114" s="235" t="str">
        <f>IF(GU109&gt;0,ROUND(VAR(GT5:GT104),3),"")</f>
        <v/>
      </c>
      <c r="GU114" s="238"/>
      <c r="GV114" s="234" t="s">
        <v>116</v>
      </c>
      <c r="GW114" s="235" t="str">
        <f>IF(GY109&gt;0,ROUND(VAR(GW5:GW104),3),"")</f>
        <v/>
      </c>
      <c r="GX114" s="235" t="str">
        <f>IF(GY109&gt;0,ROUND(VAR(GX5:GX104),3),"")</f>
        <v/>
      </c>
      <c r="GY114" s="238"/>
      <c r="GZ114" s="235" t="str">
        <f>IF(HB109&gt;0,ROUND(VAR(GZ5:GZ104),3),"")</f>
        <v/>
      </c>
      <c r="HA114" s="235" t="str">
        <f>IF(HB109&gt;0,ROUND(VAR(HA5:HA104),3),"")</f>
        <v/>
      </c>
      <c r="HB114" s="238"/>
      <c r="HC114" s="235" t="str">
        <f>IF(HE109&gt;0,ROUND(VAR(HC5:HC104),3),"")</f>
        <v/>
      </c>
      <c r="HD114" s="235" t="str">
        <f>IF(HE109&gt;0,ROUND(VAR(HD5:HD104),3),"")</f>
        <v/>
      </c>
      <c r="HE114" s="238"/>
      <c r="HF114" s="234" t="s">
        <v>116</v>
      </c>
      <c r="HG114" s="235" t="str">
        <f>IF(HI109&gt;0,ROUND(VAR(HG5:HG104),3),"")</f>
        <v/>
      </c>
      <c r="HH114" s="235" t="str">
        <f>IF(HI109&gt;0,ROUND(VAR(HH5:HH104),3),"")</f>
        <v/>
      </c>
      <c r="HI114" s="238"/>
      <c r="HJ114" s="235" t="str">
        <f>IF(HL109&gt;0,ROUND(VAR(HJ6:HJ105),3),"")</f>
        <v/>
      </c>
      <c r="HK114" s="235" t="str">
        <f>IF(HL109&gt;0,ROUND(VAR(HK6:HK105),3),"")</f>
        <v/>
      </c>
      <c r="HL114" s="238"/>
      <c r="HM114" s="234" t="s">
        <v>116</v>
      </c>
      <c r="HN114" s="235" t="str">
        <f>IF(HP109&gt;0,ROUND(VAR(HN6:HN105),3),"")</f>
        <v/>
      </c>
      <c r="HO114" s="235" t="str">
        <f>IF(HP109&gt;0,ROUND(VAR(HO6:HO105),3),"")</f>
        <v/>
      </c>
      <c r="HP114" s="238"/>
      <c r="HQ114" s="234" t="s">
        <v>116</v>
      </c>
      <c r="HR114" s="235" t="str">
        <f>IF(HT109&gt;0,ROUND(VAR(HR6:HR105),3),"")</f>
        <v/>
      </c>
      <c r="HS114" s="235" t="str">
        <f>IF(HT109&gt;0,ROUND(VAR(HS6:HS105),3),"")</f>
        <v/>
      </c>
      <c r="HT114" s="238"/>
      <c r="HU114" s="235" t="str">
        <f>IF(HW109&gt;0,ROUND(VAR(HU6:HU105),3),"")</f>
        <v/>
      </c>
      <c r="HV114" s="235" t="str">
        <f>IF(HW109&gt;0,ROUND(VAR(HV6:HV105),3),"")</f>
        <v/>
      </c>
      <c r="HW114" s="238"/>
      <c r="HX114" s="235" t="str">
        <f>IF(HZ109&gt;0,ROUND(VAR(HX6:HX105),3),"")</f>
        <v/>
      </c>
      <c r="HY114" s="235" t="str">
        <f>IF(HZ109&gt;0,ROUND(VAR(HY6:HY105),3),"")</f>
        <v/>
      </c>
      <c r="HZ114" s="238"/>
      <c r="IA114" s="235" t="str">
        <f>IF(IC109&gt;0,ROUND(VAR(IA6:IA105),3),"")</f>
        <v/>
      </c>
      <c r="IB114" s="235" t="str">
        <f>IF(IC109&gt;0,ROUND(VAR(IB6:IB105),3),"")</f>
        <v/>
      </c>
      <c r="IC114" s="238"/>
      <c r="ID114" s="235" t="str">
        <f>IF(IF109&gt;0,ROUND(VAR(ID6:ID105),3),"")</f>
        <v/>
      </c>
      <c r="IE114" s="235" t="str">
        <f>IF(IF109&gt;0,ROUND(VAR(IE6:IE105),3),"")</f>
        <v/>
      </c>
      <c r="IF114" s="238"/>
      <c r="IG114" s="235" t="str">
        <f>IF(II109&gt;0,ROUND(VAR(IG6:IG105),3),"")</f>
        <v/>
      </c>
      <c r="IH114" s="235" t="str">
        <f>IF(II109&gt;0,ROUND(VAR(IH6:IH105),3),"")</f>
        <v/>
      </c>
      <c r="II114" s="238"/>
      <c r="IJ114" s="235" t="str">
        <f>IF(IL109&gt;0,ROUND(VAR(IJ6:IJ105),3),"")</f>
        <v/>
      </c>
      <c r="IK114" s="235" t="str">
        <f>IF(IL109&gt;0,ROUND(VAR(IK6:IK105),3),"")</f>
        <v/>
      </c>
      <c r="IL114" s="238"/>
      <c r="IM114" s="235" t="str">
        <f>IF(IO109&gt;0,ROUND(VAR(IM6:IM105),3),"")</f>
        <v/>
      </c>
      <c r="IN114" s="235" t="str">
        <f>IF(IO109&gt;0,ROUND(VAR(IN6:IN105),3),"")</f>
        <v/>
      </c>
      <c r="IO114" s="238"/>
      <c r="IP114" s="235" t="str">
        <f>IF(IR109&gt;0,ROUND(VAR(IP6:IP105),3),"")</f>
        <v/>
      </c>
      <c r="IQ114" s="235" t="str">
        <f>IF(IR109&gt;0,ROUND(VAR(IQ6:IQ105),3),"")</f>
        <v/>
      </c>
      <c r="IR114" s="238"/>
      <c r="IS114" s="235" t="str">
        <f>IF(IU109&gt;0,ROUND(VAR(IS6:IS105),3),"")</f>
        <v/>
      </c>
      <c r="IT114" s="235" t="str">
        <f>IF(IU109&gt;0,ROUND(VAR(IT6:IT105),3),"")</f>
        <v/>
      </c>
      <c r="IU114" s="238"/>
    </row>
    <row r="115" spans="1:255" x14ac:dyDescent="0.2">
      <c r="A115" s="227" t="s">
        <v>226</v>
      </c>
      <c r="B115" s="227" t="str">
        <f>IF(B109&gt;0,B114/B111*100,"")</f>
        <v/>
      </c>
      <c r="C115" s="227" t="str">
        <f t="shared" ref="C115:M115" si="704">IF(C109&gt;0,C114/C111*100,"")</f>
        <v/>
      </c>
      <c r="D115" s="227" t="str">
        <f t="shared" si="704"/>
        <v/>
      </c>
      <c r="E115" s="227" t="str">
        <f t="shared" si="704"/>
        <v/>
      </c>
      <c r="F115" s="227" t="str">
        <f t="shared" si="704"/>
        <v/>
      </c>
      <c r="G115" s="227" t="str">
        <f t="shared" si="704"/>
        <v/>
      </c>
      <c r="H115" s="227" t="str">
        <f t="shared" si="704"/>
        <v/>
      </c>
      <c r="I115" s="227" t="str">
        <f t="shared" si="704"/>
        <v/>
      </c>
      <c r="J115" s="227" t="str">
        <f t="shared" si="704"/>
        <v/>
      </c>
      <c r="K115" s="227" t="str">
        <f t="shared" si="704"/>
        <v/>
      </c>
      <c r="L115" s="237" t="s">
        <v>224</v>
      </c>
      <c r="M115" s="227">
        <f t="shared" si="704"/>
        <v>4.3810579859787726</v>
      </c>
      <c r="N115" s="227" t="s">
        <v>226</v>
      </c>
      <c r="O115" s="228"/>
      <c r="P115" s="229"/>
      <c r="Q115" s="230" t="s">
        <v>16</v>
      </c>
      <c r="R115" s="230" t="str">
        <f t="shared" si="678"/>
        <v/>
      </c>
      <c r="S115" s="230"/>
      <c r="T115" s="230"/>
      <c r="U115" s="230" t="str">
        <f t="shared" si="679"/>
        <v/>
      </c>
      <c r="V115" s="230"/>
      <c r="W115" s="230"/>
      <c r="X115" s="230" t="str">
        <f t="shared" si="680"/>
        <v/>
      </c>
      <c r="Y115" s="230"/>
      <c r="Z115" s="230"/>
      <c r="AA115" s="230" t="str">
        <f t="shared" si="681"/>
        <v/>
      </c>
      <c r="AB115" s="230"/>
      <c r="AC115" s="230"/>
      <c r="AD115" s="230" t="str">
        <f t="shared" si="682"/>
        <v/>
      </c>
      <c r="AE115" s="230"/>
      <c r="AF115" s="230"/>
      <c r="AG115" s="230" t="str">
        <f t="shared" si="683"/>
        <v/>
      </c>
      <c r="AH115" s="230"/>
      <c r="AI115" s="230"/>
      <c r="AJ115" s="230" t="str">
        <f t="shared" si="684"/>
        <v/>
      </c>
      <c r="AK115" s="230"/>
      <c r="AL115" s="230"/>
      <c r="AM115" s="230" t="str">
        <f t="shared" si="685"/>
        <v/>
      </c>
      <c r="AN115" s="230"/>
      <c r="AO115" s="230"/>
      <c r="AP115" s="230" t="str">
        <f t="shared" si="686"/>
        <v/>
      </c>
      <c r="AQ115" s="230"/>
      <c r="AR115" s="230"/>
      <c r="AS115" s="230" t="str">
        <f t="shared" si="687"/>
        <v/>
      </c>
      <c r="AT115" s="230"/>
      <c r="AU115" s="202"/>
      <c r="AV115" s="230" t="e">
        <f t="shared" ref="AV115:AV146" si="705">IF(L13&gt;0,STDEV(R115,U115,X115,AA115,AD115,AG115,AJ115,AM115,AP115,AS115),"")</f>
        <v>#DIV/0!</v>
      </c>
      <c r="AW115" s="202"/>
      <c r="AX115" s="234" t="s">
        <v>117</v>
      </c>
      <c r="AY115" s="235" t="e">
        <f>IF($AB$106&gt;0,ROUND(SQRT(AY114),3),"")</f>
        <v>#VALUE!</v>
      </c>
      <c r="AZ115" s="235" t="e">
        <f>IF($AB$106&gt;0,ROUND(SQRT(AZ114),3),"")</f>
        <v>#VALUE!</v>
      </c>
      <c r="BA115" s="238"/>
      <c r="BB115" s="235" t="e">
        <f>IF($AB$106&gt;0,ROUND(SQRT(BB114),3),"")</f>
        <v>#VALUE!</v>
      </c>
      <c r="BC115" s="235" t="e">
        <f>IF($AB$106&gt;0,ROUND(SQRT(BC114),3),"")</f>
        <v>#VALUE!</v>
      </c>
      <c r="BD115" s="238"/>
      <c r="BE115" s="235" t="e">
        <f>IF($AB$106&gt;0,ROUND(SQRT(BE114),3),"")</f>
        <v>#VALUE!</v>
      </c>
      <c r="BF115" s="235" t="e">
        <f>IF($AB$106&gt;0,ROUND(SQRT(BF114),3),"")</f>
        <v>#VALUE!</v>
      </c>
      <c r="BG115" s="238"/>
      <c r="BH115" s="235" t="e">
        <f>IF($AB$106&gt;0,ROUND(SQRT(BH114),3),"")</f>
        <v>#VALUE!</v>
      </c>
      <c r="BI115" s="235" t="e">
        <f>IF($AB$106&gt;0,ROUND(SQRT(BI114),3),"")</f>
        <v>#VALUE!</v>
      </c>
      <c r="BJ115" s="238"/>
      <c r="BK115" s="235" t="e">
        <f>IF($AB$106&gt;0,ROUND(SQRT(BK114),3),"")</f>
        <v>#VALUE!</v>
      </c>
      <c r="BL115" s="235" t="e">
        <f>IF($AB$106&gt;0,ROUND(SQRT(BL114),3),"")</f>
        <v>#VALUE!</v>
      </c>
      <c r="BM115" s="238"/>
      <c r="BN115" s="235" t="e">
        <f>IF($AB$106&gt;0,ROUND(SQRT(BN114),3),"")</f>
        <v>#VALUE!</v>
      </c>
      <c r="BO115" s="235" t="e">
        <f>IF($AB$106&gt;0,ROUND(SQRT(BO114),3),"")</f>
        <v>#VALUE!</v>
      </c>
      <c r="BP115" s="238"/>
      <c r="BQ115" s="235" t="e">
        <f>IF($AB$106&gt;0,ROUND(SQRT(BQ114),3),"")</f>
        <v>#VALUE!</v>
      </c>
      <c r="BR115" s="235" t="e">
        <f>IF($AB$106&gt;0,ROUND(SQRT(BR114),3),"")</f>
        <v>#VALUE!</v>
      </c>
      <c r="BS115" s="238"/>
      <c r="BT115" s="235" t="e">
        <f>IF($AB$106&gt;0,ROUND(SQRT(BT114),3),"")</f>
        <v>#VALUE!</v>
      </c>
      <c r="BU115" s="235" t="e">
        <f>IF($AB$106&gt;0,ROUND(SQRT(BU114),3),"")</f>
        <v>#VALUE!</v>
      </c>
      <c r="BV115" s="238"/>
      <c r="BW115" s="235" t="e">
        <f>IF($AB$106&gt;0,ROUND(SQRT(BW114),3),"")</f>
        <v>#VALUE!</v>
      </c>
      <c r="BX115" s="235" t="e">
        <f>IF($AB$106&gt;0,ROUND(SQRT(BX114),3),"")</f>
        <v>#VALUE!</v>
      </c>
      <c r="BY115" s="238"/>
      <c r="BZ115" s="235" t="e">
        <f>IF($AB$106&gt;0,ROUND(SQRT(BZ114),3),"")</f>
        <v>#VALUE!</v>
      </c>
      <c r="CA115" s="235" t="e">
        <f>IF($AB$106&gt;0,ROUND(SQRT(CA114),3),"")</f>
        <v>#VALUE!</v>
      </c>
      <c r="CB115" s="238"/>
      <c r="CC115" s="234" t="s">
        <v>117</v>
      </c>
      <c r="CD115" s="235" t="e">
        <f>IF($AB$106&gt;0,ROUND(SQRT(CD114),3),"")</f>
        <v>#VALUE!</v>
      </c>
      <c r="CE115" s="235" t="e">
        <f>IF($AB$106&gt;0,ROUND(SQRT(CE114),3),"")</f>
        <v>#VALUE!</v>
      </c>
      <c r="CF115" s="238"/>
      <c r="CG115" s="235" t="e">
        <f>IF($AB$106&gt;0,ROUND(SQRT(CG114),3),"")</f>
        <v>#VALUE!</v>
      </c>
      <c r="CH115" s="235" t="e">
        <f>IF($AB$106&gt;0,ROUND(SQRT(CH114),3),"")</f>
        <v>#VALUE!</v>
      </c>
      <c r="CI115" s="238"/>
      <c r="CJ115" s="235" t="e">
        <f>IF($AB$106&gt;0,ROUND(SQRT(CJ114),3),"")</f>
        <v>#VALUE!</v>
      </c>
      <c r="CK115" s="235" t="e">
        <f>IF($AB$106&gt;0,ROUND(SQRT(CK114),3),"")</f>
        <v>#VALUE!</v>
      </c>
      <c r="CL115" s="238"/>
      <c r="CM115" s="235" t="e">
        <f>IF($AB$106&gt;0,ROUND(SQRT(CM114),3),"")</f>
        <v>#VALUE!</v>
      </c>
      <c r="CN115" s="235" t="e">
        <f>IF($AB$106&gt;0,ROUND(SQRT(CN114),3),"")</f>
        <v>#VALUE!</v>
      </c>
      <c r="CO115" s="238"/>
      <c r="CP115" s="235" t="e">
        <f>IF($AB$106&gt;0,ROUND(SQRT(CP114),3),"")</f>
        <v>#VALUE!</v>
      </c>
      <c r="CQ115" s="235" t="e">
        <f>IF($AB$106&gt;0,ROUND(SQRT(CQ114),3),"")</f>
        <v>#VALUE!</v>
      </c>
      <c r="CR115" s="238"/>
      <c r="CS115" s="235" t="e">
        <f>IF($AB$106&gt;0,ROUND(SQRT(CS114),3),"")</f>
        <v>#VALUE!</v>
      </c>
      <c r="CT115" s="235" t="e">
        <f>IF($AB$106&gt;0,ROUND(SQRT(CT114),3),"")</f>
        <v>#VALUE!</v>
      </c>
      <c r="CU115" s="238"/>
      <c r="CV115" s="235" t="e">
        <f>IF($AB$106&gt;0,ROUND(SQRT(CV114),3),"")</f>
        <v>#VALUE!</v>
      </c>
      <c r="CW115" s="235" t="e">
        <f>IF($AB$106&gt;0,ROUND(SQRT(CW114),3),"")</f>
        <v>#VALUE!</v>
      </c>
      <c r="CX115" s="238"/>
      <c r="CY115" s="235" t="e">
        <f>IF($AB$106&gt;0,ROUND(SQRT(CY114),3),"")</f>
        <v>#VALUE!</v>
      </c>
      <c r="CZ115" s="235" t="e">
        <f>IF($AB$106&gt;0,ROUND(SQRT(CZ114),3),"")</f>
        <v>#VALUE!</v>
      </c>
      <c r="DA115" s="238"/>
      <c r="DB115" s="235" t="e">
        <f>IF($AB$106&gt;0,ROUND(SQRT(DB114),3),"")</f>
        <v>#VALUE!</v>
      </c>
      <c r="DC115" s="235" t="e">
        <f>IF($AB$106&gt;0,ROUND(SQRT(DC114),3),"")</f>
        <v>#VALUE!</v>
      </c>
      <c r="DD115" s="238"/>
      <c r="DE115" s="234" t="s">
        <v>117</v>
      </c>
      <c r="DF115" s="235" t="e">
        <f>IF($AB$106&gt;0,ROUND(SQRT(DF114),3),"")</f>
        <v>#VALUE!</v>
      </c>
      <c r="DG115" s="235" t="e">
        <f>IF($AB$106&gt;0,ROUND(SQRT(DG114),3),"")</f>
        <v>#VALUE!</v>
      </c>
      <c r="DH115" s="238"/>
      <c r="DI115" s="235" t="e">
        <f>IF($AB$106&gt;0,ROUND(SQRT(DI114),3),"")</f>
        <v>#VALUE!</v>
      </c>
      <c r="DJ115" s="235" t="e">
        <f>IF($AB$106&gt;0,ROUND(SQRT(DJ114),3),"")</f>
        <v>#VALUE!</v>
      </c>
      <c r="DK115" s="238"/>
      <c r="DL115" s="235" t="e">
        <f>IF($AB$106&gt;0,ROUND(SQRT(DL114),3),"")</f>
        <v>#VALUE!</v>
      </c>
      <c r="DM115" s="235" t="e">
        <f>IF($AB$106&gt;0,ROUND(SQRT(DM114),3),"")</f>
        <v>#VALUE!</v>
      </c>
      <c r="DN115" s="238"/>
      <c r="DO115" s="235" t="e">
        <f>IF($AB$106&gt;0,ROUND(SQRT(DO114),3),"")</f>
        <v>#VALUE!</v>
      </c>
      <c r="DP115" s="235" t="e">
        <f>IF($AB$106&gt;0,ROUND(SQRT(DP114),3),"")</f>
        <v>#VALUE!</v>
      </c>
      <c r="DQ115" s="238"/>
      <c r="DR115" s="235" t="e">
        <f>IF($AB$106&gt;0,ROUND(SQRT(DR114),3),"")</f>
        <v>#VALUE!</v>
      </c>
      <c r="DS115" s="235" t="e">
        <f>IF($AB$106&gt;0,ROUND(SQRT(DS114),3),"")</f>
        <v>#VALUE!</v>
      </c>
      <c r="DT115" s="238"/>
      <c r="DU115" s="235" t="e">
        <f>IF($AB$106&gt;0,ROUND(SQRT(DU114),3),"")</f>
        <v>#VALUE!</v>
      </c>
      <c r="DV115" s="235" t="e">
        <f>IF($AB$106&gt;0,ROUND(SQRT(DV114),3),"")</f>
        <v>#VALUE!</v>
      </c>
      <c r="DW115" s="238"/>
      <c r="DX115" s="235" t="e">
        <f>IF($AB$106&gt;0,ROUND(SQRT(DX114),3),"")</f>
        <v>#VALUE!</v>
      </c>
      <c r="DY115" s="235" t="e">
        <f>IF($AB$106&gt;0,ROUND(SQRT(DY114),3),"")</f>
        <v>#VALUE!</v>
      </c>
      <c r="DZ115" s="238"/>
      <c r="EA115" s="235" t="e">
        <f>IF($AB$106&gt;0,ROUND(SQRT(EA114),3),"")</f>
        <v>#VALUE!</v>
      </c>
      <c r="EB115" s="235" t="e">
        <f>IF($AB$106&gt;0,ROUND(SQRT(EB114),3),"")</f>
        <v>#VALUE!</v>
      </c>
      <c r="EC115" s="238"/>
      <c r="ED115" s="234" t="s">
        <v>117</v>
      </c>
      <c r="EE115" s="235" t="e">
        <f>IF($AB$106&gt;0,ROUND(SQRT(EE114),3),"")</f>
        <v>#VALUE!</v>
      </c>
      <c r="EF115" s="235" t="e">
        <f>IF($AB$106&gt;0,ROUND(SQRT(EF114),3),"")</f>
        <v>#VALUE!</v>
      </c>
      <c r="EG115" s="238"/>
      <c r="EH115" s="235" t="e">
        <f>IF($AB$106&gt;0,ROUND(SQRT(EH114),3),"")</f>
        <v>#VALUE!</v>
      </c>
      <c r="EI115" s="235" t="e">
        <f>IF($AB$106&gt;0,ROUND(SQRT(EI114),3),"")</f>
        <v>#VALUE!</v>
      </c>
      <c r="EJ115" s="238"/>
      <c r="EK115" s="235" t="e">
        <f>IF($AB$106&gt;0,ROUND(SQRT(EK114),3),"")</f>
        <v>#VALUE!</v>
      </c>
      <c r="EL115" s="235" t="e">
        <f>IF($AB$106&gt;0,ROUND(SQRT(EL114),3),"")</f>
        <v>#VALUE!</v>
      </c>
      <c r="EM115" s="238"/>
      <c r="EN115" s="235" t="e">
        <f>IF($AB$106&gt;0,ROUND(SQRT(EN114),3),"")</f>
        <v>#VALUE!</v>
      </c>
      <c r="EO115" s="235" t="e">
        <f>IF($AB$106&gt;0,ROUND(SQRT(EO114),3),"")</f>
        <v>#VALUE!</v>
      </c>
      <c r="EP115" s="238"/>
      <c r="EQ115" s="235" t="e">
        <f>IF($AB$106&gt;0,ROUND(SQRT(EQ114),3),"")</f>
        <v>#VALUE!</v>
      </c>
      <c r="ER115" s="235" t="e">
        <f>IF($AB$106&gt;0,ROUND(SQRT(ER114),3),"")</f>
        <v>#VALUE!</v>
      </c>
      <c r="ES115" s="238"/>
      <c r="ET115" s="235" t="e">
        <f>IF($AB$106&gt;0,ROUND(SQRT(ET114),3),"")</f>
        <v>#VALUE!</v>
      </c>
      <c r="EU115" s="235" t="e">
        <f>IF($AB$106&gt;0,ROUND(SQRT(EU114),3),"")</f>
        <v>#VALUE!</v>
      </c>
      <c r="EV115" s="238"/>
      <c r="EW115" s="235" t="e">
        <f>IF($AB$106&gt;0,ROUND(SQRT(EW114),3),"")</f>
        <v>#VALUE!</v>
      </c>
      <c r="EX115" s="235" t="e">
        <f>IF($AB$106&gt;0,ROUND(SQRT(EX114),3),"")</f>
        <v>#VALUE!</v>
      </c>
      <c r="EY115" s="238"/>
      <c r="EZ115" s="234" t="s">
        <v>117</v>
      </c>
      <c r="FA115" s="235" t="e">
        <f>IF($AB$106&gt;0,ROUND(SQRT(FA114),3),"")</f>
        <v>#VALUE!</v>
      </c>
      <c r="FB115" s="235" t="e">
        <f>IF($AB$106&gt;0,ROUND(SQRT(FB114),3),"")</f>
        <v>#VALUE!</v>
      </c>
      <c r="FC115" s="238"/>
      <c r="FD115" s="235" t="e">
        <f>IF($AB$106&gt;0,ROUND(SQRT(FD114),3),"")</f>
        <v>#VALUE!</v>
      </c>
      <c r="FE115" s="235" t="e">
        <f>IF($AB$106&gt;0,ROUND(SQRT(FE114),3),"")</f>
        <v>#VALUE!</v>
      </c>
      <c r="FF115" s="238"/>
      <c r="FG115" s="235" t="e">
        <f>IF($AB$106&gt;0,ROUND(SQRT(FG114),3),"")</f>
        <v>#VALUE!</v>
      </c>
      <c r="FH115" s="235" t="e">
        <f>IF($AB$106&gt;0,ROUND(SQRT(FH114),3),"")</f>
        <v>#VALUE!</v>
      </c>
      <c r="FI115" s="238"/>
      <c r="FJ115" s="235" t="e">
        <f>IF($AB$106&gt;0,ROUND(SQRT(FJ114),3),"")</f>
        <v>#VALUE!</v>
      </c>
      <c r="FK115" s="235" t="e">
        <f>IF($AB$106&gt;0,ROUND(SQRT(FK114),3),"")</f>
        <v>#VALUE!</v>
      </c>
      <c r="FL115" s="238"/>
      <c r="FM115" s="235" t="e">
        <f>IF($AB$106&gt;0,ROUND(SQRT(FM114),3),"")</f>
        <v>#VALUE!</v>
      </c>
      <c r="FN115" s="235" t="e">
        <f>IF($AB$106&gt;0,ROUND(SQRT(FN114),3),"")</f>
        <v>#VALUE!</v>
      </c>
      <c r="FO115" s="238"/>
      <c r="FP115" s="235" t="e">
        <f>IF($AB$106&gt;0,ROUND(SQRT(FP114),3),"")</f>
        <v>#VALUE!</v>
      </c>
      <c r="FQ115" s="235" t="e">
        <f>IF($AB$106&gt;0,ROUND(SQRT(FQ114),3),"")</f>
        <v>#VALUE!</v>
      </c>
      <c r="FR115" s="238"/>
      <c r="FS115" s="234" t="s">
        <v>117</v>
      </c>
      <c r="FT115" s="235" t="e">
        <f>IF($AB$106&gt;0,ROUND(SQRT(FT114),3),"")</f>
        <v>#VALUE!</v>
      </c>
      <c r="FU115" s="235" t="e">
        <f>IF($AB$106&gt;0,ROUND(SQRT(FU114),3),"")</f>
        <v>#VALUE!</v>
      </c>
      <c r="FV115" s="238"/>
      <c r="FW115" s="235" t="e">
        <f>IF($AB$106&gt;0,ROUND(SQRT(FW114),3),"")</f>
        <v>#VALUE!</v>
      </c>
      <c r="FX115" s="235" t="e">
        <f>IF($AB$106&gt;0,ROUND(SQRT(FX114),3),"")</f>
        <v>#VALUE!</v>
      </c>
      <c r="FY115" s="238"/>
      <c r="FZ115" s="235" t="e">
        <f>IF($AB$106&gt;0,ROUND(SQRT(FZ114),3),"")</f>
        <v>#VALUE!</v>
      </c>
      <c r="GA115" s="235" t="e">
        <f>IF($AB$106&gt;0,ROUND(SQRT(GA114),3),"")</f>
        <v>#VALUE!</v>
      </c>
      <c r="GB115" s="238"/>
      <c r="GC115" s="235" t="e">
        <f>IF($AB$106&gt;0,ROUND(SQRT(GC114),3),"")</f>
        <v>#VALUE!</v>
      </c>
      <c r="GD115" s="235" t="e">
        <f>IF($AB$106&gt;0,ROUND(SQRT(GD114),3),"")</f>
        <v>#VALUE!</v>
      </c>
      <c r="GE115" s="238"/>
      <c r="GF115" s="235" t="e">
        <f>IF($AB$106&gt;0,ROUND(SQRT(GF114),3),"")</f>
        <v>#VALUE!</v>
      </c>
      <c r="GG115" s="235" t="e">
        <f>IF($AB$106&gt;0,ROUND(SQRT(GG114),3),"")</f>
        <v>#VALUE!</v>
      </c>
      <c r="GH115" s="238"/>
      <c r="GI115" s="234" t="s">
        <v>117</v>
      </c>
      <c r="GJ115" s="235" t="e">
        <f>IF($AB$106&gt;0,ROUND(SQRT(GJ114),3),"")</f>
        <v>#VALUE!</v>
      </c>
      <c r="GK115" s="235" t="e">
        <f>IF($AB$106&gt;0,ROUND(SQRT(GK114),3),"")</f>
        <v>#VALUE!</v>
      </c>
      <c r="GL115" s="238"/>
      <c r="GM115" s="235" t="e">
        <f>IF($AB$106&gt;0,ROUND(SQRT(GM114),3),"")</f>
        <v>#VALUE!</v>
      </c>
      <c r="GN115" s="235" t="e">
        <f>IF($AB$106&gt;0,ROUND(SQRT(GN114),3),"")</f>
        <v>#VALUE!</v>
      </c>
      <c r="GO115" s="238"/>
      <c r="GP115" s="235" t="e">
        <f>IF($AB$106&gt;0,ROUND(SQRT(GP114),3),"")</f>
        <v>#VALUE!</v>
      </c>
      <c r="GQ115" s="235" t="e">
        <f>IF($AB$106&gt;0,ROUND(SQRT(GQ114),3),"")</f>
        <v>#VALUE!</v>
      </c>
      <c r="GR115" s="238"/>
      <c r="GS115" s="235" t="e">
        <f>IF($AB$106&gt;0,ROUND(SQRT(GS114),3),"")</f>
        <v>#VALUE!</v>
      </c>
      <c r="GT115" s="235" t="e">
        <f>IF($AB$106&gt;0,ROUND(SQRT(GT114),3),"")</f>
        <v>#VALUE!</v>
      </c>
      <c r="GU115" s="238"/>
      <c r="GV115" s="234" t="s">
        <v>117</v>
      </c>
      <c r="GW115" s="235" t="e">
        <f>IF($AB$106&gt;0,ROUND(SQRT(GW114),3),"")</f>
        <v>#VALUE!</v>
      </c>
      <c r="GX115" s="235" t="e">
        <f>IF($AB$106&gt;0,ROUND(SQRT(GX114),3),"")</f>
        <v>#VALUE!</v>
      </c>
      <c r="GY115" s="238"/>
      <c r="GZ115" s="235" t="e">
        <f>IF($AB$106&gt;0,ROUND(SQRT(GZ114),3),"")</f>
        <v>#VALUE!</v>
      </c>
      <c r="HA115" s="235" t="e">
        <f>IF($AB$106&gt;0,ROUND(SQRT(HA114),3),"")</f>
        <v>#VALUE!</v>
      </c>
      <c r="HB115" s="238"/>
      <c r="HC115" s="235" t="e">
        <f>IF($AB$106&gt;0,ROUND(SQRT(HC114),3),"")</f>
        <v>#VALUE!</v>
      </c>
      <c r="HD115" s="235" t="e">
        <f>IF($AB$106&gt;0,ROUND(SQRT(HD114),3),"")</f>
        <v>#VALUE!</v>
      </c>
      <c r="HE115" s="238"/>
      <c r="HF115" s="234" t="s">
        <v>117</v>
      </c>
      <c r="HG115" s="235" t="e">
        <f>IF($AB$106&gt;0,ROUND(SQRT(HG114),3),"")</f>
        <v>#VALUE!</v>
      </c>
      <c r="HH115" s="235" t="e">
        <f>IF($AB$106&gt;0,ROUND(SQRT(HH114),3),"")</f>
        <v>#VALUE!</v>
      </c>
      <c r="HI115" s="238"/>
      <c r="HJ115" s="235" t="e">
        <f>IF($AB$106&gt;0,ROUND(SQRT(HJ114),3),"")</f>
        <v>#VALUE!</v>
      </c>
      <c r="HK115" s="235" t="e">
        <f>IF($AB$106&gt;0,ROUND(SQRT(HK114),3),"")</f>
        <v>#VALUE!</v>
      </c>
      <c r="HL115" s="238"/>
      <c r="HM115" s="234" t="s">
        <v>117</v>
      </c>
      <c r="HN115" s="235" t="e">
        <f>IF($AB$106&gt;0,ROUND(SQRT(HN114),3),"")</f>
        <v>#VALUE!</v>
      </c>
      <c r="HO115" s="235" t="e">
        <f>IF($AB$106&gt;0,ROUND(SQRT(HO114),3),"")</f>
        <v>#VALUE!</v>
      </c>
      <c r="HP115" s="238"/>
      <c r="HQ115" s="234" t="s">
        <v>117</v>
      </c>
      <c r="HR115" s="235" t="e">
        <f>IF($AB$106&gt;0,ROUND(SQRT(HR114),3),"")</f>
        <v>#VALUE!</v>
      </c>
      <c r="HS115" s="235" t="e">
        <f>IF($AB$106&gt;0,ROUND(SQRT(HS114),3),"")</f>
        <v>#VALUE!</v>
      </c>
      <c r="HT115" s="238"/>
      <c r="HU115" s="235" t="e">
        <f>IF($AB$106&gt;0,ROUND(SQRT(HU114),3),"")</f>
        <v>#VALUE!</v>
      </c>
      <c r="HV115" s="235" t="e">
        <f>IF($AB$106&gt;0,ROUND(SQRT(HV114),3),"")</f>
        <v>#VALUE!</v>
      </c>
      <c r="HW115" s="238"/>
      <c r="HX115" s="235" t="e">
        <f>IF($AB$106&gt;0,ROUND(SQRT(HX114),3),"")</f>
        <v>#VALUE!</v>
      </c>
      <c r="HY115" s="235" t="e">
        <f>IF($AB$106&gt;0,ROUND(SQRT(HY114),3),"")</f>
        <v>#VALUE!</v>
      </c>
      <c r="HZ115" s="238"/>
      <c r="IA115" s="235" t="e">
        <f>IF($AB$106&gt;0,ROUND(SQRT(IA114),3),"")</f>
        <v>#VALUE!</v>
      </c>
      <c r="IB115" s="235" t="e">
        <f>IF($AB$106&gt;0,ROUND(SQRT(IB114),3),"")</f>
        <v>#VALUE!</v>
      </c>
      <c r="IC115" s="238"/>
      <c r="ID115" s="235" t="e">
        <f>IF($AB$106&gt;0,ROUND(SQRT(ID114),3),"")</f>
        <v>#VALUE!</v>
      </c>
      <c r="IE115" s="235" t="e">
        <f>IF($AB$106&gt;0,ROUND(SQRT(IE114),3),"")</f>
        <v>#VALUE!</v>
      </c>
      <c r="IF115" s="238"/>
      <c r="IG115" s="235" t="e">
        <f>IF($AB$106&gt;0,ROUND(SQRT(IG114),3),"")</f>
        <v>#VALUE!</v>
      </c>
      <c r="IH115" s="235" t="e">
        <f>IF($AB$106&gt;0,ROUND(SQRT(IH114),3),"")</f>
        <v>#VALUE!</v>
      </c>
      <c r="II115" s="238"/>
      <c r="IJ115" s="235" t="e">
        <f>IF($AB$106&gt;0,ROUND(SQRT(IJ114),3),"")</f>
        <v>#VALUE!</v>
      </c>
      <c r="IK115" s="235" t="e">
        <f>IF($AB$106&gt;0,ROUND(SQRT(IK114),3),"")</f>
        <v>#VALUE!</v>
      </c>
      <c r="IL115" s="238"/>
      <c r="IM115" s="235" t="e">
        <f>IF($AB$106&gt;0,ROUND(SQRT(IM114),3),"")</f>
        <v>#VALUE!</v>
      </c>
      <c r="IN115" s="235" t="e">
        <f>IF($AB$106&gt;0,ROUND(SQRT(IN114),3),"")</f>
        <v>#VALUE!</v>
      </c>
      <c r="IO115" s="238"/>
      <c r="IP115" s="235" t="e">
        <f>IF($AB$106&gt;0,ROUND(SQRT(IP114),3),"")</f>
        <v>#VALUE!</v>
      </c>
      <c r="IQ115" s="235" t="e">
        <f>IF($AB$106&gt;0,ROUND(SQRT(IQ114),3),"")</f>
        <v>#VALUE!</v>
      </c>
      <c r="IR115" s="238"/>
      <c r="IS115" s="235" t="e">
        <f>IF($AB$106&gt;0,ROUND(SQRT(IS114),3),"")</f>
        <v>#VALUE!</v>
      </c>
      <c r="IT115" s="235" t="e">
        <f>IF($AB$106&gt;0,ROUND(SQRT(IT114),3),"")</f>
        <v>#VALUE!</v>
      </c>
      <c r="IU115" s="238"/>
    </row>
    <row r="116" spans="1:255" x14ac:dyDescent="0.2">
      <c r="A116" s="222"/>
      <c r="B116" s="221"/>
      <c r="C116" s="221"/>
      <c r="D116" s="221"/>
      <c r="E116" s="221"/>
      <c r="F116" s="221"/>
      <c r="G116" s="221"/>
      <c r="H116" s="221"/>
      <c r="I116" s="221"/>
      <c r="J116" s="221"/>
      <c r="K116" s="221"/>
      <c r="L116" s="239"/>
      <c r="M116" s="225"/>
      <c r="N116" s="221"/>
      <c r="O116" s="228"/>
      <c r="P116" s="229"/>
      <c r="Q116" s="230" t="s">
        <v>17</v>
      </c>
      <c r="R116" s="230" t="str">
        <f t="shared" si="678"/>
        <v/>
      </c>
      <c r="S116" s="230"/>
      <c r="T116" s="230"/>
      <c r="U116" s="230" t="str">
        <f t="shared" si="679"/>
        <v/>
      </c>
      <c r="V116" s="230"/>
      <c r="W116" s="230"/>
      <c r="X116" s="230" t="str">
        <f t="shared" si="680"/>
        <v/>
      </c>
      <c r="Y116" s="230"/>
      <c r="Z116" s="230"/>
      <c r="AA116" s="230" t="str">
        <f t="shared" si="681"/>
        <v/>
      </c>
      <c r="AB116" s="230"/>
      <c r="AC116" s="230"/>
      <c r="AD116" s="230" t="str">
        <f t="shared" si="682"/>
        <v/>
      </c>
      <c r="AE116" s="230"/>
      <c r="AF116" s="230"/>
      <c r="AG116" s="230" t="str">
        <f t="shared" si="683"/>
        <v/>
      </c>
      <c r="AH116" s="230"/>
      <c r="AI116" s="230"/>
      <c r="AJ116" s="230" t="str">
        <f t="shared" si="684"/>
        <v/>
      </c>
      <c r="AK116" s="230"/>
      <c r="AL116" s="230"/>
      <c r="AM116" s="230" t="str">
        <f t="shared" si="685"/>
        <v/>
      </c>
      <c r="AN116" s="230"/>
      <c r="AO116" s="230"/>
      <c r="AP116" s="230" t="str">
        <f t="shared" si="686"/>
        <v/>
      </c>
      <c r="AQ116" s="230"/>
      <c r="AR116" s="230"/>
      <c r="AS116" s="230" t="str">
        <f t="shared" si="687"/>
        <v/>
      </c>
      <c r="AT116" s="230"/>
      <c r="AU116" s="225"/>
      <c r="AV116" s="230" t="e">
        <f t="shared" si="705"/>
        <v>#DIV/0!</v>
      </c>
      <c r="AW116" s="225"/>
      <c r="AX116" s="234"/>
      <c r="AY116" s="202"/>
      <c r="AZ116" s="202"/>
      <c r="BA116" s="202"/>
      <c r="BB116" s="202"/>
      <c r="BC116" s="202"/>
      <c r="BD116" s="202"/>
      <c r="BE116" s="202"/>
      <c r="BF116" s="202"/>
      <c r="BG116" s="202"/>
      <c r="BH116" s="202"/>
      <c r="BI116" s="202"/>
      <c r="BJ116" s="202"/>
      <c r="BK116" s="202"/>
      <c r="BL116" s="202"/>
      <c r="BM116" s="202"/>
      <c r="BN116" s="202"/>
      <c r="BO116" s="202"/>
      <c r="BP116" s="202"/>
      <c r="BQ116" s="202"/>
      <c r="BR116" s="202"/>
      <c r="BS116" s="202"/>
      <c r="BT116" s="202"/>
      <c r="BU116" s="202"/>
      <c r="BV116" s="202"/>
      <c r="BW116" s="202"/>
      <c r="BX116" s="202"/>
      <c r="BY116" s="202"/>
      <c r="BZ116" s="202"/>
      <c r="CA116" s="202"/>
      <c r="CB116" s="202"/>
      <c r="CC116" s="234"/>
      <c r="CD116" s="202"/>
      <c r="CE116" s="202"/>
      <c r="CF116" s="202"/>
      <c r="CG116" s="202"/>
      <c r="CH116" s="202"/>
      <c r="CI116" s="202"/>
      <c r="CJ116" s="202"/>
      <c r="CK116" s="202"/>
      <c r="CL116" s="202"/>
      <c r="CM116" s="202"/>
      <c r="CN116" s="202"/>
      <c r="CO116" s="202"/>
      <c r="CP116" s="202"/>
      <c r="CQ116" s="202"/>
      <c r="CR116" s="202"/>
      <c r="CS116" s="202"/>
      <c r="CT116" s="202"/>
      <c r="CU116" s="202"/>
      <c r="CV116" s="202"/>
      <c r="CW116" s="202"/>
      <c r="CX116" s="202"/>
      <c r="CY116" s="202"/>
      <c r="CZ116" s="202"/>
      <c r="DA116" s="202"/>
      <c r="DB116" s="202"/>
      <c r="DC116" s="202"/>
      <c r="DD116" s="202"/>
      <c r="DE116" s="234"/>
      <c r="DF116" s="202"/>
      <c r="DG116" s="202"/>
      <c r="DH116" s="202"/>
      <c r="DI116" s="202"/>
      <c r="DJ116" s="202"/>
      <c r="DK116" s="202"/>
      <c r="DL116" s="202"/>
      <c r="DM116" s="202"/>
      <c r="DN116" s="202"/>
      <c r="DO116" s="202"/>
      <c r="DP116" s="202"/>
      <c r="DQ116" s="202"/>
      <c r="DR116" s="202"/>
      <c r="DS116" s="202"/>
      <c r="DT116" s="202"/>
      <c r="DU116" s="202"/>
      <c r="DV116" s="202"/>
      <c r="DW116" s="202"/>
      <c r="DX116" s="202"/>
      <c r="DY116" s="202"/>
      <c r="DZ116" s="202"/>
      <c r="EA116" s="202"/>
      <c r="EB116" s="202"/>
      <c r="EC116" s="202"/>
      <c r="ED116" s="234"/>
      <c r="EE116" s="202"/>
      <c r="EF116" s="202"/>
      <c r="EG116" s="202"/>
      <c r="EH116" s="202"/>
      <c r="EI116" s="202"/>
      <c r="EJ116" s="202"/>
      <c r="EK116" s="202"/>
      <c r="EL116" s="202"/>
      <c r="EM116" s="202"/>
      <c r="EN116" s="202"/>
      <c r="EO116" s="202"/>
      <c r="EP116" s="202"/>
      <c r="EQ116" s="202"/>
      <c r="ER116" s="202"/>
      <c r="ES116" s="202"/>
      <c r="ET116" s="202"/>
      <c r="EU116" s="202"/>
      <c r="EV116" s="202"/>
      <c r="EW116" s="202"/>
      <c r="EX116" s="202"/>
      <c r="EY116" s="202"/>
      <c r="EZ116" s="234"/>
      <c r="FA116" s="202"/>
      <c r="FB116" s="202"/>
      <c r="FC116" s="202"/>
      <c r="FD116" s="202"/>
      <c r="FE116" s="202"/>
      <c r="FF116" s="202"/>
      <c r="FG116" s="202"/>
      <c r="FH116" s="202"/>
      <c r="FI116" s="202"/>
      <c r="FJ116" s="202"/>
      <c r="FK116" s="202"/>
      <c r="FL116" s="202"/>
      <c r="FM116" s="202"/>
      <c r="FN116" s="202"/>
      <c r="FO116" s="202"/>
      <c r="FP116" s="202"/>
      <c r="FQ116" s="202"/>
      <c r="FR116" s="202"/>
      <c r="FS116" s="234"/>
      <c r="FT116" s="202"/>
      <c r="FU116" s="202"/>
      <c r="FV116" s="202"/>
      <c r="FW116" s="202"/>
      <c r="FX116" s="202"/>
      <c r="FY116" s="202"/>
      <c r="FZ116" s="202"/>
      <c r="GA116" s="202"/>
      <c r="GB116" s="202"/>
      <c r="GC116" s="202"/>
      <c r="GD116" s="202"/>
      <c r="GE116" s="202"/>
      <c r="GF116" s="202"/>
      <c r="GG116" s="202"/>
      <c r="GH116" s="202"/>
      <c r="GI116" s="234"/>
      <c r="GJ116" s="202"/>
      <c r="GK116" s="202"/>
      <c r="GL116" s="202"/>
      <c r="GM116" s="202"/>
      <c r="GN116" s="202"/>
      <c r="GO116" s="202"/>
      <c r="GP116" s="202"/>
      <c r="GQ116" s="202"/>
      <c r="GR116" s="202"/>
      <c r="GS116" s="202"/>
      <c r="GT116" s="202"/>
      <c r="GU116" s="202"/>
      <c r="GV116" s="234"/>
      <c r="GW116" s="202"/>
      <c r="GX116" s="202"/>
      <c r="GY116" s="202"/>
      <c r="GZ116" s="202"/>
      <c r="HA116" s="202"/>
      <c r="HB116" s="202"/>
      <c r="HC116" s="202"/>
      <c r="HD116" s="202"/>
      <c r="HE116" s="202"/>
      <c r="HF116" s="234"/>
      <c r="HG116" s="202"/>
      <c r="HH116" s="202"/>
      <c r="HI116" s="202"/>
      <c r="HJ116" s="202"/>
      <c r="HK116" s="202"/>
      <c r="HL116" s="202"/>
      <c r="HM116" s="234"/>
      <c r="HN116" s="202"/>
      <c r="HO116" s="202"/>
      <c r="HP116" s="202"/>
      <c r="HQ116" s="234"/>
      <c r="HR116" s="202"/>
      <c r="HS116" s="202"/>
      <c r="HT116" s="202"/>
      <c r="HU116" s="202"/>
      <c r="HV116" s="202"/>
      <c r="HW116" s="202"/>
      <c r="HX116" s="202"/>
      <c r="HY116" s="202"/>
      <c r="HZ116" s="202"/>
      <c r="IA116" s="202"/>
      <c r="IB116" s="202"/>
      <c r="IC116" s="202"/>
      <c r="ID116" s="202"/>
      <c r="IE116" s="202"/>
      <c r="IF116" s="202"/>
      <c r="IG116" s="202"/>
      <c r="IH116" s="202"/>
      <c r="II116" s="202"/>
      <c r="IJ116" s="202"/>
      <c r="IK116" s="202"/>
      <c r="IL116" s="202"/>
      <c r="IM116" s="202"/>
      <c r="IN116" s="202"/>
      <c r="IO116" s="202"/>
      <c r="IP116" s="202"/>
      <c r="IQ116" s="202"/>
      <c r="IR116" s="202"/>
      <c r="IS116" s="202"/>
      <c r="IT116" s="202"/>
      <c r="IU116" s="202"/>
    </row>
    <row r="117" spans="1:255" x14ac:dyDescent="0.2">
      <c r="A117" s="240" t="s">
        <v>148</v>
      </c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01"/>
      <c r="M117" s="202"/>
      <c r="N117" s="200"/>
      <c r="O117" s="228"/>
      <c r="P117" s="229"/>
      <c r="Q117" s="230" t="s">
        <v>18</v>
      </c>
      <c r="R117" s="230" t="str">
        <f t="shared" si="678"/>
        <v/>
      </c>
      <c r="S117" s="230"/>
      <c r="T117" s="230"/>
      <c r="U117" s="230" t="str">
        <f t="shared" si="679"/>
        <v/>
      </c>
      <c r="V117" s="230"/>
      <c r="W117" s="230"/>
      <c r="X117" s="230" t="str">
        <f t="shared" si="680"/>
        <v/>
      </c>
      <c r="Y117" s="230"/>
      <c r="Z117" s="230"/>
      <c r="AA117" s="230" t="str">
        <f t="shared" si="681"/>
        <v/>
      </c>
      <c r="AB117" s="230"/>
      <c r="AC117" s="230"/>
      <c r="AD117" s="230" t="str">
        <f t="shared" si="682"/>
        <v/>
      </c>
      <c r="AE117" s="230"/>
      <c r="AF117" s="230"/>
      <c r="AG117" s="230" t="str">
        <f t="shared" si="683"/>
        <v/>
      </c>
      <c r="AH117" s="230"/>
      <c r="AI117" s="230"/>
      <c r="AJ117" s="230" t="str">
        <f t="shared" si="684"/>
        <v/>
      </c>
      <c r="AK117" s="230"/>
      <c r="AL117" s="230"/>
      <c r="AM117" s="230" t="str">
        <f t="shared" si="685"/>
        <v/>
      </c>
      <c r="AN117" s="230"/>
      <c r="AO117" s="230"/>
      <c r="AP117" s="230" t="str">
        <f t="shared" si="686"/>
        <v/>
      </c>
      <c r="AQ117" s="230"/>
      <c r="AR117" s="230"/>
      <c r="AS117" s="230" t="str">
        <f t="shared" si="687"/>
        <v/>
      </c>
      <c r="AT117" s="230"/>
      <c r="AU117" s="202"/>
      <c r="AV117" s="230" t="e">
        <f t="shared" si="705"/>
        <v>#DIV/0!</v>
      </c>
      <c r="AW117" s="202"/>
      <c r="AX117" s="242" t="s">
        <v>118</v>
      </c>
      <c r="AY117" s="243" t="str">
        <f>IF(BA109,ROUND(BA113/SQRT(AY113*AZ113),3),"")</f>
        <v/>
      </c>
      <c r="AZ117" s="244" t="s">
        <v>119</v>
      </c>
      <c r="BA117" s="245" t="str">
        <f>IF(BA109&gt;0,IF(BA109&gt;5,ROUND(AY117/SQRT((1-AY118)/(BA109-2)),2),"[small N]"),"")</f>
        <v/>
      </c>
      <c r="BB117" s="243" t="str">
        <f>IF(BD109,ROUND(BD113/SQRT(BB113*BC113),3),"")</f>
        <v/>
      </c>
      <c r="BC117" s="244" t="s">
        <v>119</v>
      </c>
      <c r="BD117" s="245" t="str">
        <f>IF(BD109&gt;0,IF(BD109&gt;5,ROUND(BB117/SQRT((1-BB118)/(BD109-2)),2),"[small N]"),"")</f>
        <v/>
      </c>
      <c r="BE117" s="243" t="str">
        <f>IF(BG109,ROUND(BG113/SQRT(BE113*BF113),3),"")</f>
        <v/>
      </c>
      <c r="BF117" s="244" t="s">
        <v>119</v>
      </c>
      <c r="BG117" s="245" t="str">
        <f>IF(BG109&gt;0,IF(BG109&gt;5,ROUND(BE117/SQRT((1-BE118)/(BG109-2)),2),"[small N]"),"")</f>
        <v/>
      </c>
      <c r="BH117" s="243" t="str">
        <f>IF(BJ109,ROUND(BJ113/SQRT(BH113*BI113),3),"")</f>
        <v/>
      </c>
      <c r="BI117" s="244" t="s">
        <v>119</v>
      </c>
      <c r="BJ117" s="245" t="str">
        <f>IF(BJ109&gt;0,IF(BJ109&gt;5,ROUND(BH117/SQRT((1-BH118)/(BJ109-2)),2),"[small N]"),"")</f>
        <v/>
      </c>
      <c r="BK117" s="243" t="str">
        <f>IF(BM109,ROUND(BM113/SQRT(BK113*BL113),3),"")</f>
        <v/>
      </c>
      <c r="BL117" s="244" t="s">
        <v>119</v>
      </c>
      <c r="BM117" s="245" t="str">
        <f>IF(BM109&gt;0,IF(BM109&gt;5,ROUND(BK117/SQRT((1-BK118)/(BM109-2)),2),"[small N]"),"")</f>
        <v/>
      </c>
      <c r="BN117" s="243" t="str">
        <f>IF(BP109,ROUND(BP113/SQRT(BN113*BO113),3),"")</f>
        <v/>
      </c>
      <c r="BO117" s="244" t="s">
        <v>119</v>
      </c>
      <c r="BP117" s="245" t="str">
        <f>IF(BP109&gt;0,IF(BP109&gt;5,ROUND(BN117/SQRT((1-BN118)/(BP109-2)),2),"[small N]"),"")</f>
        <v/>
      </c>
      <c r="BQ117" s="243" t="str">
        <f>IF(BS109,ROUND(BS113/SQRT(BQ113*BR113),3),"")</f>
        <v/>
      </c>
      <c r="BR117" s="244" t="s">
        <v>119</v>
      </c>
      <c r="BS117" s="245" t="str">
        <f>IF(BS109&gt;0,IF(BS109&gt;5,ROUND(BQ117/SQRT((1-BQ118)/(BS109-2)),2),"[small N]"),"")</f>
        <v/>
      </c>
      <c r="BT117" s="243" t="str">
        <f>IF(BV109,ROUND(BV113/SQRT(BT113*BU113),3),"")</f>
        <v/>
      </c>
      <c r="BU117" s="244" t="s">
        <v>119</v>
      </c>
      <c r="BV117" s="245" t="str">
        <f>IF(BV109&gt;0,IF(BV109&gt;5,ROUND(BT117/SQRT((1-BT118)/(BV109-2)),2),"[small N]"),"")</f>
        <v/>
      </c>
      <c r="BW117" s="243" t="str">
        <f>IF(BY109,ROUND(BY113/SQRT(BW113*BX113),3),"")</f>
        <v/>
      </c>
      <c r="BX117" s="244" t="s">
        <v>119</v>
      </c>
      <c r="BY117" s="245" t="str">
        <f>IF(BY109&gt;0,IF(BY109&gt;5,ROUND(BW117/SQRT((1-BW118)/(BY109-2)),2),"[small N]"),"")</f>
        <v/>
      </c>
      <c r="BZ117" s="243" t="str">
        <f>IF(CB109,ROUND(CB113/SQRT(BZ113*CA113),3),"")</f>
        <v/>
      </c>
      <c r="CA117" s="244" t="s">
        <v>119</v>
      </c>
      <c r="CB117" s="245" t="str">
        <f>IF(CB109&gt;0,IF(CB109&gt;5,ROUND(BZ117/SQRT((1-BZ118)/(CB109-2)),2),"[small N]"),"")</f>
        <v/>
      </c>
      <c r="CC117" s="242" t="s">
        <v>118</v>
      </c>
      <c r="CD117" s="243" t="str">
        <f>IF(CF109,ROUND(CF113/SQRT(CD113*CE113),3),"")</f>
        <v/>
      </c>
      <c r="CE117" s="244" t="s">
        <v>119</v>
      </c>
      <c r="CF117" s="245" t="str">
        <f>IF(CF109&gt;0,IF(CF109&gt;5,ROUND(CD117/SQRT((1-CD118)/(CF109-2)),2),"[small N]"),"")</f>
        <v/>
      </c>
      <c r="CG117" s="243" t="str">
        <f>IF(CI109,ROUND(CI113/SQRT(CG113*CH113),3),"")</f>
        <v/>
      </c>
      <c r="CH117" s="244" t="s">
        <v>119</v>
      </c>
      <c r="CI117" s="245" t="str">
        <f>IF(CI109&gt;0,IF(CI109&gt;5,ROUND(CG117/SQRT((1-CG118)/(CI109-2)),2),"[small N]"),"")</f>
        <v/>
      </c>
      <c r="CJ117" s="243" t="str">
        <f>IF(CL109,ROUND(CL113/SQRT(CJ113*CK113),3),"")</f>
        <v/>
      </c>
      <c r="CK117" s="244" t="s">
        <v>119</v>
      </c>
      <c r="CL117" s="245" t="str">
        <f>IF(CL109&gt;0,IF(CL109&gt;5,ROUND(CJ117/SQRT((1-CJ118)/(CL109-2)),2),"[small N]"),"")</f>
        <v/>
      </c>
      <c r="CM117" s="243" t="str">
        <f>IF(CO109,ROUND(CO113/SQRT(CM113*CN113),3),"")</f>
        <v/>
      </c>
      <c r="CN117" s="244" t="s">
        <v>119</v>
      </c>
      <c r="CO117" s="245" t="str">
        <f>IF(CO109&gt;0,IF(CO109&gt;5,ROUND(CM117/SQRT((1-CM118)/(CO109-2)),2),"[small N]"),"")</f>
        <v/>
      </c>
      <c r="CP117" s="243" t="str">
        <f>IF(CR109,ROUND(CR113/SQRT(CP113*CQ113),3),"")</f>
        <v/>
      </c>
      <c r="CQ117" s="244" t="s">
        <v>119</v>
      </c>
      <c r="CR117" s="245" t="str">
        <f>IF(CR109&gt;0,IF(CR109&gt;5,ROUND(CP117/SQRT((1-CP118)/(CR109-2)),2),"[small N]"),"")</f>
        <v/>
      </c>
      <c r="CS117" s="243" t="str">
        <f>IF(CU109,ROUND(CU113/SQRT(CS113*CT113),3),"")</f>
        <v/>
      </c>
      <c r="CT117" s="244" t="s">
        <v>119</v>
      </c>
      <c r="CU117" s="245" t="str">
        <f>IF(CU109&gt;0,IF(CU109&gt;5,ROUND(CS117/SQRT((1-CS118)/(CU109-2)),2),"[small N]"),"")</f>
        <v/>
      </c>
      <c r="CV117" s="243" t="str">
        <f>IF(CX109,ROUND(CX113/SQRT(CV113*CW113),3),"")</f>
        <v/>
      </c>
      <c r="CW117" s="244" t="s">
        <v>119</v>
      </c>
      <c r="CX117" s="245" t="str">
        <f>IF(CX109&gt;0,IF(CX109&gt;5,ROUND(CV117/SQRT((1-CV118)/(CX109-2)),2),"[small N]"),"")</f>
        <v/>
      </c>
      <c r="CY117" s="243" t="str">
        <f>IF(DA109,ROUND(DA113/SQRT(CY113*CZ113),3),"")</f>
        <v/>
      </c>
      <c r="CZ117" s="244" t="s">
        <v>119</v>
      </c>
      <c r="DA117" s="245" t="str">
        <f>IF(DA109&gt;0,IF(DA109&gt;5,ROUND(CY117/SQRT((1-CY118)/(DA109-2)),2),"[small N]"),"")</f>
        <v/>
      </c>
      <c r="DB117" s="243" t="str">
        <f>IF(DD109,ROUND(DD113/SQRT(DB113*DC113),3),"")</f>
        <v/>
      </c>
      <c r="DC117" s="244" t="s">
        <v>119</v>
      </c>
      <c r="DD117" s="245" t="str">
        <f>IF(DD109&gt;0,IF(DD109&gt;5,ROUND(DB117/SQRT((1-DB118)/(DD109-2)),2),"[small N]"),"")</f>
        <v/>
      </c>
      <c r="DE117" s="242" t="s">
        <v>118</v>
      </c>
      <c r="DF117" s="243" t="str">
        <f>IF(DH109,ROUND(DH113/SQRT(DF113*DG113),3),"")</f>
        <v/>
      </c>
      <c r="DG117" s="244" t="s">
        <v>119</v>
      </c>
      <c r="DH117" s="245" t="str">
        <f>IF(DH109&gt;0,IF(DH109&gt;5,ROUND(DF117/SQRT((1-DF118)/(DH109-2)),2),"[small N]"),"")</f>
        <v/>
      </c>
      <c r="DI117" s="243" t="str">
        <f>IF(DK109,ROUND(DK113/SQRT(DI113*DJ113),3),"")</f>
        <v/>
      </c>
      <c r="DJ117" s="244" t="s">
        <v>119</v>
      </c>
      <c r="DK117" s="245" t="str">
        <f>IF(DK109&gt;0,IF(DK109&gt;5,ROUND(DI117/SQRT((1-DI118)/(DK109-2)),2),"[small N]"),"")</f>
        <v/>
      </c>
      <c r="DL117" s="243" t="str">
        <f>IF(DN109,ROUND(DN113/SQRT(DL113*DM113),3),"")</f>
        <v/>
      </c>
      <c r="DM117" s="244" t="s">
        <v>119</v>
      </c>
      <c r="DN117" s="245" t="str">
        <f>IF(DN109&gt;0,IF(DN109&gt;5,ROUND(DL117/SQRT((1-DL118)/(DN109-2)),2),"[small N]"),"")</f>
        <v/>
      </c>
      <c r="DO117" s="243" t="str">
        <f>IF(DQ109,ROUND(DQ113/SQRT(DO113*DP113),3),"")</f>
        <v/>
      </c>
      <c r="DP117" s="244" t="s">
        <v>119</v>
      </c>
      <c r="DQ117" s="245" t="str">
        <f>IF(DQ109&gt;0,IF(DQ109&gt;5,ROUND(DO117/SQRT((1-DO118)/(DQ109-2)),2),"[small N]"),"")</f>
        <v/>
      </c>
      <c r="DR117" s="243" t="str">
        <f>IF(DT109,ROUND(DT113/SQRT(DR113*DS113),3),"")</f>
        <v/>
      </c>
      <c r="DS117" s="244" t="s">
        <v>119</v>
      </c>
      <c r="DT117" s="245" t="str">
        <f>IF(DT109&gt;0,IF(DT109&gt;5,ROUND(DR117/SQRT((1-DR118)/(DT109-2)),2),"[small N]"),"")</f>
        <v/>
      </c>
      <c r="DU117" s="243" t="str">
        <f>IF(DW109,ROUND(DW113/SQRT(DU113*DV113),3),"")</f>
        <v/>
      </c>
      <c r="DV117" s="244" t="s">
        <v>119</v>
      </c>
      <c r="DW117" s="245" t="str">
        <f>IF(DW109&gt;0,IF(DW109&gt;5,ROUND(DU117/SQRT((1-DU118)/(DW109-2)),2),"[small N]"),"")</f>
        <v/>
      </c>
      <c r="DX117" s="243" t="str">
        <f>IF(DZ109,ROUND(DZ113/SQRT(DX113*DY113),3),"")</f>
        <v/>
      </c>
      <c r="DY117" s="244" t="s">
        <v>119</v>
      </c>
      <c r="DZ117" s="245" t="str">
        <f>IF(DZ109&gt;0,IF(DZ109&gt;5,ROUND(DX117/SQRT((1-DX118)/(DZ109-2)),2),"[small N]"),"")</f>
        <v/>
      </c>
      <c r="EA117" s="243" t="str">
        <f>IF(EC109,ROUND(EC113/SQRT(EA113*EB113),3),"")</f>
        <v/>
      </c>
      <c r="EB117" s="244" t="s">
        <v>119</v>
      </c>
      <c r="EC117" s="245" t="str">
        <f>IF(EC109&gt;0,IF(EC109&gt;5,ROUND(EA117/SQRT((1-EA118)/(EC109-2)),2),"[small N]"),"")</f>
        <v/>
      </c>
      <c r="ED117" s="242" t="s">
        <v>118</v>
      </c>
      <c r="EE117" s="243" t="str">
        <f>IF(EG109,ROUND(EG113/SQRT(EE113*EF113),3),"")</f>
        <v/>
      </c>
      <c r="EF117" s="244" t="s">
        <v>119</v>
      </c>
      <c r="EG117" s="245" t="str">
        <f>IF(EG109&gt;0,IF(EG109&gt;5,ROUND(EE117/SQRT((1-EE118)/(EG109-2)),2),"[small N]"),"")</f>
        <v/>
      </c>
      <c r="EH117" s="243" t="str">
        <f>IF(EJ109,ROUND(EJ113/SQRT(EH113*EI113),3),"")</f>
        <v/>
      </c>
      <c r="EI117" s="244" t="s">
        <v>119</v>
      </c>
      <c r="EJ117" s="245" t="str">
        <f>IF(EJ109&gt;0,IF(EJ109&gt;5,ROUND(EH117/SQRT((1-EH118)/(EJ109-2)),2),"[small N]"),"")</f>
        <v/>
      </c>
      <c r="EK117" s="243" t="str">
        <f>IF(EM109,ROUND(EM113/SQRT(EK113*EL113),3),"")</f>
        <v/>
      </c>
      <c r="EL117" s="244" t="s">
        <v>119</v>
      </c>
      <c r="EM117" s="245" t="str">
        <f>IF(EM109&gt;0,IF(EM109&gt;5,ROUND(EK117/SQRT((1-EK118)/(EM109-2)),2),"[small N]"),"")</f>
        <v/>
      </c>
      <c r="EN117" s="243" t="str">
        <f>IF(EP109,ROUND(EP113/SQRT(EN113*EO113),3),"")</f>
        <v/>
      </c>
      <c r="EO117" s="244" t="s">
        <v>119</v>
      </c>
      <c r="EP117" s="245" t="str">
        <f>IF(EP109&gt;0,IF(EP109&gt;5,ROUND(EN117/SQRT((1-EN118)/(EP109-2)),2),"[small N]"),"")</f>
        <v/>
      </c>
      <c r="EQ117" s="243" t="str">
        <f>IF(ES109,ROUND(ES113/SQRT(EQ113*ER113),3),"")</f>
        <v/>
      </c>
      <c r="ER117" s="244" t="s">
        <v>119</v>
      </c>
      <c r="ES117" s="245" t="str">
        <f>IF(ES109&gt;0,IF(ES109&gt;5,ROUND(EQ117/SQRT((1-EQ118)/(ES109-2)),2),"[small N]"),"")</f>
        <v/>
      </c>
      <c r="ET117" s="243" t="str">
        <f>IF(EV109,ROUND(EV113/SQRT(ET113*EU113),3),"")</f>
        <v/>
      </c>
      <c r="EU117" s="244" t="s">
        <v>119</v>
      </c>
      <c r="EV117" s="245" t="str">
        <f>IF(EV109&gt;0,IF(EV109&gt;5,ROUND(ET117/SQRT((1-ET118)/(EV109-2)),2),"[small N]"),"")</f>
        <v/>
      </c>
      <c r="EW117" s="243" t="str">
        <f>IF(EY109,ROUND(EY113/SQRT(EW113*EX113),3),"")</f>
        <v/>
      </c>
      <c r="EX117" s="244" t="s">
        <v>119</v>
      </c>
      <c r="EY117" s="245" t="str">
        <f>IF(EY109&gt;0,IF(EY109&gt;5,ROUND(EW117/SQRT((1-EW118)/(EY109-2)),2),"[small N]"),"")</f>
        <v/>
      </c>
      <c r="EZ117" s="242" t="s">
        <v>118</v>
      </c>
      <c r="FA117" s="243" t="str">
        <f>IF(FC109,ROUND(FC113/SQRT(FA113*FB113),3),"")</f>
        <v/>
      </c>
      <c r="FB117" s="244" t="s">
        <v>119</v>
      </c>
      <c r="FC117" s="245" t="str">
        <f>IF(FC109&gt;0,IF(FC109&gt;5,ROUND(FA117/SQRT((1-FA118)/(FC109-2)),2),"[small N]"),"")</f>
        <v/>
      </c>
      <c r="FD117" s="243" t="str">
        <f>IF(FF109,ROUND(FF113/SQRT(FD113*FE113),3),"")</f>
        <v/>
      </c>
      <c r="FE117" s="244" t="s">
        <v>119</v>
      </c>
      <c r="FF117" s="245" t="str">
        <f>IF(FF109&gt;0,IF(FF109&gt;5,ROUND(FD117/SQRT((1-FD118)/(FF109-2)),2),"[small N]"),"")</f>
        <v/>
      </c>
      <c r="FG117" s="243" t="str">
        <f>IF(FI109,ROUND(FI113/SQRT(FG113*FH113),3),"")</f>
        <v/>
      </c>
      <c r="FH117" s="244" t="s">
        <v>119</v>
      </c>
      <c r="FI117" s="245" t="str">
        <f>IF(FI109&gt;0,IF(FI109&gt;5,ROUND(FG117/SQRT((1-FG118)/(FI109-2)),2),"[small N]"),"")</f>
        <v/>
      </c>
      <c r="FJ117" s="243" t="str">
        <f>IF(FL109,ROUND(FL113/SQRT(FJ113*FK113),3),"")</f>
        <v/>
      </c>
      <c r="FK117" s="244" t="s">
        <v>119</v>
      </c>
      <c r="FL117" s="245" t="str">
        <f>IF(FL109&gt;0,IF(FL109&gt;5,ROUND(FJ117/SQRT((1-FJ118)/(FL109-2)),2),"[small N]"),"")</f>
        <v/>
      </c>
      <c r="FM117" s="243" t="str">
        <f>IF(FO109,ROUND(FO113/SQRT(FM113*FN113),3),"")</f>
        <v/>
      </c>
      <c r="FN117" s="244" t="s">
        <v>119</v>
      </c>
      <c r="FO117" s="245" t="str">
        <f>IF(FO109&gt;0,IF(FO109&gt;5,ROUND(FM117/SQRT((1-FM118)/(FO109-2)),2),"[small N]"),"")</f>
        <v/>
      </c>
      <c r="FP117" s="243" t="str">
        <f>IF(FR109,ROUND(FR113/SQRT(FP113*FQ113),3),"")</f>
        <v/>
      </c>
      <c r="FQ117" s="244" t="s">
        <v>119</v>
      </c>
      <c r="FR117" s="245" t="str">
        <f>IF(FR109&gt;0,IF(FR109&gt;5,ROUND(FP117/SQRT((1-FP118)/(FR109-2)),2),"[small N]"),"")</f>
        <v/>
      </c>
      <c r="FS117" s="242" t="s">
        <v>118</v>
      </c>
      <c r="FT117" s="243" t="str">
        <f>IF(FV109,ROUND(FV113/SQRT(FT113*FU113),3),"")</f>
        <v/>
      </c>
      <c r="FU117" s="244" t="s">
        <v>119</v>
      </c>
      <c r="FV117" s="245" t="str">
        <f>IF(FV109&gt;0,IF(FV109&gt;5,ROUND(FT117/SQRT((1-FT118)/(FV109-2)),2),"[small N]"),"")</f>
        <v/>
      </c>
      <c r="FW117" s="243" t="str">
        <f>IF(FY109,ROUND(FY113/SQRT(FW113*FX113),3),"")</f>
        <v/>
      </c>
      <c r="FX117" s="244" t="s">
        <v>119</v>
      </c>
      <c r="FY117" s="245" t="str">
        <f>IF(FY109&gt;0,IF(FY109&gt;5,ROUND(FW117/SQRT((1-FW118)/(FY109-2)),2),"[small N]"),"")</f>
        <v/>
      </c>
      <c r="FZ117" s="243" t="str">
        <f>IF(GB109,ROUND(GB113/SQRT(FZ113*GA113),3),"")</f>
        <v/>
      </c>
      <c r="GA117" s="244" t="s">
        <v>119</v>
      </c>
      <c r="GB117" s="245" t="str">
        <f>IF(GB109&gt;0,IF(GB109&gt;5,ROUND(FZ117/SQRT((1-FZ118)/(GB109-2)),2),"[small N]"),"")</f>
        <v/>
      </c>
      <c r="GC117" s="243" t="str">
        <f>IF(GE109,ROUND(GE113/SQRT(GC113*GD113),3),"")</f>
        <v/>
      </c>
      <c r="GD117" s="244" t="s">
        <v>119</v>
      </c>
      <c r="GE117" s="245" t="str">
        <f>IF(GE109&gt;0,IF(GE109&gt;5,ROUND(GC117/SQRT((1-GC118)/(GE109-2)),2),"[small N]"),"")</f>
        <v/>
      </c>
      <c r="GF117" s="243" t="str">
        <f>IF(GH109,ROUND(GH113/SQRT(GF113*GG113),3),"")</f>
        <v/>
      </c>
      <c r="GG117" s="244" t="s">
        <v>119</v>
      </c>
      <c r="GH117" s="245" t="str">
        <f>IF(GH109&gt;0,IF(GH109&gt;5,ROUND(GF117/SQRT((1-GF118)/(GH109-2)),2),"[small N]"),"")</f>
        <v/>
      </c>
      <c r="GI117" s="242" t="s">
        <v>118</v>
      </c>
      <c r="GJ117" s="243" t="str">
        <f>IF(GL109,ROUND(GL113/SQRT(GJ113*GK113),3),"")</f>
        <v/>
      </c>
      <c r="GK117" s="244" t="s">
        <v>119</v>
      </c>
      <c r="GL117" s="245" t="str">
        <f>IF(GL109&gt;0,IF(GL109&gt;5,ROUND(GJ117/SQRT((1-GJ118)/(GL109-2)),2),"[small N]"),"")</f>
        <v/>
      </c>
      <c r="GM117" s="243" t="str">
        <f>IF(GO109,ROUND(GO113/SQRT(GM113*GN113),3),"")</f>
        <v/>
      </c>
      <c r="GN117" s="244" t="s">
        <v>119</v>
      </c>
      <c r="GO117" s="245" t="str">
        <f>IF(GO109&gt;0,IF(GO109&gt;5,ROUND(GM117/SQRT((1-GM118)/(GO109-2)),2),"[small N]"),"")</f>
        <v/>
      </c>
      <c r="GP117" s="243" t="str">
        <f>IF(GR109,ROUND(GR113/SQRT(GP113*GQ113),3),"")</f>
        <v/>
      </c>
      <c r="GQ117" s="244" t="s">
        <v>119</v>
      </c>
      <c r="GR117" s="245" t="str">
        <f>IF(GR109&gt;0,IF(GR109&gt;5,ROUND(GP117/SQRT((1-GP118)/(GR109-2)),2),"[small N]"),"")</f>
        <v/>
      </c>
      <c r="GS117" s="243" t="str">
        <f>IF(GU109,ROUND(GU113/SQRT(GS113*GT113),3),"")</f>
        <v/>
      </c>
      <c r="GT117" s="244" t="s">
        <v>119</v>
      </c>
      <c r="GU117" s="245" t="str">
        <f>IF(GU109&gt;0,IF(GU109&gt;5,ROUND(GS117/SQRT((1-GS118)/(GU109-2)),2),"[small N]"),"")</f>
        <v/>
      </c>
      <c r="GV117" s="242" t="s">
        <v>118</v>
      </c>
      <c r="GW117" s="243" t="str">
        <f>IF(GY109,ROUND(GY113/SQRT(GW113*GX113),3),"")</f>
        <v/>
      </c>
      <c r="GX117" s="244" t="s">
        <v>119</v>
      </c>
      <c r="GY117" s="245" t="str">
        <f>IF(GY109&gt;0,IF(GY109&gt;5,ROUND(GW117/SQRT((1-GW118)/(GY109-2)),2),"[small N]"),"")</f>
        <v/>
      </c>
      <c r="GZ117" s="243" t="str">
        <f>IF(HB109,ROUND(HB113/SQRT(GZ113*HA113),3),"")</f>
        <v/>
      </c>
      <c r="HA117" s="244" t="s">
        <v>119</v>
      </c>
      <c r="HB117" s="245" t="str">
        <f>IF(HB109&gt;0,IF(HB109&gt;5,ROUND(GZ117/SQRT((1-GZ118)/(HB109-2)),2),"[small N]"),"")</f>
        <v/>
      </c>
      <c r="HC117" s="243" t="str">
        <f>IF(HE109,ROUND(HE113/SQRT(HC113*HD113),3),"")</f>
        <v/>
      </c>
      <c r="HD117" s="244" t="s">
        <v>119</v>
      </c>
      <c r="HE117" s="245" t="str">
        <f>IF(HE109&gt;0,IF(HE109&gt;5,ROUND(HC117/SQRT((1-HC118)/(HE109-2)),2),"[small N]"),"")</f>
        <v/>
      </c>
      <c r="HF117" s="242" t="s">
        <v>118</v>
      </c>
      <c r="HG117" s="243" t="str">
        <f>IF(HI109,ROUND(HI113/SQRT(HG113*HH113),3),"")</f>
        <v/>
      </c>
      <c r="HH117" s="244" t="s">
        <v>119</v>
      </c>
      <c r="HI117" s="245" t="str">
        <f>IF(HI109&gt;0,IF(HI109&gt;5,ROUND(HG117/SQRT((1-HG118)/(HI109-2)),2),"[small N]"),"")</f>
        <v/>
      </c>
      <c r="HJ117" s="243" t="str">
        <f>IF(HL109,ROUND(HL113/SQRT(HJ113*HK113),3),"")</f>
        <v/>
      </c>
      <c r="HK117" s="244" t="s">
        <v>119</v>
      </c>
      <c r="HL117" s="245" t="str">
        <f>IF(HL109&gt;0,IF(HL109&gt;5,ROUND(HJ117/SQRT((1-HJ118)/(HL109-2)),2),"[small N]"),"")</f>
        <v/>
      </c>
      <c r="HM117" s="242" t="s">
        <v>118</v>
      </c>
      <c r="HN117" s="243" t="str">
        <f>IF(HP109,ROUND(HP113/SQRT(HN113*HO113),3),"")</f>
        <v/>
      </c>
      <c r="HO117" s="244" t="s">
        <v>119</v>
      </c>
      <c r="HP117" s="245" t="str">
        <f>IF(HP109&gt;0,IF(HP109&gt;5,ROUND(HN117/SQRT((1-HN118)/(HP109-2)),2),"[small N]"),"")</f>
        <v/>
      </c>
      <c r="HQ117" s="242" t="s">
        <v>118</v>
      </c>
      <c r="HR117" s="243" t="str">
        <f>IF(HT109,ROUND(HT113/SQRT(HR113*HS113),3),"")</f>
        <v/>
      </c>
      <c r="HS117" s="244" t="s">
        <v>119</v>
      </c>
      <c r="HT117" s="245" t="str">
        <f>IF(HT109&gt;0,IF(HT109&gt;5,ROUND(HR117/SQRT((1-HR118)/(HT109-2)),2),"[small N]"),"")</f>
        <v/>
      </c>
      <c r="HU117" s="243" t="str">
        <f>IF(HW109,ROUND(HW113/SQRT(HU113*HV113),3),"")</f>
        <v/>
      </c>
      <c r="HV117" s="244" t="s">
        <v>119</v>
      </c>
      <c r="HW117" s="245" t="str">
        <f>IF(HW109&gt;0,IF(HW109&gt;5,ROUND(HU117/SQRT((1-HU118)/(HW109-2)),2),"[small N]"),"")</f>
        <v/>
      </c>
      <c r="HX117" s="243" t="str">
        <f>IF(HZ109,ROUND(HZ113/SQRT(HX113*HY113),3),"")</f>
        <v/>
      </c>
      <c r="HY117" s="244" t="s">
        <v>119</v>
      </c>
      <c r="HZ117" s="245" t="str">
        <f>IF(HZ109&gt;0,IF(HZ109&gt;5,ROUND(HX117/SQRT((1-HX118)/(HZ109-2)),2),"[small N]"),"")</f>
        <v/>
      </c>
      <c r="IA117" s="243" t="str">
        <f>IF(IC109,ROUND(IC113/SQRT(IA113*IB113),3),"")</f>
        <v/>
      </c>
      <c r="IB117" s="244" t="s">
        <v>119</v>
      </c>
      <c r="IC117" s="245" t="str">
        <f>IF(IC109&gt;0,IF(IC109&gt;5,ROUND(IA117/SQRT((1-IA118)/(IC109-2)),2),"[small N]"),"")</f>
        <v/>
      </c>
      <c r="ID117" s="243" t="str">
        <f>IF(IF109,ROUND(IF113/SQRT(ID113*IE113),3),"")</f>
        <v/>
      </c>
      <c r="IE117" s="244" t="s">
        <v>119</v>
      </c>
      <c r="IF117" s="245" t="str">
        <f>IF(IF109&gt;0,IF(IF109&gt;5,ROUND(ID117/SQRT((1-ID118)/(IF109-2)),2),"[small N]"),"")</f>
        <v/>
      </c>
      <c r="IG117" s="243" t="str">
        <f>IF(II109,ROUND(II113/SQRT(IG113*IH113),3),"")</f>
        <v/>
      </c>
      <c r="IH117" s="244" t="s">
        <v>119</v>
      </c>
      <c r="II117" s="245" t="str">
        <f>IF(II109&gt;0,IF(II109&gt;5,ROUND(IG117/SQRT((1-IG118)/(II109-2)),2),"[small N]"),"")</f>
        <v/>
      </c>
      <c r="IJ117" s="243" t="str">
        <f>IF(IL109,ROUND(IL113/SQRT(IJ113*IK113),3),"")</f>
        <v/>
      </c>
      <c r="IK117" s="244" t="s">
        <v>119</v>
      </c>
      <c r="IL117" s="245" t="str">
        <f>IF(IL109&gt;0,IF(IL109&gt;5,ROUND(IJ117/SQRT((1-IJ118)/(IL109-2)),2),"[small N]"),"")</f>
        <v/>
      </c>
      <c r="IM117" s="243" t="str">
        <f>IF(IO109,ROUND(IO113/SQRT(IM113*IN113),3),"")</f>
        <v/>
      </c>
      <c r="IN117" s="244" t="s">
        <v>119</v>
      </c>
      <c r="IO117" s="245" t="str">
        <f>IF(IO109&gt;0,IF(IO109&gt;5,ROUND(IM117/SQRT((1-IM118)/(IO109-2)),2),"[small N]"),"")</f>
        <v/>
      </c>
      <c r="IP117" s="243" t="str">
        <f>IF(IR109,ROUND(IR113/SQRT(IP113*IQ113),3),"")</f>
        <v/>
      </c>
      <c r="IQ117" s="244" t="s">
        <v>119</v>
      </c>
      <c r="IR117" s="245" t="str">
        <f>IF(IR109&gt;0,IF(IR109&gt;5,ROUND(IP117/SQRT((1-IP118)/(IR109-2)),2),"[small N]"),"")</f>
        <v/>
      </c>
      <c r="IS117" s="243" t="str">
        <f>IF(IU109,ROUND(IU113/SQRT(IS113*IT113),3),"")</f>
        <v/>
      </c>
      <c r="IT117" s="244" t="s">
        <v>119</v>
      </c>
      <c r="IU117" s="245" t="str">
        <f>IF(IU109&gt;0,IF(IU109&gt;5,ROUND(IS117/SQRT((1-IS118)/(IU109-2)),2),"[small N]"),"")</f>
        <v/>
      </c>
    </row>
    <row r="118" spans="1:255" x14ac:dyDescent="0.2">
      <c r="A118" s="246"/>
      <c r="B118" s="247" t="str">
        <f>IF(Intro!$B29&gt;0,Intro!$B29,"")</f>
        <v/>
      </c>
      <c r="C118" s="247" t="str">
        <f>IF(Intro!$B30&gt;0,Intro!$B30,"")</f>
        <v/>
      </c>
      <c r="D118" s="247" t="str">
        <f>IF(Intro!$B31&gt;0,Intro!$B31,"")</f>
        <v/>
      </c>
      <c r="E118" s="247" t="str">
        <f>IF(Intro!$B32&gt;0,Intro!$B32,"")</f>
        <v/>
      </c>
      <c r="F118" s="247" t="str">
        <f>IF(Intro!$B33&gt;0,Intro!$B33,"")</f>
        <v/>
      </c>
      <c r="G118" s="247" t="str">
        <f>IF(Intro!$B34&gt;0,Intro!$B34,"")</f>
        <v/>
      </c>
      <c r="H118" s="247" t="str">
        <f>IF(Intro!$B35&gt;0,Intro!$B35,"")</f>
        <v/>
      </c>
      <c r="I118" s="247" t="str">
        <f>IF(Intro!$B36&gt;0,Intro!$B36,"")</f>
        <v/>
      </c>
      <c r="J118" s="247" t="str">
        <f>IF(Intro!$B37&gt;0,Intro!$B37,"")</f>
        <v/>
      </c>
      <c r="K118" s="247" t="str">
        <f>IF(Intro!$B38&gt;0,Intro!$B38,"")</f>
        <v/>
      </c>
      <c r="L118" s="201"/>
      <c r="M118" s="202"/>
      <c r="N118" s="200"/>
      <c r="O118" s="221"/>
      <c r="P118" s="221"/>
      <c r="Q118" s="230" t="s">
        <v>19</v>
      </c>
      <c r="R118" s="230" t="str">
        <f t="shared" si="678"/>
        <v/>
      </c>
      <c r="S118" s="230"/>
      <c r="T118" s="230"/>
      <c r="U118" s="230" t="str">
        <f t="shared" si="679"/>
        <v/>
      </c>
      <c r="V118" s="230"/>
      <c r="W118" s="230"/>
      <c r="X118" s="230" t="str">
        <f t="shared" si="680"/>
        <v/>
      </c>
      <c r="Y118" s="230"/>
      <c r="Z118" s="230"/>
      <c r="AA118" s="230" t="str">
        <f t="shared" si="681"/>
        <v/>
      </c>
      <c r="AB118" s="230"/>
      <c r="AC118" s="230"/>
      <c r="AD118" s="230" t="str">
        <f t="shared" si="682"/>
        <v/>
      </c>
      <c r="AE118" s="230"/>
      <c r="AF118" s="230"/>
      <c r="AG118" s="230" t="str">
        <f t="shared" si="683"/>
        <v/>
      </c>
      <c r="AH118" s="230"/>
      <c r="AI118" s="230"/>
      <c r="AJ118" s="230" t="str">
        <f t="shared" si="684"/>
        <v/>
      </c>
      <c r="AK118" s="230"/>
      <c r="AL118" s="230"/>
      <c r="AM118" s="230" t="str">
        <f t="shared" si="685"/>
        <v/>
      </c>
      <c r="AN118" s="230"/>
      <c r="AO118" s="230"/>
      <c r="AP118" s="230" t="str">
        <f t="shared" si="686"/>
        <v/>
      </c>
      <c r="AQ118" s="230"/>
      <c r="AR118" s="230"/>
      <c r="AS118" s="230" t="str">
        <f t="shared" si="687"/>
        <v/>
      </c>
      <c r="AT118" s="230"/>
      <c r="AU118" s="202"/>
      <c r="AV118" s="230" t="e">
        <f t="shared" si="705"/>
        <v>#DIV/0!</v>
      </c>
      <c r="AW118" s="202"/>
      <c r="AX118" s="242" t="s">
        <v>120</v>
      </c>
      <c r="AY118" s="245" t="str">
        <f>IF(BA109&gt;0,ROUND(AY117^2,3),"")</f>
        <v/>
      </c>
      <c r="AZ118" s="248" t="s">
        <v>121</v>
      </c>
      <c r="BA118" s="245" t="str">
        <f>IF(BA109&gt;5,TDIST(ABS(BA117),BA109-2,1),"")</f>
        <v/>
      </c>
      <c r="BB118" s="245" t="str">
        <f>IF(BD109&gt;0,ROUND(BB117^2,3),"")</f>
        <v/>
      </c>
      <c r="BC118" s="248" t="s">
        <v>121</v>
      </c>
      <c r="BD118" s="245" t="str">
        <f>IF(BD109&gt;5,TDIST(ABS(BD117),BD109-2,1),"")</f>
        <v/>
      </c>
      <c r="BE118" s="245" t="str">
        <f>IF(BG109&gt;0,ROUND(BE117^2,3),"")</f>
        <v/>
      </c>
      <c r="BF118" s="248" t="s">
        <v>121</v>
      </c>
      <c r="BG118" s="245" t="str">
        <f>IF(BG109&gt;5,TDIST(ABS(BG117),BG109-2,1),"")</f>
        <v/>
      </c>
      <c r="BH118" s="245" t="str">
        <f>IF(BJ109&gt;0,ROUND(BH117^2,3),"")</f>
        <v/>
      </c>
      <c r="BI118" s="248" t="s">
        <v>121</v>
      </c>
      <c r="BJ118" s="245" t="str">
        <f>IF(BJ109&gt;5,TDIST(ABS(BJ117),BJ109-2,1),"")</f>
        <v/>
      </c>
      <c r="BK118" s="245" t="str">
        <f>IF(BM109&gt;0,ROUND(BK117^2,3),"")</f>
        <v/>
      </c>
      <c r="BL118" s="248" t="s">
        <v>121</v>
      </c>
      <c r="BM118" s="245" t="str">
        <f>IF(BM109&gt;5,TDIST(ABS(BM117),BM109-2,1),"")</f>
        <v/>
      </c>
      <c r="BN118" s="245" t="str">
        <f>IF(BP109&gt;0,ROUND(BN117^2,3),"")</f>
        <v/>
      </c>
      <c r="BO118" s="248" t="s">
        <v>121</v>
      </c>
      <c r="BP118" s="245" t="str">
        <f>IF(BP109&gt;5,TDIST(ABS(BP117),BP109-2,1),"")</f>
        <v/>
      </c>
      <c r="BQ118" s="245" t="str">
        <f>IF(BS109&gt;0,ROUND(BQ117^2,3),"")</f>
        <v/>
      </c>
      <c r="BR118" s="248" t="s">
        <v>121</v>
      </c>
      <c r="BS118" s="245" t="str">
        <f>IF(BS109&gt;5,TDIST(ABS(BS117),BS109-2,1),"")</f>
        <v/>
      </c>
      <c r="BT118" s="245" t="str">
        <f>IF(BV109&gt;0,ROUND(BT117^2,3),"")</f>
        <v/>
      </c>
      <c r="BU118" s="248" t="s">
        <v>121</v>
      </c>
      <c r="BV118" s="245" t="str">
        <f>IF(BV109&gt;5,TDIST(ABS(BV117),BV109-2,1),"")</f>
        <v/>
      </c>
      <c r="BW118" s="245" t="str">
        <f>IF(BY109&gt;0,ROUND(BW117^2,3),"")</f>
        <v/>
      </c>
      <c r="BX118" s="248" t="s">
        <v>121</v>
      </c>
      <c r="BY118" s="245" t="str">
        <f>IF(BY109&gt;5,TDIST(ABS(BY117),BY109-2,1),"")</f>
        <v/>
      </c>
      <c r="BZ118" s="245" t="str">
        <f>IF(CB109&gt;0,ROUND(BZ117^2,3),"")</f>
        <v/>
      </c>
      <c r="CA118" s="248" t="s">
        <v>121</v>
      </c>
      <c r="CB118" s="245" t="str">
        <f>IF(CB109&gt;5,TDIST(ABS(CB117),CB109-2,1),"")</f>
        <v/>
      </c>
      <c r="CC118" s="242" t="s">
        <v>120</v>
      </c>
      <c r="CD118" s="245" t="str">
        <f>IF(CF109&gt;0,ROUND(CD117^2,3),"")</f>
        <v/>
      </c>
      <c r="CE118" s="248" t="s">
        <v>121</v>
      </c>
      <c r="CF118" s="245" t="str">
        <f>IF(CF109&gt;5,TDIST(ABS(CF117),CF109-2,1),"")</f>
        <v/>
      </c>
      <c r="CG118" s="245" t="str">
        <f>IF(CI109&gt;0,ROUND(CG117^2,3),"")</f>
        <v/>
      </c>
      <c r="CH118" s="248" t="s">
        <v>121</v>
      </c>
      <c r="CI118" s="245" t="str">
        <f>IF(CI109&gt;5,TDIST(ABS(CI117),CI109-2,1),"")</f>
        <v/>
      </c>
      <c r="CJ118" s="245" t="str">
        <f>IF(CL109&gt;0,ROUND(CJ117^2,3),"")</f>
        <v/>
      </c>
      <c r="CK118" s="248" t="s">
        <v>121</v>
      </c>
      <c r="CL118" s="245" t="str">
        <f>IF(CL109&gt;5,TDIST(ABS(CL117),CL109-2,1),"")</f>
        <v/>
      </c>
      <c r="CM118" s="245" t="str">
        <f>IF(CO109&gt;0,ROUND(CM117^2,3),"")</f>
        <v/>
      </c>
      <c r="CN118" s="248" t="s">
        <v>121</v>
      </c>
      <c r="CO118" s="245" t="str">
        <f>IF(CO109&gt;5,TDIST(ABS(CO117),CO109-2,1),"")</f>
        <v/>
      </c>
      <c r="CP118" s="245" t="str">
        <f>IF(CR109&gt;0,ROUND(CP117^2,3),"")</f>
        <v/>
      </c>
      <c r="CQ118" s="248" t="s">
        <v>121</v>
      </c>
      <c r="CR118" s="245" t="str">
        <f>IF(CR109&gt;5,TDIST(ABS(CR117),CR109-2,1),"")</f>
        <v/>
      </c>
      <c r="CS118" s="245" t="str">
        <f>IF(CU109&gt;0,ROUND(CS117^2,3),"")</f>
        <v/>
      </c>
      <c r="CT118" s="248" t="s">
        <v>121</v>
      </c>
      <c r="CU118" s="245" t="str">
        <f>IF(CU109&gt;5,TDIST(ABS(CU117),CU109-2,1),"")</f>
        <v/>
      </c>
      <c r="CV118" s="245" t="str">
        <f>IF(CX109&gt;0,ROUND(CV117^2,3),"")</f>
        <v/>
      </c>
      <c r="CW118" s="248" t="s">
        <v>121</v>
      </c>
      <c r="CX118" s="245" t="str">
        <f>IF(CX109&gt;5,TDIST(ABS(CX117),CX109-2,1),"")</f>
        <v/>
      </c>
      <c r="CY118" s="245" t="str">
        <f>IF(DA109&gt;0,ROUND(CY117^2,3),"")</f>
        <v/>
      </c>
      <c r="CZ118" s="248" t="s">
        <v>121</v>
      </c>
      <c r="DA118" s="245" t="str">
        <f>IF(DA109&gt;5,TDIST(ABS(DA117),DA109-2,1),"")</f>
        <v/>
      </c>
      <c r="DB118" s="245" t="str">
        <f>IF(DD109&gt;0,ROUND(DB117^2,3),"")</f>
        <v/>
      </c>
      <c r="DC118" s="248" t="s">
        <v>121</v>
      </c>
      <c r="DD118" s="245" t="str">
        <f>IF(DD109&gt;5,TDIST(ABS(DD117),DD109-2,1),"")</f>
        <v/>
      </c>
      <c r="DE118" s="242" t="s">
        <v>120</v>
      </c>
      <c r="DF118" s="245" t="str">
        <f>IF(DH109&gt;0,ROUND(DF117^2,3),"")</f>
        <v/>
      </c>
      <c r="DG118" s="248" t="s">
        <v>121</v>
      </c>
      <c r="DH118" s="245" t="str">
        <f>IF(DH109&gt;5,TDIST(ABS(DH117),DH109-2,1),"")</f>
        <v/>
      </c>
      <c r="DI118" s="245" t="str">
        <f>IF(DK109&gt;0,ROUND(DI117^2,3),"")</f>
        <v/>
      </c>
      <c r="DJ118" s="248" t="s">
        <v>121</v>
      </c>
      <c r="DK118" s="245" t="str">
        <f>IF(DK109&gt;5,TDIST(ABS(DK117),DK109-2,1),"")</f>
        <v/>
      </c>
      <c r="DL118" s="245" t="str">
        <f>IF(DN109&gt;0,ROUND(DL117^2,3),"")</f>
        <v/>
      </c>
      <c r="DM118" s="248" t="s">
        <v>121</v>
      </c>
      <c r="DN118" s="245" t="str">
        <f>IF(DN109&gt;5,TDIST(ABS(DN117),DN109-2,1),"")</f>
        <v/>
      </c>
      <c r="DO118" s="245" t="str">
        <f>IF(DQ109&gt;0,ROUND(DO117^2,3),"")</f>
        <v/>
      </c>
      <c r="DP118" s="248" t="s">
        <v>121</v>
      </c>
      <c r="DQ118" s="245" t="str">
        <f>IF(DQ109&gt;5,TDIST(ABS(DQ117),DQ109-2,1),"")</f>
        <v/>
      </c>
      <c r="DR118" s="245" t="str">
        <f>IF(DT109&gt;0,ROUND(DR117^2,3),"")</f>
        <v/>
      </c>
      <c r="DS118" s="248" t="s">
        <v>121</v>
      </c>
      <c r="DT118" s="245" t="str">
        <f>IF(DT109&gt;5,TDIST(ABS(DT117),DT109-2,1),"")</f>
        <v/>
      </c>
      <c r="DU118" s="245" t="str">
        <f>IF(DW109&gt;0,ROUND(DU117^2,3),"")</f>
        <v/>
      </c>
      <c r="DV118" s="248" t="s">
        <v>121</v>
      </c>
      <c r="DW118" s="245" t="str">
        <f>IF(DW109&gt;5,TDIST(ABS(DW117),DW109-2,1),"")</f>
        <v/>
      </c>
      <c r="DX118" s="245" t="str">
        <f>IF(DZ109&gt;0,ROUND(DX117^2,3),"")</f>
        <v/>
      </c>
      <c r="DY118" s="248" t="s">
        <v>121</v>
      </c>
      <c r="DZ118" s="245" t="str">
        <f>IF(DZ109&gt;5,TDIST(ABS(DZ117),DZ109-2,1),"")</f>
        <v/>
      </c>
      <c r="EA118" s="245" t="str">
        <f>IF(EC109&gt;0,ROUND(EA117^2,3),"")</f>
        <v/>
      </c>
      <c r="EB118" s="248" t="s">
        <v>121</v>
      </c>
      <c r="EC118" s="245" t="str">
        <f>IF(EC109&gt;5,TDIST(ABS(EC117),EC109-2,1),"")</f>
        <v/>
      </c>
      <c r="ED118" s="242" t="s">
        <v>120</v>
      </c>
      <c r="EE118" s="245" t="str">
        <f>IF(EG109&gt;0,ROUND(EE117^2,3),"")</f>
        <v/>
      </c>
      <c r="EF118" s="248" t="s">
        <v>121</v>
      </c>
      <c r="EG118" s="245" t="str">
        <f>IF(EG109&gt;5,TDIST(ABS(EG117),EG109-2,1),"")</f>
        <v/>
      </c>
      <c r="EH118" s="245" t="str">
        <f>IF(EJ109&gt;0,ROUND(EH117^2,3),"")</f>
        <v/>
      </c>
      <c r="EI118" s="248" t="s">
        <v>121</v>
      </c>
      <c r="EJ118" s="245" t="str">
        <f>IF(EJ109&gt;5,TDIST(ABS(EJ117),EJ109-2,1),"")</f>
        <v/>
      </c>
      <c r="EK118" s="245" t="str">
        <f>IF(EM109&gt;0,ROUND(EK117^2,3),"")</f>
        <v/>
      </c>
      <c r="EL118" s="248" t="s">
        <v>121</v>
      </c>
      <c r="EM118" s="245" t="str">
        <f>IF(EM109&gt;5,TDIST(ABS(EM117),EM109-2,1),"")</f>
        <v/>
      </c>
      <c r="EN118" s="245" t="str">
        <f>IF(EP109&gt;0,ROUND(EN117^2,3),"")</f>
        <v/>
      </c>
      <c r="EO118" s="248" t="s">
        <v>121</v>
      </c>
      <c r="EP118" s="245" t="str">
        <f>IF(EP109&gt;5,TDIST(ABS(EP117),EP109-2,1),"")</f>
        <v/>
      </c>
      <c r="EQ118" s="245" t="str">
        <f>IF(ES109&gt;0,ROUND(EQ117^2,3),"")</f>
        <v/>
      </c>
      <c r="ER118" s="248" t="s">
        <v>121</v>
      </c>
      <c r="ES118" s="245" t="str">
        <f>IF(ES109&gt;5,TDIST(ABS(ES117),ES109-2,1),"")</f>
        <v/>
      </c>
      <c r="ET118" s="245" t="str">
        <f>IF(EV109&gt;0,ROUND(ET117^2,3),"")</f>
        <v/>
      </c>
      <c r="EU118" s="248" t="s">
        <v>121</v>
      </c>
      <c r="EV118" s="245" t="str">
        <f>IF(EV109&gt;5,TDIST(ABS(EV117),EV109-2,1),"")</f>
        <v/>
      </c>
      <c r="EW118" s="245" t="str">
        <f>IF(EY109&gt;0,ROUND(EW117^2,3),"")</f>
        <v/>
      </c>
      <c r="EX118" s="248" t="s">
        <v>121</v>
      </c>
      <c r="EY118" s="245" t="str">
        <f>IF(EY109&gt;5,TDIST(ABS(EY117),EY109-2,1),"")</f>
        <v/>
      </c>
      <c r="EZ118" s="242" t="s">
        <v>120</v>
      </c>
      <c r="FA118" s="245" t="str">
        <f>IF(FC109&gt;0,ROUND(FA117^2,3),"")</f>
        <v/>
      </c>
      <c r="FB118" s="248" t="s">
        <v>121</v>
      </c>
      <c r="FC118" s="245" t="str">
        <f>IF(FC109&gt;5,TDIST(ABS(FC117),FC109-2,1),"")</f>
        <v/>
      </c>
      <c r="FD118" s="245" t="str">
        <f>IF(FF109&gt;0,ROUND(FD117^2,3),"")</f>
        <v/>
      </c>
      <c r="FE118" s="248" t="s">
        <v>121</v>
      </c>
      <c r="FF118" s="245" t="str">
        <f>IF(FF109&gt;5,TDIST(ABS(FF117),FF109-2,1),"")</f>
        <v/>
      </c>
      <c r="FG118" s="245" t="str">
        <f>IF(FI109&gt;0,ROUND(FG117^2,3),"")</f>
        <v/>
      </c>
      <c r="FH118" s="248" t="s">
        <v>121</v>
      </c>
      <c r="FI118" s="245" t="str">
        <f>IF(FI109&gt;5,TDIST(ABS(FI117),FI109-2,1),"")</f>
        <v/>
      </c>
      <c r="FJ118" s="245" t="str">
        <f>IF(FL109&gt;0,ROUND(FJ117^2,3),"")</f>
        <v/>
      </c>
      <c r="FK118" s="248" t="s">
        <v>121</v>
      </c>
      <c r="FL118" s="245" t="str">
        <f>IF(FL109&gt;5,TDIST(ABS(FL117),FL109-2,1),"")</f>
        <v/>
      </c>
      <c r="FM118" s="245" t="str">
        <f>IF(FO109&gt;0,ROUND(FM117^2,3),"")</f>
        <v/>
      </c>
      <c r="FN118" s="248" t="s">
        <v>121</v>
      </c>
      <c r="FO118" s="245" t="str">
        <f>IF(FO109&gt;5,TDIST(ABS(FO117),FO109-2,1),"")</f>
        <v/>
      </c>
      <c r="FP118" s="245" t="str">
        <f>IF(FR109&gt;0,ROUND(FP117^2,3),"")</f>
        <v/>
      </c>
      <c r="FQ118" s="248" t="s">
        <v>121</v>
      </c>
      <c r="FR118" s="245" t="str">
        <f>IF(FR109&gt;5,TDIST(ABS(FR117),FR109-2,1),"")</f>
        <v/>
      </c>
      <c r="FS118" s="242" t="s">
        <v>120</v>
      </c>
      <c r="FT118" s="245" t="str">
        <f>IF(FV109&gt;0,ROUND(FT117^2,3),"")</f>
        <v/>
      </c>
      <c r="FU118" s="248" t="s">
        <v>121</v>
      </c>
      <c r="FV118" s="245" t="str">
        <f>IF(FV109&gt;5,TDIST(ABS(FV117),FV109-2,1),"")</f>
        <v/>
      </c>
      <c r="FW118" s="245" t="str">
        <f>IF(FY109&gt;0,ROUND(FW117^2,3),"")</f>
        <v/>
      </c>
      <c r="FX118" s="248" t="s">
        <v>121</v>
      </c>
      <c r="FY118" s="245" t="str">
        <f>IF(FY109&gt;5,TDIST(ABS(FY117),FY109-2,1),"")</f>
        <v/>
      </c>
      <c r="FZ118" s="245" t="str">
        <f>IF(GB109&gt;0,ROUND(FZ117^2,3),"")</f>
        <v/>
      </c>
      <c r="GA118" s="248" t="s">
        <v>121</v>
      </c>
      <c r="GB118" s="245" t="str">
        <f>IF(GB109&gt;5,TDIST(ABS(GB117),GB109-2,1),"")</f>
        <v/>
      </c>
      <c r="GC118" s="245" t="str">
        <f>IF(GE109&gt;0,ROUND(GC117^2,3),"")</f>
        <v/>
      </c>
      <c r="GD118" s="248" t="s">
        <v>121</v>
      </c>
      <c r="GE118" s="245" t="str">
        <f>IF(GE109&gt;5,TDIST(ABS(GE117),GE109-2,1),"")</f>
        <v/>
      </c>
      <c r="GF118" s="245" t="str">
        <f>IF(GH109&gt;0,ROUND(GF117^2,3),"")</f>
        <v/>
      </c>
      <c r="GG118" s="248" t="s">
        <v>121</v>
      </c>
      <c r="GH118" s="245" t="str">
        <f>IF(GH109&gt;5,TDIST(ABS(GH117),GH109-2,1),"")</f>
        <v/>
      </c>
      <c r="GI118" s="242" t="s">
        <v>120</v>
      </c>
      <c r="GJ118" s="245" t="str">
        <f>IF(GL109&gt;0,ROUND(GJ117^2,3),"")</f>
        <v/>
      </c>
      <c r="GK118" s="248" t="s">
        <v>121</v>
      </c>
      <c r="GL118" s="245" t="str">
        <f>IF(GL109&gt;5,TDIST(ABS(GL117),GL109-2,1),"")</f>
        <v/>
      </c>
      <c r="GM118" s="245" t="str">
        <f>IF(GO109&gt;0,ROUND(GM117^2,3),"")</f>
        <v/>
      </c>
      <c r="GN118" s="248" t="s">
        <v>121</v>
      </c>
      <c r="GO118" s="245" t="str">
        <f>IF(GO109&gt;5,TDIST(ABS(GO117),GO109-2,1),"")</f>
        <v/>
      </c>
      <c r="GP118" s="245" t="str">
        <f>IF(GR109&gt;0,ROUND(GP117^2,3),"")</f>
        <v/>
      </c>
      <c r="GQ118" s="248" t="s">
        <v>121</v>
      </c>
      <c r="GR118" s="245" t="str">
        <f>IF(GR109&gt;5,TDIST(ABS(GR117),GR109-2,1),"")</f>
        <v/>
      </c>
      <c r="GS118" s="245" t="str">
        <f>IF(GU109&gt;0,ROUND(GS117^2,3),"")</f>
        <v/>
      </c>
      <c r="GT118" s="248" t="s">
        <v>121</v>
      </c>
      <c r="GU118" s="245" t="str">
        <f>IF(GU109&gt;5,TDIST(ABS(GU117),GU109-2,1),"")</f>
        <v/>
      </c>
      <c r="GV118" s="242" t="s">
        <v>120</v>
      </c>
      <c r="GW118" s="245" t="str">
        <f>IF(GY109&gt;0,ROUND(GW117^2,3),"")</f>
        <v/>
      </c>
      <c r="GX118" s="248" t="s">
        <v>121</v>
      </c>
      <c r="GY118" s="245" t="str">
        <f>IF(GY109&gt;5,TDIST(ABS(GY117),GY109-2,1),"")</f>
        <v/>
      </c>
      <c r="GZ118" s="245" t="str">
        <f>IF(HB109&gt;0,ROUND(GZ117^2,3),"")</f>
        <v/>
      </c>
      <c r="HA118" s="248" t="s">
        <v>121</v>
      </c>
      <c r="HB118" s="245" t="str">
        <f>IF(HB109&gt;5,TDIST(ABS(HB117),HB109-2,1),"")</f>
        <v/>
      </c>
      <c r="HC118" s="245" t="str">
        <f>IF(HE109&gt;0,ROUND(HC117^2,3),"")</f>
        <v/>
      </c>
      <c r="HD118" s="248" t="s">
        <v>121</v>
      </c>
      <c r="HE118" s="245" t="str">
        <f>IF(HE109&gt;5,TDIST(ABS(HE117),HE109-2,1),"")</f>
        <v/>
      </c>
      <c r="HF118" s="242" t="s">
        <v>120</v>
      </c>
      <c r="HG118" s="245" t="str">
        <f>IF(HI109&gt;0,ROUND(HG117^2,3),"")</f>
        <v/>
      </c>
      <c r="HH118" s="248" t="s">
        <v>121</v>
      </c>
      <c r="HI118" s="245" t="str">
        <f>IF(HI109&gt;5,TDIST(ABS(HI117),HI109-2,1),"")</f>
        <v/>
      </c>
      <c r="HJ118" s="245" t="str">
        <f>IF(HL109&gt;0,ROUND(HJ117^2,3),"")</f>
        <v/>
      </c>
      <c r="HK118" s="248" t="s">
        <v>121</v>
      </c>
      <c r="HL118" s="245" t="str">
        <f>IF(HL109&gt;5,TDIST(ABS(HL117),HL109-2,1),"")</f>
        <v/>
      </c>
      <c r="HM118" s="242" t="s">
        <v>120</v>
      </c>
      <c r="HN118" s="245" t="str">
        <f>IF(HP109&gt;0,ROUND(HN117^2,3),"")</f>
        <v/>
      </c>
      <c r="HO118" s="248" t="s">
        <v>121</v>
      </c>
      <c r="HP118" s="245" t="str">
        <f>IF(HP109&gt;5,TDIST(ABS(HP117),HP109-2,1),"")</f>
        <v/>
      </c>
      <c r="HQ118" s="242" t="s">
        <v>120</v>
      </c>
      <c r="HR118" s="245" t="str">
        <f>IF(HT109&gt;0,ROUND(HR117^2,3),"")</f>
        <v/>
      </c>
      <c r="HS118" s="248" t="s">
        <v>121</v>
      </c>
      <c r="HT118" s="245" t="str">
        <f>IF(HT109&gt;5,TDIST(ABS(HT117),HT109-2,1),"")</f>
        <v/>
      </c>
      <c r="HU118" s="245" t="str">
        <f>IF(HW109&gt;0,ROUND(HU117^2,3),"")</f>
        <v/>
      </c>
      <c r="HV118" s="248" t="s">
        <v>121</v>
      </c>
      <c r="HW118" s="245" t="str">
        <f>IF(HW109&gt;5,TDIST(ABS(HW117),HW109-2,1),"")</f>
        <v/>
      </c>
      <c r="HX118" s="245" t="str">
        <f>IF(HZ109&gt;0,ROUND(HX117^2,3),"")</f>
        <v/>
      </c>
      <c r="HY118" s="248" t="s">
        <v>121</v>
      </c>
      <c r="HZ118" s="245" t="str">
        <f>IF(HZ109&gt;5,TDIST(ABS(HZ117),HZ109-2,1),"")</f>
        <v/>
      </c>
      <c r="IA118" s="245" t="str">
        <f>IF(IC109&gt;0,ROUND(IA117^2,3),"")</f>
        <v/>
      </c>
      <c r="IB118" s="248" t="s">
        <v>121</v>
      </c>
      <c r="IC118" s="245" t="str">
        <f>IF(IC109&gt;5,TDIST(ABS(IC117),IC109-2,1),"")</f>
        <v/>
      </c>
      <c r="ID118" s="245" t="str">
        <f>IF(IF109&gt;0,ROUND(ID117^2,3),"")</f>
        <v/>
      </c>
      <c r="IE118" s="248" t="s">
        <v>121</v>
      </c>
      <c r="IF118" s="245" t="str">
        <f>IF(IF109&gt;5,TDIST(ABS(IF117),IF109-2,1),"")</f>
        <v/>
      </c>
      <c r="IG118" s="245" t="str">
        <f>IF(II109&gt;0,ROUND(IG117^2,3),"")</f>
        <v/>
      </c>
      <c r="IH118" s="248" t="s">
        <v>121</v>
      </c>
      <c r="II118" s="245" t="str">
        <f>IF(II109&gt;5,TDIST(ABS(II117),II109-2,1),"")</f>
        <v/>
      </c>
      <c r="IJ118" s="245" t="str">
        <f>IF(IL109&gt;0,ROUND(IJ117^2,3),"")</f>
        <v/>
      </c>
      <c r="IK118" s="248" t="s">
        <v>121</v>
      </c>
      <c r="IL118" s="245" t="str">
        <f>IF(IL109&gt;5,TDIST(ABS(IL117),IL109-2,1),"")</f>
        <v/>
      </c>
      <c r="IM118" s="245" t="str">
        <f>IF(IO109&gt;0,ROUND(IM117^2,3),"")</f>
        <v/>
      </c>
      <c r="IN118" s="248" t="s">
        <v>121</v>
      </c>
      <c r="IO118" s="245" t="str">
        <f>IF(IO109&gt;5,TDIST(ABS(IO117),IO109-2,1),"")</f>
        <v/>
      </c>
      <c r="IP118" s="245" t="str">
        <f>IF(IR109&gt;0,ROUND(IP117^2,3),"")</f>
        <v/>
      </c>
      <c r="IQ118" s="248" t="s">
        <v>121</v>
      </c>
      <c r="IR118" s="245" t="str">
        <f>IF(IR109&gt;5,TDIST(ABS(IR117),IR109-2,1),"")</f>
        <v/>
      </c>
      <c r="IS118" s="245" t="str">
        <f>IF(IU109&gt;0,ROUND(IS117^2,3),"")</f>
        <v/>
      </c>
      <c r="IT118" s="248" t="s">
        <v>121</v>
      </c>
      <c r="IU118" s="245" t="str">
        <f>IF(IU109&gt;5,TDIST(ABS(IU117),IU109-2,1),"")</f>
        <v/>
      </c>
    </row>
    <row r="119" spans="1:255" x14ac:dyDescent="0.2">
      <c r="A119" s="249" t="s">
        <v>185</v>
      </c>
      <c r="B119" s="247" t="s">
        <v>227</v>
      </c>
      <c r="C119" s="247" t="s">
        <v>228</v>
      </c>
      <c r="D119" s="247" t="s">
        <v>229</v>
      </c>
      <c r="E119" s="247" t="s">
        <v>230</v>
      </c>
      <c r="F119" s="247" t="s">
        <v>231</v>
      </c>
      <c r="G119" s="247" t="s">
        <v>232</v>
      </c>
      <c r="H119" s="247" t="s">
        <v>233</v>
      </c>
      <c r="I119" s="247" t="s">
        <v>234</v>
      </c>
      <c r="J119" s="247" t="s">
        <v>235</v>
      </c>
      <c r="K119" s="247" t="s">
        <v>236</v>
      </c>
      <c r="L119" s="201"/>
      <c r="M119" s="202"/>
      <c r="N119" s="200"/>
      <c r="O119" s="221"/>
      <c r="P119" s="221"/>
      <c r="Q119" s="230" t="s">
        <v>20</v>
      </c>
      <c r="R119" s="230" t="str">
        <f t="shared" si="678"/>
        <v/>
      </c>
      <c r="S119" s="230"/>
      <c r="T119" s="230"/>
      <c r="U119" s="230" t="str">
        <f t="shared" si="679"/>
        <v/>
      </c>
      <c r="V119" s="230"/>
      <c r="W119" s="230"/>
      <c r="X119" s="230" t="str">
        <f t="shared" si="680"/>
        <v/>
      </c>
      <c r="Y119" s="230"/>
      <c r="Z119" s="230"/>
      <c r="AA119" s="230" t="str">
        <f t="shared" si="681"/>
        <v/>
      </c>
      <c r="AB119" s="230"/>
      <c r="AC119" s="230"/>
      <c r="AD119" s="230" t="str">
        <f t="shared" si="682"/>
        <v/>
      </c>
      <c r="AE119" s="230"/>
      <c r="AF119" s="230"/>
      <c r="AG119" s="230" t="str">
        <f t="shared" si="683"/>
        <v/>
      </c>
      <c r="AH119" s="230"/>
      <c r="AI119" s="230"/>
      <c r="AJ119" s="230" t="str">
        <f t="shared" si="684"/>
        <v/>
      </c>
      <c r="AK119" s="230"/>
      <c r="AL119" s="230"/>
      <c r="AM119" s="230" t="str">
        <f t="shared" si="685"/>
        <v/>
      </c>
      <c r="AN119" s="230"/>
      <c r="AO119" s="230"/>
      <c r="AP119" s="230" t="str">
        <f t="shared" si="686"/>
        <v/>
      </c>
      <c r="AQ119" s="230"/>
      <c r="AR119" s="230"/>
      <c r="AS119" s="230" t="str">
        <f t="shared" si="687"/>
        <v/>
      </c>
      <c r="AT119" s="230"/>
      <c r="AU119" s="202"/>
      <c r="AV119" s="230" t="e">
        <f t="shared" si="705"/>
        <v>#DIV/0!</v>
      </c>
      <c r="AW119" s="202"/>
      <c r="AX119" s="242" t="s">
        <v>122</v>
      </c>
      <c r="AY119" s="245" t="str">
        <f>IF(BA109&gt;0,ROUND(AZ111-(AY120*AY111),4),"")</f>
        <v/>
      </c>
      <c r="AZ119" s="242" t="s">
        <v>123</v>
      </c>
      <c r="BA119" s="243" t="str">
        <f>IF(BA109&gt;5,TDIST(ABS(BA117),BA109-2,2),"")</f>
        <v/>
      </c>
      <c r="BB119" s="245" t="str">
        <f>IF(BD109&gt;0,ROUND(BC111-(BB120*BB111),4),"")</f>
        <v/>
      </c>
      <c r="BC119" s="242" t="s">
        <v>123</v>
      </c>
      <c r="BD119" s="243" t="str">
        <f>IF(BD109&gt;5,TDIST(ABS(BD117),BD109-2,2),"")</f>
        <v/>
      </c>
      <c r="BE119" s="245" t="str">
        <f>IF(BG109&gt;0,ROUND(BF111-(BE120*BE111),4),"")</f>
        <v/>
      </c>
      <c r="BF119" s="242" t="s">
        <v>123</v>
      </c>
      <c r="BG119" s="243" t="str">
        <f>IF(BG109&gt;5,TDIST(ABS(BG117),BG109-2,2),"")</f>
        <v/>
      </c>
      <c r="BH119" s="245" t="str">
        <f>IF(BJ109&gt;0,ROUND(BI111-(BH120*BH111),4),"")</f>
        <v/>
      </c>
      <c r="BI119" s="242" t="s">
        <v>123</v>
      </c>
      <c r="BJ119" s="243" t="str">
        <f>IF(BJ109&gt;5,TDIST(ABS(BJ117),BJ109-2,2),"")</f>
        <v/>
      </c>
      <c r="BK119" s="245" t="str">
        <f>IF(BM109&gt;0,ROUND(BL111-(BK120*BK111),4),"")</f>
        <v/>
      </c>
      <c r="BL119" s="242" t="s">
        <v>123</v>
      </c>
      <c r="BM119" s="243" t="str">
        <f>IF(BM109&gt;5,TDIST(ABS(BM117),BM109-2,2),"")</f>
        <v/>
      </c>
      <c r="BN119" s="245" t="str">
        <f>IF(BP109&gt;0,ROUND(BO111-(BN120*BN111),4),"")</f>
        <v/>
      </c>
      <c r="BO119" s="242" t="s">
        <v>123</v>
      </c>
      <c r="BP119" s="243" t="str">
        <f>IF(BP109&gt;5,TDIST(ABS(BP117),BP109-2,2),"")</f>
        <v/>
      </c>
      <c r="BQ119" s="245" t="str">
        <f>IF(BS109&gt;0,ROUND(BR111-(BQ120*BQ111),4),"")</f>
        <v/>
      </c>
      <c r="BR119" s="242" t="s">
        <v>123</v>
      </c>
      <c r="BS119" s="243" t="str">
        <f>IF(BS109&gt;5,TDIST(ABS(BS117),BS109-2,2),"")</f>
        <v/>
      </c>
      <c r="BT119" s="245" t="str">
        <f>IF(BV109&gt;0,ROUND(BU111-(BT120*BT111),4),"")</f>
        <v/>
      </c>
      <c r="BU119" s="242" t="s">
        <v>123</v>
      </c>
      <c r="BV119" s="243" t="str">
        <f>IF(BV109&gt;5,TDIST(ABS(BV117),BV109-2,2),"")</f>
        <v/>
      </c>
      <c r="BW119" s="245" t="str">
        <f>IF(BY109&gt;0,ROUND(BX111-(BW120*BW111),4),"")</f>
        <v/>
      </c>
      <c r="BX119" s="242" t="s">
        <v>123</v>
      </c>
      <c r="BY119" s="243" t="str">
        <f>IF(BY109&gt;5,TDIST(ABS(BY117),BY109-2,2),"")</f>
        <v/>
      </c>
      <c r="BZ119" s="245" t="str">
        <f>IF(CB109&gt;0,ROUND(CA111-(BZ120*BZ111),4),"")</f>
        <v/>
      </c>
      <c r="CA119" s="242" t="s">
        <v>123</v>
      </c>
      <c r="CB119" s="243" t="str">
        <f>IF(CB109&gt;5,TDIST(ABS(CB117),CB109-2,2),"")</f>
        <v/>
      </c>
      <c r="CC119" s="242" t="s">
        <v>122</v>
      </c>
      <c r="CD119" s="245" t="str">
        <f>IF(CF109&gt;0,ROUND(CE111-(CD120*CD111),4),"")</f>
        <v/>
      </c>
      <c r="CE119" s="242" t="s">
        <v>123</v>
      </c>
      <c r="CF119" s="243" t="str">
        <f>IF(CF109&gt;5,TDIST(ABS(CF117),CF109-2,2),"")</f>
        <v/>
      </c>
      <c r="CG119" s="245" t="str">
        <f>IF(CI109&gt;0,ROUND(CH111-(CG120*CG111),4),"")</f>
        <v/>
      </c>
      <c r="CH119" s="242" t="s">
        <v>123</v>
      </c>
      <c r="CI119" s="243" t="str">
        <f>IF(CI109&gt;5,TDIST(ABS(CI117),CI109-2,2),"")</f>
        <v/>
      </c>
      <c r="CJ119" s="245" t="str">
        <f>IF(CL109&gt;0,ROUND(CK111-(CJ120*CJ111),4),"")</f>
        <v/>
      </c>
      <c r="CK119" s="242" t="s">
        <v>123</v>
      </c>
      <c r="CL119" s="243" t="str">
        <f>IF(CL109&gt;5,TDIST(ABS(CL117),CL109-2,2),"")</f>
        <v/>
      </c>
      <c r="CM119" s="245" t="str">
        <f>IF(CO109&gt;0,ROUND(CN111-(CM120*CM111),4),"")</f>
        <v/>
      </c>
      <c r="CN119" s="242" t="s">
        <v>123</v>
      </c>
      <c r="CO119" s="243" t="str">
        <f>IF(CO109&gt;5,TDIST(ABS(CO117),CO109-2,2),"")</f>
        <v/>
      </c>
      <c r="CP119" s="245" t="str">
        <f>IF(CR109&gt;0,ROUND(CQ111-(CP120*CP111),4),"")</f>
        <v/>
      </c>
      <c r="CQ119" s="242" t="s">
        <v>123</v>
      </c>
      <c r="CR119" s="243" t="str">
        <f>IF(CR109&gt;5,TDIST(ABS(CR117),CR109-2,2),"")</f>
        <v/>
      </c>
      <c r="CS119" s="245" t="str">
        <f>IF(CU109&gt;0,ROUND(CT111-(CS120*CS111),4),"")</f>
        <v/>
      </c>
      <c r="CT119" s="242" t="s">
        <v>123</v>
      </c>
      <c r="CU119" s="243" t="str">
        <f>IF(CU109&gt;5,TDIST(ABS(CU117),CU109-2,2),"")</f>
        <v/>
      </c>
      <c r="CV119" s="245" t="str">
        <f>IF(CX109&gt;0,ROUND(CW111-(CV120*CV111),4),"")</f>
        <v/>
      </c>
      <c r="CW119" s="242" t="s">
        <v>123</v>
      </c>
      <c r="CX119" s="243" t="str">
        <f>IF(CX109&gt;5,TDIST(ABS(CX117),CX109-2,2),"")</f>
        <v/>
      </c>
      <c r="CY119" s="245" t="str">
        <f>IF(DA109&gt;0,ROUND(CZ111-(CY120*CY111),4),"")</f>
        <v/>
      </c>
      <c r="CZ119" s="242" t="s">
        <v>123</v>
      </c>
      <c r="DA119" s="243" t="str">
        <f>IF(DA109&gt;5,TDIST(ABS(DA117),DA109-2,2),"")</f>
        <v/>
      </c>
      <c r="DB119" s="245" t="str">
        <f>IF(DD109&gt;0,ROUND(DC111-(DB120*DB111),4),"")</f>
        <v/>
      </c>
      <c r="DC119" s="242" t="s">
        <v>123</v>
      </c>
      <c r="DD119" s="243" t="str">
        <f>IF(DD109&gt;5,TDIST(ABS(DD117),DD109-2,2),"")</f>
        <v/>
      </c>
      <c r="DE119" s="242" t="s">
        <v>122</v>
      </c>
      <c r="DF119" s="245" t="str">
        <f>IF(DH109&gt;0,ROUND(DG111-(DF120*DF111),4),"")</f>
        <v/>
      </c>
      <c r="DG119" s="242" t="s">
        <v>123</v>
      </c>
      <c r="DH119" s="243" t="str">
        <f>IF(DH109&gt;5,TDIST(ABS(DH117),DH109-2,2),"")</f>
        <v/>
      </c>
      <c r="DI119" s="245" t="str">
        <f>IF(DK109&gt;0,ROUND(DJ111-(DI120*DI111),4),"")</f>
        <v/>
      </c>
      <c r="DJ119" s="242" t="s">
        <v>123</v>
      </c>
      <c r="DK119" s="243" t="str">
        <f>IF(DK109&gt;5,TDIST(ABS(DK117),DK109-2,2),"")</f>
        <v/>
      </c>
      <c r="DL119" s="245" t="str">
        <f>IF(DN109&gt;0,ROUND(DM111-(DL120*DL111),4),"")</f>
        <v/>
      </c>
      <c r="DM119" s="242" t="s">
        <v>123</v>
      </c>
      <c r="DN119" s="243" t="str">
        <f>IF(DN109&gt;5,TDIST(ABS(DN117),DN109-2,2),"")</f>
        <v/>
      </c>
      <c r="DO119" s="245" t="str">
        <f>IF(DQ109&gt;0,ROUND(DP111-(DO120*DO111),4),"")</f>
        <v/>
      </c>
      <c r="DP119" s="242" t="s">
        <v>123</v>
      </c>
      <c r="DQ119" s="243" t="str">
        <f>IF(DQ109&gt;5,TDIST(ABS(DQ117),DQ109-2,2),"")</f>
        <v/>
      </c>
      <c r="DR119" s="245" t="str">
        <f>IF(DT109&gt;0,ROUND(DS111-(DR120*DR111),4),"")</f>
        <v/>
      </c>
      <c r="DS119" s="242" t="s">
        <v>123</v>
      </c>
      <c r="DT119" s="243" t="str">
        <f>IF(DT109&gt;5,TDIST(ABS(DT117),DT109-2,2),"")</f>
        <v/>
      </c>
      <c r="DU119" s="245" t="str">
        <f>IF(DW109&gt;0,ROUND(DV111-(DU120*DU111),4),"")</f>
        <v/>
      </c>
      <c r="DV119" s="242" t="s">
        <v>123</v>
      </c>
      <c r="DW119" s="243" t="str">
        <f>IF(DW109&gt;5,TDIST(ABS(DW117),DW109-2,2),"")</f>
        <v/>
      </c>
      <c r="DX119" s="245" t="str">
        <f>IF(DZ109&gt;0,ROUND(DY111-(DX120*DX111),4),"")</f>
        <v/>
      </c>
      <c r="DY119" s="242" t="s">
        <v>123</v>
      </c>
      <c r="DZ119" s="243" t="str">
        <f>IF(DZ109&gt;5,TDIST(ABS(DZ117),DZ109-2,2),"")</f>
        <v/>
      </c>
      <c r="EA119" s="245" t="str">
        <f>IF(EC109&gt;0,ROUND(EB111-(EA120*EA111),4),"")</f>
        <v/>
      </c>
      <c r="EB119" s="242" t="s">
        <v>123</v>
      </c>
      <c r="EC119" s="250" t="str">
        <f>IF(EC109&gt;5,TDIST(ABS(EC117),EC109-2,2),"")</f>
        <v/>
      </c>
      <c r="ED119" s="242" t="s">
        <v>122</v>
      </c>
      <c r="EE119" s="245" t="str">
        <f>IF(EG109&gt;0,ROUND(EF111-(EE120*EE111),4),"")</f>
        <v/>
      </c>
      <c r="EF119" s="242" t="s">
        <v>123</v>
      </c>
      <c r="EG119" s="243" t="str">
        <f>IF(EG109&gt;5,TDIST(ABS(EG117),EG109-2,2),"")</f>
        <v/>
      </c>
      <c r="EH119" s="245" t="str">
        <f>IF(EJ109&gt;0,ROUND(EI111-(EH120*EH111),4),"")</f>
        <v/>
      </c>
      <c r="EI119" s="242" t="s">
        <v>123</v>
      </c>
      <c r="EJ119" s="243" t="str">
        <f>IF(EJ109&gt;5,TDIST(ABS(EJ117),EJ109-2,2),"")</f>
        <v/>
      </c>
      <c r="EK119" s="245" t="str">
        <f>IF(EM109&gt;0,ROUND(EL111-(EK120*EK111),4),"")</f>
        <v/>
      </c>
      <c r="EL119" s="242" t="s">
        <v>123</v>
      </c>
      <c r="EM119" s="243" t="str">
        <f>IF(EM109&gt;5,TDIST(ABS(EM117),EM109-2,2),"")</f>
        <v/>
      </c>
      <c r="EN119" s="245" t="str">
        <f>IF(EP109&gt;0,ROUND(EO111-(EN120*EN111),4),"")</f>
        <v/>
      </c>
      <c r="EO119" s="242" t="s">
        <v>123</v>
      </c>
      <c r="EP119" s="243" t="str">
        <f>IF(EP109&gt;5,TDIST(ABS(EP117),EP109-2,2),"")</f>
        <v/>
      </c>
      <c r="EQ119" s="245" t="str">
        <f>IF(ES109&gt;0,ROUND(ER111-(EQ120*EQ111),4),"")</f>
        <v/>
      </c>
      <c r="ER119" s="242" t="s">
        <v>123</v>
      </c>
      <c r="ES119" s="243" t="str">
        <f>IF(ES109&gt;5,TDIST(ABS(ES117),ES109-2,2),"")</f>
        <v/>
      </c>
      <c r="ET119" s="245" t="str">
        <f>IF(EV109&gt;0,ROUND(EU111-(ET120*ET111),4),"")</f>
        <v/>
      </c>
      <c r="EU119" s="242" t="s">
        <v>123</v>
      </c>
      <c r="EV119" s="243" t="str">
        <f>IF(EV109&gt;5,TDIST(ABS(EV117),EV109-2,2),"")</f>
        <v/>
      </c>
      <c r="EW119" s="245" t="str">
        <f>IF(EY109&gt;0,ROUND(EX111-(EW120*EW111),4),"")</f>
        <v/>
      </c>
      <c r="EX119" s="242" t="s">
        <v>123</v>
      </c>
      <c r="EY119" s="243" t="str">
        <f>IF(EY109&gt;5,TDIST(ABS(EY117),EY109-2,2),"")</f>
        <v/>
      </c>
      <c r="EZ119" s="242" t="s">
        <v>122</v>
      </c>
      <c r="FA119" s="245" t="str">
        <f>IF(FC109&gt;0,ROUND(FB111-(FA120*FA111),4),"")</f>
        <v/>
      </c>
      <c r="FB119" s="242" t="s">
        <v>123</v>
      </c>
      <c r="FC119" s="243" t="str">
        <f>IF(FC109&gt;5,TDIST(ABS(FC117),FC109-2,2),"")</f>
        <v/>
      </c>
      <c r="FD119" s="245" t="str">
        <f>IF(FF109&gt;0,ROUND(FE111-(FD120*FD111),4),"")</f>
        <v/>
      </c>
      <c r="FE119" s="242" t="s">
        <v>123</v>
      </c>
      <c r="FF119" s="243" t="str">
        <f>IF(FF109&gt;5,TDIST(ABS(FF117),FF109-2,2),"")</f>
        <v/>
      </c>
      <c r="FG119" s="245" t="str">
        <f>IF(FI109&gt;0,ROUND(FH111-(FG120*FG111),4),"")</f>
        <v/>
      </c>
      <c r="FH119" s="242" t="s">
        <v>123</v>
      </c>
      <c r="FI119" s="243" t="str">
        <f>IF(FI109&gt;5,TDIST(ABS(FI117),FI109-2,2),"")</f>
        <v/>
      </c>
      <c r="FJ119" s="245" t="str">
        <f>IF(FL109&gt;0,ROUND(FK111-(FJ120*FJ111),4),"")</f>
        <v/>
      </c>
      <c r="FK119" s="242" t="s">
        <v>123</v>
      </c>
      <c r="FL119" s="243" t="str">
        <f>IF(FL109&gt;5,TDIST(ABS(FL117),FL109-2,2),"")</f>
        <v/>
      </c>
      <c r="FM119" s="245" t="str">
        <f>IF(FO109&gt;0,ROUND(FN111-(FM120*FM111),4),"")</f>
        <v/>
      </c>
      <c r="FN119" s="242" t="s">
        <v>123</v>
      </c>
      <c r="FO119" s="243" t="str">
        <f>IF(FO109&gt;5,TDIST(ABS(FO117),FO109-2,2),"")</f>
        <v/>
      </c>
      <c r="FP119" s="245" t="str">
        <f>IF(FR109&gt;0,ROUND(FQ111-(FP120*FP111),4),"")</f>
        <v/>
      </c>
      <c r="FQ119" s="242" t="s">
        <v>123</v>
      </c>
      <c r="FR119" s="243" t="str">
        <f>IF(FR109&gt;5,TDIST(ABS(FR117),FR109-2,2),"")</f>
        <v/>
      </c>
      <c r="FS119" s="242" t="s">
        <v>122</v>
      </c>
      <c r="FT119" s="245" t="str">
        <f>IF(FV109&gt;0,ROUND(FU111-(FT120*FT111),4),"")</f>
        <v/>
      </c>
      <c r="FU119" s="242" t="s">
        <v>123</v>
      </c>
      <c r="FV119" s="243" t="str">
        <f>IF(FV109&gt;5,TDIST(ABS(FV117),FV109-2,2),"")</f>
        <v/>
      </c>
      <c r="FW119" s="245" t="str">
        <f>IF(FY109&gt;0,ROUND(FX111-(FW120*FW111),4),"")</f>
        <v/>
      </c>
      <c r="FX119" s="242" t="s">
        <v>123</v>
      </c>
      <c r="FY119" s="243" t="str">
        <f>IF(FY109&gt;5,TDIST(ABS(FY117),FY109-2,2),"")</f>
        <v/>
      </c>
      <c r="FZ119" s="245" t="str">
        <f>IF(GB109&gt;0,ROUND(GA111-(FZ120*FZ111),4),"")</f>
        <v/>
      </c>
      <c r="GA119" s="242" t="s">
        <v>123</v>
      </c>
      <c r="GB119" s="243" t="str">
        <f>IF(GB109&gt;5,TDIST(ABS(GB117),GB109-2,2),"")</f>
        <v/>
      </c>
      <c r="GC119" s="245" t="str">
        <f>IF(GE109&gt;0,ROUND(GD111-(GC120*GC111),4),"")</f>
        <v/>
      </c>
      <c r="GD119" s="242" t="s">
        <v>123</v>
      </c>
      <c r="GE119" s="243" t="str">
        <f>IF(GE109&gt;5,TDIST(ABS(GE117),GE109-2,2),"")</f>
        <v/>
      </c>
      <c r="GF119" s="245" t="str">
        <f>IF(GH109&gt;0,ROUND(GG111-(GF120*GF111),4),"")</f>
        <v/>
      </c>
      <c r="GG119" s="242" t="s">
        <v>123</v>
      </c>
      <c r="GH119" s="243" t="str">
        <f>IF(GH109&gt;5,TDIST(ABS(GH117),GH109-2,2),"")</f>
        <v/>
      </c>
      <c r="GI119" s="242" t="s">
        <v>122</v>
      </c>
      <c r="GJ119" s="245" t="str">
        <f>IF(GL109&gt;0,ROUND(GK111-(GJ120*GJ111),4),"")</f>
        <v/>
      </c>
      <c r="GK119" s="242" t="s">
        <v>123</v>
      </c>
      <c r="GL119" s="243" t="str">
        <f>IF(GL109&gt;5,TDIST(ABS(GL117),GL109-2,2),"")</f>
        <v/>
      </c>
      <c r="GM119" s="245" t="str">
        <f>IF(GO109&gt;0,ROUND(GN111-(GM120*GM111),4),"")</f>
        <v/>
      </c>
      <c r="GN119" s="242" t="s">
        <v>123</v>
      </c>
      <c r="GO119" s="243" t="str">
        <f>IF(GO109&gt;5,TDIST(ABS(GO117),GO109-2,2),"")</f>
        <v/>
      </c>
      <c r="GP119" s="245" t="str">
        <f>IF(GR109&gt;0,ROUND(GQ111-(GP120*GP111),4),"")</f>
        <v/>
      </c>
      <c r="GQ119" s="242" t="s">
        <v>123</v>
      </c>
      <c r="GR119" s="243" t="str">
        <f>IF(GR109&gt;5,TDIST(ABS(GR117),GR109-2,2),"")</f>
        <v/>
      </c>
      <c r="GS119" s="245" t="str">
        <f>IF(GU109&gt;0,ROUND(GT111-(GS120*GS111),4),"")</f>
        <v/>
      </c>
      <c r="GT119" s="242" t="s">
        <v>123</v>
      </c>
      <c r="GU119" s="243" t="str">
        <f>IF(GU109&gt;5,TDIST(ABS(GU117),GU109-2,2),"")</f>
        <v/>
      </c>
      <c r="GV119" s="242" t="s">
        <v>122</v>
      </c>
      <c r="GW119" s="245" t="str">
        <f>IF(GY109&gt;0,ROUND(GX111-(GW120*GW111),4),"")</f>
        <v/>
      </c>
      <c r="GX119" s="242" t="s">
        <v>123</v>
      </c>
      <c r="GY119" s="243" t="str">
        <f>IF(GY109&gt;5,TDIST(ABS(GY117),GY109-2,2),"")</f>
        <v/>
      </c>
      <c r="GZ119" s="245" t="str">
        <f>IF(HB109&gt;0,ROUND(HA111-(GZ120*GZ111),4),"")</f>
        <v/>
      </c>
      <c r="HA119" s="242" t="s">
        <v>123</v>
      </c>
      <c r="HB119" s="243" t="str">
        <f>IF(HB109&gt;5,TDIST(ABS(HB117),HB109-2,2),"")</f>
        <v/>
      </c>
      <c r="HC119" s="245" t="str">
        <f>IF(HE109&gt;0,ROUND(HD111-(HC120*HC111),4),"")</f>
        <v/>
      </c>
      <c r="HD119" s="242" t="s">
        <v>123</v>
      </c>
      <c r="HE119" s="243" t="str">
        <f>IF(HE109&gt;5,TDIST(ABS(HE117),HE109-2,2),"")</f>
        <v/>
      </c>
      <c r="HF119" s="242" t="s">
        <v>122</v>
      </c>
      <c r="HG119" s="245" t="str">
        <f>IF(HI109&gt;0,ROUND(HH111-(HG120*HG111),4),"")</f>
        <v/>
      </c>
      <c r="HH119" s="242" t="s">
        <v>123</v>
      </c>
      <c r="HI119" s="243" t="str">
        <f>IF(HI109&gt;5,TDIST(ABS(HI117),HI109-2,2),"")</f>
        <v/>
      </c>
      <c r="HJ119" s="245" t="str">
        <f>IF(HL109&gt;0,ROUND(HK111-(HJ120*HJ111),4),"")</f>
        <v/>
      </c>
      <c r="HK119" s="242" t="s">
        <v>123</v>
      </c>
      <c r="HL119" s="243" t="str">
        <f>IF(HL109&gt;5,TDIST(ABS(HL117),HL109-2,2),"")</f>
        <v/>
      </c>
      <c r="HM119" s="242" t="s">
        <v>122</v>
      </c>
      <c r="HN119" s="245" t="str">
        <f>IF(HP109&gt;0,ROUND(HO111-(HN120*HN111),4),"")</f>
        <v/>
      </c>
      <c r="HO119" s="242" t="s">
        <v>123</v>
      </c>
      <c r="HP119" s="243" t="str">
        <f>IF(HP109&gt;5,TDIST(ABS(HP117),HP109-2,2),"")</f>
        <v/>
      </c>
      <c r="HQ119" s="242" t="s">
        <v>122</v>
      </c>
      <c r="HR119" s="245" t="str">
        <f>IF(HT109&gt;0,ROUND(HS111-(HR120*HR111),4),"")</f>
        <v/>
      </c>
      <c r="HS119" s="242" t="s">
        <v>123</v>
      </c>
      <c r="HT119" s="243" t="str">
        <f>IF(HT109&gt;5,TDIST(ABS(HT117),HT109-2,2),"")</f>
        <v/>
      </c>
      <c r="HU119" s="245" t="str">
        <f>IF(HW109&gt;0,ROUND(HV111-(HU120*HU111),4),"")</f>
        <v/>
      </c>
      <c r="HV119" s="242" t="s">
        <v>123</v>
      </c>
      <c r="HW119" s="243" t="str">
        <f>IF(HW109&gt;5,TDIST(ABS(HW117),HW109-2,2),"")</f>
        <v/>
      </c>
      <c r="HX119" s="245" t="str">
        <f>IF(HZ109&gt;0,ROUND(HY111-(HX120*HX111),4),"")</f>
        <v/>
      </c>
      <c r="HY119" s="242" t="s">
        <v>123</v>
      </c>
      <c r="HZ119" s="243" t="str">
        <f>IF(HZ109&gt;5,TDIST(ABS(HZ117),HZ109-2,2),"")</f>
        <v/>
      </c>
      <c r="IA119" s="245" t="str">
        <f>IF(IC109&gt;0,ROUND(IB111-(IA120*IA111),4),"")</f>
        <v/>
      </c>
      <c r="IB119" s="242" t="s">
        <v>123</v>
      </c>
      <c r="IC119" s="243" t="str">
        <f>IF(IC109&gt;5,TDIST(ABS(IC117),IC109-2,2),"")</f>
        <v/>
      </c>
      <c r="ID119" s="245" t="str">
        <f>IF(IF109&gt;0,ROUND(IE111-(ID120*ID111),4),"")</f>
        <v/>
      </c>
      <c r="IE119" s="242" t="s">
        <v>123</v>
      </c>
      <c r="IF119" s="243" t="str">
        <f>IF(IF109&gt;5,TDIST(ABS(IF117),IF109-2,2),"")</f>
        <v/>
      </c>
      <c r="IG119" s="245" t="str">
        <f>IF(II109&gt;0,ROUND(IH111-(IG120*IG111),4),"")</f>
        <v/>
      </c>
      <c r="IH119" s="242" t="s">
        <v>123</v>
      </c>
      <c r="II119" s="243" t="str">
        <f>IF(II109&gt;5,TDIST(ABS(II117),II109-2,2),"")</f>
        <v/>
      </c>
      <c r="IJ119" s="245" t="str">
        <f>IF(IL109&gt;0,ROUND(IK111-(IJ120*IJ111),4),"")</f>
        <v/>
      </c>
      <c r="IK119" s="242" t="s">
        <v>123</v>
      </c>
      <c r="IL119" s="243" t="str">
        <f>IF(IL109&gt;5,TDIST(ABS(IL117),IL109-2,2),"")</f>
        <v/>
      </c>
      <c r="IM119" s="245" t="str">
        <f>IF(IO109&gt;0,ROUND(IN111-(IM120*IM111),4),"")</f>
        <v/>
      </c>
      <c r="IN119" s="242" t="s">
        <v>123</v>
      </c>
      <c r="IO119" s="243" t="str">
        <f>IF(IO109&gt;5,TDIST(ABS(IO117),IO109-2,2),"")</f>
        <v/>
      </c>
      <c r="IP119" s="245" t="str">
        <f>IF(IR109&gt;0,ROUND(IQ111-(IP120*IP111),4),"")</f>
        <v/>
      </c>
      <c r="IQ119" s="242" t="s">
        <v>123</v>
      </c>
      <c r="IR119" s="243" t="str">
        <f>IF(IR109&gt;5,TDIST(ABS(IR117),IR109-2,2),"")</f>
        <v/>
      </c>
      <c r="IS119" s="245" t="str">
        <f>IF(IU109&gt;0,ROUND(IT111-(IS120*IS111),4),"")</f>
        <v/>
      </c>
      <c r="IT119" s="242" t="s">
        <v>123</v>
      </c>
      <c r="IU119" s="243" t="str">
        <f>IF(IU109&gt;5,TDIST(ABS(IU117),IU109-2,2),"")</f>
        <v/>
      </c>
    </row>
    <row r="120" spans="1:255" s="258" customFormat="1" x14ac:dyDescent="0.2">
      <c r="A120" s="251" t="s">
        <v>228</v>
      </c>
      <c r="B120" s="252" t="str">
        <f>AY$117</f>
        <v/>
      </c>
      <c r="C120" s="252" t="s">
        <v>109</v>
      </c>
      <c r="D120" s="252" t="s">
        <v>109</v>
      </c>
      <c r="E120" s="252" t="s">
        <v>109</v>
      </c>
      <c r="F120" s="252" t="s">
        <v>109</v>
      </c>
      <c r="G120" s="252" t="s">
        <v>109</v>
      </c>
      <c r="H120" s="252" t="s">
        <v>109</v>
      </c>
      <c r="I120" s="252" t="s">
        <v>109</v>
      </c>
      <c r="J120" s="252" t="s">
        <v>109</v>
      </c>
      <c r="K120" s="252" t="s">
        <v>109</v>
      </c>
      <c r="L120" s="253"/>
      <c r="M120" s="254"/>
      <c r="N120" s="255"/>
      <c r="O120" s="256"/>
      <c r="P120" s="256"/>
      <c r="Q120" s="230" t="s">
        <v>21</v>
      </c>
      <c r="R120" s="230" t="str">
        <f t="shared" si="678"/>
        <v/>
      </c>
      <c r="S120" s="230"/>
      <c r="T120" s="230"/>
      <c r="U120" s="230" t="str">
        <f t="shared" si="679"/>
        <v/>
      </c>
      <c r="V120" s="230"/>
      <c r="W120" s="230"/>
      <c r="X120" s="230" t="str">
        <f t="shared" si="680"/>
        <v/>
      </c>
      <c r="Y120" s="230"/>
      <c r="Z120" s="230"/>
      <c r="AA120" s="230" t="str">
        <f t="shared" si="681"/>
        <v/>
      </c>
      <c r="AB120" s="230"/>
      <c r="AC120" s="230"/>
      <c r="AD120" s="230" t="str">
        <f t="shared" si="682"/>
        <v/>
      </c>
      <c r="AE120" s="230"/>
      <c r="AF120" s="230"/>
      <c r="AG120" s="230" t="str">
        <f t="shared" si="683"/>
        <v/>
      </c>
      <c r="AH120" s="230"/>
      <c r="AI120" s="230"/>
      <c r="AJ120" s="230" t="str">
        <f t="shared" si="684"/>
        <v/>
      </c>
      <c r="AK120" s="230"/>
      <c r="AL120" s="230"/>
      <c r="AM120" s="230" t="str">
        <f t="shared" si="685"/>
        <v/>
      </c>
      <c r="AN120" s="230"/>
      <c r="AO120" s="230"/>
      <c r="AP120" s="230" t="str">
        <f t="shared" si="686"/>
        <v/>
      </c>
      <c r="AQ120" s="230"/>
      <c r="AR120" s="230"/>
      <c r="AS120" s="230" t="str">
        <f t="shared" si="687"/>
        <v/>
      </c>
      <c r="AT120" s="230"/>
      <c r="AU120" s="254"/>
      <c r="AV120" s="230" t="e">
        <f t="shared" si="705"/>
        <v>#DIV/0!</v>
      </c>
      <c r="AW120" s="254"/>
      <c r="AX120" s="242" t="s">
        <v>124</v>
      </c>
      <c r="AY120" s="245" t="str">
        <f>IF(BA109&gt;0,ROUND(BA113/AY113,4),"")</f>
        <v/>
      </c>
      <c r="AZ120" s="244" t="str">
        <f>IF(BA109&gt;3,"[ df="&amp;BA109-2&amp;" ]","")</f>
        <v/>
      </c>
      <c r="BA120" s="257"/>
      <c r="BB120" s="245" t="str">
        <f>IF(BD109&gt;0,ROUND(BD113/BB113,4),"")</f>
        <v/>
      </c>
      <c r="BC120" s="244" t="str">
        <f>IF(BD109&gt;3,"[ df="&amp;BD109-2&amp;" ]","")</f>
        <v/>
      </c>
      <c r="BD120" s="257"/>
      <c r="BE120" s="245" t="str">
        <f>IF(BG109&gt;0,ROUND(BG113/BE113,4),"")</f>
        <v/>
      </c>
      <c r="BF120" s="244" t="str">
        <f>IF(BG109&gt;3,"[ df="&amp;BG109-2&amp;" ]","")</f>
        <v/>
      </c>
      <c r="BG120" s="257"/>
      <c r="BH120" s="245" t="str">
        <f>IF(BJ109&gt;0,ROUND(BJ113/BH113,4),"")</f>
        <v/>
      </c>
      <c r="BI120" s="244" t="str">
        <f>IF(BJ109&gt;3,"[ df="&amp;BJ109-2&amp;" ]","")</f>
        <v/>
      </c>
      <c r="BJ120" s="257"/>
      <c r="BK120" s="245" t="str">
        <f>IF(BM109&gt;0,ROUND(BM113/BK113,4),"")</f>
        <v/>
      </c>
      <c r="BL120" s="244" t="str">
        <f>IF(BM109&gt;3,"[ df="&amp;BM109-2&amp;" ]","")</f>
        <v/>
      </c>
      <c r="BM120" s="257"/>
      <c r="BN120" s="245" t="str">
        <f>IF(BP109&gt;0,ROUND(BP113/BN113,4),"")</f>
        <v/>
      </c>
      <c r="BO120" s="244" t="str">
        <f>IF(BP109&gt;3,"[ df="&amp;BP109-2&amp;" ]","")</f>
        <v/>
      </c>
      <c r="BP120" s="257"/>
      <c r="BQ120" s="245" t="str">
        <f>IF(BS109&gt;0,ROUND(BS113/BQ113,4),"")</f>
        <v/>
      </c>
      <c r="BR120" s="244" t="str">
        <f>IF(BS109&gt;3,"[ df="&amp;BS109-2&amp;" ]","")</f>
        <v/>
      </c>
      <c r="BS120" s="257"/>
      <c r="BT120" s="245" t="str">
        <f>IF(BV109&gt;0,ROUND(BV113/BT113,4),"")</f>
        <v/>
      </c>
      <c r="BU120" s="244" t="str">
        <f>IF(BV109&gt;3,"[ df="&amp;BV109-2&amp;" ]","")</f>
        <v/>
      </c>
      <c r="BV120" s="257"/>
      <c r="BW120" s="245" t="str">
        <f>IF(BY109&gt;0,ROUND(BY113/BW113,4),"")</f>
        <v/>
      </c>
      <c r="BX120" s="244" t="str">
        <f>IF(BY109&gt;3,"[ df="&amp;BY109-2&amp;" ]","")</f>
        <v/>
      </c>
      <c r="BY120" s="257"/>
      <c r="BZ120" s="245" t="str">
        <f>IF(CB109&gt;0,ROUND(CB113/BZ113,4),"")</f>
        <v/>
      </c>
      <c r="CA120" s="244" t="str">
        <f>IF(CB109&gt;3,"[ df="&amp;CB109-2&amp;" ]","")</f>
        <v/>
      </c>
      <c r="CB120" s="257"/>
      <c r="CC120" s="242" t="s">
        <v>124</v>
      </c>
      <c r="CD120" s="245" t="str">
        <f>IF(CF109&gt;0,ROUND(CF113/CD113,4),"")</f>
        <v/>
      </c>
      <c r="CE120" s="244" t="str">
        <f>IF(CF109&gt;3,"[ df="&amp;CF109-2&amp;" ]","")</f>
        <v/>
      </c>
      <c r="CF120" s="257"/>
      <c r="CG120" s="245" t="str">
        <f>IF(CI109&gt;0,ROUND(CI113/CG113,4),"")</f>
        <v/>
      </c>
      <c r="CH120" s="244" t="str">
        <f>IF(CI109&gt;3,"[ df="&amp;CI109-2&amp;" ]","")</f>
        <v/>
      </c>
      <c r="CI120" s="257"/>
      <c r="CJ120" s="245" t="str">
        <f>IF(CL109&gt;0,ROUND(CL113/CJ113,4),"")</f>
        <v/>
      </c>
      <c r="CK120" s="244" t="str">
        <f>IF(CL109&gt;3,"[ df="&amp;CL109-2&amp;" ]","")</f>
        <v/>
      </c>
      <c r="CL120" s="257"/>
      <c r="CM120" s="245" t="str">
        <f>IF(CO109&gt;0,ROUND(CO113/CM113,4),"")</f>
        <v/>
      </c>
      <c r="CN120" s="244" t="str">
        <f>IF(CO109&gt;3,"[ df="&amp;CO109-2&amp;" ]","")</f>
        <v/>
      </c>
      <c r="CO120" s="257"/>
      <c r="CP120" s="245" t="str">
        <f>IF(CR109&gt;0,ROUND(CR113/CP113,4),"")</f>
        <v/>
      </c>
      <c r="CQ120" s="244" t="str">
        <f>IF(CR109&gt;3,"[ df="&amp;CR109-2&amp;" ]","")</f>
        <v/>
      </c>
      <c r="CR120" s="257"/>
      <c r="CS120" s="245" t="str">
        <f>IF(CU109&gt;0,ROUND(CU113/CS113,4),"")</f>
        <v/>
      </c>
      <c r="CT120" s="244" t="str">
        <f>IF(CU109&gt;3,"[ df="&amp;CU109-2&amp;" ]","")</f>
        <v/>
      </c>
      <c r="CU120" s="257"/>
      <c r="CV120" s="245" t="str">
        <f>IF(CX109&gt;0,ROUND(CX113/CV113,4),"")</f>
        <v/>
      </c>
      <c r="CW120" s="244" t="str">
        <f>IF(CX109&gt;3,"[ df="&amp;CX109-2&amp;" ]","")</f>
        <v/>
      </c>
      <c r="CX120" s="257"/>
      <c r="CY120" s="245" t="str">
        <f>IF(DA109&gt;0,ROUND(DA113/CY113,4),"")</f>
        <v/>
      </c>
      <c r="CZ120" s="244" t="str">
        <f>IF(DA109&gt;3,"[ df="&amp;DA109-2&amp;" ]","")</f>
        <v/>
      </c>
      <c r="DA120" s="257"/>
      <c r="DB120" s="245" t="str">
        <f>IF(DD109&gt;0,ROUND(DD113/DB113,4),"")</f>
        <v/>
      </c>
      <c r="DC120" s="244" t="str">
        <f>IF(DD109&gt;3,"[ df="&amp;DD109-2&amp;" ]","")</f>
        <v/>
      </c>
      <c r="DD120" s="257"/>
      <c r="DE120" s="242" t="s">
        <v>124</v>
      </c>
      <c r="DF120" s="245" t="str">
        <f>IF(DH109&gt;0,ROUND(DH113/DF113,4),"")</f>
        <v/>
      </c>
      <c r="DG120" s="244" t="str">
        <f>IF(DH109&gt;3,"[ df="&amp;DH109-2&amp;" ]","")</f>
        <v/>
      </c>
      <c r="DH120" s="257"/>
      <c r="DI120" s="245" t="str">
        <f>IF(DK109&gt;0,ROUND(DK113/DI113,4),"")</f>
        <v/>
      </c>
      <c r="DJ120" s="244" t="str">
        <f>IF(DK109&gt;3,"[ df="&amp;DK109-2&amp;" ]","")</f>
        <v/>
      </c>
      <c r="DK120" s="257"/>
      <c r="DL120" s="245" t="str">
        <f>IF(DN109&gt;0,ROUND(DN113/DL113,4),"")</f>
        <v/>
      </c>
      <c r="DM120" s="244" t="str">
        <f>IF(DN109&gt;3,"[ df="&amp;DN109-2&amp;" ]","")</f>
        <v/>
      </c>
      <c r="DN120" s="257"/>
      <c r="DO120" s="245" t="str">
        <f>IF(DQ109&gt;0,ROUND(DQ113/DO113,4),"")</f>
        <v/>
      </c>
      <c r="DP120" s="244" t="str">
        <f>IF(DQ109&gt;3,"[ df="&amp;DQ109-2&amp;" ]","")</f>
        <v/>
      </c>
      <c r="DQ120" s="257"/>
      <c r="DR120" s="245" t="str">
        <f>IF(DT109&gt;0,ROUND(DT113/DR113,4),"")</f>
        <v/>
      </c>
      <c r="DS120" s="244" t="str">
        <f>IF(DT109&gt;3,"[ df="&amp;DT109-2&amp;" ]","")</f>
        <v/>
      </c>
      <c r="DT120" s="257"/>
      <c r="DU120" s="245" t="str">
        <f>IF(DW109&gt;0,ROUND(DW113/DU113,4),"")</f>
        <v/>
      </c>
      <c r="DV120" s="244" t="str">
        <f>IF(DW109&gt;3,"[ df="&amp;DW109-2&amp;" ]","")</f>
        <v/>
      </c>
      <c r="DW120" s="257"/>
      <c r="DX120" s="245" t="str">
        <f>IF(DZ109&gt;0,ROUND(DZ113/DX113,4),"")</f>
        <v/>
      </c>
      <c r="DY120" s="244" t="str">
        <f>IF(DZ109&gt;3,"[ df="&amp;DZ109-2&amp;" ]","")</f>
        <v/>
      </c>
      <c r="DZ120" s="257"/>
      <c r="EA120" s="245" t="str">
        <f>IF(EC109&gt;0,ROUND(EC113/EA113,4),"")</f>
        <v/>
      </c>
      <c r="EB120" s="244" t="str">
        <f>IF(EC109&gt;3,"[ df="&amp;EC109-2&amp;" ]","")</f>
        <v/>
      </c>
      <c r="EC120" s="257"/>
      <c r="ED120" s="242" t="s">
        <v>124</v>
      </c>
      <c r="EE120" s="245" t="str">
        <f>IF(EG109&gt;0,ROUND(EG113/EE113,4),"")</f>
        <v/>
      </c>
      <c r="EF120" s="244" t="str">
        <f>IF(EG109&gt;3,"[ df="&amp;EG109-2&amp;" ]","")</f>
        <v/>
      </c>
      <c r="EG120" s="257"/>
      <c r="EH120" s="245" t="str">
        <f>IF(EJ109&gt;0,ROUND(EJ113/EH113,4),"")</f>
        <v/>
      </c>
      <c r="EI120" s="244" t="str">
        <f>IF(EJ109&gt;3,"[ df="&amp;EJ109-2&amp;" ]","")</f>
        <v/>
      </c>
      <c r="EJ120" s="257"/>
      <c r="EK120" s="245" t="str">
        <f>IF(EM109&gt;0,ROUND(EM113/EK113,4),"")</f>
        <v/>
      </c>
      <c r="EL120" s="244" t="str">
        <f>IF(EM109&gt;3,"[ df="&amp;EM109-2&amp;" ]","")</f>
        <v/>
      </c>
      <c r="EM120" s="257"/>
      <c r="EN120" s="245" t="str">
        <f>IF(EP109&gt;0,ROUND(EP113/EN113,4),"")</f>
        <v/>
      </c>
      <c r="EO120" s="244" t="str">
        <f>IF(EP109&gt;3,"[ df="&amp;EP109-2&amp;" ]","")</f>
        <v/>
      </c>
      <c r="EP120" s="257"/>
      <c r="EQ120" s="245" t="str">
        <f>IF(ES109&gt;0,ROUND(ES113/EQ113,4),"")</f>
        <v/>
      </c>
      <c r="ER120" s="244" t="str">
        <f>IF(ES109&gt;3,"[ df="&amp;ES109-2&amp;" ]","")</f>
        <v/>
      </c>
      <c r="ES120" s="257"/>
      <c r="ET120" s="245" t="str">
        <f>IF(EV109&gt;0,ROUND(EV113/ET113,4),"")</f>
        <v/>
      </c>
      <c r="EU120" s="244" t="str">
        <f>IF(EV109&gt;3,"[ df="&amp;EV109-2&amp;" ]","")</f>
        <v/>
      </c>
      <c r="EV120" s="257"/>
      <c r="EW120" s="245" t="str">
        <f>IF(EY109&gt;0,ROUND(EY113/EW113,4),"")</f>
        <v/>
      </c>
      <c r="EX120" s="244" t="str">
        <f>IF(EY109&gt;3,"[ df="&amp;EY109-2&amp;" ]","")</f>
        <v/>
      </c>
      <c r="EY120" s="257"/>
      <c r="EZ120" s="242" t="s">
        <v>124</v>
      </c>
      <c r="FA120" s="245" t="str">
        <f>IF(FC109&gt;0,ROUND(FC113/FA113,4),"")</f>
        <v/>
      </c>
      <c r="FB120" s="244" t="str">
        <f>IF(FC109&gt;3,"[ df="&amp;FC109-2&amp;" ]","")</f>
        <v/>
      </c>
      <c r="FC120" s="257"/>
      <c r="FD120" s="245" t="str">
        <f>IF(FF109&gt;0,ROUND(FF113/FD113,4),"")</f>
        <v/>
      </c>
      <c r="FE120" s="244" t="str">
        <f>IF(FF109&gt;3,"[ df="&amp;FF109-2&amp;" ]","")</f>
        <v/>
      </c>
      <c r="FF120" s="257"/>
      <c r="FG120" s="245" t="str">
        <f>IF(FI109&gt;0,ROUND(FI113/FG113,4),"")</f>
        <v/>
      </c>
      <c r="FH120" s="244" t="str">
        <f>IF(FI109&gt;3,"[ df="&amp;FI109-2&amp;" ]","")</f>
        <v/>
      </c>
      <c r="FI120" s="257"/>
      <c r="FJ120" s="245" t="str">
        <f>IF(FL109&gt;0,ROUND(FL113/FJ113,4),"")</f>
        <v/>
      </c>
      <c r="FK120" s="244" t="str">
        <f>IF(FL109&gt;3,"[ df="&amp;FL109-2&amp;" ]","")</f>
        <v/>
      </c>
      <c r="FL120" s="257"/>
      <c r="FM120" s="245" t="str">
        <f>IF(FO109&gt;0,ROUND(FO113/FM113,4),"")</f>
        <v/>
      </c>
      <c r="FN120" s="244" t="str">
        <f>IF(FO109&gt;3,"[ df="&amp;FO109-2&amp;" ]","")</f>
        <v/>
      </c>
      <c r="FO120" s="257"/>
      <c r="FP120" s="245" t="str">
        <f>IF(FR109&gt;0,ROUND(FR113/FP113,4),"")</f>
        <v/>
      </c>
      <c r="FQ120" s="244" t="str">
        <f>IF(FR109&gt;3,"[ df="&amp;FR109-2&amp;" ]","")</f>
        <v/>
      </c>
      <c r="FR120" s="257"/>
      <c r="FS120" s="242" t="s">
        <v>124</v>
      </c>
      <c r="FT120" s="245" t="str">
        <f>IF(FV109&gt;0,ROUND(FV113/FT113,4),"")</f>
        <v/>
      </c>
      <c r="FU120" s="244" t="str">
        <f>IF(FV109&gt;3,"[ df="&amp;FV109-2&amp;" ]","")</f>
        <v/>
      </c>
      <c r="FV120" s="257"/>
      <c r="FW120" s="245" t="str">
        <f>IF(FY109&gt;0,ROUND(FY113/FW113,4),"")</f>
        <v/>
      </c>
      <c r="FX120" s="244" t="str">
        <f>IF(FY109&gt;3,"[ df="&amp;FY109-2&amp;" ]","")</f>
        <v/>
      </c>
      <c r="FY120" s="257"/>
      <c r="FZ120" s="245" t="str">
        <f>IF(GB109&gt;0,ROUND(GB113/FZ113,4),"")</f>
        <v/>
      </c>
      <c r="GA120" s="244" t="str">
        <f>IF(GB109&gt;3,"[ df="&amp;GB109-2&amp;" ]","")</f>
        <v/>
      </c>
      <c r="GB120" s="257"/>
      <c r="GC120" s="245" t="str">
        <f>IF(GE109&gt;0,ROUND(GE113/GC113,4),"")</f>
        <v/>
      </c>
      <c r="GD120" s="244" t="str">
        <f>IF(GE109&gt;3,"[ df="&amp;GE109-2&amp;" ]","")</f>
        <v/>
      </c>
      <c r="GE120" s="257"/>
      <c r="GF120" s="245" t="str">
        <f>IF(GH109&gt;0,ROUND(GH113/GF113,4),"")</f>
        <v/>
      </c>
      <c r="GG120" s="244" t="str">
        <f>IF(GH109&gt;3,"[ df="&amp;GH109-2&amp;" ]","")</f>
        <v/>
      </c>
      <c r="GH120" s="257"/>
      <c r="GI120" s="242" t="s">
        <v>124</v>
      </c>
      <c r="GJ120" s="245" t="str">
        <f>IF(GL109&gt;0,ROUND(GL113/GJ113,4),"")</f>
        <v/>
      </c>
      <c r="GK120" s="244" t="str">
        <f>IF(GL109&gt;3,"[ df="&amp;GL109-2&amp;" ]","")</f>
        <v/>
      </c>
      <c r="GL120" s="257"/>
      <c r="GM120" s="245" t="str">
        <f>IF(GO109&gt;0,ROUND(GO113/GM113,4),"")</f>
        <v/>
      </c>
      <c r="GN120" s="244" t="str">
        <f>IF(GO109&gt;3,"[ df="&amp;GO109-2&amp;" ]","")</f>
        <v/>
      </c>
      <c r="GO120" s="257"/>
      <c r="GP120" s="245" t="str">
        <f>IF(GR109&gt;0,ROUND(GR113/GP113,4),"")</f>
        <v/>
      </c>
      <c r="GQ120" s="244" t="str">
        <f>IF(GR109&gt;3,"[ df="&amp;GR109-2&amp;" ]","")</f>
        <v/>
      </c>
      <c r="GR120" s="257"/>
      <c r="GS120" s="245" t="str">
        <f>IF(GU109&gt;0,ROUND(GU113/GS113,4),"")</f>
        <v/>
      </c>
      <c r="GT120" s="244" t="str">
        <f>IF(GU109&gt;3,"[ df="&amp;GU109-2&amp;" ]","")</f>
        <v/>
      </c>
      <c r="GU120" s="257"/>
      <c r="GV120" s="242" t="s">
        <v>124</v>
      </c>
      <c r="GW120" s="245" t="str">
        <f>IF(GY109&gt;0,ROUND(GY113/GW113,4),"")</f>
        <v/>
      </c>
      <c r="GX120" s="244" t="str">
        <f>IF(GY109&gt;3,"[ df="&amp;GY109-2&amp;" ]","")</f>
        <v/>
      </c>
      <c r="GY120" s="257"/>
      <c r="GZ120" s="245" t="str">
        <f>IF(HB109&gt;0,ROUND(HB113/GZ113,4),"")</f>
        <v/>
      </c>
      <c r="HA120" s="244" t="str">
        <f>IF(HB109&gt;3,"[ df="&amp;HB109-2&amp;" ]","")</f>
        <v/>
      </c>
      <c r="HB120" s="257"/>
      <c r="HC120" s="245" t="str">
        <f>IF(HE109&gt;0,ROUND(HE113/HC113,4),"")</f>
        <v/>
      </c>
      <c r="HD120" s="244" t="str">
        <f>IF(HE109&gt;3,"[ df="&amp;HE109-2&amp;" ]","")</f>
        <v/>
      </c>
      <c r="HE120" s="257"/>
      <c r="HF120" s="242" t="s">
        <v>124</v>
      </c>
      <c r="HG120" s="245" t="str">
        <f>IF(HI109&gt;0,ROUND(HI113/HG113,4),"")</f>
        <v/>
      </c>
      <c r="HH120" s="244" t="str">
        <f>IF(HI109&gt;3,"[ df="&amp;HI109-2&amp;" ]","")</f>
        <v/>
      </c>
      <c r="HI120" s="257"/>
      <c r="HJ120" s="245" t="str">
        <f>IF(HL109&gt;0,ROUND(HL113/HJ113,4),"")</f>
        <v/>
      </c>
      <c r="HK120" s="244" t="str">
        <f>IF(HL109&gt;3,"[ df="&amp;HL109-2&amp;" ]","")</f>
        <v/>
      </c>
      <c r="HL120" s="257"/>
      <c r="HM120" s="242" t="s">
        <v>124</v>
      </c>
      <c r="HN120" s="245" t="str">
        <f>IF(HP109&gt;0,ROUND(HP113/HN113,4),"")</f>
        <v/>
      </c>
      <c r="HO120" s="244" t="str">
        <f>IF(HP109&gt;3,"[ df="&amp;HP109-2&amp;" ]","")</f>
        <v/>
      </c>
      <c r="HP120" s="257"/>
      <c r="HQ120" s="242" t="s">
        <v>124</v>
      </c>
      <c r="HR120" s="245" t="str">
        <f>IF(HT109&gt;0,ROUND(HT113/HR113,4),"")</f>
        <v/>
      </c>
      <c r="HS120" s="244" t="str">
        <f>IF(HT109&gt;3,"[ df="&amp;HT109-2&amp;" ]","")</f>
        <v/>
      </c>
      <c r="HT120" s="257"/>
      <c r="HU120" s="245" t="str">
        <f>IF(HW109&gt;0,ROUND(HW113/HU113,4),"")</f>
        <v/>
      </c>
      <c r="HV120" s="244" t="str">
        <f>IF(HW109&gt;3,"[ df="&amp;HW109-2&amp;" ]","")</f>
        <v/>
      </c>
      <c r="HW120" s="257"/>
      <c r="HX120" s="245" t="str">
        <f>IF(HZ109&gt;0,ROUND(HZ113/HX113,4),"")</f>
        <v/>
      </c>
      <c r="HY120" s="244" t="str">
        <f>IF(HZ109&gt;3,"[ df="&amp;HZ109-2&amp;" ]","")</f>
        <v/>
      </c>
      <c r="HZ120" s="257"/>
      <c r="IA120" s="245" t="str">
        <f>IF(IC109&gt;0,ROUND(IC113/IA113,4),"")</f>
        <v/>
      </c>
      <c r="IB120" s="244" t="str">
        <f>IF(IC109&gt;3,"[ df="&amp;IC109-2&amp;" ]","")</f>
        <v/>
      </c>
      <c r="IC120" s="257"/>
      <c r="ID120" s="245" t="str">
        <f>IF(IF109&gt;0,ROUND(IF113/ID113,4),"")</f>
        <v/>
      </c>
      <c r="IE120" s="244" t="str">
        <f>IF(IF109&gt;3,"[ df="&amp;IF109-2&amp;" ]","")</f>
        <v/>
      </c>
      <c r="IF120" s="257"/>
      <c r="IG120" s="245" t="str">
        <f>IF(II109&gt;0,ROUND(II113/IG113,4),"")</f>
        <v/>
      </c>
      <c r="IH120" s="244" t="str">
        <f>IF(II109&gt;3,"[ df="&amp;II109-2&amp;" ]","")</f>
        <v/>
      </c>
      <c r="II120" s="257"/>
      <c r="IJ120" s="245" t="str">
        <f>IF(IL109&gt;0,ROUND(IL113/IJ113,4),"")</f>
        <v/>
      </c>
      <c r="IK120" s="244" t="str">
        <f>IF(IL109&gt;3,"[ df="&amp;IL109-2&amp;" ]","")</f>
        <v/>
      </c>
      <c r="IL120" s="257"/>
      <c r="IM120" s="245" t="str">
        <f>IF(IO109&gt;0,ROUND(IO113/IM113,4),"")</f>
        <v/>
      </c>
      <c r="IN120" s="244" t="str">
        <f>IF(IO109&gt;3,"[ df="&amp;IO109-2&amp;" ]","")</f>
        <v/>
      </c>
      <c r="IO120" s="257"/>
      <c r="IP120" s="245" t="str">
        <f>IF(IR109&gt;0,ROUND(IR113/IP113,4),"")</f>
        <v/>
      </c>
      <c r="IQ120" s="244" t="str">
        <f>IF(IR109&gt;3,"[ df="&amp;IR109-2&amp;" ]","")</f>
        <v/>
      </c>
      <c r="IR120" s="257"/>
      <c r="IS120" s="245" t="str">
        <f>IF(IU109&gt;0,ROUND(IU113/IS113,4),"")</f>
        <v/>
      </c>
      <c r="IT120" s="244" t="str">
        <f>IF(IU109&gt;3,"[ df="&amp;IU109-2&amp;" ]","")</f>
        <v/>
      </c>
      <c r="IU120" s="257"/>
    </row>
    <row r="121" spans="1:255" s="258" customFormat="1" x14ac:dyDescent="0.2">
      <c r="A121" s="251" t="s">
        <v>110</v>
      </c>
      <c r="B121" s="252" t="str">
        <f>IF(BA$119&lt;0.001,0.001,BA$119)</f>
        <v/>
      </c>
      <c r="C121" s="252" t="s">
        <v>109</v>
      </c>
      <c r="D121" s="252" t="s">
        <v>109</v>
      </c>
      <c r="E121" s="252" t="s">
        <v>109</v>
      </c>
      <c r="F121" s="252" t="s">
        <v>109</v>
      </c>
      <c r="G121" s="252" t="s">
        <v>109</v>
      </c>
      <c r="H121" s="252" t="s">
        <v>109</v>
      </c>
      <c r="I121" s="252" t="s">
        <v>109</v>
      </c>
      <c r="J121" s="252" t="s">
        <v>109</v>
      </c>
      <c r="K121" s="252" t="s">
        <v>109</v>
      </c>
      <c r="L121" s="253"/>
      <c r="M121" s="254"/>
      <c r="N121" s="255"/>
      <c r="O121" s="256"/>
      <c r="P121" s="256"/>
      <c r="Q121" s="230" t="s">
        <v>22</v>
      </c>
      <c r="R121" s="230" t="str">
        <f t="shared" si="678"/>
        <v/>
      </c>
      <c r="S121" s="230"/>
      <c r="T121" s="230"/>
      <c r="U121" s="230" t="str">
        <f t="shared" si="679"/>
        <v/>
      </c>
      <c r="V121" s="230"/>
      <c r="W121" s="230"/>
      <c r="X121" s="230" t="str">
        <f t="shared" si="680"/>
        <v/>
      </c>
      <c r="Y121" s="230"/>
      <c r="Z121" s="230"/>
      <c r="AA121" s="230" t="str">
        <f t="shared" si="681"/>
        <v/>
      </c>
      <c r="AB121" s="230"/>
      <c r="AC121" s="230"/>
      <c r="AD121" s="230" t="str">
        <f t="shared" si="682"/>
        <v/>
      </c>
      <c r="AE121" s="230"/>
      <c r="AF121" s="230"/>
      <c r="AG121" s="230" t="str">
        <f t="shared" si="683"/>
        <v/>
      </c>
      <c r="AH121" s="230"/>
      <c r="AI121" s="230"/>
      <c r="AJ121" s="230" t="str">
        <f t="shared" si="684"/>
        <v/>
      </c>
      <c r="AK121" s="230"/>
      <c r="AL121" s="230"/>
      <c r="AM121" s="230" t="str">
        <f t="shared" si="685"/>
        <v/>
      </c>
      <c r="AN121" s="230"/>
      <c r="AO121" s="230"/>
      <c r="AP121" s="230" t="str">
        <f t="shared" si="686"/>
        <v/>
      </c>
      <c r="AQ121" s="230"/>
      <c r="AR121" s="230"/>
      <c r="AS121" s="230" t="str">
        <f t="shared" si="687"/>
        <v/>
      </c>
      <c r="AT121" s="230"/>
      <c r="AU121" s="254"/>
      <c r="AV121" s="230" t="e">
        <f t="shared" si="705"/>
        <v>#DIV/0!</v>
      </c>
      <c r="AW121" s="254"/>
      <c r="AX121" s="242" t="s">
        <v>125</v>
      </c>
      <c r="AY121" s="245" t="str">
        <f>IF(BA109&gt;0,"±"&amp;ROUND(SQRT(AZ113*(1-AY118)/(BA109-2)),4),"")</f>
        <v/>
      </c>
      <c r="AZ121" s="257"/>
      <c r="BA121" s="257"/>
      <c r="BB121" s="245" t="str">
        <f>IF(BD109&gt;0,"±"&amp;ROUND(SQRT(BC113*(1-BB118)/(BD109-2)),4),"")</f>
        <v/>
      </c>
      <c r="BC121" s="257"/>
      <c r="BD121" s="257"/>
      <c r="BE121" s="245" t="str">
        <f>IF(BG109&gt;0,"±"&amp;ROUND(SQRT(BF113*(1-BE118)/(BG109-2)),4),"")</f>
        <v/>
      </c>
      <c r="BF121" s="257"/>
      <c r="BG121" s="257"/>
      <c r="BH121" s="245" t="str">
        <f>IF(BJ109&gt;0,"±"&amp;ROUND(SQRT(BI113*(1-BH118)/(BJ109-2)),4),"")</f>
        <v/>
      </c>
      <c r="BI121" s="257"/>
      <c r="BJ121" s="257"/>
      <c r="BK121" s="245" t="str">
        <f>IF(BM109&gt;0,"±"&amp;ROUND(SQRT(BL113*(1-BK118)/(BM109-2)),4),"")</f>
        <v/>
      </c>
      <c r="BL121" s="257"/>
      <c r="BM121" s="257"/>
      <c r="BN121" s="245" t="str">
        <f>IF(BP109&gt;0,"±"&amp;ROUND(SQRT(BO113*(1-BN118)/(BP109-2)),4),"")</f>
        <v/>
      </c>
      <c r="BO121" s="257"/>
      <c r="BP121" s="257"/>
      <c r="BQ121" s="245" t="str">
        <f>IF(BS109&gt;0,"±"&amp;ROUND(SQRT(BR113*(1-BQ118)/(BS109-2)),4),"")</f>
        <v/>
      </c>
      <c r="BR121" s="257"/>
      <c r="BS121" s="257"/>
      <c r="BT121" s="245" t="str">
        <f>IF(BV109&gt;0,"±"&amp;ROUND(SQRT(BU113*(1-BT118)/(BV109-2)),4),"")</f>
        <v/>
      </c>
      <c r="BU121" s="257"/>
      <c r="BV121" s="257"/>
      <c r="BW121" s="245" t="str">
        <f>IF(BY109&gt;0,"±"&amp;ROUND(SQRT(BX113*(1-BW118)/(BY109-2)),4),"")</f>
        <v/>
      </c>
      <c r="BX121" s="257"/>
      <c r="BY121" s="257"/>
      <c r="BZ121" s="245" t="str">
        <f>IF(CB109&gt;0,"±"&amp;ROUND(SQRT(CA113*(1-BZ118)/(CB109-2)),4),"")</f>
        <v/>
      </c>
      <c r="CA121" s="257"/>
      <c r="CB121" s="257"/>
      <c r="CC121" s="242" t="s">
        <v>125</v>
      </c>
      <c r="CD121" s="245" t="str">
        <f>IF(CF109&gt;0,"±"&amp;ROUND(SQRT(CE113*(1-CD118)/(CF109-2)),4),"")</f>
        <v/>
      </c>
      <c r="CE121" s="257"/>
      <c r="CF121" s="257"/>
      <c r="CG121" s="245" t="str">
        <f>IF(CI109&gt;0,"±"&amp;ROUND(SQRT(CH113*(1-CG118)/(CI109-2)),4),"")</f>
        <v/>
      </c>
      <c r="CH121" s="257"/>
      <c r="CI121" s="257"/>
      <c r="CJ121" s="245" t="str">
        <f>IF(CL109&gt;0,"±"&amp;ROUND(SQRT(CK113*(1-CJ118)/(CL109-2)),4),"")</f>
        <v/>
      </c>
      <c r="CK121" s="257"/>
      <c r="CL121" s="257"/>
      <c r="CM121" s="245" t="str">
        <f>IF(CO109&gt;0,"±"&amp;ROUND(SQRT(CN113*(1-CM118)/(CO109-2)),4),"")</f>
        <v/>
      </c>
      <c r="CN121" s="257"/>
      <c r="CO121" s="257"/>
      <c r="CP121" s="245" t="str">
        <f>IF(CR109&gt;0,"±"&amp;ROUND(SQRT(CQ113*(1-CP118)/(CR109-2)),4),"")</f>
        <v/>
      </c>
      <c r="CQ121" s="257"/>
      <c r="CR121" s="257"/>
      <c r="CS121" s="245" t="str">
        <f>IF(CU109&gt;0,"±"&amp;ROUND(SQRT(CT113*(1-CS118)/(CU109-2)),4),"")</f>
        <v/>
      </c>
      <c r="CT121" s="257"/>
      <c r="CU121" s="257"/>
      <c r="CV121" s="245" t="str">
        <f>IF(CX109&gt;0,"±"&amp;ROUND(SQRT(CW113*(1-CV118)/(CX109-2)),4),"")</f>
        <v/>
      </c>
      <c r="CW121" s="257"/>
      <c r="CX121" s="257"/>
      <c r="CY121" s="245" t="str">
        <f>IF(DA109&gt;0,"±"&amp;ROUND(SQRT(CZ113*(1-CY118)/(DA109-2)),4),"")</f>
        <v/>
      </c>
      <c r="CZ121" s="257"/>
      <c r="DA121" s="257"/>
      <c r="DB121" s="245" t="str">
        <f>IF(DD109&gt;0,"±"&amp;ROUND(SQRT(DC113*(1-DB118)/(DD109-2)),4),"")</f>
        <v/>
      </c>
      <c r="DC121" s="257"/>
      <c r="DD121" s="257"/>
      <c r="DE121" s="242" t="s">
        <v>125</v>
      </c>
      <c r="DF121" s="245" t="str">
        <f>IF(DH109&gt;0,"±"&amp;ROUND(SQRT(DG113*(1-DF118)/(DH109-2)),4),"")</f>
        <v/>
      </c>
      <c r="DG121" s="257"/>
      <c r="DH121" s="257"/>
      <c r="DI121" s="245" t="str">
        <f>IF(DK109&gt;0,"±"&amp;ROUND(SQRT(DJ113*(1-DI118)/(DK109-2)),4),"")</f>
        <v/>
      </c>
      <c r="DJ121" s="257"/>
      <c r="DK121" s="257"/>
      <c r="DL121" s="245" t="str">
        <f>IF(DN109&gt;0,"±"&amp;ROUND(SQRT(DM113*(1-DL118)/(DN109-2)),4),"")</f>
        <v/>
      </c>
      <c r="DM121" s="257"/>
      <c r="DN121" s="257"/>
      <c r="DO121" s="245" t="str">
        <f>IF(DQ109&gt;0,"±"&amp;ROUND(SQRT(DP113*(1-DO118)/(DQ109-2)),4),"")</f>
        <v/>
      </c>
      <c r="DP121" s="257"/>
      <c r="DQ121" s="257"/>
      <c r="DR121" s="245" t="str">
        <f>IF(DT109&gt;0,"±"&amp;ROUND(SQRT(DS113*(1-DR118)/(DT109-2)),4),"")</f>
        <v/>
      </c>
      <c r="DS121" s="257"/>
      <c r="DT121" s="257"/>
      <c r="DU121" s="245" t="str">
        <f>IF(DW109&gt;0,"±"&amp;ROUND(SQRT(DV113*(1-DU118)/(DW109-2)),4),"")</f>
        <v/>
      </c>
      <c r="DV121" s="257"/>
      <c r="DW121" s="257"/>
      <c r="DX121" s="245" t="str">
        <f>IF(DZ109&gt;0,"±"&amp;ROUND(SQRT(DY113*(1-DX118)/(DZ109-2)),4),"")</f>
        <v/>
      </c>
      <c r="DY121" s="257"/>
      <c r="DZ121" s="257"/>
      <c r="EA121" s="245" t="str">
        <f>IF(EC109&gt;0,"±"&amp;ROUND(SQRT(EB113*(1-EA118)/(EC109-2)),4),"")</f>
        <v/>
      </c>
      <c r="EB121" s="257"/>
      <c r="EC121" s="257"/>
      <c r="ED121" s="242" t="s">
        <v>125</v>
      </c>
      <c r="EE121" s="245" t="str">
        <f>IF(EG109&gt;0,"±"&amp;ROUND(SQRT(EF113*(1-EE118)/(EG109-2)),4),"")</f>
        <v/>
      </c>
      <c r="EF121" s="257"/>
      <c r="EG121" s="257"/>
      <c r="EH121" s="245" t="str">
        <f>IF(EJ109&gt;0,"±"&amp;ROUND(SQRT(EI113*(1-EH118)/(EJ109-2)),4),"")</f>
        <v/>
      </c>
      <c r="EI121" s="257"/>
      <c r="EJ121" s="257"/>
      <c r="EK121" s="245" t="str">
        <f>IF(EM109&gt;0,"±"&amp;ROUND(SQRT(EL113*(1-EK118)/(EM109-2)),4),"")</f>
        <v/>
      </c>
      <c r="EL121" s="257"/>
      <c r="EM121" s="257"/>
      <c r="EN121" s="245" t="str">
        <f>IF(EP109&gt;0,"±"&amp;ROUND(SQRT(EO113*(1-EN118)/(EP109-2)),4),"")</f>
        <v/>
      </c>
      <c r="EO121" s="257"/>
      <c r="EP121" s="257"/>
      <c r="EQ121" s="245" t="str">
        <f>IF(ES109&gt;0,"±"&amp;ROUND(SQRT(ER113*(1-EQ118)/(ES109-2)),4),"")</f>
        <v/>
      </c>
      <c r="ER121" s="257"/>
      <c r="ES121" s="257"/>
      <c r="ET121" s="245" t="str">
        <f>IF(EV109&gt;0,"±"&amp;ROUND(SQRT(EU113*(1-ET118)/(EV109-2)),4),"")</f>
        <v/>
      </c>
      <c r="EU121" s="257"/>
      <c r="EV121" s="257"/>
      <c r="EW121" s="245" t="str">
        <f>IF(EY109&gt;0,"±"&amp;ROUND(SQRT(EX113*(1-EW118)/(EY109-2)),4),"")</f>
        <v/>
      </c>
      <c r="EX121" s="257"/>
      <c r="EY121" s="257"/>
      <c r="EZ121" s="242" t="s">
        <v>125</v>
      </c>
      <c r="FA121" s="245" t="str">
        <f>IF(FC109&gt;0,"±"&amp;ROUND(SQRT(FB113*(1-FA118)/(FC109-2)),4),"")</f>
        <v/>
      </c>
      <c r="FB121" s="257"/>
      <c r="FC121" s="257"/>
      <c r="FD121" s="245" t="str">
        <f>IF(FF109&gt;0,"±"&amp;ROUND(SQRT(FE113*(1-FD118)/(FF109-2)),4),"")</f>
        <v/>
      </c>
      <c r="FE121" s="257"/>
      <c r="FF121" s="257"/>
      <c r="FG121" s="245" t="str">
        <f>IF(FI109&gt;0,"±"&amp;ROUND(SQRT(FH113*(1-FG118)/(FI109-2)),4),"")</f>
        <v/>
      </c>
      <c r="FH121" s="257"/>
      <c r="FI121" s="257"/>
      <c r="FJ121" s="245" t="str">
        <f>IF(FL109&gt;0,"±"&amp;ROUND(SQRT(FK113*(1-FJ118)/(FL109-2)),4),"")</f>
        <v/>
      </c>
      <c r="FK121" s="257"/>
      <c r="FL121" s="257"/>
      <c r="FM121" s="245" t="str">
        <f>IF(FO109&gt;0,"±"&amp;ROUND(SQRT(FN113*(1-FM118)/(FO109-2)),4),"")</f>
        <v/>
      </c>
      <c r="FN121" s="257"/>
      <c r="FO121" s="257"/>
      <c r="FP121" s="245" t="str">
        <f>IF(FR109&gt;0,"±"&amp;ROUND(SQRT(FQ113*(1-FP118)/(FR109-2)),4),"")</f>
        <v/>
      </c>
      <c r="FQ121" s="257"/>
      <c r="FR121" s="257"/>
      <c r="FS121" s="242" t="s">
        <v>125</v>
      </c>
      <c r="FT121" s="245" t="str">
        <f>IF(FV109&gt;0,"±"&amp;ROUND(SQRT(FU113*(1-FT118)/(FV109-2)),4),"")</f>
        <v/>
      </c>
      <c r="FU121" s="257"/>
      <c r="FV121" s="257"/>
      <c r="FW121" s="245" t="str">
        <f>IF(FY109&gt;0,"±"&amp;ROUND(SQRT(FX113*(1-FW118)/(FY109-2)),4),"")</f>
        <v/>
      </c>
      <c r="FX121" s="257"/>
      <c r="FY121" s="257"/>
      <c r="FZ121" s="245" t="str">
        <f>IF(GB109&gt;0,"±"&amp;ROUND(SQRT(GA113*(1-FZ118)/(GB109-2)),4),"")</f>
        <v/>
      </c>
      <c r="GA121" s="257"/>
      <c r="GB121" s="257"/>
      <c r="GC121" s="245" t="str">
        <f>IF(GE109&gt;0,"±"&amp;ROUND(SQRT(GD113*(1-GC118)/(GE109-2)),4),"")</f>
        <v/>
      </c>
      <c r="GD121" s="257"/>
      <c r="GE121" s="257"/>
      <c r="GF121" s="245" t="str">
        <f>IF(GH109&gt;0,"±"&amp;ROUND(SQRT(GG113*(1-GF118)/(GH109-2)),4),"")</f>
        <v/>
      </c>
      <c r="GG121" s="257"/>
      <c r="GH121" s="257"/>
      <c r="GI121" s="242" t="s">
        <v>125</v>
      </c>
      <c r="GJ121" s="245" t="str">
        <f>IF(GL109&gt;0,"±"&amp;ROUND(SQRT(GK113*(1-GJ118)/(GL109-2)),4),"")</f>
        <v/>
      </c>
      <c r="GK121" s="257"/>
      <c r="GL121" s="257"/>
      <c r="GM121" s="245" t="str">
        <f>IF(GO109&gt;0,"±"&amp;ROUND(SQRT(GN113*(1-GM118)/(GO109-2)),4),"")</f>
        <v/>
      </c>
      <c r="GN121" s="257"/>
      <c r="GO121" s="257"/>
      <c r="GP121" s="245" t="str">
        <f>IF(GR109&gt;0,"±"&amp;ROUND(SQRT(GQ113*(1-GP118)/(GR109-2)),4),"")</f>
        <v/>
      </c>
      <c r="GQ121" s="257"/>
      <c r="GR121" s="257"/>
      <c r="GS121" s="245" t="str">
        <f>IF(GU109&gt;0,"±"&amp;ROUND(SQRT(GT113*(1-GS118)/(GU109-2)),4),"")</f>
        <v/>
      </c>
      <c r="GT121" s="257"/>
      <c r="GU121" s="257"/>
      <c r="GV121" s="242" t="s">
        <v>125</v>
      </c>
      <c r="GW121" s="245" t="str">
        <f>IF(GY109&gt;0,"±"&amp;ROUND(SQRT(GX113*(1-GW118)/(GY109-2)),4),"")</f>
        <v/>
      </c>
      <c r="GX121" s="257"/>
      <c r="GY121" s="257"/>
      <c r="GZ121" s="245" t="str">
        <f>IF(HB109&gt;0,"±"&amp;ROUND(SQRT(HA113*(1-GZ118)/(HB109-2)),4),"")</f>
        <v/>
      </c>
      <c r="HA121" s="257"/>
      <c r="HB121" s="257"/>
      <c r="HC121" s="245" t="str">
        <f>IF(HE109&gt;0,"±"&amp;ROUND(SQRT(HD113*(1-HC118)/(HE109-2)),4),"")</f>
        <v/>
      </c>
      <c r="HD121" s="257"/>
      <c r="HE121" s="257"/>
      <c r="HF121" s="242" t="s">
        <v>125</v>
      </c>
      <c r="HG121" s="245" t="str">
        <f>IF(HI109&gt;0,"±"&amp;ROUND(SQRT(HH113*(1-HG118)/(HI109-2)),4),"")</f>
        <v/>
      </c>
      <c r="HH121" s="257"/>
      <c r="HI121" s="257"/>
      <c r="HJ121" s="245" t="str">
        <f>IF(HL109&gt;0,"±"&amp;ROUND(SQRT(HK113*(1-HJ118)/(HL109-2)),4),"")</f>
        <v/>
      </c>
      <c r="HK121" s="257"/>
      <c r="HL121" s="257"/>
      <c r="HM121" s="242" t="s">
        <v>125</v>
      </c>
      <c r="HN121" s="245" t="str">
        <f>IF(HP109&gt;0,"±"&amp;ROUND(SQRT(HO113*(1-HN118)/(HP109-2)),4),"")</f>
        <v/>
      </c>
      <c r="HO121" s="257"/>
      <c r="HP121" s="257"/>
      <c r="HQ121" s="242" t="s">
        <v>125</v>
      </c>
      <c r="HR121" s="245" t="str">
        <f>IF(HT109&gt;0,"±"&amp;ROUND(SQRT(HS113*(1-HR118)/(HT109-2)),3),"")</f>
        <v/>
      </c>
      <c r="HS121" s="257"/>
      <c r="HT121" s="257"/>
      <c r="HU121" s="245" t="str">
        <f>IF(HW109&gt;0,"±"&amp;ROUND(SQRT(HV113*(1-HU118)/(HW109-2)),3),"")</f>
        <v/>
      </c>
      <c r="HV121" s="257"/>
      <c r="HW121" s="257"/>
      <c r="HX121" s="245" t="str">
        <f>IF(HZ109&gt;0,"±"&amp;ROUND(SQRT(HY113*(1-HX118)/(HZ109-2)),3),"")</f>
        <v/>
      </c>
      <c r="HY121" s="257"/>
      <c r="HZ121" s="257"/>
      <c r="IA121" s="245" t="str">
        <f>IF(IC109&gt;0,"±"&amp;ROUND(SQRT(IB113*(1-IA118)/(IC109-2)),3),"")</f>
        <v/>
      </c>
      <c r="IB121" s="257"/>
      <c r="IC121" s="257"/>
      <c r="ID121" s="245" t="str">
        <f>IF(IF109&gt;0,"±"&amp;ROUND(SQRT(IE113*(1-ID118)/(IF109-2)),3),"")</f>
        <v/>
      </c>
      <c r="IE121" s="257"/>
      <c r="IF121" s="257"/>
      <c r="IG121" s="245" t="str">
        <f>IF(II109&gt;0,"±"&amp;ROUND(SQRT(IH113*(1-IG118)/(II109-2)),3),"")</f>
        <v/>
      </c>
      <c r="IH121" s="257"/>
      <c r="II121" s="257"/>
      <c r="IJ121" s="245" t="str">
        <f>IF(IL109&gt;0,"±"&amp;ROUND(SQRT(IK113*(1-IJ118)/(IL109-2)),3),"")</f>
        <v/>
      </c>
      <c r="IK121" s="257"/>
      <c r="IL121" s="257"/>
      <c r="IM121" s="245" t="str">
        <f>IF(IO109&gt;0,"±"&amp;ROUND(SQRT(IN113*(1-IM118)/(IO109-2)),3),"")</f>
        <v/>
      </c>
      <c r="IN121" s="257"/>
      <c r="IO121" s="257"/>
      <c r="IP121" s="245" t="str">
        <f>IF(IR109&gt;0,"±"&amp;ROUND(SQRT(IQ113*(1-IP118)/(IR109-2)),3),"")</f>
        <v/>
      </c>
      <c r="IQ121" s="257"/>
      <c r="IR121" s="257"/>
      <c r="IS121" s="245" t="str">
        <f>IF(IU109&gt;0,"±"&amp;ROUND(SQRT(IT113*(1-IS118)/(IU109-2)),3),"")</f>
        <v/>
      </c>
      <c r="IT121" s="257"/>
      <c r="IU121" s="257"/>
    </row>
    <row r="122" spans="1:255" x14ac:dyDescent="0.2">
      <c r="A122" s="259" t="s">
        <v>237</v>
      </c>
      <c r="B122" s="249" t="str">
        <f>BB$117</f>
        <v/>
      </c>
      <c r="C122" s="249" t="str">
        <f>CD$117</f>
        <v/>
      </c>
      <c r="D122" s="249" t="s">
        <v>109</v>
      </c>
      <c r="E122" s="249" t="s">
        <v>109</v>
      </c>
      <c r="F122" s="249" t="s">
        <v>109</v>
      </c>
      <c r="G122" s="249" t="s">
        <v>109</v>
      </c>
      <c r="H122" s="249" t="s">
        <v>109</v>
      </c>
      <c r="I122" s="249" t="s">
        <v>109</v>
      </c>
      <c r="J122" s="249" t="s">
        <v>109</v>
      </c>
      <c r="K122" s="249" t="s">
        <v>109</v>
      </c>
      <c r="L122" s="201"/>
      <c r="M122" s="202"/>
      <c r="N122" s="200"/>
      <c r="O122" s="221"/>
      <c r="P122" s="221"/>
      <c r="Q122" s="230" t="s">
        <v>23</v>
      </c>
      <c r="R122" s="230" t="str">
        <f t="shared" si="678"/>
        <v/>
      </c>
      <c r="S122" s="230"/>
      <c r="T122" s="230"/>
      <c r="U122" s="230" t="str">
        <f t="shared" si="679"/>
        <v/>
      </c>
      <c r="V122" s="230"/>
      <c r="W122" s="230"/>
      <c r="X122" s="230" t="str">
        <f t="shared" si="680"/>
        <v/>
      </c>
      <c r="Y122" s="230"/>
      <c r="Z122" s="230"/>
      <c r="AA122" s="230" t="str">
        <f t="shared" si="681"/>
        <v/>
      </c>
      <c r="AB122" s="230"/>
      <c r="AC122" s="230"/>
      <c r="AD122" s="230" t="str">
        <f t="shared" si="682"/>
        <v/>
      </c>
      <c r="AE122" s="230"/>
      <c r="AF122" s="230"/>
      <c r="AG122" s="230" t="str">
        <f t="shared" si="683"/>
        <v/>
      </c>
      <c r="AH122" s="230"/>
      <c r="AI122" s="230"/>
      <c r="AJ122" s="230" t="str">
        <f t="shared" si="684"/>
        <v/>
      </c>
      <c r="AK122" s="230"/>
      <c r="AL122" s="230"/>
      <c r="AM122" s="230" t="str">
        <f t="shared" si="685"/>
        <v/>
      </c>
      <c r="AN122" s="230"/>
      <c r="AO122" s="230"/>
      <c r="AP122" s="230" t="str">
        <f t="shared" si="686"/>
        <v/>
      </c>
      <c r="AQ122" s="230"/>
      <c r="AR122" s="230"/>
      <c r="AS122" s="230" t="str">
        <f t="shared" si="687"/>
        <v/>
      </c>
      <c r="AT122" s="230"/>
      <c r="AU122" s="202"/>
      <c r="AV122" s="230" t="e">
        <f t="shared" si="705"/>
        <v>#DIV/0!</v>
      </c>
      <c r="AW122" s="202"/>
      <c r="AX122" s="260"/>
      <c r="AY122" s="205"/>
      <c r="AZ122" s="205"/>
      <c r="BA122" s="205"/>
      <c r="DE122" s="257"/>
      <c r="DF122" s="257"/>
      <c r="DG122" s="257"/>
      <c r="DH122" s="257"/>
      <c r="DI122" s="257"/>
      <c r="DJ122" s="257"/>
      <c r="DK122" s="257"/>
      <c r="DL122" s="257"/>
      <c r="DM122" s="257"/>
      <c r="DN122" s="257"/>
      <c r="DO122" s="257"/>
      <c r="DP122" s="257"/>
      <c r="DQ122" s="257"/>
      <c r="DR122" s="257"/>
      <c r="DS122" s="257"/>
      <c r="DT122" s="257"/>
      <c r="DU122" s="257"/>
      <c r="DV122" s="257"/>
      <c r="DW122" s="257"/>
      <c r="DX122" s="257"/>
      <c r="DY122" s="257"/>
      <c r="DZ122" s="257"/>
      <c r="EA122" s="257"/>
      <c r="EB122" s="257"/>
      <c r="EC122" s="257"/>
      <c r="ED122" s="257"/>
      <c r="EE122" s="257"/>
      <c r="EF122" s="257"/>
      <c r="EG122" s="257"/>
      <c r="EH122" s="257"/>
    </row>
    <row r="123" spans="1:255" x14ac:dyDescent="0.2">
      <c r="A123" s="259" t="s">
        <v>110</v>
      </c>
      <c r="B123" s="249" t="str">
        <f>IF(BD$119&lt;0.001,0.001,BD$119)</f>
        <v/>
      </c>
      <c r="C123" s="249" t="str">
        <f>IF(CF$119&lt;0.001,0.001,CF$119)</f>
        <v/>
      </c>
      <c r="D123" s="249" t="s">
        <v>109</v>
      </c>
      <c r="E123" s="249" t="s">
        <v>109</v>
      </c>
      <c r="F123" s="249" t="s">
        <v>109</v>
      </c>
      <c r="G123" s="249" t="s">
        <v>109</v>
      </c>
      <c r="H123" s="249" t="s">
        <v>109</v>
      </c>
      <c r="I123" s="249" t="s">
        <v>109</v>
      </c>
      <c r="J123" s="249" t="s">
        <v>109</v>
      </c>
      <c r="K123" s="249" t="s">
        <v>109</v>
      </c>
      <c r="L123" s="201"/>
      <c r="M123" s="202"/>
      <c r="N123" s="200"/>
      <c r="O123" s="221"/>
      <c r="P123" s="221"/>
      <c r="Q123" s="230" t="s">
        <v>24</v>
      </c>
      <c r="R123" s="230" t="str">
        <f t="shared" si="678"/>
        <v/>
      </c>
      <c r="S123" s="230"/>
      <c r="T123" s="230"/>
      <c r="U123" s="230" t="str">
        <f t="shared" si="679"/>
        <v/>
      </c>
      <c r="V123" s="230"/>
      <c r="W123" s="230"/>
      <c r="X123" s="230" t="str">
        <f t="shared" si="680"/>
        <v/>
      </c>
      <c r="Y123" s="230"/>
      <c r="Z123" s="230"/>
      <c r="AA123" s="230" t="str">
        <f t="shared" si="681"/>
        <v/>
      </c>
      <c r="AB123" s="230"/>
      <c r="AC123" s="230"/>
      <c r="AD123" s="230" t="str">
        <f t="shared" si="682"/>
        <v/>
      </c>
      <c r="AE123" s="230"/>
      <c r="AF123" s="230"/>
      <c r="AG123" s="230" t="str">
        <f t="shared" si="683"/>
        <v/>
      </c>
      <c r="AH123" s="230"/>
      <c r="AI123" s="230"/>
      <c r="AJ123" s="230" t="str">
        <f t="shared" si="684"/>
        <v/>
      </c>
      <c r="AK123" s="230"/>
      <c r="AL123" s="230"/>
      <c r="AM123" s="230" t="str">
        <f t="shared" si="685"/>
        <v/>
      </c>
      <c r="AN123" s="230"/>
      <c r="AO123" s="230"/>
      <c r="AP123" s="230" t="str">
        <f t="shared" si="686"/>
        <v/>
      </c>
      <c r="AQ123" s="230"/>
      <c r="AR123" s="230"/>
      <c r="AS123" s="230" t="str">
        <f t="shared" si="687"/>
        <v/>
      </c>
      <c r="AT123" s="230"/>
      <c r="AU123" s="202"/>
      <c r="AV123" s="230" t="e">
        <f t="shared" si="705"/>
        <v>#DIV/0!</v>
      </c>
      <c r="AW123" s="202"/>
      <c r="AX123" s="261"/>
      <c r="AY123" s="262"/>
      <c r="AZ123" s="262"/>
      <c r="BA123" s="262"/>
      <c r="BB123" s="262"/>
      <c r="BC123" s="262"/>
      <c r="BD123" s="262"/>
      <c r="BE123" s="262"/>
      <c r="BF123" s="262"/>
      <c r="BG123" s="262"/>
      <c r="BH123" s="262"/>
      <c r="BI123" s="262"/>
      <c r="BJ123" s="262"/>
      <c r="BK123" s="258"/>
      <c r="BL123" s="258"/>
      <c r="BM123" s="258"/>
      <c r="BN123" s="258"/>
      <c r="BO123" s="258"/>
      <c r="BP123" s="258"/>
      <c r="BQ123" s="258"/>
      <c r="BR123" s="258"/>
      <c r="BS123" s="258"/>
      <c r="BT123" s="258"/>
      <c r="BU123" s="258"/>
      <c r="BV123" s="258"/>
      <c r="BW123" s="258"/>
      <c r="BX123" s="258"/>
      <c r="BY123" s="258"/>
      <c r="BZ123" s="258"/>
      <c r="CA123" s="258"/>
      <c r="CB123" s="258"/>
      <c r="CC123" s="258"/>
      <c r="CD123" s="258"/>
      <c r="CE123" s="258"/>
      <c r="CF123" s="258"/>
      <c r="CG123" s="258"/>
      <c r="CH123" s="258"/>
      <c r="CI123" s="258"/>
      <c r="CJ123" s="258"/>
      <c r="CK123" s="258"/>
      <c r="CL123" s="258"/>
      <c r="CM123" s="258"/>
      <c r="CN123" s="258"/>
      <c r="CO123" s="258"/>
      <c r="CP123" s="258"/>
      <c r="CQ123" s="258"/>
      <c r="CR123" s="258"/>
      <c r="CS123" s="258"/>
      <c r="CT123" s="258"/>
      <c r="CU123" s="258"/>
      <c r="CV123" s="258"/>
      <c r="CW123" s="258"/>
      <c r="CX123" s="258"/>
      <c r="CY123" s="258"/>
      <c r="CZ123" s="258"/>
      <c r="DA123" s="258"/>
      <c r="DB123" s="258"/>
      <c r="DC123" s="258"/>
      <c r="DD123" s="258"/>
    </row>
    <row r="124" spans="1:255" s="258" customFormat="1" x14ac:dyDescent="0.2">
      <c r="A124" s="251" t="s">
        <v>230</v>
      </c>
      <c r="B124" s="252" t="str">
        <f>BE$117</f>
        <v/>
      </c>
      <c r="C124" s="252" t="str">
        <f>CG$117</f>
        <v/>
      </c>
      <c r="D124" s="252" t="str">
        <f>DF$117</f>
        <v/>
      </c>
      <c r="E124" s="252" t="s">
        <v>109</v>
      </c>
      <c r="F124" s="252" t="s">
        <v>109</v>
      </c>
      <c r="G124" s="252" t="s">
        <v>109</v>
      </c>
      <c r="H124" s="252" t="s">
        <v>109</v>
      </c>
      <c r="I124" s="252" t="s">
        <v>109</v>
      </c>
      <c r="J124" s="252" t="s">
        <v>109</v>
      </c>
      <c r="K124" s="252" t="s">
        <v>109</v>
      </c>
      <c r="L124" s="253"/>
      <c r="M124" s="254"/>
      <c r="N124" s="255"/>
      <c r="O124" s="256"/>
      <c r="P124" s="256"/>
      <c r="Q124" s="230" t="s">
        <v>25</v>
      </c>
      <c r="R124" s="230" t="str">
        <f t="shared" si="678"/>
        <v/>
      </c>
      <c r="S124" s="230"/>
      <c r="T124" s="230"/>
      <c r="U124" s="230" t="str">
        <f t="shared" si="679"/>
        <v/>
      </c>
      <c r="V124" s="230"/>
      <c r="W124" s="230"/>
      <c r="X124" s="230" t="str">
        <f t="shared" si="680"/>
        <v/>
      </c>
      <c r="Y124" s="230"/>
      <c r="Z124" s="230"/>
      <c r="AA124" s="230" t="str">
        <f t="shared" si="681"/>
        <v/>
      </c>
      <c r="AB124" s="230"/>
      <c r="AC124" s="230"/>
      <c r="AD124" s="230" t="str">
        <f t="shared" si="682"/>
        <v/>
      </c>
      <c r="AE124" s="230"/>
      <c r="AF124" s="230"/>
      <c r="AG124" s="230" t="str">
        <f t="shared" si="683"/>
        <v/>
      </c>
      <c r="AH124" s="230"/>
      <c r="AI124" s="230"/>
      <c r="AJ124" s="230" t="str">
        <f t="shared" si="684"/>
        <v/>
      </c>
      <c r="AK124" s="230"/>
      <c r="AL124" s="230"/>
      <c r="AM124" s="230" t="str">
        <f t="shared" si="685"/>
        <v/>
      </c>
      <c r="AN124" s="230"/>
      <c r="AO124" s="230"/>
      <c r="AP124" s="230" t="str">
        <f t="shared" si="686"/>
        <v/>
      </c>
      <c r="AQ124" s="230"/>
      <c r="AR124" s="230"/>
      <c r="AS124" s="230" t="str">
        <f t="shared" si="687"/>
        <v/>
      </c>
      <c r="AT124" s="230"/>
      <c r="AU124" s="254"/>
      <c r="AV124" s="230" t="e">
        <f t="shared" si="705"/>
        <v>#DIV/0!</v>
      </c>
      <c r="AW124" s="254"/>
      <c r="AX124" s="171"/>
      <c r="AY124" s="263"/>
      <c r="AZ124" s="263"/>
      <c r="BA124" s="263"/>
      <c r="BB124" s="262"/>
      <c r="BC124" s="262"/>
      <c r="BD124" s="262"/>
      <c r="BE124" s="262"/>
      <c r="BF124" s="262"/>
      <c r="BG124" s="262"/>
      <c r="BH124" s="262"/>
      <c r="BI124" s="262"/>
      <c r="BJ124" s="262"/>
    </row>
    <row r="125" spans="1:255" s="258" customFormat="1" x14ac:dyDescent="0.2">
      <c r="A125" s="251" t="s">
        <v>110</v>
      </c>
      <c r="B125" s="252" t="str">
        <f>IF(BG$119&lt;0.001,0.001,BG$119)</f>
        <v/>
      </c>
      <c r="C125" s="252" t="str">
        <f>IF(CI$119&lt;0.001,0.001,CI$119)</f>
        <v/>
      </c>
      <c r="D125" s="252" t="str">
        <f>IF(DH$119&lt;0.001,0.001,DH$119)</f>
        <v/>
      </c>
      <c r="E125" s="252" t="s">
        <v>109</v>
      </c>
      <c r="F125" s="252" t="s">
        <v>109</v>
      </c>
      <c r="G125" s="252" t="s">
        <v>109</v>
      </c>
      <c r="H125" s="252" t="s">
        <v>109</v>
      </c>
      <c r="I125" s="252" t="s">
        <v>109</v>
      </c>
      <c r="J125" s="252" t="s">
        <v>109</v>
      </c>
      <c r="K125" s="252" t="s">
        <v>109</v>
      </c>
      <c r="L125" s="253"/>
      <c r="M125" s="254"/>
      <c r="N125" s="255"/>
      <c r="O125" s="256"/>
      <c r="P125" s="256"/>
      <c r="Q125" s="230" t="s">
        <v>26</v>
      </c>
      <c r="R125" s="230" t="str">
        <f t="shared" si="678"/>
        <v/>
      </c>
      <c r="S125" s="230"/>
      <c r="T125" s="230"/>
      <c r="U125" s="230" t="str">
        <f t="shared" si="679"/>
        <v/>
      </c>
      <c r="V125" s="230"/>
      <c r="W125" s="230"/>
      <c r="X125" s="230" t="str">
        <f t="shared" si="680"/>
        <v/>
      </c>
      <c r="Y125" s="230"/>
      <c r="Z125" s="230"/>
      <c r="AA125" s="230" t="str">
        <f t="shared" si="681"/>
        <v/>
      </c>
      <c r="AB125" s="230"/>
      <c r="AC125" s="230"/>
      <c r="AD125" s="230" t="str">
        <f t="shared" si="682"/>
        <v/>
      </c>
      <c r="AE125" s="230"/>
      <c r="AF125" s="230"/>
      <c r="AG125" s="230" t="str">
        <f t="shared" si="683"/>
        <v/>
      </c>
      <c r="AH125" s="230"/>
      <c r="AI125" s="230"/>
      <c r="AJ125" s="230" t="str">
        <f t="shared" si="684"/>
        <v/>
      </c>
      <c r="AK125" s="230"/>
      <c r="AL125" s="230"/>
      <c r="AM125" s="230" t="str">
        <f t="shared" si="685"/>
        <v/>
      </c>
      <c r="AN125" s="230"/>
      <c r="AO125" s="230"/>
      <c r="AP125" s="230" t="str">
        <f t="shared" si="686"/>
        <v/>
      </c>
      <c r="AQ125" s="230"/>
      <c r="AR125" s="230"/>
      <c r="AS125" s="230" t="str">
        <f t="shared" si="687"/>
        <v/>
      </c>
      <c r="AT125" s="230"/>
      <c r="AU125" s="254"/>
      <c r="AV125" s="230" t="e">
        <f t="shared" si="705"/>
        <v>#DIV/0!</v>
      </c>
      <c r="AW125" s="254"/>
      <c r="AX125" s="47"/>
      <c r="AY125" s="204"/>
      <c r="AZ125" s="204"/>
      <c r="BA125" s="204"/>
      <c r="BB125" s="205"/>
      <c r="BC125" s="205"/>
      <c r="BD125" s="205"/>
      <c r="BE125" s="205"/>
      <c r="BF125" s="205"/>
      <c r="BG125" s="205"/>
      <c r="BH125" s="205"/>
      <c r="BI125" s="205"/>
      <c r="BJ125" s="205"/>
      <c r="BK125" s="30"/>
      <c r="BL125" s="30"/>
      <c r="BM125" s="30"/>
      <c r="BN125" s="30"/>
      <c r="BO125" s="30"/>
      <c r="BP125" s="30"/>
      <c r="BQ125" s="30"/>
      <c r="BR125" s="30"/>
      <c r="BS125" s="30"/>
      <c r="BT125" s="30"/>
      <c r="BU125" s="30"/>
      <c r="BV125" s="30"/>
      <c r="BW125" s="30"/>
      <c r="BX125" s="30"/>
      <c r="BY125" s="30"/>
      <c r="BZ125" s="30"/>
      <c r="CA125" s="30"/>
      <c r="CB125" s="30"/>
      <c r="CC125" s="30"/>
      <c r="CD125" s="30"/>
      <c r="CE125" s="30"/>
      <c r="CF125" s="30"/>
      <c r="CG125" s="30"/>
      <c r="CH125" s="30"/>
      <c r="CI125" s="30"/>
      <c r="CJ125" s="30"/>
      <c r="CK125" s="30"/>
      <c r="CL125" s="30"/>
      <c r="CM125" s="30"/>
      <c r="CN125" s="30"/>
      <c r="CO125" s="30"/>
      <c r="CP125" s="30"/>
      <c r="CQ125" s="30"/>
      <c r="CR125" s="30"/>
      <c r="CS125" s="30"/>
      <c r="CT125" s="30"/>
      <c r="CU125" s="30"/>
      <c r="CV125" s="30"/>
      <c r="CW125" s="30"/>
      <c r="CX125" s="30"/>
      <c r="CY125" s="30"/>
      <c r="CZ125" s="30"/>
      <c r="DA125" s="30"/>
      <c r="DB125" s="30"/>
      <c r="DC125" s="30"/>
      <c r="DD125" s="30"/>
    </row>
    <row r="126" spans="1:255" x14ac:dyDescent="0.2">
      <c r="A126" s="259" t="s">
        <v>231</v>
      </c>
      <c r="B126" s="249" t="str">
        <f>BH$117</f>
        <v/>
      </c>
      <c r="C126" s="249" t="str">
        <f>CJ$117</f>
        <v/>
      </c>
      <c r="D126" s="249" t="str">
        <f>DI$117</f>
        <v/>
      </c>
      <c r="E126" s="249" t="str">
        <f>EE$117</f>
        <v/>
      </c>
      <c r="F126" s="249" t="s">
        <v>109</v>
      </c>
      <c r="G126" s="249" t="s">
        <v>109</v>
      </c>
      <c r="H126" s="249" t="s">
        <v>109</v>
      </c>
      <c r="I126" s="249" t="s">
        <v>109</v>
      </c>
      <c r="J126" s="249" t="s">
        <v>109</v>
      </c>
      <c r="K126" s="249" t="s">
        <v>109</v>
      </c>
      <c r="L126" s="201"/>
      <c r="M126" s="202"/>
      <c r="N126" s="200"/>
      <c r="O126" s="221"/>
      <c r="P126" s="221"/>
      <c r="Q126" s="230" t="s">
        <v>27</v>
      </c>
      <c r="R126" s="230" t="str">
        <f t="shared" si="678"/>
        <v/>
      </c>
      <c r="S126" s="230"/>
      <c r="T126" s="230"/>
      <c r="U126" s="230" t="str">
        <f t="shared" si="679"/>
        <v/>
      </c>
      <c r="V126" s="230"/>
      <c r="W126" s="230"/>
      <c r="X126" s="230" t="str">
        <f t="shared" si="680"/>
        <v/>
      </c>
      <c r="Y126" s="230"/>
      <c r="Z126" s="230"/>
      <c r="AA126" s="230" t="str">
        <f t="shared" si="681"/>
        <v/>
      </c>
      <c r="AB126" s="230"/>
      <c r="AC126" s="230"/>
      <c r="AD126" s="230" t="str">
        <f t="shared" si="682"/>
        <v/>
      </c>
      <c r="AE126" s="230"/>
      <c r="AF126" s="230"/>
      <c r="AG126" s="230" t="str">
        <f t="shared" si="683"/>
        <v/>
      </c>
      <c r="AH126" s="230"/>
      <c r="AI126" s="230"/>
      <c r="AJ126" s="230" t="str">
        <f t="shared" si="684"/>
        <v/>
      </c>
      <c r="AK126" s="230"/>
      <c r="AL126" s="230"/>
      <c r="AM126" s="230" t="str">
        <f t="shared" si="685"/>
        <v/>
      </c>
      <c r="AN126" s="230"/>
      <c r="AO126" s="230"/>
      <c r="AP126" s="230" t="str">
        <f t="shared" si="686"/>
        <v/>
      </c>
      <c r="AQ126" s="230"/>
      <c r="AR126" s="230"/>
      <c r="AS126" s="230" t="str">
        <f t="shared" si="687"/>
        <v/>
      </c>
      <c r="AT126" s="230"/>
      <c r="AU126" s="202"/>
      <c r="AV126" s="230" t="e">
        <f t="shared" si="705"/>
        <v>#DIV/0!</v>
      </c>
      <c r="AW126" s="202"/>
    </row>
    <row r="127" spans="1:255" x14ac:dyDescent="0.2">
      <c r="A127" s="259" t="s">
        <v>110</v>
      </c>
      <c r="B127" s="249" t="str">
        <f>IF(BJ$119&lt;0.001,0.001,BJ$119)</f>
        <v/>
      </c>
      <c r="C127" s="249" t="str">
        <f>IF(CK$119&lt;0.001,0.001,CL$119)</f>
        <v/>
      </c>
      <c r="D127" s="249" t="str">
        <f>IF(DK$119&lt;0.001,0.001,DK$119)</f>
        <v/>
      </c>
      <c r="E127" s="249" t="str">
        <f>IF(EG$119&lt;0.001,0.001,EG$119)</f>
        <v/>
      </c>
      <c r="F127" s="249" t="s">
        <v>109</v>
      </c>
      <c r="G127" s="249" t="s">
        <v>109</v>
      </c>
      <c r="H127" s="249" t="s">
        <v>109</v>
      </c>
      <c r="I127" s="249" t="s">
        <v>109</v>
      </c>
      <c r="J127" s="249" t="s">
        <v>109</v>
      </c>
      <c r="K127" s="249" t="s">
        <v>109</v>
      </c>
      <c r="L127" s="201"/>
      <c r="M127" s="202"/>
      <c r="N127" s="200"/>
      <c r="O127" s="221"/>
      <c r="P127" s="221"/>
      <c r="Q127" s="230" t="s">
        <v>28</v>
      </c>
      <c r="R127" s="230" t="str">
        <f t="shared" si="678"/>
        <v/>
      </c>
      <c r="S127" s="230"/>
      <c r="T127" s="230"/>
      <c r="U127" s="230" t="str">
        <f t="shared" si="679"/>
        <v/>
      </c>
      <c r="V127" s="230"/>
      <c r="W127" s="230"/>
      <c r="X127" s="230" t="str">
        <f t="shared" si="680"/>
        <v/>
      </c>
      <c r="Y127" s="230"/>
      <c r="Z127" s="230"/>
      <c r="AA127" s="230" t="str">
        <f t="shared" si="681"/>
        <v/>
      </c>
      <c r="AB127" s="230"/>
      <c r="AC127" s="230"/>
      <c r="AD127" s="230" t="str">
        <f t="shared" si="682"/>
        <v/>
      </c>
      <c r="AE127" s="230"/>
      <c r="AF127" s="230"/>
      <c r="AG127" s="230" t="str">
        <f t="shared" si="683"/>
        <v/>
      </c>
      <c r="AH127" s="230"/>
      <c r="AI127" s="230"/>
      <c r="AJ127" s="230" t="str">
        <f t="shared" si="684"/>
        <v/>
      </c>
      <c r="AK127" s="230"/>
      <c r="AL127" s="230"/>
      <c r="AM127" s="230" t="str">
        <f t="shared" si="685"/>
        <v/>
      </c>
      <c r="AN127" s="230"/>
      <c r="AO127" s="230"/>
      <c r="AP127" s="230" t="str">
        <f t="shared" si="686"/>
        <v/>
      </c>
      <c r="AQ127" s="230"/>
      <c r="AR127" s="230"/>
      <c r="AS127" s="230" t="str">
        <f t="shared" si="687"/>
        <v/>
      </c>
      <c r="AT127" s="230"/>
      <c r="AU127" s="202"/>
      <c r="AV127" s="230" t="e">
        <f t="shared" si="705"/>
        <v>#DIV/0!</v>
      </c>
      <c r="AW127" s="202"/>
      <c r="AX127" s="171"/>
      <c r="AY127" s="263"/>
      <c r="AZ127" s="263"/>
      <c r="BA127" s="263"/>
      <c r="BB127" s="262"/>
      <c r="BC127" s="262"/>
      <c r="BD127" s="262"/>
      <c r="BE127" s="262"/>
      <c r="BF127" s="262"/>
      <c r="BG127" s="262"/>
      <c r="BH127" s="262"/>
      <c r="BI127" s="262"/>
      <c r="BJ127" s="262"/>
      <c r="BK127" s="258"/>
      <c r="BL127" s="258"/>
      <c r="BM127" s="258"/>
      <c r="BN127" s="258"/>
      <c r="BO127" s="258"/>
      <c r="BP127" s="258"/>
      <c r="BQ127" s="258"/>
      <c r="BR127" s="258"/>
      <c r="BS127" s="258"/>
      <c r="BT127" s="258"/>
      <c r="BU127" s="258"/>
      <c r="BV127" s="258"/>
      <c r="BW127" s="258"/>
      <c r="BX127" s="258"/>
      <c r="BY127" s="258"/>
      <c r="BZ127" s="258"/>
      <c r="CA127" s="258"/>
      <c r="CB127" s="258"/>
      <c r="CC127" s="258"/>
      <c r="CD127" s="258"/>
      <c r="CE127" s="258"/>
      <c r="CF127" s="258"/>
      <c r="CG127" s="258"/>
      <c r="CH127" s="258"/>
      <c r="CI127" s="258"/>
      <c r="CJ127" s="258"/>
      <c r="CK127" s="258"/>
      <c r="CL127" s="258"/>
      <c r="CM127" s="258"/>
      <c r="CN127" s="258"/>
      <c r="CO127" s="258"/>
      <c r="CP127" s="258"/>
      <c r="CQ127" s="258"/>
      <c r="CR127" s="258"/>
      <c r="CS127" s="258"/>
      <c r="CT127" s="258"/>
      <c r="CU127" s="258"/>
      <c r="CV127" s="258"/>
      <c r="CW127" s="258"/>
      <c r="CX127" s="258"/>
      <c r="CY127" s="258"/>
      <c r="CZ127" s="258"/>
      <c r="DA127" s="258"/>
      <c r="DB127" s="258"/>
      <c r="DC127" s="258"/>
      <c r="DD127" s="258"/>
    </row>
    <row r="128" spans="1:255" s="258" customFormat="1" x14ac:dyDescent="0.2">
      <c r="A128" s="251" t="s">
        <v>232</v>
      </c>
      <c r="B128" s="252" t="str">
        <f>BK$117</f>
        <v/>
      </c>
      <c r="C128" s="252" t="str">
        <f>CM$117</f>
        <v/>
      </c>
      <c r="D128" s="252" t="str">
        <f>DL$117</f>
        <v/>
      </c>
      <c r="E128" s="252" t="str">
        <f>EH$117</f>
        <v/>
      </c>
      <c r="F128" s="252" t="str">
        <f>FA$117</f>
        <v/>
      </c>
      <c r="G128" s="252" t="s">
        <v>109</v>
      </c>
      <c r="H128" s="252" t="s">
        <v>109</v>
      </c>
      <c r="I128" s="252" t="s">
        <v>109</v>
      </c>
      <c r="J128" s="252" t="s">
        <v>109</v>
      </c>
      <c r="K128" s="252" t="s">
        <v>109</v>
      </c>
      <c r="L128" s="253"/>
      <c r="M128" s="254"/>
      <c r="N128" s="255"/>
      <c r="O128" s="256"/>
      <c r="P128" s="256"/>
      <c r="Q128" s="230" t="s">
        <v>29</v>
      </c>
      <c r="R128" s="230" t="str">
        <f t="shared" si="678"/>
        <v/>
      </c>
      <c r="S128" s="230"/>
      <c r="T128" s="230"/>
      <c r="U128" s="230" t="str">
        <f t="shared" si="679"/>
        <v/>
      </c>
      <c r="V128" s="230"/>
      <c r="W128" s="230"/>
      <c r="X128" s="230" t="str">
        <f t="shared" si="680"/>
        <v/>
      </c>
      <c r="Y128" s="230"/>
      <c r="Z128" s="230"/>
      <c r="AA128" s="230" t="str">
        <f t="shared" si="681"/>
        <v/>
      </c>
      <c r="AB128" s="230"/>
      <c r="AC128" s="230"/>
      <c r="AD128" s="230" t="str">
        <f t="shared" si="682"/>
        <v/>
      </c>
      <c r="AE128" s="230"/>
      <c r="AF128" s="230"/>
      <c r="AG128" s="230" t="str">
        <f t="shared" si="683"/>
        <v/>
      </c>
      <c r="AH128" s="230"/>
      <c r="AI128" s="230"/>
      <c r="AJ128" s="230" t="str">
        <f t="shared" si="684"/>
        <v/>
      </c>
      <c r="AK128" s="230"/>
      <c r="AL128" s="230"/>
      <c r="AM128" s="230" t="str">
        <f t="shared" si="685"/>
        <v/>
      </c>
      <c r="AN128" s="230"/>
      <c r="AO128" s="230"/>
      <c r="AP128" s="230" t="str">
        <f t="shared" si="686"/>
        <v/>
      </c>
      <c r="AQ128" s="230"/>
      <c r="AR128" s="230"/>
      <c r="AS128" s="230" t="str">
        <f t="shared" si="687"/>
        <v/>
      </c>
      <c r="AT128" s="230"/>
      <c r="AU128" s="254"/>
      <c r="AV128" s="230" t="e">
        <f t="shared" si="705"/>
        <v>#DIV/0!</v>
      </c>
      <c r="AW128" s="254"/>
      <c r="AX128" s="171"/>
      <c r="AY128" s="263"/>
      <c r="AZ128" s="263"/>
      <c r="BA128" s="263"/>
      <c r="BB128" s="262"/>
      <c r="BC128" s="262"/>
      <c r="BD128" s="262"/>
      <c r="BE128" s="262"/>
      <c r="BF128" s="262"/>
      <c r="BG128" s="262"/>
      <c r="BH128" s="262"/>
      <c r="BI128" s="262"/>
      <c r="BJ128" s="262"/>
    </row>
    <row r="129" spans="1:108" s="258" customFormat="1" x14ac:dyDescent="0.2">
      <c r="A129" s="251" t="s">
        <v>110</v>
      </c>
      <c r="B129" s="252" t="str">
        <f>IF(BM$119&lt;0.001,0.001,BM$119)</f>
        <v/>
      </c>
      <c r="C129" s="252" t="str">
        <f>IF(CO$119&lt;0.001,0.001,CO$119)</f>
        <v/>
      </c>
      <c r="D129" s="252" t="str">
        <f>IF(DN$119&lt;0.001,0.001,DN$119)</f>
        <v/>
      </c>
      <c r="E129" s="252" t="str">
        <f>IF(EJ$119&lt;0.001,0.001,EJ$119)</f>
        <v/>
      </c>
      <c r="F129" s="252" t="str">
        <f>IF(FC$119&lt;0.001,0.001,FC$119)</f>
        <v/>
      </c>
      <c r="G129" s="252" t="s">
        <v>109</v>
      </c>
      <c r="H129" s="252" t="s">
        <v>109</v>
      </c>
      <c r="I129" s="252" t="s">
        <v>109</v>
      </c>
      <c r="J129" s="252" t="s">
        <v>109</v>
      </c>
      <c r="K129" s="252" t="s">
        <v>109</v>
      </c>
      <c r="L129" s="253"/>
      <c r="M129" s="254"/>
      <c r="N129" s="255"/>
      <c r="O129" s="256"/>
      <c r="P129" s="256"/>
      <c r="Q129" s="230" t="s">
        <v>30</v>
      </c>
      <c r="R129" s="230" t="str">
        <f t="shared" si="678"/>
        <v/>
      </c>
      <c r="S129" s="230"/>
      <c r="T129" s="230"/>
      <c r="U129" s="230" t="str">
        <f t="shared" si="679"/>
        <v/>
      </c>
      <c r="V129" s="230"/>
      <c r="W129" s="230"/>
      <c r="X129" s="230" t="str">
        <f t="shared" si="680"/>
        <v/>
      </c>
      <c r="Y129" s="230"/>
      <c r="Z129" s="230"/>
      <c r="AA129" s="230" t="str">
        <f t="shared" si="681"/>
        <v/>
      </c>
      <c r="AB129" s="230"/>
      <c r="AC129" s="230"/>
      <c r="AD129" s="230" t="str">
        <f t="shared" si="682"/>
        <v/>
      </c>
      <c r="AE129" s="230"/>
      <c r="AF129" s="230"/>
      <c r="AG129" s="230" t="str">
        <f t="shared" si="683"/>
        <v/>
      </c>
      <c r="AH129" s="230"/>
      <c r="AI129" s="230"/>
      <c r="AJ129" s="230" t="str">
        <f t="shared" si="684"/>
        <v/>
      </c>
      <c r="AK129" s="230"/>
      <c r="AL129" s="230"/>
      <c r="AM129" s="230" t="str">
        <f t="shared" si="685"/>
        <v/>
      </c>
      <c r="AN129" s="230"/>
      <c r="AO129" s="230"/>
      <c r="AP129" s="230" t="str">
        <f t="shared" si="686"/>
        <v/>
      </c>
      <c r="AQ129" s="230"/>
      <c r="AR129" s="230"/>
      <c r="AS129" s="230" t="str">
        <f t="shared" si="687"/>
        <v/>
      </c>
      <c r="AT129" s="230"/>
      <c r="AU129" s="254"/>
      <c r="AV129" s="230" t="e">
        <f t="shared" si="705"/>
        <v>#DIV/0!</v>
      </c>
      <c r="AW129" s="254"/>
      <c r="AX129" s="47"/>
      <c r="AY129" s="204"/>
      <c r="AZ129" s="204"/>
      <c r="BA129" s="204"/>
      <c r="BB129" s="205"/>
      <c r="BC129" s="205"/>
      <c r="BD129" s="205"/>
      <c r="BE129" s="205"/>
      <c r="BF129" s="205"/>
      <c r="BG129" s="205"/>
      <c r="BH129" s="205"/>
      <c r="BI129" s="205"/>
      <c r="BJ129" s="205"/>
      <c r="BK129" s="30"/>
      <c r="BL129" s="30"/>
      <c r="BM129" s="30"/>
      <c r="BN129" s="30"/>
      <c r="BO129" s="30"/>
      <c r="BP129" s="30"/>
      <c r="BQ129" s="30"/>
      <c r="BR129" s="30"/>
      <c r="BS129" s="30"/>
      <c r="BT129" s="30"/>
      <c r="BU129" s="30"/>
      <c r="BV129" s="30"/>
      <c r="BW129" s="30"/>
      <c r="BX129" s="30"/>
      <c r="BY129" s="30"/>
      <c r="BZ129" s="30"/>
      <c r="CA129" s="30"/>
      <c r="CB129" s="30"/>
      <c r="CC129" s="30"/>
      <c r="CD129" s="30"/>
      <c r="CE129" s="30"/>
      <c r="CF129" s="30"/>
      <c r="CG129" s="30"/>
      <c r="CH129" s="30"/>
      <c r="CI129" s="30"/>
      <c r="CJ129" s="30"/>
      <c r="CK129" s="30"/>
      <c r="CL129" s="30"/>
      <c r="CM129" s="30"/>
      <c r="CN129" s="30"/>
      <c r="CO129" s="30"/>
      <c r="CP129" s="30"/>
      <c r="CQ129" s="30"/>
      <c r="CR129" s="30"/>
      <c r="CS129" s="30"/>
      <c r="CT129" s="30"/>
      <c r="CU129" s="30"/>
      <c r="CV129" s="30"/>
      <c r="CW129" s="30"/>
      <c r="CX129" s="30"/>
      <c r="CY129" s="30"/>
      <c r="CZ129" s="30"/>
      <c r="DA129" s="30"/>
      <c r="DB129" s="30"/>
      <c r="DC129" s="30"/>
      <c r="DD129" s="30"/>
    </row>
    <row r="130" spans="1:108" x14ac:dyDescent="0.2">
      <c r="A130" s="259" t="s">
        <v>233</v>
      </c>
      <c r="B130" s="249" t="str">
        <f>BN$117</f>
        <v/>
      </c>
      <c r="C130" s="249" t="str">
        <f>CP$117</f>
        <v/>
      </c>
      <c r="D130" s="249" t="str">
        <f>DO$117</f>
        <v/>
      </c>
      <c r="E130" s="249" t="str">
        <f>EK$117</f>
        <v/>
      </c>
      <c r="F130" s="249" t="str">
        <f>FD$117</f>
        <v/>
      </c>
      <c r="G130" s="249" t="str">
        <f>FT$117</f>
        <v/>
      </c>
      <c r="H130" s="249" t="s">
        <v>109</v>
      </c>
      <c r="I130" s="249" t="s">
        <v>109</v>
      </c>
      <c r="J130" s="249" t="s">
        <v>109</v>
      </c>
      <c r="K130" s="249" t="s">
        <v>109</v>
      </c>
      <c r="L130" s="201"/>
      <c r="M130" s="202"/>
      <c r="N130" s="200"/>
      <c r="O130" s="221"/>
      <c r="P130" s="221"/>
      <c r="Q130" s="230" t="s">
        <v>31</v>
      </c>
      <c r="R130" s="230" t="str">
        <f t="shared" si="678"/>
        <v/>
      </c>
      <c r="S130" s="230"/>
      <c r="T130" s="230"/>
      <c r="U130" s="230" t="str">
        <f t="shared" si="679"/>
        <v/>
      </c>
      <c r="V130" s="230"/>
      <c r="W130" s="230"/>
      <c r="X130" s="230" t="str">
        <f t="shared" si="680"/>
        <v/>
      </c>
      <c r="Y130" s="230"/>
      <c r="Z130" s="230"/>
      <c r="AA130" s="230" t="str">
        <f t="shared" si="681"/>
        <v/>
      </c>
      <c r="AB130" s="230"/>
      <c r="AC130" s="230"/>
      <c r="AD130" s="230" t="str">
        <f t="shared" si="682"/>
        <v/>
      </c>
      <c r="AE130" s="230"/>
      <c r="AF130" s="230"/>
      <c r="AG130" s="230" t="str">
        <f t="shared" si="683"/>
        <v/>
      </c>
      <c r="AH130" s="230"/>
      <c r="AI130" s="230"/>
      <c r="AJ130" s="230" t="str">
        <f t="shared" si="684"/>
        <v/>
      </c>
      <c r="AK130" s="230"/>
      <c r="AL130" s="230"/>
      <c r="AM130" s="230" t="str">
        <f t="shared" si="685"/>
        <v/>
      </c>
      <c r="AN130" s="230"/>
      <c r="AO130" s="230"/>
      <c r="AP130" s="230" t="str">
        <f t="shared" si="686"/>
        <v/>
      </c>
      <c r="AQ130" s="230"/>
      <c r="AR130" s="230"/>
      <c r="AS130" s="230" t="str">
        <f t="shared" si="687"/>
        <v/>
      </c>
      <c r="AT130" s="230"/>
      <c r="AU130" s="202"/>
      <c r="AV130" s="230" t="e">
        <f t="shared" si="705"/>
        <v>#DIV/0!</v>
      </c>
      <c r="AW130" s="202"/>
    </row>
    <row r="131" spans="1:108" x14ac:dyDescent="0.2">
      <c r="A131" s="259" t="s">
        <v>110</v>
      </c>
      <c r="B131" s="249" t="str">
        <f>IF(BP$119&lt;0.001,0.001,BP$119)</f>
        <v/>
      </c>
      <c r="C131" s="249" t="str">
        <f>IF(CR$119&lt;0.001,0.001,CR$119)</f>
        <v/>
      </c>
      <c r="D131" s="249" t="str">
        <f>IF(DQ$119&lt;0.001,0.001,DQ$119)</f>
        <v/>
      </c>
      <c r="E131" s="249" t="str">
        <f>IF(EM$119&lt;0.001,0.001,EM$119)</f>
        <v/>
      </c>
      <c r="F131" s="249" t="str">
        <f>IF(FF$119&lt;0.001,0.001,FF$119)</f>
        <v/>
      </c>
      <c r="G131" s="249" t="str">
        <f>IF(FV$119&lt;0.001,0.001,FV$119)</f>
        <v/>
      </c>
      <c r="H131" s="249" t="s">
        <v>109</v>
      </c>
      <c r="I131" s="249" t="s">
        <v>109</v>
      </c>
      <c r="J131" s="249" t="s">
        <v>109</v>
      </c>
      <c r="K131" s="249" t="s">
        <v>109</v>
      </c>
      <c r="L131" s="201"/>
      <c r="M131" s="202"/>
      <c r="N131" s="200"/>
      <c r="O131" s="221"/>
      <c r="P131" s="221"/>
      <c r="Q131" s="230" t="s">
        <v>32</v>
      </c>
      <c r="R131" s="230" t="str">
        <f t="shared" si="678"/>
        <v/>
      </c>
      <c r="S131" s="230"/>
      <c r="T131" s="230"/>
      <c r="U131" s="230" t="str">
        <f t="shared" si="679"/>
        <v/>
      </c>
      <c r="V131" s="230"/>
      <c r="W131" s="230"/>
      <c r="X131" s="230" t="str">
        <f t="shared" si="680"/>
        <v/>
      </c>
      <c r="Y131" s="230"/>
      <c r="Z131" s="230"/>
      <c r="AA131" s="230" t="str">
        <f t="shared" si="681"/>
        <v/>
      </c>
      <c r="AB131" s="230"/>
      <c r="AC131" s="230"/>
      <c r="AD131" s="230" t="str">
        <f t="shared" si="682"/>
        <v/>
      </c>
      <c r="AE131" s="230"/>
      <c r="AF131" s="230"/>
      <c r="AG131" s="230" t="str">
        <f t="shared" si="683"/>
        <v/>
      </c>
      <c r="AH131" s="230"/>
      <c r="AI131" s="230"/>
      <c r="AJ131" s="230" t="str">
        <f t="shared" si="684"/>
        <v/>
      </c>
      <c r="AK131" s="230"/>
      <c r="AL131" s="230"/>
      <c r="AM131" s="230" t="str">
        <f t="shared" si="685"/>
        <v/>
      </c>
      <c r="AN131" s="230"/>
      <c r="AO131" s="230"/>
      <c r="AP131" s="230" t="str">
        <f t="shared" si="686"/>
        <v/>
      </c>
      <c r="AQ131" s="230"/>
      <c r="AR131" s="230"/>
      <c r="AS131" s="230" t="str">
        <f t="shared" si="687"/>
        <v/>
      </c>
      <c r="AT131" s="230"/>
      <c r="AU131" s="202"/>
      <c r="AV131" s="230" t="e">
        <f t="shared" si="705"/>
        <v>#DIV/0!</v>
      </c>
      <c r="AW131" s="202"/>
      <c r="AX131" s="171"/>
      <c r="AY131" s="263"/>
      <c r="AZ131" s="263"/>
      <c r="BA131" s="263"/>
      <c r="BB131" s="262"/>
      <c r="BC131" s="262"/>
      <c r="BD131" s="262"/>
      <c r="BE131" s="262"/>
      <c r="BF131" s="262"/>
      <c r="BG131" s="262"/>
      <c r="BH131" s="262"/>
      <c r="BI131" s="262"/>
      <c r="BJ131" s="262"/>
      <c r="BK131" s="258"/>
      <c r="BL131" s="258"/>
      <c r="BM131" s="258"/>
      <c r="BN131" s="258"/>
      <c r="BO131" s="258"/>
      <c r="BP131" s="258"/>
      <c r="BQ131" s="258"/>
      <c r="BR131" s="258"/>
      <c r="BS131" s="258"/>
      <c r="BT131" s="258"/>
      <c r="BU131" s="258"/>
      <c r="BV131" s="258"/>
      <c r="BW131" s="258"/>
      <c r="BX131" s="258"/>
      <c r="BY131" s="258"/>
      <c r="BZ131" s="258"/>
      <c r="CA131" s="258"/>
      <c r="CB131" s="258"/>
      <c r="CC131" s="258"/>
      <c r="CD131" s="258"/>
      <c r="CE131" s="258"/>
      <c r="CF131" s="258"/>
      <c r="CG131" s="258"/>
      <c r="CH131" s="258"/>
      <c r="CI131" s="258"/>
      <c r="CJ131" s="258"/>
      <c r="CK131" s="258"/>
      <c r="CL131" s="258"/>
      <c r="CM131" s="258"/>
      <c r="CN131" s="258"/>
      <c r="CO131" s="258"/>
      <c r="CP131" s="258"/>
      <c r="CQ131" s="258"/>
      <c r="CR131" s="258"/>
      <c r="CS131" s="258"/>
      <c r="CT131" s="258"/>
      <c r="CU131" s="258"/>
      <c r="CV131" s="258"/>
      <c r="CW131" s="258"/>
      <c r="CX131" s="258"/>
      <c r="CY131" s="258"/>
      <c r="CZ131" s="258"/>
      <c r="DA131" s="258"/>
      <c r="DB131" s="258"/>
      <c r="DC131" s="258"/>
      <c r="DD131" s="258"/>
    </row>
    <row r="132" spans="1:108" s="258" customFormat="1" x14ac:dyDescent="0.2">
      <c r="A132" s="251" t="s">
        <v>234</v>
      </c>
      <c r="B132" s="252" t="str">
        <f>BQ$117</f>
        <v/>
      </c>
      <c r="C132" s="252" t="str">
        <f>CS$117</f>
        <v/>
      </c>
      <c r="D132" s="252" t="str">
        <f>DR$117</f>
        <v/>
      </c>
      <c r="E132" s="252" t="str">
        <f>EN$117</f>
        <v/>
      </c>
      <c r="F132" s="252" t="str">
        <f>FG$117</f>
        <v/>
      </c>
      <c r="G132" s="252" t="str">
        <f>FW$117</f>
        <v/>
      </c>
      <c r="H132" s="252" t="str">
        <f>GJ$117</f>
        <v/>
      </c>
      <c r="I132" s="252" t="s">
        <v>109</v>
      </c>
      <c r="J132" s="252" t="s">
        <v>109</v>
      </c>
      <c r="K132" s="252" t="s">
        <v>109</v>
      </c>
      <c r="L132" s="253"/>
      <c r="M132" s="254"/>
      <c r="N132" s="255"/>
      <c r="O132" s="256"/>
      <c r="P132" s="256"/>
      <c r="Q132" s="230" t="s">
        <v>33</v>
      </c>
      <c r="R132" s="230" t="str">
        <f t="shared" si="678"/>
        <v/>
      </c>
      <c r="S132" s="230"/>
      <c r="T132" s="230"/>
      <c r="U132" s="230" t="str">
        <f t="shared" si="679"/>
        <v/>
      </c>
      <c r="V132" s="230"/>
      <c r="W132" s="230"/>
      <c r="X132" s="230" t="str">
        <f t="shared" si="680"/>
        <v/>
      </c>
      <c r="Y132" s="230"/>
      <c r="Z132" s="230"/>
      <c r="AA132" s="230" t="str">
        <f t="shared" si="681"/>
        <v/>
      </c>
      <c r="AB132" s="230"/>
      <c r="AC132" s="230"/>
      <c r="AD132" s="230" t="str">
        <f t="shared" si="682"/>
        <v/>
      </c>
      <c r="AE132" s="230"/>
      <c r="AF132" s="230"/>
      <c r="AG132" s="230" t="str">
        <f t="shared" si="683"/>
        <v/>
      </c>
      <c r="AH132" s="230"/>
      <c r="AI132" s="230"/>
      <c r="AJ132" s="230" t="str">
        <f t="shared" si="684"/>
        <v/>
      </c>
      <c r="AK132" s="230"/>
      <c r="AL132" s="230"/>
      <c r="AM132" s="230" t="str">
        <f t="shared" si="685"/>
        <v/>
      </c>
      <c r="AN132" s="230"/>
      <c r="AO132" s="230"/>
      <c r="AP132" s="230" t="str">
        <f t="shared" si="686"/>
        <v/>
      </c>
      <c r="AQ132" s="230"/>
      <c r="AR132" s="230"/>
      <c r="AS132" s="230" t="str">
        <f t="shared" si="687"/>
        <v/>
      </c>
      <c r="AT132" s="230"/>
      <c r="AU132" s="254"/>
      <c r="AV132" s="230" t="e">
        <f t="shared" si="705"/>
        <v>#DIV/0!</v>
      </c>
      <c r="AW132" s="254"/>
      <c r="AX132" s="171"/>
      <c r="AY132" s="263"/>
      <c r="AZ132" s="263"/>
      <c r="BA132" s="263"/>
      <c r="BB132" s="262"/>
      <c r="BC132" s="262"/>
      <c r="BD132" s="262"/>
      <c r="BE132" s="262"/>
      <c r="BF132" s="262"/>
      <c r="BG132" s="262"/>
      <c r="BH132" s="262"/>
      <c r="BI132" s="262"/>
      <c r="BJ132" s="262"/>
    </row>
    <row r="133" spans="1:108" s="258" customFormat="1" x14ac:dyDescent="0.2">
      <c r="A133" s="251" t="s">
        <v>110</v>
      </c>
      <c r="B133" s="252" t="str">
        <f>IF(BS$119&lt;0.001,0.001,BS$119)</f>
        <v/>
      </c>
      <c r="C133" s="252" t="str">
        <f>IF(CU$119&lt;0.001,0.001,CU$119)</f>
        <v/>
      </c>
      <c r="D133" s="252" t="str">
        <f>IF(DT$119&lt;0.001,0.001,DT$119)</f>
        <v/>
      </c>
      <c r="E133" s="252" t="str">
        <f>IF(EP$119&lt;0.001,0.001,EP$119)</f>
        <v/>
      </c>
      <c r="F133" s="252" t="str">
        <f>IF(FI$119&lt;0.001,0.001,FI$119)</f>
        <v/>
      </c>
      <c r="G133" s="252" t="str">
        <f>IF(FY$119&lt;0.001,0.001,FY$119)</f>
        <v/>
      </c>
      <c r="H133" s="252" t="str">
        <f>IF(GL$119&lt;0.001,0.001,GL$119)</f>
        <v/>
      </c>
      <c r="I133" s="252" t="s">
        <v>109</v>
      </c>
      <c r="J133" s="252" t="s">
        <v>109</v>
      </c>
      <c r="K133" s="252" t="s">
        <v>109</v>
      </c>
      <c r="L133" s="253"/>
      <c r="M133" s="254"/>
      <c r="N133" s="255"/>
      <c r="O133" s="256"/>
      <c r="P133" s="256"/>
      <c r="Q133" s="230" t="s">
        <v>34</v>
      </c>
      <c r="R133" s="230" t="str">
        <f t="shared" si="678"/>
        <v/>
      </c>
      <c r="S133" s="230"/>
      <c r="T133" s="230"/>
      <c r="U133" s="230" t="str">
        <f t="shared" si="679"/>
        <v/>
      </c>
      <c r="V133" s="230"/>
      <c r="W133" s="230"/>
      <c r="X133" s="230" t="str">
        <f t="shared" si="680"/>
        <v/>
      </c>
      <c r="Y133" s="230"/>
      <c r="Z133" s="230"/>
      <c r="AA133" s="230" t="str">
        <f t="shared" si="681"/>
        <v/>
      </c>
      <c r="AB133" s="230"/>
      <c r="AC133" s="230"/>
      <c r="AD133" s="230" t="str">
        <f t="shared" si="682"/>
        <v/>
      </c>
      <c r="AE133" s="230"/>
      <c r="AF133" s="230"/>
      <c r="AG133" s="230" t="str">
        <f t="shared" si="683"/>
        <v/>
      </c>
      <c r="AH133" s="230"/>
      <c r="AI133" s="230"/>
      <c r="AJ133" s="230" t="str">
        <f t="shared" si="684"/>
        <v/>
      </c>
      <c r="AK133" s="230"/>
      <c r="AL133" s="230"/>
      <c r="AM133" s="230" t="str">
        <f t="shared" si="685"/>
        <v/>
      </c>
      <c r="AN133" s="230"/>
      <c r="AO133" s="230"/>
      <c r="AP133" s="230" t="str">
        <f t="shared" si="686"/>
        <v/>
      </c>
      <c r="AQ133" s="230"/>
      <c r="AR133" s="230"/>
      <c r="AS133" s="230" t="str">
        <f t="shared" si="687"/>
        <v/>
      </c>
      <c r="AT133" s="230"/>
      <c r="AU133" s="254"/>
      <c r="AV133" s="230" t="e">
        <f t="shared" si="705"/>
        <v>#DIV/0!</v>
      </c>
      <c r="AW133" s="254"/>
      <c r="AX133" s="47"/>
      <c r="AY133" s="204"/>
      <c r="AZ133" s="204"/>
      <c r="BA133" s="204"/>
      <c r="BB133" s="205"/>
      <c r="BC133" s="205"/>
      <c r="BD133" s="205"/>
      <c r="BE133" s="205"/>
      <c r="BF133" s="205"/>
      <c r="BG133" s="205"/>
      <c r="BH133" s="205"/>
      <c r="BI133" s="205"/>
      <c r="BJ133" s="205"/>
      <c r="BK133" s="30"/>
      <c r="BL133" s="30"/>
      <c r="BM133" s="30"/>
      <c r="BN133" s="30"/>
      <c r="BO133" s="30"/>
      <c r="BP133" s="30"/>
      <c r="BQ133" s="30"/>
      <c r="BR133" s="30"/>
      <c r="BS133" s="30"/>
      <c r="BT133" s="30"/>
      <c r="BU133" s="30"/>
      <c r="BV133" s="30"/>
      <c r="BW133" s="30"/>
      <c r="BX133" s="30"/>
      <c r="BY133" s="30"/>
      <c r="BZ133" s="30"/>
      <c r="CA133" s="30"/>
      <c r="CB133" s="30"/>
      <c r="CC133" s="30"/>
      <c r="CD133" s="30"/>
      <c r="CE133" s="30"/>
      <c r="CF133" s="30"/>
      <c r="CG133" s="30"/>
      <c r="CH133" s="30"/>
      <c r="CI133" s="30"/>
      <c r="CJ133" s="30"/>
      <c r="CK133" s="30"/>
      <c r="CL133" s="30"/>
      <c r="CM133" s="30"/>
      <c r="CN133" s="30"/>
      <c r="CO133" s="30"/>
      <c r="CP133" s="30"/>
      <c r="CQ133" s="30"/>
      <c r="CR133" s="30"/>
      <c r="CS133" s="30"/>
      <c r="CT133" s="30"/>
      <c r="CU133" s="30"/>
      <c r="CV133" s="30"/>
      <c r="CW133" s="30"/>
      <c r="CX133" s="30"/>
      <c r="CY133" s="30"/>
      <c r="CZ133" s="30"/>
      <c r="DA133" s="30"/>
      <c r="DB133" s="30"/>
      <c r="DC133" s="30"/>
      <c r="DD133" s="30"/>
    </row>
    <row r="134" spans="1:108" x14ac:dyDescent="0.2">
      <c r="A134" s="259" t="s">
        <v>235</v>
      </c>
      <c r="B134" s="249" t="str">
        <f>BT$117</f>
        <v/>
      </c>
      <c r="C134" s="249" t="str">
        <f>CV$117</f>
        <v/>
      </c>
      <c r="D134" s="249" t="str">
        <f>DU$117</f>
        <v/>
      </c>
      <c r="E134" s="249" t="str">
        <f>EQ$117</f>
        <v/>
      </c>
      <c r="F134" s="249" t="str">
        <f>FJ$117</f>
        <v/>
      </c>
      <c r="G134" s="249" t="str">
        <f>FZ$117</f>
        <v/>
      </c>
      <c r="H134" s="249" t="str">
        <f>GM$117</f>
        <v/>
      </c>
      <c r="I134" s="249" t="str">
        <f>GW$117</f>
        <v/>
      </c>
      <c r="J134" s="249" t="s">
        <v>109</v>
      </c>
      <c r="K134" s="249" t="s">
        <v>109</v>
      </c>
      <c r="L134" s="201"/>
      <c r="M134" s="202"/>
      <c r="N134" s="200"/>
      <c r="O134" s="221"/>
      <c r="P134" s="221"/>
      <c r="Q134" s="230" t="s">
        <v>35</v>
      </c>
      <c r="R134" s="230" t="str">
        <f t="shared" si="678"/>
        <v/>
      </c>
      <c r="S134" s="230"/>
      <c r="T134" s="230"/>
      <c r="U134" s="230" t="str">
        <f t="shared" si="679"/>
        <v/>
      </c>
      <c r="V134" s="230"/>
      <c r="W134" s="230"/>
      <c r="X134" s="230" t="str">
        <f t="shared" si="680"/>
        <v/>
      </c>
      <c r="Y134" s="230"/>
      <c r="Z134" s="230"/>
      <c r="AA134" s="230" t="str">
        <f t="shared" si="681"/>
        <v/>
      </c>
      <c r="AB134" s="230"/>
      <c r="AC134" s="230"/>
      <c r="AD134" s="230" t="str">
        <f t="shared" si="682"/>
        <v/>
      </c>
      <c r="AE134" s="230"/>
      <c r="AF134" s="230"/>
      <c r="AG134" s="230" t="str">
        <f t="shared" si="683"/>
        <v/>
      </c>
      <c r="AH134" s="230"/>
      <c r="AI134" s="230"/>
      <c r="AJ134" s="230" t="str">
        <f t="shared" si="684"/>
        <v/>
      </c>
      <c r="AK134" s="230"/>
      <c r="AL134" s="230"/>
      <c r="AM134" s="230" t="str">
        <f t="shared" si="685"/>
        <v/>
      </c>
      <c r="AN134" s="230"/>
      <c r="AO134" s="230"/>
      <c r="AP134" s="230" t="str">
        <f t="shared" si="686"/>
        <v/>
      </c>
      <c r="AQ134" s="230"/>
      <c r="AR134" s="230"/>
      <c r="AS134" s="230" t="str">
        <f t="shared" si="687"/>
        <v/>
      </c>
      <c r="AT134" s="230"/>
      <c r="AU134" s="202"/>
      <c r="AV134" s="230" t="e">
        <f t="shared" si="705"/>
        <v>#DIV/0!</v>
      </c>
      <c r="AW134" s="202"/>
    </row>
    <row r="135" spans="1:108" x14ac:dyDescent="0.2">
      <c r="A135" s="259" t="s">
        <v>110</v>
      </c>
      <c r="B135" s="249" t="str">
        <f>IF(BV$119&lt;0.001,0.001,BV$119)</f>
        <v/>
      </c>
      <c r="C135" s="249" t="str">
        <f>IF(CX$119&lt;0.001,0.001,CX$119)</f>
        <v/>
      </c>
      <c r="D135" s="249" t="str">
        <f>IF(DW$119&lt;0.001,0.001,DW$119)</f>
        <v/>
      </c>
      <c r="E135" s="249" t="str">
        <f>IF(ES$119&lt;0.001,0.001,ES$119)</f>
        <v/>
      </c>
      <c r="F135" s="249" t="str">
        <f>IF(FL$119&lt;0.001,0.001,FL$119)</f>
        <v/>
      </c>
      <c r="G135" s="249" t="str">
        <f>IF(GB$119&lt;0.001,0.001,GB$119)</f>
        <v/>
      </c>
      <c r="H135" s="249" t="str">
        <f>IF(GO$119&lt;0.001,0.001,GO$119)</f>
        <v/>
      </c>
      <c r="I135" s="249" t="str">
        <f>IF(GY$119&lt;0.001,0.001,GY$119)</f>
        <v/>
      </c>
      <c r="J135" s="249" t="s">
        <v>109</v>
      </c>
      <c r="K135" s="249" t="s">
        <v>109</v>
      </c>
      <c r="L135" s="201"/>
      <c r="M135" s="202"/>
      <c r="N135" s="200"/>
      <c r="O135" s="221"/>
      <c r="P135" s="221"/>
      <c r="Q135" s="230" t="s">
        <v>36</v>
      </c>
      <c r="R135" s="230" t="str">
        <f t="shared" si="678"/>
        <v/>
      </c>
      <c r="S135" s="230"/>
      <c r="T135" s="230"/>
      <c r="U135" s="230" t="str">
        <f t="shared" si="679"/>
        <v/>
      </c>
      <c r="V135" s="230"/>
      <c r="W135" s="230"/>
      <c r="X135" s="230" t="str">
        <f t="shared" si="680"/>
        <v/>
      </c>
      <c r="Y135" s="230"/>
      <c r="Z135" s="230"/>
      <c r="AA135" s="230" t="str">
        <f t="shared" si="681"/>
        <v/>
      </c>
      <c r="AB135" s="230"/>
      <c r="AC135" s="230"/>
      <c r="AD135" s="230" t="str">
        <f t="shared" si="682"/>
        <v/>
      </c>
      <c r="AE135" s="230"/>
      <c r="AF135" s="230"/>
      <c r="AG135" s="230" t="str">
        <f t="shared" si="683"/>
        <v/>
      </c>
      <c r="AH135" s="230"/>
      <c r="AI135" s="230"/>
      <c r="AJ135" s="230" t="str">
        <f t="shared" si="684"/>
        <v/>
      </c>
      <c r="AK135" s="230"/>
      <c r="AL135" s="230"/>
      <c r="AM135" s="230" t="str">
        <f t="shared" si="685"/>
        <v/>
      </c>
      <c r="AN135" s="230"/>
      <c r="AO135" s="230"/>
      <c r="AP135" s="230" t="str">
        <f t="shared" si="686"/>
        <v/>
      </c>
      <c r="AQ135" s="230"/>
      <c r="AR135" s="230"/>
      <c r="AS135" s="230" t="str">
        <f t="shared" si="687"/>
        <v/>
      </c>
      <c r="AT135" s="230"/>
      <c r="AU135" s="202"/>
      <c r="AV135" s="230" t="e">
        <f t="shared" si="705"/>
        <v>#DIV/0!</v>
      </c>
      <c r="AW135" s="202"/>
      <c r="AX135" s="171"/>
      <c r="AY135" s="263"/>
      <c r="AZ135" s="263"/>
      <c r="BA135" s="263"/>
      <c r="BB135" s="262"/>
      <c r="BC135" s="262"/>
      <c r="BD135" s="262"/>
      <c r="BE135" s="262"/>
      <c r="BF135" s="262"/>
      <c r="BG135" s="262"/>
      <c r="BH135" s="262"/>
      <c r="BI135" s="262"/>
      <c r="BJ135" s="262"/>
      <c r="BK135" s="258"/>
      <c r="BL135" s="258"/>
      <c r="BM135" s="258"/>
      <c r="BN135" s="258"/>
      <c r="BO135" s="258"/>
      <c r="BP135" s="258"/>
      <c r="BQ135" s="258"/>
      <c r="BR135" s="258"/>
      <c r="BS135" s="258"/>
      <c r="BT135" s="258"/>
      <c r="BU135" s="258"/>
      <c r="BV135" s="258"/>
      <c r="BW135" s="258"/>
      <c r="BX135" s="258"/>
      <c r="BY135" s="258"/>
      <c r="BZ135" s="258"/>
      <c r="CA135" s="258"/>
      <c r="CB135" s="258"/>
      <c r="CC135" s="258"/>
      <c r="CD135" s="258"/>
      <c r="CE135" s="258"/>
      <c r="CF135" s="258"/>
      <c r="CG135" s="258"/>
      <c r="CH135" s="258"/>
      <c r="CI135" s="258"/>
      <c r="CJ135" s="258"/>
      <c r="CK135" s="258"/>
      <c r="CL135" s="258"/>
      <c r="CM135" s="258"/>
      <c r="CN135" s="258"/>
      <c r="CO135" s="258"/>
      <c r="CP135" s="258"/>
      <c r="CQ135" s="258"/>
      <c r="CR135" s="258"/>
      <c r="CS135" s="258"/>
      <c r="CT135" s="258"/>
      <c r="CU135" s="258"/>
      <c r="CV135" s="258"/>
      <c r="CW135" s="258"/>
      <c r="CX135" s="258"/>
      <c r="CY135" s="258"/>
      <c r="CZ135" s="258"/>
      <c r="DA135" s="258"/>
      <c r="DB135" s="258"/>
      <c r="DC135" s="258"/>
      <c r="DD135" s="258"/>
    </row>
    <row r="136" spans="1:108" s="258" customFormat="1" x14ac:dyDescent="0.2">
      <c r="A136" s="251" t="s">
        <v>238</v>
      </c>
      <c r="B136" s="252" t="str">
        <f>BW$117</f>
        <v/>
      </c>
      <c r="C136" s="252" t="str">
        <f>CY$117</f>
        <v/>
      </c>
      <c r="D136" s="252" t="str">
        <f>DX$117</f>
        <v/>
      </c>
      <c r="E136" s="252" t="str">
        <f>ET$117</f>
        <v/>
      </c>
      <c r="F136" s="252" t="str">
        <f>FM$117</f>
        <v/>
      </c>
      <c r="G136" s="252" t="str">
        <f>GC$117</f>
        <v/>
      </c>
      <c r="H136" s="252" t="str">
        <f>GP$117</f>
        <v/>
      </c>
      <c r="I136" s="252" t="str">
        <f>GZ$117</f>
        <v/>
      </c>
      <c r="J136" s="252" t="str">
        <f>HG117</f>
        <v/>
      </c>
      <c r="K136" s="252" t="s">
        <v>109</v>
      </c>
      <c r="L136" s="253"/>
      <c r="M136" s="254"/>
      <c r="N136" s="255"/>
      <c r="O136" s="256"/>
      <c r="P136" s="256"/>
      <c r="Q136" s="230" t="s">
        <v>37</v>
      </c>
      <c r="R136" s="230" t="str">
        <f t="shared" si="678"/>
        <v/>
      </c>
      <c r="S136" s="230"/>
      <c r="T136" s="230"/>
      <c r="U136" s="230" t="str">
        <f t="shared" si="679"/>
        <v/>
      </c>
      <c r="V136" s="230"/>
      <c r="W136" s="230"/>
      <c r="X136" s="230" t="str">
        <f t="shared" si="680"/>
        <v/>
      </c>
      <c r="Y136" s="230"/>
      <c r="Z136" s="230"/>
      <c r="AA136" s="230" t="str">
        <f t="shared" si="681"/>
        <v/>
      </c>
      <c r="AB136" s="230"/>
      <c r="AC136" s="230"/>
      <c r="AD136" s="230" t="str">
        <f t="shared" si="682"/>
        <v/>
      </c>
      <c r="AE136" s="230"/>
      <c r="AF136" s="230"/>
      <c r="AG136" s="230" t="str">
        <f t="shared" si="683"/>
        <v/>
      </c>
      <c r="AH136" s="230"/>
      <c r="AI136" s="230"/>
      <c r="AJ136" s="230" t="str">
        <f t="shared" si="684"/>
        <v/>
      </c>
      <c r="AK136" s="230"/>
      <c r="AL136" s="230"/>
      <c r="AM136" s="230" t="str">
        <f t="shared" si="685"/>
        <v/>
      </c>
      <c r="AN136" s="230"/>
      <c r="AO136" s="230"/>
      <c r="AP136" s="230" t="str">
        <f t="shared" si="686"/>
        <v/>
      </c>
      <c r="AQ136" s="230"/>
      <c r="AR136" s="230"/>
      <c r="AS136" s="230" t="str">
        <f t="shared" si="687"/>
        <v/>
      </c>
      <c r="AT136" s="230"/>
      <c r="AU136" s="254"/>
      <c r="AV136" s="230" t="e">
        <f t="shared" si="705"/>
        <v>#DIV/0!</v>
      </c>
      <c r="AW136" s="254"/>
      <c r="AX136" s="171"/>
      <c r="AY136" s="263"/>
      <c r="AZ136" s="263"/>
      <c r="BA136" s="263"/>
      <c r="BB136" s="262"/>
      <c r="BC136" s="262"/>
      <c r="BD136" s="262"/>
      <c r="BE136" s="262"/>
      <c r="BF136" s="262"/>
      <c r="BG136" s="262"/>
      <c r="BH136" s="262"/>
      <c r="BI136" s="262"/>
      <c r="BJ136" s="262"/>
    </row>
    <row r="137" spans="1:108" s="258" customFormat="1" x14ac:dyDescent="0.2">
      <c r="A137" s="251" t="s">
        <v>110</v>
      </c>
      <c r="B137" s="252" t="str">
        <f>IF(BY$119&lt;0.001,0.001,BY$119)</f>
        <v/>
      </c>
      <c r="C137" s="252" t="str">
        <f>IF(DA$119&lt;0.001,0.001,DA$119)</f>
        <v/>
      </c>
      <c r="D137" s="252" t="str">
        <f>IF(DZ$119&lt;0.001,0.001,DZ$119)</f>
        <v/>
      </c>
      <c r="E137" s="252" t="str">
        <f>IF(EV$119&lt;0.001,0.001,EV$119)</f>
        <v/>
      </c>
      <c r="F137" s="252" t="str">
        <f>IF(FO$119&lt;0.001,0.001,FO$119)</f>
        <v/>
      </c>
      <c r="G137" s="252" t="str">
        <f>IF(GE$119&lt;0.001,0.001,GE$119)</f>
        <v/>
      </c>
      <c r="H137" s="252" t="str">
        <f>IF(GR$119&lt;0.001,0.001,GR$119)</f>
        <v/>
      </c>
      <c r="I137" s="252" t="str">
        <f>IF(HB$119&lt;0.001,0.001,HB$119)</f>
        <v/>
      </c>
      <c r="J137" s="252" t="str">
        <f>IF(HI$119&lt;0.001,0.001,HI$119)</f>
        <v/>
      </c>
      <c r="K137" s="252" t="s">
        <v>109</v>
      </c>
      <c r="L137" s="253"/>
      <c r="M137" s="254"/>
      <c r="N137" s="255"/>
      <c r="O137" s="256"/>
      <c r="P137" s="256"/>
      <c r="Q137" s="230" t="s">
        <v>38</v>
      </c>
      <c r="R137" s="230" t="str">
        <f t="shared" si="678"/>
        <v/>
      </c>
      <c r="S137" s="230"/>
      <c r="T137" s="230"/>
      <c r="U137" s="230" t="str">
        <f t="shared" si="679"/>
        <v/>
      </c>
      <c r="V137" s="230"/>
      <c r="W137" s="230"/>
      <c r="X137" s="230" t="str">
        <f t="shared" si="680"/>
        <v/>
      </c>
      <c r="Y137" s="230"/>
      <c r="Z137" s="230"/>
      <c r="AA137" s="230" t="str">
        <f t="shared" si="681"/>
        <v/>
      </c>
      <c r="AB137" s="230"/>
      <c r="AC137" s="230"/>
      <c r="AD137" s="230" t="str">
        <f t="shared" si="682"/>
        <v/>
      </c>
      <c r="AE137" s="230"/>
      <c r="AF137" s="230"/>
      <c r="AG137" s="230" t="str">
        <f t="shared" si="683"/>
        <v/>
      </c>
      <c r="AH137" s="230"/>
      <c r="AI137" s="230"/>
      <c r="AJ137" s="230" t="str">
        <f t="shared" si="684"/>
        <v/>
      </c>
      <c r="AK137" s="230"/>
      <c r="AL137" s="230"/>
      <c r="AM137" s="230" t="str">
        <f t="shared" si="685"/>
        <v/>
      </c>
      <c r="AN137" s="230"/>
      <c r="AO137" s="230"/>
      <c r="AP137" s="230" t="str">
        <f t="shared" si="686"/>
        <v/>
      </c>
      <c r="AQ137" s="230"/>
      <c r="AR137" s="230"/>
      <c r="AS137" s="230" t="str">
        <f t="shared" si="687"/>
        <v/>
      </c>
      <c r="AT137" s="230"/>
      <c r="AU137" s="254"/>
      <c r="AV137" s="230" t="e">
        <f t="shared" si="705"/>
        <v>#DIV/0!</v>
      </c>
      <c r="AW137" s="254"/>
      <c r="AX137" s="171"/>
      <c r="AY137" s="263"/>
      <c r="AZ137" s="263"/>
      <c r="BA137" s="263"/>
      <c r="BB137" s="262"/>
      <c r="BC137" s="262"/>
      <c r="BD137" s="262"/>
      <c r="BE137" s="262"/>
      <c r="BF137" s="262"/>
      <c r="BG137" s="262"/>
      <c r="BH137" s="262"/>
      <c r="BI137" s="262"/>
      <c r="BJ137" s="262"/>
    </row>
    <row r="138" spans="1:108" s="258" customFormat="1" x14ac:dyDescent="0.2">
      <c r="A138" s="251"/>
      <c r="B138" s="252"/>
      <c r="C138" s="252"/>
      <c r="D138" s="252"/>
      <c r="E138" s="252"/>
      <c r="F138" s="252"/>
      <c r="G138" s="252"/>
      <c r="H138" s="252"/>
      <c r="I138" s="252"/>
      <c r="J138" s="252"/>
      <c r="K138" s="252"/>
      <c r="L138" s="253"/>
      <c r="M138" s="254"/>
      <c r="N138" s="255"/>
      <c r="O138" s="256"/>
      <c r="P138" s="256"/>
      <c r="Q138" s="230" t="s">
        <v>39</v>
      </c>
      <c r="R138" s="230" t="str">
        <f t="shared" si="678"/>
        <v/>
      </c>
      <c r="S138" s="230"/>
      <c r="T138" s="230"/>
      <c r="U138" s="230" t="str">
        <f t="shared" si="679"/>
        <v/>
      </c>
      <c r="V138" s="230"/>
      <c r="W138" s="230"/>
      <c r="X138" s="230" t="str">
        <f t="shared" si="680"/>
        <v/>
      </c>
      <c r="Y138" s="230"/>
      <c r="Z138" s="230"/>
      <c r="AA138" s="230" t="str">
        <f t="shared" si="681"/>
        <v/>
      </c>
      <c r="AB138" s="230"/>
      <c r="AC138" s="230"/>
      <c r="AD138" s="230" t="str">
        <f t="shared" si="682"/>
        <v/>
      </c>
      <c r="AE138" s="230"/>
      <c r="AF138" s="230"/>
      <c r="AG138" s="230" t="str">
        <f t="shared" si="683"/>
        <v/>
      </c>
      <c r="AH138" s="230"/>
      <c r="AI138" s="230"/>
      <c r="AJ138" s="230" t="str">
        <f t="shared" si="684"/>
        <v/>
      </c>
      <c r="AK138" s="230"/>
      <c r="AL138" s="230"/>
      <c r="AM138" s="230" t="str">
        <f t="shared" si="685"/>
        <v/>
      </c>
      <c r="AN138" s="230"/>
      <c r="AO138" s="230"/>
      <c r="AP138" s="230" t="str">
        <f t="shared" si="686"/>
        <v/>
      </c>
      <c r="AQ138" s="230"/>
      <c r="AR138" s="230"/>
      <c r="AS138" s="230" t="str">
        <f t="shared" si="687"/>
        <v/>
      </c>
      <c r="AT138" s="230"/>
      <c r="AU138" s="254"/>
      <c r="AV138" s="230" t="e">
        <f t="shared" si="705"/>
        <v>#DIV/0!</v>
      </c>
      <c r="AW138" s="254"/>
      <c r="AX138" s="47"/>
      <c r="AY138" s="204"/>
      <c r="AZ138" s="204"/>
      <c r="BA138" s="204"/>
      <c r="BB138" s="205"/>
      <c r="BC138" s="205"/>
      <c r="BD138" s="205"/>
      <c r="BE138" s="205"/>
      <c r="BF138" s="205"/>
      <c r="BG138" s="205"/>
      <c r="BH138" s="205"/>
      <c r="BI138" s="205"/>
      <c r="BJ138" s="205"/>
      <c r="BK138" s="30"/>
      <c r="BL138" s="30"/>
      <c r="BM138" s="30"/>
      <c r="BN138" s="30"/>
      <c r="BO138" s="30"/>
      <c r="BP138" s="30"/>
      <c r="BQ138" s="30"/>
      <c r="BR138" s="30"/>
      <c r="BS138" s="30"/>
      <c r="BT138" s="30"/>
      <c r="BU138" s="30"/>
      <c r="BV138" s="30"/>
      <c r="BW138" s="30"/>
      <c r="BX138" s="30"/>
      <c r="BY138" s="30"/>
      <c r="BZ138" s="30"/>
      <c r="CA138" s="30"/>
      <c r="CB138" s="30"/>
      <c r="CC138" s="30"/>
      <c r="CD138" s="30"/>
      <c r="CE138" s="30"/>
      <c r="CF138" s="30"/>
      <c r="CG138" s="30"/>
      <c r="CH138" s="30"/>
      <c r="CI138" s="30"/>
      <c r="CJ138" s="30"/>
      <c r="CK138" s="30"/>
      <c r="CL138" s="30"/>
      <c r="CM138" s="30"/>
      <c r="CN138" s="30"/>
      <c r="CO138" s="30"/>
      <c r="CP138" s="30"/>
      <c r="CQ138" s="30"/>
      <c r="CR138" s="30"/>
      <c r="CS138" s="30"/>
      <c r="CT138" s="30"/>
      <c r="CU138" s="30"/>
      <c r="CV138" s="30"/>
      <c r="CW138" s="30"/>
      <c r="CX138" s="30"/>
      <c r="CY138" s="30"/>
      <c r="CZ138" s="30"/>
      <c r="DA138" s="30"/>
      <c r="DB138" s="30"/>
      <c r="DC138" s="30"/>
      <c r="DD138" s="30"/>
    </row>
    <row r="139" spans="1:108" x14ac:dyDescent="0.2">
      <c r="A139" s="264" t="s">
        <v>361</v>
      </c>
      <c r="B139" s="265" t="s">
        <v>227</v>
      </c>
      <c r="C139" s="265" t="s">
        <v>228</v>
      </c>
      <c r="D139" s="265" t="s">
        <v>229</v>
      </c>
      <c r="E139" s="265" t="s">
        <v>230</v>
      </c>
      <c r="F139" s="265" t="s">
        <v>231</v>
      </c>
      <c r="G139" s="265" t="s">
        <v>232</v>
      </c>
      <c r="H139" s="265" t="s">
        <v>233</v>
      </c>
      <c r="I139" s="265" t="s">
        <v>234</v>
      </c>
      <c r="J139" s="265" t="s">
        <v>235</v>
      </c>
      <c r="K139" s="265" t="s">
        <v>236</v>
      </c>
      <c r="L139" s="201"/>
      <c r="M139" s="202"/>
      <c r="N139" s="200"/>
      <c r="O139" s="221"/>
      <c r="P139" s="221"/>
      <c r="Q139" s="230" t="s">
        <v>40</v>
      </c>
      <c r="R139" s="230" t="str">
        <f t="shared" si="678"/>
        <v/>
      </c>
      <c r="S139" s="230"/>
      <c r="T139" s="230"/>
      <c r="U139" s="230" t="str">
        <f t="shared" si="679"/>
        <v/>
      </c>
      <c r="V139" s="230"/>
      <c r="W139" s="230"/>
      <c r="X139" s="230" t="str">
        <f t="shared" si="680"/>
        <v/>
      </c>
      <c r="Y139" s="230"/>
      <c r="Z139" s="230"/>
      <c r="AA139" s="230" t="str">
        <f t="shared" si="681"/>
        <v/>
      </c>
      <c r="AB139" s="230"/>
      <c r="AC139" s="230"/>
      <c r="AD139" s="230" t="str">
        <f t="shared" si="682"/>
        <v/>
      </c>
      <c r="AE139" s="230"/>
      <c r="AF139" s="230"/>
      <c r="AG139" s="230" t="str">
        <f t="shared" si="683"/>
        <v/>
      </c>
      <c r="AH139" s="230"/>
      <c r="AI139" s="230"/>
      <c r="AJ139" s="230" t="str">
        <f t="shared" si="684"/>
        <v/>
      </c>
      <c r="AK139" s="230"/>
      <c r="AL139" s="230"/>
      <c r="AM139" s="230" t="str">
        <f t="shared" si="685"/>
        <v/>
      </c>
      <c r="AN139" s="230"/>
      <c r="AO139" s="230"/>
      <c r="AP139" s="230" t="str">
        <f t="shared" si="686"/>
        <v/>
      </c>
      <c r="AQ139" s="230"/>
      <c r="AR139" s="230"/>
      <c r="AS139" s="230" t="str">
        <f t="shared" si="687"/>
        <v/>
      </c>
      <c r="AT139" s="230"/>
      <c r="AU139" s="202"/>
      <c r="AV139" s="230" t="e">
        <f t="shared" si="705"/>
        <v>#DIV/0!</v>
      </c>
      <c r="AW139" s="202"/>
      <c r="AX139" s="266"/>
      <c r="AY139" s="267"/>
      <c r="AZ139" s="267"/>
      <c r="BA139" s="267"/>
      <c r="BB139" s="268"/>
      <c r="BC139" s="268"/>
      <c r="BD139" s="268"/>
      <c r="BE139" s="268"/>
      <c r="BF139" s="268"/>
      <c r="BG139" s="268"/>
      <c r="BH139" s="268"/>
      <c r="BI139" s="268"/>
      <c r="BJ139" s="268"/>
      <c r="BK139" s="269"/>
      <c r="BL139" s="269"/>
      <c r="BM139" s="269"/>
      <c r="BN139" s="269"/>
      <c r="BO139" s="269"/>
      <c r="BP139" s="269"/>
      <c r="BQ139" s="269"/>
      <c r="BR139" s="269"/>
      <c r="BS139" s="269"/>
      <c r="BT139" s="269"/>
      <c r="BU139" s="269"/>
      <c r="BV139" s="269"/>
      <c r="BW139" s="269"/>
      <c r="BX139" s="269"/>
      <c r="BY139" s="269"/>
      <c r="BZ139" s="269"/>
      <c r="CA139" s="269"/>
      <c r="CB139" s="269"/>
      <c r="CC139" s="269"/>
      <c r="CD139" s="269"/>
      <c r="CE139" s="269"/>
      <c r="CF139" s="269"/>
      <c r="CG139" s="269"/>
      <c r="CH139" s="269"/>
      <c r="CI139" s="269"/>
      <c r="CJ139" s="269"/>
      <c r="CK139" s="269"/>
      <c r="CL139" s="269"/>
      <c r="CM139" s="269"/>
      <c r="CN139" s="269"/>
      <c r="CO139" s="269"/>
      <c r="CP139" s="269"/>
      <c r="CQ139" s="269"/>
      <c r="CR139" s="269"/>
      <c r="CS139" s="269"/>
      <c r="CT139" s="269"/>
      <c r="CU139" s="269"/>
      <c r="CV139" s="269"/>
      <c r="CW139" s="269"/>
      <c r="CX139" s="269"/>
      <c r="CY139" s="269"/>
      <c r="CZ139" s="269"/>
      <c r="DA139" s="269"/>
      <c r="DB139" s="269"/>
      <c r="DC139" s="269"/>
      <c r="DD139" s="269"/>
    </row>
    <row r="140" spans="1:108" s="269" customFormat="1" x14ac:dyDescent="0.2">
      <c r="A140" s="270" t="s">
        <v>336</v>
      </c>
      <c r="B140" s="271" t="str">
        <f>BZ$117</f>
        <v/>
      </c>
      <c r="C140" s="271" t="str">
        <f>DB$117</f>
        <v/>
      </c>
      <c r="D140" s="271" t="str">
        <f>EA$117</f>
        <v/>
      </c>
      <c r="E140" s="271" t="str">
        <f>EW$117</f>
        <v/>
      </c>
      <c r="F140" s="271" t="str">
        <f>FP$117</f>
        <v/>
      </c>
      <c r="G140" s="271" t="str">
        <f>GF$117</f>
        <v/>
      </c>
      <c r="H140" s="271" t="str">
        <f>GS$117</f>
        <v/>
      </c>
      <c r="I140" s="271" t="str">
        <f>HC$117</f>
        <v/>
      </c>
      <c r="J140" s="271" t="str">
        <f>HJ$117</f>
        <v/>
      </c>
      <c r="K140" s="271" t="str">
        <f>HN$117</f>
        <v/>
      </c>
      <c r="L140" s="272"/>
      <c r="M140" s="273"/>
      <c r="N140" s="274"/>
      <c r="O140" s="275"/>
      <c r="P140" s="275"/>
      <c r="Q140" s="230" t="s">
        <v>41</v>
      </c>
      <c r="R140" s="230" t="str">
        <f t="shared" ref="R140:R171" si="706">IF(AND(NOT($P$198=""),NOT(R38="")),$P$198^R38,"")</f>
        <v/>
      </c>
      <c r="S140" s="230"/>
      <c r="T140" s="230"/>
      <c r="U140" s="230" t="str">
        <f t="shared" ref="U140:U171" si="707">IF(AND(NOT($P$199=""),NOT(U38="")),$P$199^U38,"")</f>
        <v/>
      </c>
      <c r="V140" s="230"/>
      <c r="W140" s="230"/>
      <c r="X140" s="230" t="str">
        <f t="shared" ref="X140:X171" si="708">IF(AND(NOT($P$200=""),NOT(X38="")),$P$200^X38,"")</f>
        <v/>
      </c>
      <c r="Y140" s="230"/>
      <c r="Z140" s="230"/>
      <c r="AA140" s="230" t="str">
        <f t="shared" ref="AA140:AA171" si="709">IF(AND(NOT($P$201=""),NOT(AA38="")),$P$201^AA38,"")</f>
        <v/>
      </c>
      <c r="AB140" s="230"/>
      <c r="AC140" s="230"/>
      <c r="AD140" s="230" t="str">
        <f t="shared" ref="AD140:AD171" si="710">IF(AND(NOT($P$202=""),NOT(AD38="")),$P$202^AD38,"")</f>
        <v/>
      </c>
      <c r="AE140" s="230"/>
      <c r="AF140" s="230"/>
      <c r="AG140" s="230" t="str">
        <f t="shared" ref="AG140:AG171" si="711">IF(AND(NOT($P$203=""),NOT(AG38="")),$P$203^AG38,"")</f>
        <v/>
      </c>
      <c r="AH140" s="230"/>
      <c r="AI140" s="230"/>
      <c r="AJ140" s="230" t="str">
        <f t="shared" ref="AJ140:AJ171" si="712">IF(AND(NOT($P$204=""),NOT(AJ38="")),$P$204^AJ38,"")</f>
        <v/>
      </c>
      <c r="AK140" s="230"/>
      <c r="AL140" s="230"/>
      <c r="AM140" s="230" t="str">
        <f t="shared" ref="AM140:AM171" si="713">IF(AND(NOT($P$205=""),NOT(AM38="")),$P$205^AM38,"")</f>
        <v/>
      </c>
      <c r="AN140" s="230"/>
      <c r="AO140" s="230"/>
      <c r="AP140" s="230" t="str">
        <f t="shared" ref="AP140:AP171" si="714">IF(AND(NOT($P$206=""),NOT(AP38="")),$P$206^AP38,"")</f>
        <v/>
      </c>
      <c r="AQ140" s="230"/>
      <c r="AR140" s="230"/>
      <c r="AS140" s="230" t="str">
        <f t="shared" ref="AS140:AS171" si="715">IF(AND(NOT($P$207=""),NOT(AS38="")),$P$207^AS38,"")</f>
        <v/>
      </c>
      <c r="AT140" s="230"/>
      <c r="AU140" s="273"/>
      <c r="AV140" s="230" t="e">
        <f t="shared" si="705"/>
        <v>#DIV/0!</v>
      </c>
      <c r="AW140" s="273"/>
      <c r="AX140" s="266"/>
      <c r="AY140" s="267"/>
      <c r="AZ140" s="267"/>
      <c r="BA140" s="267"/>
      <c r="BB140" s="268"/>
      <c r="BC140" s="268"/>
      <c r="BD140" s="268"/>
      <c r="BE140" s="268"/>
      <c r="BF140" s="268"/>
      <c r="BG140" s="268"/>
      <c r="BH140" s="268"/>
      <c r="BI140" s="268"/>
      <c r="BJ140" s="268"/>
    </row>
    <row r="141" spans="1:108" s="269" customFormat="1" x14ac:dyDescent="0.2">
      <c r="A141" s="264" t="s">
        <v>110</v>
      </c>
      <c r="B141" s="271" t="str">
        <f>IF(CB$119&lt;0.001,0.001,CB$119)</f>
        <v/>
      </c>
      <c r="C141" s="271" t="str">
        <f>IF(DD$119&lt;0.001,0.001,DD$119)</f>
        <v/>
      </c>
      <c r="D141" s="271" t="str">
        <f>IF(EC$119&lt;0.001,0.001,EC$119)</f>
        <v/>
      </c>
      <c r="E141" s="271" t="str">
        <f>IF(EY$119&lt;0.001,0.001,EY$119)</f>
        <v/>
      </c>
      <c r="F141" s="271" t="str">
        <f>IF(FR$119&lt;0.001,0.001,FR$119)</f>
        <v/>
      </c>
      <c r="G141" s="271" t="str">
        <f>IF(GH$119&lt;0.001,0.001,GH$119)</f>
        <v/>
      </c>
      <c r="H141" s="271" t="str">
        <f>IF(GU$119&lt;0.001,0.001,GU$119)</f>
        <v/>
      </c>
      <c r="I141" s="271" t="str">
        <f>IF(HE$119&lt;0.001,0.001,HE$119)</f>
        <v/>
      </c>
      <c r="J141" s="271" t="str">
        <f>IF(HL$119&lt;0.001,0.001,HL$119)</f>
        <v/>
      </c>
      <c r="K141" s="271" t="str">
        <f>IF(HP$119&lt;0.001,0.001,HP$119)</f>
        <v/>
      </c>
      <c r="L141" s="272"/>
      <c r="M141" s="273"/>
      <c r="N141" s="274"/>
      <c r="O141" s="275"/>
      <c r="P141" s="275"/>
      <c r="Q141" s="230" t="s">
        <v>42</v>
      </c>
      <c r="R141" s="230" t="str">
        <f t="shared" si="706"/>
        <v/>
      </c>
      <c r="S141" s="230"/>
      <c r="T141" s="230"/>
      <c r="U141" s="230" t="str">
        <f t="shared" si="707"/>
        <v/>
      </c>
      <c r="V141" s="230"/>
      <c r="W141" s="230"/>
      <c r="X141" s="230" t="str">
        <f t="shared" si="708"/>
        <v/>
      </c>
      <c r="Y141" s="230"/>
      <c r="Z141" s="230"/>
      <c r="AA141" s="230" t="str">
        <f t="shared" si="709"/>
        <v/>
      </c>
      <c r="AB141" s="230"/>
      <c r="AC141" s="230"/>
      <c r="AD141" s="230" t="str">
        <f t="shared" si="710"/>
        <v/>
      </c>
      <c r="AE141" s="230"/>
      <c r="AF141" s="230"/>
      <c r="AG141" s="230" t="str">
        <f t="shared" si="711"/>
        <v/>
      </c>
      <c r="AH141" s="230"/>
      <c r="AI141" s="230"/>
      <c r="AJ141" s="230" t="str">
        <f t="shared" si="712"/>
        <v/>
      </c>
      <c r="AK141" s="230"/>
      <c r="AL141" s="230"/>
      <c r="AM141" s="230" t="str">
        <f t="shared" si="713"/>
        <v/>
      </c>
      <c r="AN141" s="230"/>
      <c r="AO141" s="230"/>
      <c r="AP141" s="230" t="str">
        <f t="shared" si="714"/>
        <v/>
      </c>
      <c r="AQ141" s="230"/>
      <c r="AR141" s="230"/>
      <c r="AS141" s="230" t="str">
        <f t="shared" si="715"/>
        <v/>
      </c>
      <c r="AT141" s="230"/>
      <c r="AU141" s="273"/>
      <c r="AV141" s="230" t="e">
        <f t="shared" si="705"/>
        <v>#DIV/0!</v>
      </c>
      <c r="AW141" s="273"/>
      <c r="AX141" s="47"/>
      <c r="AY141" s="204"/>
      <c r="AZ141" s="204"/>
      <c r="BA141" s="204"/>
      <c r="BB141" s="205"/>
      <c r="BC141" s="205"/>
      <c r="BD141" s="205"/>
      <c r="BE141" s="205"/>
      <c r="BF141" s="205"/>
      <c r="BG141" s="205"/>
      <c r="BH141" s="205"/>
      <c r="BI141" s="205"/>
      <c r="BJ141" s="205"/>
      <c r="BK141" s="30"/>
      <c r="BL141" s="30"/>
      <c r="BM141" s="30"/>
      <c r="BN141" s="30"/>
      <c r="BO141" s="30"/>
      <c r="BP141" s="30"/>
      <c r="BQ141" s="30"/>
      <c r="BR141" s="30"/>
      <c r="BS141" s="30"/>
      <c r="BT141" s="30"/>
      <c r="BU141" s="30"/>
      <c r="BV141" s="30"/>
      <c r="BW141" s="30"/>
      <c r="BX141" s="30"/>
      <c r="BY141" s="30"/>
      <c r="BZ141" s="30"/>
      <c r="CA141" s="30"/>
      <c r="CB141" s="30"/>
      <c r="CC141" s="30"/>
      <c r="CD141" s="30"/>
      <c r="CE141" s="30"/>
      <c r="CF141" s="30"/>
      <c r="CG141" s="30"/>
      <c r="CH141" s="30"/>
      <c r="CI141" s="30"/>
      <c r="CJ141" s="30"/>
      <c r="CK141" s="30"/>
      <c r="CL141" s="30"/>
      <c r="CM141" s="30"/>
      <c r="CN141" s="30"/>
      <c r="CO141" s="30"/>
      <c r="CP141" s="30"/>
      <c r="CQ141" s="30"/>
      <c r="CR141" s="30"/>
      <c r="CS141" s="30"/>
      <c r="CT141" s="30"/>
      <c r="CU141" s="30"/>
      <c r="CV141" s="30"/>
      <c r="CW141" s="30"/>
      <c r="CX141" s="30"/>
      <c r="CY141" s="30"/>
      <c r="CZ141" s="30"/>
      <c r="DA141" s="30"/>
      <c r="DB141" s="30"/>
      <c r="DC141" s="30"/>
      <c r="DD141" s="30"/>
    </row>
    <row r="142" spans="1:108" x14ac:dyDescent="0.2">
      <c r="A142" s="276"/>
      <c r="B142" s="200"/>
      <c r="C142" s="200"/>
      <c r="D142" s="200"/>
      <c r="E142" s="200"/>
      <c r="F142" s="200"/>
      <c r="G142" s="200"/>
      <c r="H142" s="200"/>
      <c r="I142" s="200"/>
      <c r="J142" s="200"/>
      <c r="K142" s="200"/>
      <c r="L142" s="201"/>
      <c r="M142" s="202"/>
      <c r="N142" s="200"/>
      <c r="O142" s="221"/>
      <c r="P142" s="221"/>
      <c r="Q142" s="230" t="s">
        <v>43</v>
      </c>
      <c r="R142" s="230" t="str">
        <f t="shared" si="706"/>
        <v/>
      </c>
      <c r="S142" s="230"/>
      <c r="T142" s="230"/>
      <c r="U142" s="230" t="str">
        <f t="shared" si="707"/>
        <v/>
      </c>
      <c r="V142" s="230"/>
      <c r="W142" s="230"/>
      <c r="X142" s="230" t="str">
        <f t="shared" si="708"/>
        <v/>
      </c>
      <c r="Y142" s="230"/>
      <c r="Z142" s="230"/>
      <c r="AA142" s="230" t="str">
        <f t="shared" si="709"/>
        <v/>
      </c>
      <c r="AB142" s="230"/>
      <c r="AC142" s="230"/>
      <c r="AD142" s="230" t="str">
        <f t="shared" si="710"/>
        <v/>
      </c>
      <c r="AE142" s="230"/>
      <c r="AF142" s="230"/>
      <c r="AG142" s="230" t="str">
        <f t="shared" si="711"/>
        <v/>
      </c>
      <c r="AH142" s="230"/>
      <c r="AI142" s="230"/>
      <c r="AJ142" s="230" t="str">
        <f t="shared" si="712"/>
        <v/>
      </c>
      <c r="AK142" s="230"/>
      <c r="AL142" s="230"/>
      <c r="AM142" s="230" t="str">
        <f t="shared" si="713"/>
        <v/>
      </c>
      <c r="AN142" s="230"/>
      <c r="AO142" s="230"/>
      <c r="AP142" s="230" t="str">
        <f t="shared" si="714"/>
        <v/>
      </c>
      <c r="AQ142" s="230"/>
      <c r="AR142" s="230"/>
      <c r="AS142" s="230" t="str">
        <f t="shared" si="715"/>
        <v/>
      </c>
      <c r="AT142" s="230"/>
      <c r="AU142" s="202"/>
      <c r="AV142" s="230" t="e">
        <f t="shared" si="705"/>
        <v>#DIV/0!</v>
      </c>
      <c r="AW142" s="202"/>
    </row>
    <row r="143" spans="1:108" x14ac:dyDescent="0.2">
      <c r="A143" s="277"/>
      <c r="B143" s="278"/>
      <c r="C143" s="278"/>
      <c r="D143" s="278"/>
      <c r="E143" s="278"/>
      <c r="F143" s="278"/>
      <c r="G143" s="278"/>
      <c r="H143" s="278"/>
      <c r="I143" s="278"/>
      <c r="J143" s="278"/>
      <c r="K143" s="278"/>
      <c r="L143" s="278"/>
      <c r="M143" s="278"/>
      <c r="N143" s="200"/>
      <c r="O143" s="221"/>
      <c r="P143" s="221"/>
      <c r="Q143" s="230" t="s">
        <v>44</v>
      </c>
      <c r="R143" s="230" t="str">
        <f t="shared" si="706"/>
        <v/>
      </c>
      <c r="S143" s="230"/>
      <c r="T143" s="230"/>
      <c r="U143" s="230" t="str">
        <f t="shared" si="707"/>
        <v/>
      </c>
      <c r="V143" s="230"/>
      <c r="W143" s="230"/>
      <c r="X143" s="230" t="str">
        <f t="shared" si="708"/>
        <v/>
      </c>
      <c r="Y143" s="230"/>
      <c r="Z143" s="230"/>
      <c r="AA143" s="230" t="str">
        <f t="shared" si="709"/>
        <v/>
      </c>
      <c r="AB143" s="230"/>
      <c r="AC143" s="230"/>
      <c r="AD143" s="230" t="str">
        <f t="shared" si="710"/>
        <v/>
      </c>
      <c r="AE143" s="230"/>
      <c r="AF143" s="230"/>
      <c r="AG143" s="230" t="str">
        <f t="shared" si="711"/>
        <v/>
      </c>
      <c r="AH143" s="230"/>
      <c r="AI143" s="230"/>
      <c r="AJ143" s="230" t="str">
        <f t="shared" si="712"/>
        <v/>
      </c>
      <c r="AK143" s="230"/>
      <c r="AL143" s="230"/>
      <c r="AM143" s="230" t="str">
        <f t="shared" si="713"/>
        <v/>
      </c>
      <c r="AN143" s="230"/>
      <c r="AO143" s="230"/>
      <c r="AP143" s="230" t="str">
        <f t="shared" si="714"/>
        <v/>
      </c>
      <c r="AQ143" s="230"/>
      <c r="AR143" s="230"/>
      <c r="AS143" s="230" t="str">
        <f t="shared" si="715"/>
        <v/>
      </c>
      <c r="AT143" s="230"/>
      <c r="AU143" s="202"/>
      <c r="AV143" s="230" t="e">
        <f t="shared" si="705"/>
        <v>#DIV/0!</v>
      </c>
      <c r="AW143" s="202"/>
    </row>
    <row r="144" spans="1:108" x14ac:dyDescent="0.2">
      <c r="A144" s="279" t="s">
        <v>362</v>
      </c>
      <c r="B144" s="247"/>
      <c r="C144" s="247"/>
      <c r="D144" s="247"/>
      <c r="E144" s="247"/>
      <c r="F144" s="247"/>
      <c r="G144" s="247"/>
      <c r="H144" s="247"/>
      <c r="I144" s="247"/>
      <c r="J144" s="247"/>
      <c r="K144" s="247"/>
      <c r="L144" s="280"/>
      <c r="M144" s="280"/>
      <c r="N144" s="200"/>
      <c r="O144" s="221"/>
      <c r="P144" s="221"/>
      <c r="Q144" s="230" t="s">
        <v>45</v>
      </c>
      <c r="R144" s="230" t="str">
        <f t="shared" si="706"/>
        <v/>
      </c>
      <c r="S144" s="230"/>
      <c r="T144" s="230"/>
      <c r="U144" s="230" t="str">
        <f t="shared" si="707"/>
        <v/>
      </c>
      <c r="V144" s="230"/>
      <c r="W144" s="230"/>
      <c r="X144" s="230" t="str">
        <f t="shared" si="708"/>
        <v/>
      </c>
      <c r="Y144" s="230"/>
      <c r="Z144" s="230"/>
      <c r="AA144" s="230" t="str">
        <f t="shared" si="709"/>
        <v/>
      </c>
      <c r="AB144" s="230"/>
      <c r="AC144" s="230"/>
      <c r="AD144" s="230" t="str">
        <f t="shared" si="710"/>
        <v/>
      </c>
      <c r="AE144" s="230"/>
      <c r="AF144" s="230"/>
      <c r="AG144" s="230" t="str">
        <f t="shared" si="711"/>
        <v/>
      </c>
      <c r="AH144" s="230"/>
      <c r="AI144" s="230"/>
      <c r="AJ144" s="230" t="str">
        <f t="shared" si="712"/>
        <v/>
      </c>
      <c r="AK144" s="230"/>
      <c r="AL144" s="230"/>
      <c r="AM144" s="230" t="str">
        <f t="shared" si="713"/>
        <v/>
      </c>
      <c r="AN144" s="230"/>
      <c r="AO144" s="230"/>
      <c r="AP144" s="230" t="str">
        <f t="shared" si="714"/>
        <v/>
      </c>
      <c r="AQ144" s="230"/>
      <c r="AR144" s="230"/>
      <c r="AS144" s="230" t="str">
        <f t="shared" si="715"/>
        <v/>
      </c>
      <c r="AT144" s="230"/>
      <c r="AU144" s="202"/>
      <c r="AV144" s="230" t="e">
        <f t="shared" si="705"/>
        <v>#DIV/0!</v>
      </c>
      <c r="AW144" s="202"/>
    </row>
    <row r="145" spans="1:49" x14ac:dyDescent="0.2">
      <c r="A145" s="279"/>
      <c r="B145" s="247" t="str">
        <f>B118</f>
        <v/>
      </c>
      <c r="C145" s="247" t="str">
        <f t="shared" ref="C145:K145" si="716">C118</f>
        <v/>
      </c>
      <c r="D145" s="247" t="str">
        <f t="shared" si="716"/>
        <v/>
      </c>
      <c r="E145" s="247" t="str">
        <f t="shared" si="716"/>
        <v/>
      </c>
      <c r="F145" s="247" t="str">
        <f t="shared" si="716"/>
        <v/>
      </c>
      <c r="G145" s="247" t="str">
        <f t="shared" si="716"/>
        <v/>
      </c>
      <c r="H145" s="247" t="str">
        <f t="shared" si="716"/>
        <v/>
      </c>
      <c r="I145" s="247" t="str">
        <f t="shared" si="716"/>
        <v/>
      </c>
      <c r="J145" s="247" t="str">
        <f t="shared" si="716"/>
        <v/>
      </c>
      <c r="K145" s="247" t="str">
        <f t="shared" si="716"/>
        <v/>
      </c>
      <c r="L145" s="238"/>
      <c r="M145" s="280"/>
      <c r="N145" s="200"/>
      <c r="O145" s="221"/>
      <c r="P145" s="221"/>
      <c r="Q145" s="230" t="s">
        <v>46</v>
      </c>
      <c r="R145" s="230" t="str">
        <f t="shared" si="706"/>
        <v/>
      </c>
      <c r="S145" s="230"/>
      <c r="T145" s="230"/>
      <c r="U145" s="230" t="str">
        <f t="shared" si="707"/>
        <v/>
      </c>
      <c r="V145" s="230"/>
      <c r="W145" s="230"/>
      <c r="X145" s="230" t="str">
        <f t="shared" si="708"/>
        <v/>
      </c>
      <c r="Y145" s="230"/>
      <c r="Z145" s="230"/>
      <c r="AA145" s="230" t="str">
        <f t="shared" si="709"/>
        <v/>
      </c>
      <c r="AB145" s="230"/>
      <c r="AC145" s="230"/>
      <c r="AD145" s="230" t="str">
        <f t="shared" si="710"/>
        <v/>
      </c>
      <c r="AE145" s="230"/>
      <c r="AF145" s="230"/>
      <c r="AG145" s="230" t="str">
        <f t="shared" si="711"/>
        <v/>
      </c>
      <c r="AH145" s="230"/>
      <c r="AI145" s="230"/>
      <c r="AJ145" s="230" t="str">
        <f t="shared" si="712"/>
        <v/>
      </c>
      <c r="AK145" s="230"/>
      <c r="AL145" s="230"/>
      <c r="AM145" s="230" t="str">
        <f t="shared" si="713"/>
        <v/>
      </c>
      <c r="AN145" s="230"/>
      <c r="AO145" s="230"/>
      <c r="AP145" s="230" t="str">
        <f t="shared" si="714"/>
        <v/>
      </c>
      <c r="AQ145" s="230"/>
      <c r="AR145" s="230"/>
      <c r="AS145" s="230" t="str">
        <f t="shared" si="715"/>
        <v/>
      </c>
      <c r="AT145" s="230"/>
      <c r="AU145" s="202"/>
      <c r="AV145" s="230" t="e">
        <f t="shared" si="705"/>
        <v>#DIV/0!</v>
      </c>
      <c r="AW145" s="202"/>
    </row>
    <row r="146" spans="1:49" x14ac:dyDescent="0.2">
      <c r="A146" s="281"/>
      <c r="B146" s="247" t="s">
        <v>227</v>
      </c>
      <c r="C146" s="247" t="s">
        <v>228</v>
      </c>
      <c r="D146" s="247" t="s">
        <v>229</v>
      </c>
      <c r="E146" s="247" t="s">
        <v>230</v>
      </c>
      <c r="F146" s="247" t="s">
        <v>231</v>
      </c>
      <c r="G146" s="247" t="s">
        <v>232</v>
      </c>
      <c r="H146" s="247" t="s">
        <v>233</v>
      </c>
      <c r="I146" s="247" t="s">
        <v>234</v>
      </c>
      <c r="J146" s="247" t="s">
        <v>235</v>
      </c>
      <c r="K146" s="247" t="s">
        <v>236</v>
      </c>
      <c r="L146" s="280"/>
      <c r="M146" s="280"/>
      <c r="N146" s="200"/>
      <c r="O146" s="221"/>
      <c r="P146" s="221"/>
      <c r="Q146" s="230" t="s">
        <v>47</v>
      </c>
      <c r="R146" s="230" t="str">
        <f t="shared" si="706"/>
        <v/>
      </c>
      <c r="S146" s="230"/>
      <c r="T146" s="230"/>
      <c r="U146" s="230" t="str">
        <f t="shared" si="707"/>
        <v/>
      </c>
      <c r="V146" s="230"/>
      <c r="W146" s="230"/>
      <c r="X146" s="230" t="str">
        <f t="shared" si="708"/>
        <v/>
      </c>
      <c r="Y146" s="230"/>
      <c r="Z146" s="230"/>
      <c r="AA146" s="230" t="str">
        <f t="shared" si="709"/>
        <v/>
      </c>
      <c r="AB146" s="230"/>
      <c r="AC146" s="230"/>
      <c r="AD146" s="230" t="str">
        <f t="shared" si="710"/>
        <v/>
      </c>
      <c r="AE146" s="230"/>
      <c r="AF146" s="230"/>
      <c r="AG146" s="230" t="str">
        <f t="shared" si="711"/>
        <v/>
      </c>
      <c r="AH146" s="230"/>
      <c r="AI146" s="230"/>
      <c r="AJ146" s="230" t="str">
        <f t="shared" si="712"/>
        <v/>
      </c>
      <c r="AK146" s="230"/>
      <c r="AL146" s="230"/>
      <c r="AM146" s="230" t="str">
        <f t="shared" si="713"/>
        <v/>
      </c>
      <c r="AN146" s="230"/>
      <c r="AO146" s="230"/>
      <c r="AP146" s="230" t="str">
        <f t="shared" si="714"/>
        <v/>
      </c>
      <c r="AQ146" s="230"/>
      <c r="AR146" s="230"/>
      <c r="AS146" s="230" t="str">
        <f t="shared" si="715"/>
        <v/>
      </c>
      <c r="AT146" s="230"/>
      <c r="AU146" s="202"/>
      <c r="AV146" s="230" t="e">
        <f t="shared" si="705"/>
        <v>#DIV/0!</v>
      </c>
      <c r="AW146" s="202"/>
    </row>
    <row r="147" spans="1:49" x14ac:dyDescent="0.2">
      <c r="A147" s="282"/>
      <c r="B147" s="283" t="s">
        <v>185</v>
      </c>
      <c r="C147" s="283" t="s">
        <v>185</v>
      </c>
      <c r="D147" s="283" t="s">
        <v>185</v>
      </c>
      <c r="E147" s="283" t="s">
        <v>185</v>
      </c>
      <c r="F147" s="283" t="s">
        <v>185</v>
      </c>
      <c r="G147" s="283" t="s">
        <v>185</v>
      </c>
      <c r="H147" s="283" t="s">
        <v>185</v>
      </c>
      <c r="I147" s="283" t="s">
        <v>185</v>
      </c>
      <c r="J147" s="283" t="s">
        <v>185</v>
      </c>
      <c r="K147" s="283" t="s">
        <v>185</v>
      </c>
      <c r="L147" s="280"/>
      <c r="M147" s="280"/>
      <c r="N147" s="200"/>
      <c r="O147" s="221"/>
      <c r="P147" s="221"/>
      <c r="Q147" s="230" t="s">
        <v>48</v>
      </c>
      <c r="R147" s="230" t="str">
        <f t="shared" si="706"/>
        <v/>
      </c>
      <c r="S147" s="230"/>
      <c r="T147" s="230"/>
      <c r="U147" s="230" t="str">
        <f t="shared" si="707"/>
        <v/>
      </c>
      <c r="V147" s="230"/>
      <c r="W147" s="230"/>
      <c r="X147" s="230" t="str">
        <f t="shared" si="708"/>
        <v/>
      </c>
      <c r="Y147" s="230"/>
      <c r="Z147" s="230"/>
      <c r="AA147" s="230" t="str">
        <f t="shared" si="709"/>
        <v/>
      </c>
      <c r="AB147" s="230"/>
      <c r="AC147" s="230"/>
      <c r="AD147" s="230" t="str">
        <f t="shared" si="710"/>
        <v/>
      </c>
      <c r="AE147" s="230"/>
      <c r="AF147" s="230"/>
      <c r="AG147" s="230" t="str">
        <f t="shared" si="711"/>
        <v/>
      </c>
      <c r="AH147" s="230"/>
      <c r="AI147" s="230"/>
      <c r="AJ147" s="230" t="str">
        <f t="shared" si="712"/>
        <v/>
      </c>
      <c r="AK147" s="230"/>
      <c r="AL147" s="230"/>
      <c r="AM147" s="230" t="str">
        <f t="shared" si="713"/>
        <v/>
      </c>
      <c r="AN147" s="230"/>
      <c r="AO147" s="230"/>
      <c r="AP147" s="230" t="str">
        <f t="shared" si="714"/>
        <v/>
      </c>
      <c r="AQ147" s="230"/>
      <c r="AR147" s="230"/>
      <c r="AS147" s="230" t="str">
        <f t="shared" si="715"/>
        <v/>
      </c>
      <c r="AT147" s="230"/>
      <c r="AU147" s="202"/>
      <c r="AV147" s="230" t="e">
        <f t="shared" ref="AV147:AV178" si="717">IF(L45&gt;0,STDEV(R147,U147,X147,AA147,AD147,AG147,AJ147,AM147,AP147,AS147),"")</f>
        <v>#DIV/0!</v>
      </c>
      <c r="AW147" s="202"/>
    </row>
    <row r="148" spans="1:49" x14ac:dyDescent="0.2">
      <c r="A148" s="282"/>
      <c r="B148" s="283" t="s">
        <v>165</v>
      </c>
      <c r="C148" s="283" t="s">
        <v>165</v>
      </c>
      <c r="D148" s="283" t="s">
        <v>165</v>
      </c>
      <c r="E148" s="283" t="s">
        <v>165</v>
      </c>
      <c r="F148" s="283" t="s">
        <v>165</v>
      </c>
      <c r="G148" s="283" t="s">
        <v>165</v>
      </c>
      <c r="H148" s="283" t="s">
        <v>165</v>
      </c>
      <c r="I148" s="283" t="s">
        <v>165</v>
      </c>
      <c r="J148" s="283" t="s">
        <v>165</v>
      </c>
      <c r="K148" s="283" t="s">
        <v>165</v>
      </c>
      <c r="L148" s="280"/>
      <c r="M148" s="280"/>
      <c r="N148" s="200"/>
      <c r="O148" s="221"/>
      <c r="P148" s="221"/>
      <c r="Q148" s="230" t="s">
        <v>49</v>
      </c>
      <c r="R148" s="230" t="str">
        <f t="shared" si="706"/>
        <v/>
      </c>
      <c r="S148" s="230"/>
      <c r="T148" s="230"/>
      <c r="U148" s="230" t="str">
        <f t="shared" si="707"/>
        <v/>
      </c>
      <c r="V148" s="230"/>
      <c r="W148" s="230"/>
      <c r="X148" s="230" t="str">
        <f t="shared" si="708"/>
        <v/>
      </c>
      <c r="Y148" s="230"/>
      <c r="Z148" s="230"/>
      <c r="AA148" s="230" t="str">
        <f t="shared" si="709"/>
        <v/>
      </c>
      <c r="AB148" s="230"/>
      <c r="AC148" s="230"/>
      <c r="AD148" s="230" t="str">
        <f t="shared" si="710"/>
        <v/>
      </c>
      <c r="AE148" s="230"/>
      <c r="AF148" s="230"/>
      <c r="AG148" s="230" t="str">
        <f t="shared" si="711"/>
        <v/>
      </c>
      <c r="AH148" s="230"/>
      <c r="AI148" s="230"/>
      <c r="AJ148" s="230" t="str">
        <f t="shared" si="712"/>
        <v/>
      </c>
      <c r="AK148" s="230"/>
      <c r="AL148" s="230"/>
      <c r="AM148" s="230" t="str">
        <f t="shared" si="713"/>
        <v/>
      </c>
      <c r="AN148" s="230"/>
      <c r="AO148" s="230"/>
      <c r="AP148" s="230" t="str">
        <f t="shared" si="714"/>
        <v/>
      </c>
      <c r="AQ148" s="230"/>
      <c r="AR148" s="230"/>
      <c r="AS148" s="230" t="str">
        <f t="shared" si="715"/>
        <v/>
      </c>
      <c r="AT148" s="230"/>
      <c r="AU148" s="202"/>
      <c r="AV148" s="230" t="e">
        <f t="shared" si="717"/>
        <v>#DIV/0!</v>
      </c>
      <c r="AW148" s="202"/>
    </row>
    <row r="149" spans="1:49" x14ac:dyDescent="0.2">
      <c r="A149" s="284" t="s">
        <v>336</v>
      </c>
      <c r="B149" s="285" t="str">
        <f>HR117</f>
        <v/>
      </c>
      <c r="C149" s="285" t="str">
        <f>HU117</f>
        <v/>
      </c>
      <c r="D149" s="285" t="str">
        <f>HX117</f>
        <v/>
      </c>
      <c r="E149" s="285" t="str">
        <f>IA117</f>
        <v/>
      </c>
      <c r="F149" s="285" t="str">
        <f>ID117</f>
        <v/>
      </c>
      <c r="G149" s="285" t="str">
        <f>IG117</f>
        <v/>
      </c>
      <c r="H149" s="285" t="str">
        <f>IJ117</f>
        <v/>
      </c>
      <c r="I149" s="285" t="str">
        <f>IM117</f>
        <v/>
      </c>
      <c r="J149" s="285" t="str">
        <f>IP117</f>
        <v/>
      </c>
      <c r="K149" s="285" t="str">
        <f>IS117</f>
        <v/>
      </c>
      <c r="L149" s="280"/>
      <c r="M149" s="280"/>
      <c r="N149" s="200"/>
      <c r="O149" s="221"/>
      <c r="P149" s="221"/>
      <c r="Q149" s="230" t="s">
        <v>50</v>
      </c>
      <c r="R149" s="230" t="str">
        <f t="shared" si="706"/>
        <v/>
      </c>
      <c r="S149" s="230"/>
      <c r="T149" s="230"/>
      <c r="U149" s="230" t="str">
        <f t="shared" si="707"/>
        <v/>
      </c>
      <c r="V149" s="230"/>
      <c r="W149" s="230"/>
      <c r="X149" s="230" t="str">
        <f t="shared" si="708"/>
        <v/>
      </c>
      <c r="Y149" s="230"/>
      <c r="Z149" s="230"/>
      <c r="AA149" s="230" t="str">
        <f t="shared" si="709"/>
        <v/>
      </c>
      <c r="AB149" s="230"/>
      <c r="AC149" s="230"/>
      <c r="AD149" s="230" t="str">
        <f t="shared" si="710"/>
        <v/>
      </c>
      <c r="AE149" s="230"/>
      <c r="AF149" s="230"/>
      <c r="AG149" s="230" t="str">
        <f t="shared" si="711"/>
        <v/>
      </c>
      <c r="AH149" s="230"/>
      <c r="AI149" s="230"/>
      <c r="AJ149" s="230" t="str">
        <f t="shared" si="712"/>
        <v/>
      </c>
      <c r="AK149" s="230"/>
      <c r="AL149" s="230"/>
      <c r="AM149" s="230" t="str">
        <f t="shared" si="713"/>
        <v/>
      </c>
      <c r="AN149" s="230"/>
      <c r="AO149" s="230"/>
      <c r="AP149" s="230" t="str">
        <f t="shared" si="714"/>
        <v/>
      </c>
      <c r="AQ149" s="230"/>
      <c r="AR149" s="230"/>
      <c r="AS149" s="230" t="str">
        <f t="shared" si="715"/>
        <v/>
      </c>
      <c r="AT149" s="230"/>
      <c r="AU149" s="202"/>
      <c r="AV149" s="230" t="e">
        <f t="shared" si="717"/>
        <v>#DIV/0!</v>
      </c>
      <c r="AW149" s="202"/>
    </row>
    <row r="150" spans="1:49" x14ac:dyDescent="0.2">
      <c r="A150" s="284" t="s">
        <v>337</v>
      </c>
      <c r="B150" s="285" t="str">
        <f>HR118</f>
        <v/>
      </c>
      <c r="C150" s="285" t="str">
        <f>HU118</f>
        <v/>
      </c>
      <c r="D150" s="285" t="str">
        <f>HX118</f>
        <v/>
      </c>
      <c r="E150" s="285" t="str">
        <f>IA118</f>
        <v/>
      </c>
      <c r="F150" s="285" t="str">
        <f>ID118</f>
        <v/>
      </c>
      <c r="G150" s="285" t="str">
        <f>IG118</f>
        <v/>
      </c>
      <c r="H150" s="285" t="str">
        <f>IJ118</f>
        <v/>
      </c>
      <c r="I150" s="285" t="str">
        <f>IM118</f>
        <v/>
      </c>
      <c r="J150" s="285" t="str">
        <f>IP118</f>
        <v/>
      </c>
      <c r="K150" s="285" t="str">
        <f>IS118</f>
        <v/>
      </c>
      <c r="L150" s="280"/>
      <c r="M150" s="280"/>
      <c r="N150" s="200"/>
      <c r="O150" s="221"/>
      <c r="P150" s="221"/>
      <c r="Q150" s="230" t="s">
        <v>51</v>
      </c>
      <c r="R150" s="230" t="str">
        <f t="shared" si="706"/>
        <v/>
      </c>
      <c r="S150" s="230"/>
      <c r="T150" s="230"/>
      <c r="U150" s="230" t="str">
        <f t="shared" si="707"/>
        <v/>
      </c>
      <c r="V150" s="230"/>
      <c r="W150" s="230"/>
      <c r="X150" s="230" t="str">
        <f t="shared" si="708"/>
        <v/>
      </c>
      <c r="Y150" s="230"/>
      <c r="Z150" s="230"/>
      <c r="AA150" s="230" t="str">
        <f t="shared" si="709"/>
        <v/>
      </c>
      <c r="AB150" s="230"/>
      <c r="AC150" s="230"/>
      <c r="AD150" s="230" t="str">
        <f t="shared" si="710"/>
        <v/>
      </c>
      <c r="AE150" s="230"/>
      <c r="AF150" s="230"/>
      <c r="AG150" s="230" t="str">
        <f t="shared" si="711"/>
        <v/>
      </c>
      <c r="AH150" s="230"/>
      <c r="AI150" s="230"/>
      <c r="AJ150" s="230" t="str">
        <f t="shared" si="712"/>
        <v/>
      </c>
      <c r="AK150" s="230"/>
      <c r="AL150" s="230"/>
      <c r="AM150" s="230" t="str">
        <f t="shared" si="713"/>
        <v/>
      </c>
      <c r="AN150" s="230"/>
      <c r="AO150" s="230"/>
      <c r="AP150" s="230" t="str">
        <f t="shared" si="714"/>
        <v/>
      </c>
      <c r="AQ150" s="230"/>
      <c r="AR150" s="230"/>
      <c r="AS150" s="230" t="str">
        <f t="shared" si="715"/>
        <v/>
      </c>
      <c r="AT150" s="230"/>
      <c r="AU150" s="202"/>
      <c r="AV150" s="230" t="e">
        <f t="shared" si="717"/>
        <v>#DIV/0!</v>
      </c>
      <c r="AW150" s="202"/>
    </row>
    <row r="151" spans="1:49" x14ac:dyDescent="0.2">
      <c r="A151" s="284" t="s">
        <v>333</v>
      </c>
      <c r="B151" s="285" t="str">
        <f>HR119</f>
        <v/>
      </c>
      <c r="C151" s="285" t="str">
        <f>HU119</f>
        <v/>
      </c>
      <c r="D151" s="285" t="str">
        <f>HX119</f>
        <v/>
      </c>
      <c r="E151" s="285" t="str">
        <f>IA119</f>
        <v/>
      </c>
      <c r="F151" s="285" t="str">
        <f>ID119</f>
        <v/>
      </c>
      <c r="G151" s="285" t="str">
        <f>IG119</f>
        <v/>
      </c>
      <c r="H151" s="285" t="str">
        <f>IJ119</f>
        <v/>
      </c>
      <c r="I151" s="285" t="str">
        <f>IM119</f>
        <v/>
      </c>
      <c r="J151" s="285" t="str">
        <f>IP119</f>
        <v/>
      </c>
      <c r="K151" s="285" t="str">
        <f>IS119</f>
        <v/>
      </c>
      <c r="L151" s="280"/>
      <c r="M151" s="280"/>
      <c r="N151" s="200"/>
      <c r="O151" s="221"/>
      <c r="P151" s="221"/>
      <c r="Q151" s="230" t="s">
        <v>52</v>
      </c>
      <c r="R151" s="230" t="str">
        <f t="shared" si="706"/>
        <v/>
      </c>
      <c r="S151" s="230"/>
      <c r="T151" s="230"/>
      <c r="U151" s="230" t="str">
        <f t="shared" si="707"/>
        <v/>
      </c>
      <c r="V151" s="230"/>
      <c r="W151" s="230"/>
      <c r="X151" s="230" t="str">
        <f t="shared" si="708"/>
        <v/>
      </c>
      <c r="Y151" s="230"/>
      <c r="Z151" s="230"/>
      <c r="AA151" s="230" t="str">
        <f t="shared" si="709"/>
        <v/>
      </c>
      <c r="AB151" s="230"/>
      <c r="AC151" s="230"/>
      <c r="AD151" s="230" t="str">
        <f t="shared" si="710"/>
        <v/>
      </c>
      <c r="AE151" s="230"/>
      <c r="AF151" s="230"/>
      <c r="AG151" s="230" t="str">
        <f t="shared" si="711"/>
        <v/>
      </c>
      <c r="AH151" s="230"/>
      <c r="AI151" s="230"/>
      <c r="AJ151" s="230" t="str">
        <f t="shared" si="712"/>
        <v/>
      </c>
      <c r="AK151" s="230"/>
      <c r="AL151" s="230"/>
      <c r="AM151" s="230" t="str">
        <f t="shared" si="713"/>
        <v/>
      </c>
      <c r="AN151" s="230"/>
      <c r="AO151" s="230"/>
      <c r="AP151" s="230" t="str">
        <f t="shared" si="714"/>
        <v/>
      </c>
      <c r="AQ151" s="230"/>
      <c r="AR151" s="230"/>
      <c r="AS151" s="230" t="str">
        <f t="shared" si="715"/>
        <v/>
      </c>
      <c r="AT151" s="230"/>
      <c r="AU151" s="202"/>
      <c r="AV151" s="230" t="e">
        <f t="shared" si="717"/>
        <v>#DIV/0!</v>
      </c>
      <c r="AW151" s="202"/>
    </row>
    <row r="152" spans="1:49" x14ac:dyDescent="0.2">
      <c r="A152" s="284" t="s">
        <v>334</v>
      </c>
      <c r="B152" s="285" t="str">
        <f>HR120</f>
        <v/>
      </c>
      <c r="C152" s="285" t="str">
        <f>HU120</f>
        <v/>
      </c>
      <c r="D152" s="285" t="str">
        <f>HX120</f>
        <v/>
      </c>
      <c r="E152" s="285" t="str">
        <f>IA120</f>
        <v/>
      </c>
      <c r="F152" s="285" t="str">
        <f>ID120</f>
        <v/>
      </c>
      <c r="G152" s="285" t="str">
        <f>IG120</f>
        <v/>
      </c>
      <c r="H152" s="285" t="str">
        <f>IJ120</f>
        <v/>
      </c>
      <c r="I152" s="285" t="str">
        <f>IM120</f>
        <v/>
      </c>
      <c r="J152" s="285" t="str">
        <f>IP120</f>
        <v/>
      </c>
      <c r="K152" s="285" t="str">
        <f>IS120</f>
        <v/>
      </c>
      <c r="L152" s="278"/>
      <c r="M152" s="286"/>
      <c r="N152" s="200"/>
      <c r="O152" s="221"/>
      <c r="P152" s="221"/>
      <c r="Q152" s="230" t="s">
        <v>53</v>
      </c>
      <c r="R152" s="230" t="str">
        <f t="shared" si="706"/>
        <v/>
      </c>
      <c r="S152" s="230"/>
      <c r="T152" s="230"/>
      <c r="U152" s="230" t="str">
        <f t="shared" si="707"/>
        <v/>
      </c>
      <c r="V152" s="230"/>
      <c r="W152" s="230"/>
      <c r="X152" s="230" t="str">
        <f t="shared" si="708"/>
        <v/>
      </c>
      <c r="Y152" s="230"/>
      <c r="Z152" s="230"/>
      <c r="AA152" s="230" t="str">
        <f t="shared" si="709"/>
        <v/>
      </c>
      <c r="AB152" s="230"/>
      <c r="AC152" s="230"/>
      <c r="AD152" s="230" t="str">
        <f t="shared" si="710"/>
        <v/>
      </c>
      <c r="AE152" s="230"/>
      <c r="AF152" s="230"/>
      <c r="AG152" s="230" t="str">
        <f t="shared" si="711"/>
        <v/>
      </c>
      <c r="AH152" s="230"/>
      <c r="AI152" s="230"/>
      <c r="AJ152" s="230" t="str">
        <f t="shared" si="712"/>
        <v/>
      </c>
      <c r="AK152" s="230"/>
      <c r="AL152" s="230"/>
      <c r="AM152" s="230" t="str">
        <f t="shared" si="713"/>
        <v/>
      </c>
      <c r="AN152" s="230"/>
      <c r="AO152" s="230"/>
      <c r="AP152" s="230" t="str">
        <f t="shared" si="714"/>
        <v/>
      </c>
      <c r="AQ152" s="230"/>
      <c r="AR152" s="230"/>
      <c r="AS152" s="230" t="str">
        <f t="shared" si="715"/>
        <v/>
      </c>
      <c r="AT152" s="230"/>
      <c r="AU152" s="202"/>
      <c r="AV152" s="230" t="e">
        <f t="shared" si="717"/>
        <v>#DIV/0!</v>
      </c>
      <c r="AW152" s="202"/>
    </row>
    <row r="153" spans="1:49" x14ac:dyDescent="0.2">
      <c r="A153" s="284" t="s">
        <v>335</v>
      </c>
      <c r="B153" s="285" t="str">
        <f>HR121</f>
        <v/>
      </c>
      <c r="C153" s="285" t="str">
        <f>HU121</f>
        <v/>
      </c>
      <c r="D153" s="285" t="str">
        <f>HX121</f>
        <v/>
      </c>
      <c r="E153" s="285" t="str">
        <f>IA121</f>
        <v/>
      </c>
      <c r="F153" s="285" t="str">
        <f>ID121</f>
        <v/>
      </c>
      <c r="G153" s="285" t="str">
        <f>IG121</f>
        <v/>
      </c>
      <c r="H153" s="285" t="str">
        <f>IJ121</f>
        <v/>
      </c>
      <c r="I153" s="285" t="str">
        <f>IM121</f>
        <v/>
      </c>
      <c r="J153" s="285" t="str">
        <f>IP121</f>
        <v/>
      </c>
      <c r="K153" s="285" t="str">
        <f>IS121</f>
        <v/>
      </c>
      <c r="L153" s="287"/>
      <c r="M153" s="286"/>
      <c r="N153" s="200"/>
      <c r="O153" s="221"/>
      <c r="P153" s="221"/>
      <c r="Q153" s="230" t="s">
        <v>54</v>
      </c>
      <c r="R153" s="230" t="str">
        <f t="shared" si="706"/>
        <v/>
      </c>
      <c r="S153" s="230"/>
      <c r="T153" s="230"/>
      <c r="U153" s="230" t="str">
        <f t="shared" si="707"/>
        <v/>
      </c>
      <c r="V153" s="230"/>
      <c r="W153" s="230"/>
      <c r="X153" s="230" t="str">
        <f t="shared" si="708"/>
        <v/>
      </c>
      <c r="Y153" s="230"/>
      <c r="Z153" s="230"/>
      <c r="AA153" s="230" t="str">
        <f t="shared" si="709"/>
        <v/>
      </c>
      <c r="AB153" s="230"/>
      <c r="AC153" s="230"/>
      <c r="AD153" s="230" t="str">
        <f t="shared" si="710"/>
        <v/>
      </c>
      <c r="AE153" s="230"/>
      <c r="AF153" s="230"/>
      <c r="AG153" s="230" t="str">
        <f t="shared" si="711"/>
        <v/>
      </c>
      <c r="AH153" s="230"/>
      <c r="AI153" s="230"/>
      <c r="AJ153" s="230" t="str">
        <f t="shared" si="712"/>
        <v/>
      </c>
      <c r="AK153" s="230"/>
      <c r="AL153" s="230"/>
      <c r="AM153" s="230" t="str">
        <f t="shared" si="713"/>
        <v/>
      </c>
      <c r="AN153" s="230"/>
      <c r="AO153" s="230"/>
      <c r="AP153" s="230" t="str">
        <f t="shared" si="714"/>
        <v/>
      </c>
      <c r="AQ153" s="230"/>
      <c r="AR153" s="230"/>
      <c r="AS153" s="230" t="str">
        <f t="shared" si="715"/>
        <v/>
      </c>
      <c r="AT153" s="230"/>
      <c r="AU153" s="202"/>
      <c r="AV153" s="230" t="e">
        <f t="shared" si="717"/>
        <v>#DIV/0!</v>
      </c>
      <c r="AW153" s="202"/>
    </row>
    <row r="154" spans="1:49" x14ac:dyDescent="0.2">
      <c r="A154" s="282" t="s">
        <v>110</v>
      </c>
      <c r="B154" s="271" t="str">
        <f>IF(CB$119&lt;0.001,0.001,CB$119)</f>
        <v/>
      </c>
      <c r="C154" s="271" t="str">
        <f>IF(DD$119&lt;0.001,0.001,DD$119)</f>
        <v/>
      </c>
      <c r="D154" s="271" t="str">
        <f>IF(EC$119&lt;0.001,0.001,EC$119)</f>
        <v/>
      </c>
      <c r="E154" s="271" t="str">
        <f>IF(EY$119&lt;0.001,0.001,EY$119)</f>
        <v/>
      </c>
      <c r="F154" s="271" t="str">
        <f>IF(FR$119&lt;0.001,0.001,FR$119)</f>
        <v/>
      </c>
      <c r="G154" s="271" t="str">
        <f>IF(GH$119&lt;0.001,0.001,GH$119)</f>
        <v/>
      </c>
      <c r="H154" s="271" t="str">
        <f>IF(GU$119&lt;0.001,0.001,GU$119)</f>
        <v/>
      </c>
      <c r="I154" s="271" t="str">
        <f>IF(HE$119&lt;0.001,0.001,HE$119)</f>
        <v/>
      </c>
      <c r="J154" s="271" t="str">
        <f>IF(HL$119&lt;0.001,0.001,HL$119)</f>
        <v/>
      </c>
      <c r="K154" s="271" t="str">
        <f>IF(HP$119&lt;0.001,0.001,HP$119)</f>
        <v/>
      </c>
      <c r="L154" s="287"/>
      <c r="M154" s="286"/>
      <c r="N154" s="200"/>
      <c r="O154" s="221"/>
      <c r="P154" s="221"/>
      <c r="Q154" s="230" t="s">
        <v>55</v>
      </c>
      <c r="R154" s="230" t="str">
        <f t="shared" si="706"/>
        <v/>
      </c>
      <c r="S154" s="230"/>
      <c r="T154" s="230"/>
      <c r="U154" s="230" t="str">
        <f t="shared" si="707"/>
        <v/>
      </c>
      <c r="V154" s="230"/>
      <c r="W154" s="230"/>
      <c r="X154" s="230" t="str">
        <f t="shared" si="708"/>
        <v/>
      </c>
      <c r="Y154" s="230"/>
      <c r="Z154" s="230"/>
      <c r="AA154" s="230" t="str">
        <f t="shared" si="709"/>
        <v/>
      </c>
      <c r="AB154" s="230"/>
      <c r="AC154" s="230"/>
      <c r="AD154" s="230" t="str">
        <f t="shared" si="710"/>
        <v/>
      </c>
      <c r="AE154" s="230"/>
      <c r="AF154" s="230"/>
      <c r="AG154" s="230" t="str">
        <f t="shared" si="711"/>
        <v/>
      </c>
      <c r="AH154" s="230"/>
      <c r="AI154" s="230"/>
      <c r="AJ154" s="230" t="str">
        <f t="shared" si="712"/>
        <v/>
      </c>
      <c r="AK154" s="230"/>
      <c r="AL154" s="230"/>
      <c r="AM154" s="230" t="str">
        <f t="shared" si="713"/>
        <v/>
      </c>
      <c r="AN154" s="230"/>
      <c r="AO154" s="230"/>
      <c r="AP154" s="230" t="str">
        <f t="shared" si="714"/>
        <v/>
      </c>
      <c r="AQ154" s="230"/>
      <c r="AR154" s="230"/>
      <c r="AS154" s="230" t="str">
        <f t="shared" si="715"/>
        <v/>
      </c>
      <c r="AT154" s="230"/>
      <c r="AU154" s="202"/>
      <c r="AV154" s="230" t="e">
        <f t="shared" si="717"/>
        <v>#DIV/0!</v>
      </c>
      <c r="AW154" s="202"/>
    </row>
    <row r="155" spans="1:49" x14ac:dyDescent="0.2">
      <c r="A155" s="282" t="s">
        <v>395</v>
      </c>
      <c r="B155" s="288" t="str">
        <f>IF(B109&gt;0,$P198^B152,"")</f>
        <v/>
      </c>
      <c r="C155" s="288" t="str">
        <f>IF(C109&gt;0,$P199^C152,"")</f>
        <v/>
      </c>
      <c r="D155" s="288" t="str">
        <f>IF(D109&gt;0,$P200^D152,"")</f>
        <v/>
      </c>
      <c r="E155" s="288" t="str">
        <f>IF(E109&gt;0,$P201^E152,"")</f>
        <v/>
      </c>
      <c r="F155" s="288" t="str">
        <f>IF(F109&gt;0,$P202^F152,"")</f>
        <v/>
      </c>
      <c r="G155" s="288" t="str">
        <f>IF(G109&gt;0,$P203^G152,"")</f>
        <v/>
      </c>
      <c r="H155" s="288" t="str">
        <f>IF(H109&gt;0,$P204^H152,"")</f>
        <v/>
      </c>
      <c r="I155" s="288" t="str">
        <f>IF(I109&gt;0,$P205^I152,"")</f>
        <v/>
      </c>
      <c r="J155" s="288" t="str">
        <f>IF(J109&gt;0,$P206^J152,"")</f>
        <v/>
      </c>
      <c r="K155" s="288" t="str">
        <f>IF(K109&gt;0,$P207^K152,"")</f>
        <v/>
      </c>
      <c r="L155" s="278"/>
      <c r="M155" s="280"/>
      <c r="N155" s="200"/>
      <c r="O155" s="221"/>
      <c r="P155" s="221"/>
      <c r="Q155" s="230" t="s">
        <v>56</v>
      </c>
      <c r="R155" s="230" t="str">
        <f t="shared" si="706"/>
        <v/>
      </c>
      <c r="S155" s="230"/>
      <c r="T155" s="230"/>
      <c r="U155" s="230" t="str">
        <f t="shared" si="707"/>
        <v/>
      </c>
      <c r="V155" s="230"/>
      <c r="W155" s="230"/>
      <c r="X155" s="230" t="str">
        <f t="shared" si="708"/>
        <v/>
      </c>
      <c r="Y155" s="230"/>
      <c r="Z155" s="230"/>
      <c r="AA155" s="230" t="str">
        <f t="shared" si="709"/>
        <v/>
      </c>
      <c r="AB155" s="230"/>
      <c r="AC155" s="230"/>
      <c r="AD155" s="230" t="str">
        <f t="shared" si="710"/>
        <v/>
      </c>
      <c r="AE155" s="230"/>
      <c r="AF155" s="230"/>
      <c r="AG155" s="230" t="str">
        <f t="shared" si="711"/>
        <v/>
      </c>
      <c r="AH155" s="230"/>
      <c r="AI155" s="230"/>
      <c r="AJ155" s="230" t="str">
        <f t="shared" si="712"/>
        <v/>
      </c>
      <c r="AK155" s="230"/>
      <c r="AL155" s="230"/>
      <c r="AM155" s="230" t="str">
        <f t="shared" si="713"/>
        <v/>
      </c>
      <c r="AN155" s="230"/>
      <c r="AO155" s="230"/>
      <c r="AP155" s="230" t="str">
        <f t="shared" si="714"/>
        <v/>
      </c>
      <c r="AQ155" s="230"/>
      <c r="AR155" s="230"/>
      <c r="AS155" s="230" t="str">
        <f t="shared" si="715"/>
        <v/>
      </c>
      <c r="AT155" s="230"/>
      <c r="AU155" s="202"/>
      <c r="AV155" s="230" t="e">
        <f t="shared" si="717"/>
        <v>#DIV/0!</v>
      </c>
      <c r="AW155" s="202"/>
    </row>
    <row r="156" spans="1:49" x14ac:dyDescent="0.2">
      <c r="A156" s="287"/>
      <c r="B156" s="289"/>
      <c r="C156" s="289"/>
      <c r="D156" s="289"/>
      <c r="L156" s="201"/>
      <c r="M156" s="202"/>
      <c r="N156" s="200"/>
      <c r="O156" s="221"/>
      <c r="P156" s="221"/>
      <c r="Q156" s="230" t="s">
        <v>57</v>
      </c>
      <c r="R156" s="230" t="str">
        <f t="shared" si="706"/>
        <v/>
      </c>
      <c r="S156" s="230"/>
      <c r="T156" s="230"/>
      <c r="U156" s="230" t="str">
        <f t="shared" si="707"/>
        <v/>
      </c>
      <c r="V156" s="230"/>
      <c r="W156" s="230"/>
      <c r="X156" s="230" t="str">
        <f t="shared" si="708"/>
        <v/>
      </c>
      <c r="Y156" s="230"/>
      <c r="Z156" s="230"/>
      <c r="AA156" s="230" t="str">
        <f t="shared" si="709"/>
        <v/>
      </c>
      <c r="AB156" s="230"/>
      <c r="AC156" s="230"/>
      <c r="AD156" s="230" t="str">
        <f t="shared" si="710"/>
        <v/>
      </c>
      <c r="AE156" s="230"/>
      <c r="AF156" s="230"/>
      <c r="AG156" s="230" t="str">
        <f t="shared" si="711"/>
        <v/>
      </c>
      <c r="AH156" s="230"/>
      <c r="AI156" s="230"/>
      <c r="AJ156" s="230" t="str">
        <f t="shared" si="712"/>
        <v/>
      </c>
      <c r="AK156" s="230"/>
      <c r="AL156" s="230"/>
      <c r="AM156" s="230" t="str">
        <f t="shared" si="713"/>
        <v/>
      </c>
      <c r="AN156" s="230"/>
      <c r="AO156" s="230"/>
      <c r="AP156" s="230" t="str">
        <f t="shared" si="714"/>
        <v/>
      </c>
      <c r="AQ156" s="230"/>
      <c r="AR156" s="230"/>
      <c r="AS156" s="230" t="str">
        <f t="shared" si="715"/>
        <v/>
      </c>
      <c r="AT156" s="230"/>
      <c r="AU156" s="202"/>
      <c r="AV156" s="230" t="e">
        <f t="shared" si="717"/>
        <v>#DIV/0!</v>
      </c>
      <c r="AW156" s="202"/>
    </row>
    <row r="157" spans="1:49" x14ac:dyDescent="0.2">
      <c r="A157" s="46" t="s">
        <v>215</v>
      </c>
      <c r="B157" s="36" t="s">
        <v>216</v>
      </c>
      <c r="C157" s="33"/>
      <c r="D157" s="33"/>
      <c r="E157" s="36" t="s">
        <v>217</v>
      </c>
      <c r="F157" s="30"/>
      <c r="G157" s="32"/>
      <c r="H157" s="32" t="s">
        <v>363</v>
      </c>
      <c r="O157" s="33"/>
      <c r="P157" s="33"/>
      <c r="Q157" s="230" t="s">
        <v>58</v>
      </c>
      <c r="R157" s="230" t="str">
        <f t="shared" si="706"/>
        <v/>
      </c>
      <c r="S157" s="230"/>
      <c r="T157" s="230"/>
      <c r="U157" s="230" t="str">
        <f t="shared" si="707"/>
        <v/>
      </c>
      <c r="V157" s="230"/>
      <c r="W157" s="230"/>
      <c r="X157" s="230" t="str">
        <f t="shared" si="708"/>
        <v/>
      </c>
      <c r="Y157" s="230"/>
      <c r="Z157" s="230"/>
      <c r="AA157" s="230" t="str">
        <f t="shared" si="709"/>
        <v/>
      </c>
      <c r="AB157" s="230"/>
      <c r="AC157" s="230"/>
      <c r="AD157" s="230" t="str">
        <f t="shared" si="710"/>
        <v/>
      </c>
      <c r="AE157" s="230"/>
      <c r="AF157" s="230"/>
      <c r="AG157" s="230" t="str">
        <f t="shared" si="711"/>
        <v/>
      </c>
      <c r="AH157" s="230"/>
      <c r="AI157" s="230"/>
      <c r="AJ157" s="230" t="str">
        <f t="shared" si="712"/>
        <v/>
      </c>
      <c r="AK157" s="230"/>
      <c r="AL157" s="230"/>
      <c r="AM157" s="230" t="str">
        <f t="shared" si="713"/>
        <v/>
      </c>
      <c r="AN157" s="230"/>
      <c r="AO157" s="230"/>
      <c r="AP157" s="230" t="str">
        <f t="shared" si="714"/>
        <v/>
      </c>
      <c r="AQ157" s="230"/>
      <c r="AR157" s="230"/>
      <c r="AS157" s="230" t="str">
        <f t="shared" si="715"/>
        <v/>
      </c>
      <c r="AT157" s="230"/>
      <c r="AV157" s="230" t="e">
        <f t="shared" si="717"/>
        <v>#DIV/0!</v>
      </c>
    </row>
    <row r="158" spans="1:49" x14ac:dyDescent="0.2">
      <c r="O158" s="33"/>
      <c r="P158" s="33"/>
      <c r="Q158" s="230" t="s">
        <v>59</v>
      </c>
      <c r="R158" s="230" t="str">
        <f t="shared" si="706"/>
        <v/>
      </c>
      <c r="S158" s="230"/>
      <c r="T158" s="230"/>
      <c r="U158" s="230" t="str">
        <f t="shared" si="707"/>
        <v/>
      </c>
      <c r="V158" s="230"/>
      <c r="W158" s="230"/>
      <c r="X158" s="230" t="str">
        <f t="shared" si="708"/>
        <v/>
      </c>
      <c r="Y158" s="230"/>
      <c r="Z158" s="230"/>
      <c r="AA158" s="230" t="str">
        <f t="shared" si="709"/>
        <v/>
      </c>
      <c r="AB158" s="230"/>
      <c r="AC158" s="230"/>
      <c r="AD158" s="230" t="str">
        <f t="shared" si="710"/>
        <v/>
      </c>
      <c r="AE158" s="230"/>
      <c r="AF158" s="230"/>
      <c r="AG158" s="230" t="str">
        <f t="shared" si="711"/>
        <v/>
      </c>
      <c r="AH158" s="230"/>
      <c r="AI158" s="230"/>
      <c r="AJ158" s="230" t="str">
        <f t="shared" si="712"/>
        <v/>
      </c>
      <c r="AK158" s="230"/>
      <c r="AL158" s="230"/>
      <c r="AM158" s="230" t="str">
        <f t="shared" si="713"/>
        <v/>
      </c>
      <c r="AN158" s="230"/>
      <c r="AO158" s="230"/>
      <c r="AP158" s="230" t="str">
        <f t="shared" si="714"/>
        <v/>
      </c>
      <c r="AQ158" s="230"/>
      <c r="AR158" s="230"/>
      <c r="AS158" s="230" t="str">
        <f t="shared" si="715"/>
        <v/>
      </c>
      <c r="AT158" s="230"/>
      <c r="AV158" s="230" t="e">
        <f t="shared" si="717"/>
        <v>#DIV/0!</v>
      </c>
    </row>
    <row r="159" spans="1:49" x14ac:dyDescent="0.2">
      <c r="O159" s="33"/>
      <c r="P159" s="33"/>
      <c r="Q159" s="230" t="s">
        <v>60</v>
      </c>
      <c r="R159" s="230" t="str">
        <f t="shared" si="706"/>
        <v/>
      </c>
      <c r="S159" s="230"/>
      <c r="T159" s="230"/>
      <c r="U159" s="230" t="str">
        <f t="shared" si="707"/>
        <v/>
      </c>
      <c r="V159" s="230"/>
      <c r="W159" s="230"/>
      <c r="X159" s="230" t="str">
        <f t="shared" si="708"/>
        <v/>
      </c>
      <c r="Y159" s="230"/>
      <c r="Z159" s="230"/>
      <c r="AA159" s="230" t="str">
        <f t="shared" si="709"/>
        <v/>
      </c>
      <c r="AB159" s="230"/>
      <c r="AC159" s="230"/>
      <c r="AD159" s="230" t="str">
        <f t="shared" si="710"/>
        <v/>
      </c>
      <c r="AE159" s="230"/>
      <c r="AF159" s="230"/>
      <c r="AG159" s="230" t="str">
        <f t="shared" si="711"/>
        <v/>
      </c>
      <c r="AH159" s="230"/>
      <c r="AI159" s="230"/>
      <c r="AJ159" s="230" t="str">
        <f t="shared" si="712"/>
        <v/>
      </c>
      <c r="AK159" s="230"/>
      <c r="AL159" s="230"/>
      <c r="AM159" s="230" t="str">
        <f t="shared" si="713"/>
        <v/>
      </c>
      <c r="AN159" s="230"/>
      <c r="AO159" s="230"/>
      <c r="AP159" s="230" t="str">
        <f t="shared" si="714"/>
        <v/>
      </c>
      <c r="AQ159" s="230"/>
      <c r="AR159" s="230"/>
      <c r="AS159" s="230" t="str">
        <f t="shared" si="715"/>
        <v/>
      </c>
      <c r="AT159" s="230"/>
      <c r="AV159" s="230" t="e">
        <f t="shared" si="717"/>
        <v>#DIV/0!</v>
      </c>
    </row>
    <row r="160" spans="1:49" x14ac:dyDescent="0.2">
      <c r="O160" s="33"/>
      <c r="P160" s="33"/>
      <c r="Q160" s="230" t="s">
        <v>61</v>
      </c>
      <c r="R160" s="230" t="str">
        <f t="shared" si="706"/>
        <v/>
      </c>
      <c r="S160" s="230"/>
      <c r="T160" s="230"/>
      <c r="U160" s="230" t="str">
        <f t="shared" si="707"/>
        <v/>
      </c>
      <c r="V160" s="230"/>
      <c r="W160" s="230"/>
      <c r="X160" s="230" t="str">
        <f t="shared" si="708"/>
        <v/>
      </c>
      <c r="Y160" s="230"/>
      <c r="Z160" s="230"/>
      <c r="AA160" s="230" t="str">
        <f t="shared" si="709"/>
        <v/>
      </c>
      <c r="AB160" s="230"/>
      <c r="AC160" s="230"/>
      <c r="AD160" s="230" t="str">
        <f t="shared" si="710"/>
        <v/>
      </c>
      <c r="AE160" s="230"/>
      <c r="AF160" s="230"/>
      <c r="AG160" s="230" t="str">
        <f t="shared" si="711"/>
        <v/>
      </c>
      <c r="AH160" s="230"/>
      <c r="AI160" s="230"/>
      <c r="AJ160" s="230" t="str">
        <f t="shared" si="712"/>
        <v/>
      </c>
      <c r="AK160" s="230"/>
      <c r="AL160" s="230"/>
      <c r="AM160" s="230" t="str">
        <f t="shared" si="713"/>
        <v/>
      </c>
      <c r="AN160" s="230"/>
      <c r="AO160" s="230"/>
      <c r="AP160" s="230" t="str">
        <f t="shared" si="714"/>
        <v/>
      </c>
      <c r="AQ160" s="230"/>
      <c r="AR160" s="230"/>
      <c r="AS160" s="230" t="str">
        <f t="shared" si="715"/>
        <v/>
      </c>
      <c r="AT160" s="230"/>
      <c r="AV160" s="230" t="e">
        <f t="shared" si="717"/>
        <v>#DIV/0!</v>
      </c>
    </row>
    <row r="161" spans="15:48" x14ac:dyDescent="0.2">
      <c r="O161" s="33"/>
      <c r="P161" s="33"/>
      <c r="Q161" s="230" t="s">
        <v>62</v>
      </c>
      <c r="R161" s="230" t="str">
        <f t="shared" si="706"/>
        <v/>
      </c>
      <c r="S161" s="230"/>
      <c r="T161" s="230"/>
      <c r="U161" s="230" t="str">
        <f t="shared" si="707"/>
        <v/>
      </c>
      <c r="V161" s="230"/>
      <c r="W161" s="230"/>
      <c r="X161" s="230" t="str">
        <f t="shared" si="708"/>
        <v/>
      </c>
      <c r="Y161" s="230"/>
      <c r="Z161" s="230"/>
      <c r="AA161" s="230" t="str">
        <f t="shared" si="709"/>
        <v/>
      </c>
      <c r="AB161" s="230"/>
      <c r="AC161" s="230"/>
      <c r="AD161" s="230" t="str">
        <f t="shared" si="710"/>
        <v/>
      </c>
      <c r="AE161" s="230"/>
      <c r="AF161" s="230"/>
      <c r="AG161" s="230" t="str">
        <f t="shared" si="711"/>
        <v/>
      </c>
      <c r="AH161" s="230"/>
      <c r="AI161" s="230"/>
      <c r="AJ161" s="230" t="str">
        <f t="shared" si="712"/>
        <v/>
      </c>
      <c r="AK161" s="230"/>
      <c r="AL161" s="230"/>
      <c r="AM161" s="230" t="str">
        <f t="shared" si="713"/>
        <v/>
      </c>
      <c r="AN161" s="230"/>
      <c r="AO161" s="230"/>
      <c r="AP161" s="230" t="str">
        <f t="shared" si="714"/>
        <v/>
      </c>
      <c r="AQ161" s="230"/>
      <c r="AR161" s="230"/>
      <c r="AS161" s="230" t="str">
        <f t="shared" si="715"/>
        <v/>
      </c>
      <c r="AT161" s="230"/>
      <c r="AV161" s="230" t="e">
        <f t="shared" si="717"/>
        <v>#DIV/0!</v>
      </c>
    </row>
    <row r="162" spans="15:48" x14ac:dyDescent="0.2">
      <c r="O162" s="33"/>
      <c r="P162" s="33"/>
      <c r="Q162" s="230" t="s">
        <v>63</v>
      </c>
      <c r="R162" s="230" t="str">
        <f t="shared" si="706"/>
        <v/>
      </c>
      <c r="S162" s="230"/>
      <c r="T162" s="230"/>
      <c r="U162" s="230" t="str">
        <f t="shared" si="707"/>
        <v/>
      </c>
      <c r="V162" s="230"/>
      <c r="W162" s="230"/>
      <c r="X162" s="230" t="str">
        <f t="shared" si="708"/>
        <v/>
      </c>
      <c r="Y162" s="230"/>
      <c r="Z162" s="230"/>
      <c r="AA162" s="230" t="str">
        <f t="shared" si="709"/>
        <v/>
      </c>
      <c r="AB162" s="230"/>
      <c r="AC162" s="230"/>
      <c r="AD162" s="230" t="str">
        <f t="shared" si="710"/>
        <v/>
      </c>
      <c r="AE162" s="230"/>
      <c r="AF162" s="230"/>
      <c r="AG162" s="230" t="str">
        <f t="shared" si="711"/>
        <v/>
      </c>
      <c r="AH162" s="230"/>
      <c r="AI162" s="230"/>
      <c r="AJ162" s="230" t="str">
        <f t="shared" si="712"/>
        <v/>
      </c>
      <c r="AK162" s="230"/>
      <c r="AL162" s="230"/>
      <c r="AM162" s="230" t="str">
        <f t="shared" si="713"/>
        <v/>
      </c>
      <c r="AN162" s="230"/>
      <c r="AO162" s="230"/>
      <c r="AP162" s="230" t="str">
        <f t="shared" si="714"/>
        <v/>
      </c>
      <c r="AQ162" s="230"/>
      <c r="AR162" s="230"/>
      <c r="AS162" s="230" t="str">
        <f t="shared" si="715"/>
        <v/>
      </c>
      <c r="AT162" s="230"/>
      <c r="AV162" s="230" t="e">
        <f t="shared" si="717"/>
        <v>#DIV/0!</v>
      </c>
    </row>
    <row r="163" spans="15:48" x14ac:dyDescent="0.2">
      <c r="O163" s="33"/>
      <c r="P163" s="33"/>
      <c r="Q163" s="230" t="s">
        <v>64</v>
      </c>
      <c r="R163" s="230" t="str">
        <f t="shared" si="706"/>
        <v/>
      </c>
      <c r="S163" s="230"/>
      <c r="T163" s="230"/>
      <c r="U163" s="230" t="str">
        <f t="shared" si="707"/>
        <v/>
      </c>
      <c r="V163" s="230"/>
      <c r="W163" s="230"/>
      <c r="X163" s="230" t="str">
        <f t="shared" si="708"/>
        <v/>
      </c>
      <c r="Y163" s="230"/>
      <c r="Z163" s="230"/>
      <c r="AA163" s="230" t="str">
        <f t="shared" si="709"/>
        <v/>
      </c>
      <c r="AB163" s="230"/>
      <c r="AC163" s="230"/>
      <c r="AD163" s="230" t="str">
        <f t="shared" si="710"/>
        <v/>
      </c>
      <c r="AE163" s="230"/>
      <c r="AF163" s="230"/>
      <c r="AG163" s="230" t="str">
        <f t="shared" si="711"/>
        <v/>
      </c>
      <c r="AH163" s="230"/>
      <c r="AI163" s="230"/>
      <c r="AJ163" s="230" t="str">
        <f t="shared" si="712"/>
        <v/>
      </c>
      <c r="AK163" s="230"/>
      <c r="AL163" s="230"/>
      <c r="AM163" s="230" t="str">
        <f t="shared" si="713"/>
        <v/>
      </c>
      <c r="AN163" s="230"/>
      <c r="AO163" s="230"/>
      <c r="AP163" s="230" t="str">
        <f t="shared" si="714"/>
        <v/>
      </c>
      <c r="AQ163" s="230"/>
      <c r="AR163" s="230"/>
      <c r="AS163" s="230" t="str">
        <f t="shared" si="715"/>
        <v/>
      </c>
      <c r="AT163" s="230"/>
      <c r="AV163" s="230" t="e">
        <f t="shared" si="717"/>
        <v>#DIV/0!</v>
      </c>
    </row>
    <row r="164" spans="15:48" x14ac:dyDescent="0.2">
      <c r="O164" s="33"/>
      <c r="P164" s="33"/>
      <c r="Q164" s="230" t="s">
        <v>65</v>
      </c>
      <c r="R164" s="230" t="str">
        <f t="shared" si="706"/>
        <v/>
      </c>
      <c r="S164" s="230"/>
      <c r="T164" s="230"/>
      <c r="U164" s="230" t="str">
        <f t="shared" si="707"/>
        <v/>
      </c>
      <c r="V164" s="230"/>
      <c r="W164" s="230"/>
      <c r="X164" s="230" t="str">
        <f t="shared" si="708"/>
        <v/>
      </c>
      <c r="Y164" s="230"/>
      <c r="Z164" s="230"/>
      <c r="AA164" s="230" t="str">
        <f t="shared" si="709"/>
        <v/>
      </c>
      <c r="AB164" s="230"/>
      <c r="AC164" s="230"/>
      <c r="AD164" s="230" t="str">
        <f t="shared" si="710"/>
        <v/>
      </c>
      <c r="AE164" s="230"/>
      <c r="AF164" s="230"/>
      <c r="AG164" s="230" t="str">
        <f t="shared" si="711"/>
        <v/>
      </c>
      <c r="AH164" s="230"/>
      <c r="AI164" s="230"/>
      <c r="AJ164" s="230" t="str">
        <f t="shared" si="712"/>
        <v/>
      </c>
      <c r="AK164" s="230"/>
      <c r="AL164" s="230"/>
      <c r="AM164" s="230" t="str">
        <f t="shared" si="713"/>
        <v/>
      </c>
      <c r="AN164" s="230"/>
      <c r="AO164" s="230"/>
      <c r="AP164" s="230" t="str">
        <f t="shared" si="714"/>
        <v/>
      </c>
      <c r="AQ164" s="230"/>
      <c r="AR164" s="230"/>
      <c r="AS164" s="230" t="str">
        <f t="shared" si="715"/>
        <v/>
      </c>
      <c r="AT164" s="230"/>
      <c r="AV164" s="230" t="e">
        <f t="shared" si="717"/>
        <v>#DIV/0!</v>
      </c>
    </row>
    <row r="165" spans="15:48" x14ac:dyDescent="0.2">
      <c r="O165" s="33"/>
      <c r="P165" s="33"/>
      <c r="Q165" s="230" t="s">
        <v>66</v>
      </c>
      <c r="R165" s="230" t="str">
        <f t="shared" si="706"/>
        <v/>
      </c>
      <c r="S165" s="230"/>
      <c r="T165" s="230"/>
      <c r="U165" s="230" t="str">
        <f t="shared" si="707"/>
        <v/>
      </c>
      <c r="V165" s="230"/>
      <c r="W165" s="230"/>
      <c r="X165" s="230" t="str">
        <f t="shared" si="708"/>
        <v/>
      </c>
      <c r="Y165" s="230"/>
      <c r="Z165" s="230"/>
      <c r="AA165" s="230" t="str">
        <f t="shared" si="709"/>
        <v/>
      </c>
      <c r="AB165" s="230"/>
      <c r="AC165" s="230"/>
      <c r="AD165" s="230" t="str">
        <f t="shared" si="710"/>
        <v/>
      </c>
      <c r="AE165" s="230"/>
      <c r="AF165" s="230"/>
      <c r="AG165" s="230" t="str">
        <f t="shared" si="711"/>
        <v/>
      </c>
      <c r="AH165" s="230"/>
      <c r="AI165" s="230"/>
      <c r="AJ165" s="230" t="str">
        <f t="shared" si="712"/>
        <v/>
      </c>
      <c r="AK165" s="230"/>
      <c r="AL165" s="230"/>
      <c r="AM165" s="230" t="str">
        <f t="shared" si="713"/>
        <v/>
      </c>
      <c r="AN165" s="230"/>
      <c r="AO165" s="230"/>
      <c r="AP165" s="230" t="str">
        <f t="shared" si="714"/>
        <v/>
      </c>
      <c r="AQ165" s="230"/>
      <c r="AR165" s="230"/>
      <c r="AS165" s="230" t="str">
        <f t="shared" si="715"/>
        <v/>
      </c>
      <c r="AT165" s="230"/>
      <c r="AV165" s="230" t="e">
        <f t="shared" si="717"/>
        <v>#DIV/0!</v>
      </c>
    </row>
    <row r="166" spans="15:48" x14ac:dyDescent="0.2">
      <c r="O166" s="33"/>
      <c r="P166" s="33"/>
      <c r="Q166" s="230" t="s">
        <v>67</v>
      </c>
      <c r="R166" s="230" t="str">
        <f t="shared" si="706"/>
        <v/>
      </c>
      <c r="S166" s="230"/>
      <c r="T166" s="230"/>
      <c r="U166" s="230" t="str">
        <f t="shared" si="707"/>
        <v/>
      </c>
      <c r="V166" s="230"/>
      <c r="W166" s="230"/>
      <c r="X166" s="230" t="str">
        <f t="shared" si="708"/>
        <v/>
      </c>
      <c r="Y166" s="230"/>
      <c r="Z166" s="230"/>
      <c r="AA166" s="230" t="str">
        <f t="shared" si="709"/>
        <v/>
      </c>
      <c r="AB166" s="230"/>
      <c r="AC166" s="230"/>
      <c r="AD166" s="230" t="str">
        <f t="shared" si="710"/>
        <v/>
      </c>
      <c r="AE166" s="230"/>
      <c r="AF166" s="230"/>
      <c r="AG166" s="230" t="str">
        <f t="shared" si="711"/>
        <v/>
      </c>
      <c r="AH166" s="230"/>
      <c r="AI166" s="230"/>
      <c r="AJ166" s="230" t="str">
        <f t="shared" si="712"/>
        <v/>
      </c>
      <c r="AK166" s="230"/>
      <c r="AL166" s="230"/>
      <c r="AM166" s="230" t="str">
        <f t="shared" si="713"/>
        <v/>
      </c>
      <c r="AN166" s="230"/>
      <c r="AO166" s="230"/>
      <c r="AP166" s="230" t="str">
        <f t="shared" si="714"/>
        <v/>
      </c>
      <c r="AQ166" s="230"/>
      <c r="AR166" s="230"/>
      <c r="AS166" s="230" t="str">
        <f t="shared" si="715"/>
        <v/>
      </c>
      <c r="AT166" s="230"/>
      <c r="AV166" s="230" t="e">
        <f t="shared" si="717"/>
        <v>#DIV/0!</v>
      </c>
    </row>
    <row r="167" spans="15:48" x14ac:dyDescent="0.2">
      <c r="O167" s="33"/>
      <c r="P167" s="33"/>
      <c r="Q167" s="230" t="s">
        <v>68</v>
      </c>
      <c r="R167" s="230" t="str">
        <f t="shared" si="706"/>
        <v/>
      </c>
      <c r="S167" s="230"/>
      <c r="T167" s="230"/>
      <c r="U167" s="230" t="str">
        <f t="shared" si="707"/>
        <v/>
      </c>
      <c r="V167" s="230"/>
      <c r="W167" s="230"/>
      <c r="X167" s="230" t="str">
        <f t="shared" si="708"/>
        <v/>
      </c>
      <c r="Y167" s="230"/>
      <c r="Z167" s="230"/>
      <c r="AA167" s="230" t="str">
        <f t="shared" si="709"/>
        <v/>
      </c>
      <c r="AB167" s="230"/>
      <c r="AC167" s="230"/>
      <c r="AD167" s="230" t="str">
        <f t="shared" si="710"/>
        <v/>
      </c>
      <c r="AE167" s="230"/>
      <c r="AF167" s="230"/>
      <c r="AG167" s="230" t="str">
        <f t="shared" si="711"/>
        <v/>
      </c>
      <c r="AH167" s="230"/>
      <c r="AI167" s="230"/>
      <c r="AJ167" s="230" t="str">
        <f t="shared" si="712"/>
        <v/>
      </c>
      <c r="AK167" s="230"/>
      <c r="AL167" s="230"/>
      <c r="AM167" s="230" t="str">
        <f t="shared" si="713"/>
        <v/>
      </c>
      <c r="AN167" s="230"/>
      <c r="AO167" s="230"/>
      <c r="AP167" s="230" t="str">
        <f t="shared" si="714"/>
        <v/>
      </c>
      <c r="AQ167" s="230"/>
      <c r="AR167" s="230"/>
      <c r="AS167" s="230" t="str">
        <f t="shared" si="715"/>
        <v/>
      </c>
      <c r="AT167" s="230"/>
      <c r="AV167" s="230" t="e">
        <f t="shared" si="717"/>
        <v>#DIV/0!</v>
      </c>
    </row>
    <row r="168" spans="15:48" x14ac:dyDescent="0.2">
      <c r="O168" s="33"/>
      <c r="P168" s="33"/>
      <c r="Q168" s="230" t="s">
        <v>69</v>
      </c>
      <c r="R168" s="230" t="str">
        <f t="shared" si="706"/>
        <v/>
      </c>
      <c r="S168" s="230"/>
      <c r="T168" s="230"/>
      <c r="U168" s="230" t="str">
        <f t="shared" si="707"/>
        <v/>
      </c>
      <c r="V168" s="230"/>
      <c r="W168" s="230"/>
      <c r="X168" s="230" t="str">
        <f t="shared" si="708"/>
        <v/>
      </c>
      <c r="Y168" s="230"/>
      <c r="Z168" s="230"/>
      <c r="AA168" s="230" t="str">
        <f t="shared" si="709"/>
        <v/>
      </c>
      <c r="AB168" s="230"/>
      <c r="AC168" s="230"/>
      <c r="AD168" s="230" t="str">
        <f t="shared" si="710"/>
        <v/>
      </c>
      <c r="AE168" s="230"/>
      <c r="AF168" s="230"/>
      <c r="AG168" s="230" t="str">
        <f t="shared" si="711"/>
        <v/>
      </c>
      <c r="AH168" s="230"/>
      <c r="AI168" s="230"/>
      <c r="AJ168" s="230" t="str">
        <f t="shared" si="712"/>
        <v/>
      </c>
      <c r="AK168" s="230"/>
      <c r="AL168" s="230"/>
      <c r="AM168" s="230" t="str">
        <f t="shared" si="713"/>
        <v/>
      </c>
      <c r="AN168" s="230"/>
      <c r="AO168" s="230"/>
      <c r="AP168" s="230" t="str">
        <f t="shared" si="714"/>
        <v/>
      </c>
      <c r="AQ168" s="230"/>
      <c r="AR168" s="230"/>
      <c r="AS168" s="230" t="str">
        <f t="shared" si="715"/>
        <v/>
      </c>
      <c r="AT168" s="230"/>
      <c r="AV168" s="230" t="e">
        <f t="shared" si="717"/>
        <v>#DIV/0!</v>
      </c>
    </row>
    <row r="169" spans="15:48" x14ac:dyDescent="0.2">
      <c r="O169" s="33"/>
      <c r="P169" s="33"/>
      <c r="Q169" s="230" t="s">
        <v>70</v>
      </c>
      <c r="R169" s="230" t="str">
        <f t="shared" si="706"/>
        <v/>
      </c>
      <c r="S169" s="230"/>
      <c r="T169" s="230"/>
      <c r="U169" s="230" t="str">
        <f t="shared" si="707"/>
        <v/>
      </c>
      <c r="V169" s="230"/>
      <c r="W169" s="230"/>
      <c r="X169" s="230" t="str">
        <f t="shared" si="708"/>
        <v/>
      </c>
      <c r="Y169" s="230"/>
      <c r="Z169" s="230"/>
      <c r="AA169" s="230" t="str">
        <f t="shared" si="709"/>
        <v/>
      </c>
      <c r="AB169" s="230"/>
      <c r="AC169" s="230"/>
      <c r="AD169" s="230" t="str">
        <f t="shared" si="710"/>
        <v/>
      </c>
      <c r="AE169" s="230"/>
      <c r="AF169" s="230"/>
      <c r="AG169" s="230" t="str">
        <f t="shared" si="711"/>
        <v/>
      </c>
      <c r="AH169" s="230"/>
      <c r="AI169" s="230"/>
      <c r="AJ169" s="230" t="str">
        <f t="shared" si="712"/>
        <v/>
      </c>
      <c r="AK169" s="230"/>
      <c r="AL169" s="230"/>
      <c r="AM169" s="230" t="str">
        <f t="shared" si="713"/>
        <v/>
      </c>
      <c r="AN169" s="230"/>
      <c r="AO169" s="230"/>
      <c r="AP169" s="230" t="str">
        <f t="shared" si="714"/>
        <v/>
      </c>
      <c r="AQ169" s="230"/>
      <c r="AR169" s="230"/>
      <c r="AS169" s="230" t="str">
        <f t="shared" si="715"/>
        <v/>
      </c>
      <c r="AT169" s="230"/>
      <c r="AV169" s="230" t="e">
        <f t="shared" si="717"/>
        <v>#DIV/0!</v>
      </c>
    </row>
    <row r="170" spans="15:48" x14ac:dyDescent="0.2">
      <c r="O170" s="33"/>
      <c r="P170" s="33"/>
      <c r="Q170" s="230" t="s">
        <v>71</v>
      </c>
      <c r="R170" s="230" t="str">
        <f t="shared" si="706"/>
        <v/>
      </c>
      <c r="S170" s="230"/>
      <c r="T170" s="230"/>
      <c r="U170" s="230" t="str">
        <f t="shared" si="707"/>
        <v/>
      </c>
      <c r="V170" s="230"/>
      <c r="W170" s="230"/>
      <c r="X170" s="230" t="str">
        <f t="shared" si="708"/>
        <v/>
      </c>
      <c r="Y170" s="230"/>
      <c r="Z170" s="230"/>
      <c r="AA170" s="230" t="str">
        <f t="shared" si="709"/>
        <v/>
      </c>
      <c r="AB170" s="230"/>
      <c r="AC170" s="230"/>
      <c r="AD170" s="230" t="str">
        <f t="shared" si="710"/>
        <v/>
      </c>
      <c r="AE170" s="230"/>
      <c r="AF170" s="230"/>
      <c r="AG170" s="230" t="str">
        <f t="shared" si="711"/>
        <v/>
      </c>
      <c r="AH170" s="230"/>
      <c r="AI170" s="230"/>
      <c r="AJ170" s="230" t="str">
        <f t="shared" si="712"/>
        <v/>
      </c>
      <c r="AK170" s="230"/>
      <c r="AL170" s="230"/>
      <c r="AM170" s="230" t="str">
        <f t="shared" si="713"/>
        <v/>
      </c>
      <c r="AN170" s="230"/>
      <c r="AO170" s="230"/>
      <c r="AP170" s="230" t="str">
        <f t="shared" si="714"/>
        <v/>
      </c>
      <c r="AQ170" s="230"/>
      <c r="AR170" s="230"/>
      <c r="AS170" s="230" t="str">
        <f t="shared" si="715"/>
        <v/>
      </c>
      <c r="AT170" s="230"/>
      <c r="AV170" s="230" t="e">
        <f t="shared" si="717"/>
        <v>#DIV/0!</v>
      </c>
    </row>
    <row r="171" spans="15:48" x14ac:dyDescent="0.2">
      <c r="O171" s="33"/>
      <c r="P171" s="33"/>
      <c r="Q171" s="230" t="s">
        <v>72</v>
      </c>
      <c r="R171" s="230" t="str">
        <f t="shared" si="706"/>
        <v/>
      </c>
      <c r="S171" s="230"/>
      <c r="T171" s="230"/>
      <c r="U171" s="230" t="str">
        <f t="shared" si="707"/>
        <v/>
      </c>
      <c r="V171" s="230"/>
      <c r="W171" s="230"/>
      <c r="X171" s="230" t="str">
        <f t="shared" si="708"/>
        <v/>
      </c>
      <c r="Y171" s="230"/>
      <c r="Z171" s="230"/>
      <c r="AA171" s="230" t="str">
        <f t="shared" si="709"/>
        <v/>
      </c>
      <c r="AB171" s="230"/>
      <c r="AC171" s="230"/>
      <c r="AD171" s="230" t="str">
        <f t="shared" si="710"/>
        <v/>
      </c>
      <c r="AE171" s="230"/>
      <c r="AF171" s="230"/>
      <c r="AG171" s="230" t="str">
        <f t="shared" si="711"/>
        <v/>
      </c>
      <c r="AH171" s="230"/>
      <c r="AI171" s="230"/>
      <c r="AJ171" s="230" t="str">
        <f t="shared" si="712"/>
        <v/>
      </c>
      <c r="AK171" s="230"/>
      <c r="AL171" s="230"/>
      <c r="AM171" s="230" t="str">
        <f t="shared" si="713"/>
        <v/>
      </c>
      <c r="AN171" s="230"/>
      <c r="AO171" s="230"/>
      <c r="AP171" s="230" t="str">
        <f t="shared" si="714"/>
        <v/>
      </c>
      <c r="AQ171" s="230"/>
      <c r="AR171" s="230"/>
      <c r="AS171" s="230" t="str">
        <f t="shared" si="715"/>
        <v/>
      </c>
      <c r="AT171" s="230"/>
      <c r="AV171" s="230" t="e">
        <f t="shared" si="717"/>
        <v>#DIV/0!</v>
      </c>
    </row>
    <row r="172" spans="15:48" x14ac:dyDescent="0.2">
      <c r="O172" s="33"/>
      <c r="P172" s="33"/>
      <c r="Q172" s="230" t="s">
        <v>73</v>
      </c>
      <c r="R172" s="230" t="str">
        <f>IF(AND(NOT($P$198=""),NOT(R70="")),$P$198^R70,"")</f>
        <v/>
      </c>
      <c r="S172" s="230"/>
      <c r="T172" s="230"/>
      <c r="U172" s="230" t="str">
        <f>IF(AND(NOT($P$199=""),NOT(U70="")),$P$199^U70,"")</f>
        <v/>
      </c>
      <c r="V172" s="230"/>
      <c r="W172" s="230"/>
      <c r="X172" s="230" t="str">
        <f>IF(AND(NOT($P$200=""),NOT(X70="")),$P$200^X70,"")</f>
        <v/>
      </c>
      <c r="Y172" s="230"/>
      <c r="Z172" s="230"/>
      <c r="AA172" s="230" t="str">
        <f>IF(AND(NOT($P$201=""),NOT(AA70="")),$P$201^AA70,"")</f>
        <v/>
      </c>
      <c r="AB172" s="230"/>
      <c r="AC172" s="230"/>
      <c r="AD172" s="230" t="str">
        <f>IF(AND(NOT($P$202=""),NOT(AD70="")),$P$202^AD70,"")</f>
        <v/>
      </c>
      <c r="AE172" s="230"/>
      <c r="AF172" s="230"/>
      <c r="AG172" s="230" t="str">
        <f>IF(AND(NOT($P$203=""),NOT(AG70="")),$P$203^AG70,"")</f>
        <v/>
      </c>
      <c r="AH172" s="230"/>
      <c r="AI172" s="230"/>
      <c r="AJ172" s="230" t="str">
        <f>IF(AND(NOT($P$204=""),NOT(AJ70="")),$P$204^AJ70,"")</f>
        <v/>
      </c>
      <c r="AK172" s="230"/>
      <c r="AL172" s="230"/>
      <c r="AM172" s="230" t="str">
        <f>IF(AND(NOT($P$205=""),NOT(AM70="")),$P$205^AM70,"")</f>
        <v/>
      </c>
      <c r="AN172" s="230"/>
      <c r="AO172" s="230"/>
      <c r="AP172" s="230" t="str">
        <f>IF(AND(NOT($P$206=""),NOT(AP70="")),$P$206^AP70,"")</f>
        <v/>
      </c>
      <c r="AQ172" s="230"/>
      <c r="AR172" s="230"/>
      <c r="AS172" s="230" t="str">
        <f>IF(AND(NOT($P$207=""),NOT(AS70="")),$P$207^AS70,"")</f>
        <v/>
      </c>
      <c r="AT172" s="230"/>
      <c r="AV172" s="230" t="e">
        <f t="shared" si="717"/>
        <v>#DIV/0!</v>
      </c>
    </row>
    <row r="173" spans="15:48" x14ac:dyDescent="0.2">
      <c r="O173" s="33"/>
      <c r="P173" s="33"/>
      <c r="Q173" s="230" t="s">
        <v>74</v>
      </c>
      <c r="R173" s="230" t="str">
        <f t="shared" ref="R173:R207" si="718">IF(AND(NOT($P$198=""),NOT(R71="")),$P$198^R71,"")</f>
        <v/>
      </c>
      <c r="S173" s="230"/>
      <c r="T173" s="230"/>
      <c r="U173" s="230" t="str">
        <f t="shared" ref="U173:U207" si="719">IF(AND(NOT($P$199=""),NOT(U71="")),$P$199^U71,"")</f>
        <v/>
      </c>
      <c r="V173" s="230"/>
      <c r="W173" s="230"/>
      <c r="X173" s="230" t="str">
        <f t="shared" ref="X173:X207" si="720">IF(AND(NOT($P$200=""),NOT(X71="")),$P$200^X71,"")</f>
        <v/>
      </c>
      <c r="Y173" s="230"/>
      <c r="Z173" s="230"/>
      <c r="AA173" s="230" t="str">
        <f t="shared" ref="AA173:AA207" si="721">IF(AND(NOT($P$201=""),NOT(AA71="")),$P$201^AA71,"")</f>
        <v/>
      </c>
      <c r="AB173" s="230"/>
      <c r="AC173" s="230"/>
      <c r="AD173" s="230" t="str">
        <f t="shared" ref="AD173:AD207" si="722">IF(AND(NOT($P$202=""),NOT(AD71="")),$P$202^AD71,"")</f>
        <v/>
      </c>
      <c r="AE173" s="230"/>
      <c r="AF173" s="230"/>
      <c r="AG173" s="230" t="str">
        <f t="shared" ref="AG173:AG207" si="723">IF(AND(NOT($P$203=""),NOT(AG71="")),$P$203^AG71,"")</f>
        <v/>
      </c>
      <c r="AH173" s="230"/>
      <c r="AI173" s="230"/>
      <c r="AJ173" s="230" t="str">
        <f t="shared" ref="AJ173:AJ207" si="724">IF(AND(NOT($P$204=""),NOT(AJ71="")),$P$204^AJ71,"")</f>
        <v/>
      </c>
      <c r="AK173" s="230"/>
      <c r="AL173" s="230"/>
      <c r="AM173" s="230" t="str">
        <f t="shared" ref="AM173:AM207" si="725">IF(AND(NOT($P$205=""),NOT(AM71="")),$P$205^AM71,"")</f>
        <v/>
      </c>
      <c r="AN173" s="230"/>
      <c r="AO173" s="230"/>
      <c r="AP173" s="230" t="str">
        <f t="shared" ref="AP173:AP207" si="726">IF(AND(NOT($P$206=""),NOT(AP71="")),$P$206^AP71,"")</f>
        <v/>
      </c>
      <c r="AQ173" s="230"/>
      <c r="AR173" s="230"/>
      <c r="AS173" s="230" t="str">
        <f t="shared" ref="AS173:AS207" si="727">IF(AND(NOT($P$207=""),NOT(AS71="")),$P$207^AS71,"")</f>
        <v/>
      </c>
      <c r="AT173" s="230"/>
      <c r="AV173" s="230" t="e">
        <f t="shared" si="717"/>
        <v>#DIV/0!</v>
      </c>
    </row>
    <row r="174" spans="15:48" x14ac:dyDescent="0.2">
      <c r="O174" s="33"/>
      <c r="P174" s="33"/>
      <c r="Q174" s="230" t="s">
        <v>75</v>
      </c>
      <c r="R174" s="230" t="str">
        <f t="shared" si="718"/>
        <v/>
      </c>
      <c r="S174" s="230"/>
      <c r="T174" s="230"/>
      <c r="U174" s="230" t="str">
        <f t="shared" si="719"/>
        <v/>
      </c>
      <c r="V174" s="230"/>
      <c r="W174" s="230"/>
      <c r="X174" s="230" t="str">
        <f t="shared" si="720"/>
        <v/>
      </c>
      <c r="Y174" s="230"/>
      <c r="Z174" s="230"/>
      <c r="AA174" s="230" t="str">
        <f t="shared" si="721"/>
        <v/>
      </c>
      <c r="AB174" s="230"/>
      <c r="AC174" s="230"/>
      <c r="AD174" s="230" t="str">
        <f t="shared" si="722"/>
        <v/>
      </c>
      <c r="AE174" s="230"/>
      <c r="AF174" s="230"/>
      <c r="AG174" s="230" t="str">
        <f t="shared" si="723"/>
        <v/>
      </c>
      <c r="AH174" s="230"/>
      <c r="AI174" s="230"/>
      <c r="AJ174" s="230" t="str">
        <f t="shared" si="724"/>
        <v/>
      </c>
      <c r="AK174" s="230"/>
      <c r="AL174" s="230"/>
      <c r="AM174" s="230" t="str">
        <f t="shared" si="725"/>
        <v/>
      </c>
      <c r="AN174" s="230"/>
      <c r="AO174" s="230"/>
      <c r="AP174" s="230" t="str">
        <f t="shared" si="726"/>
        <v/>
      </c>
      <c r="AQ174" s="230"/>
      <c r="AR174" s="230"/>
      <c r="AS174" s="230" t="str">
        <f t="shared" si="727"/>
        <v/>
      </c>
      <c r="AT174" s="230"/>
      <c r="AV174" s="230" t="e">
        <f t="shared" si="717"/>
        <v>#DIV/0!</v>
      </c>
    </row>
    <row r="175" spans="15:48" x14ac:dyDescent="0.2">
      <c r="O175" s="33"/>
      <c r="P175" s="33"/>
      <c r="Q175" s="230" t="s">
        <v>76</v>
      </c>
      <c r="R175" s="230" t="str">
        <f t="shared" si="718"/>
        <v/>
      </c>
      <c r="S175" s="230"/>
      <c r="T175" s="230"/>
      <c r="U175" s="230" t="str">
        <f t="shared" si="719"/>
        <v/>
      </c>
      <c r="V175" s="230"/>
      <c r="W175" s="230"/>
      <c r="X175" s="230" t="str">
        <f t="shared" si="720"/>
        <v/>
      </c>
      <c r="Y175" s="230"/>
      <c r="Z175" s="230"/>
      <c r="AA175" s="230" t="str">
        <f t="shared" si="721"/>
        <v/>
      </c>
      <c r="AB175" s="230"/>
      <c r="AC175" s="230"/>
      <c r="AD175" s="230" t="str">
        <f t="shared" si="722"/>
        <v/>
      </c>
      <c r="AE175" s="230"/>
      <c r="AF175" s="230"/>
      <c r="AG175" s="230" t="str">
        <f t="shared" si="723"/>
        <v/>
      </c>
      <c r="AH175" s="230"/>
      <c r="AI175" s="230"/>
      <c r="AJ175" s="230" t="str">
        <f t="shared" si="724"/>
        <v/>
      </c>
      <c r="AK175" s="230"/>
      <c r="AL175" s="230"/>
      <c r="AM175" s="230" t="str">
        <f t="shared" si="725"/>
        <v/>
      </c>
      <c r="AN175" s="230"/>
      <c r="AO175" s="230"/>
      <c r="AP175" s="230" t="str">
        <f t="shared" si="726"/>
        <v/>
      </c>
      <c r="AQ175" s="230"/>
      <c r="AR175" s="230"/>
      <c r="AS175" s="230" t="str">
        <f t="shared" si="727"/>
        <v/>
      </c>
      <c r="AT175" s="230"/>
      <c r="AV175" s="230" t="e">
        <f t="shared" si="717"/>
        <v>#DIV/0!</v>
      </c>
    </row>
    <row r="176" spans="15:48" x14ac:dyDescent="0.2">
      <c r="O176" s="33"/>
      <c r="P176" s="33"/>
      <c r="Q176" s="230" t="s">
        <v>77</v>
      </c>
      <c r="R176" s="230" t="str">
        <f t="shared" si="718"/>
        <v/>
      </c>
      <c r="S176" s="230"/>
      <c r="T176" s="230"/>
      <c r="U176" s="230" t="str">
        <f t="shared" si="719"/>
        <v/>
      </c>
      <c r="V176" s="230"/>
      <c r="W176" s="230"/>
      <c r="X176" s="230" t="str">
        <f t="shared" si="720"/>
        <v/>
      </c>
      <c r="Y176" s="230"/>
      <c r="Z176" s="230"/>
      <c r="AA176" s="230" t="str">
        <f t="shared" si="721"/>
        <v/>
      </c>
      <c r="AB176" s="230"/>
      <c r="AC176" s="230"/>
      <c r="AD176" s="230" t="str">
        <f t="shared" si="722"/>
        <v/>
      </c>
      <c r="AE176" s="230"/>
      <c r="AF176" s="230"/>
      <c r="AG176" s="230" t="str">
        <f t="shared" si="723"/>
        <v/>
      </c>
      <c r="AH176" s="230"/>
      <c r="AI176" s="230"/>
      <c r="AJ176" s="230" t="str">
        <f t="shared" si="724"/>
        <v/>
      </c>
      <c r="AK176" s="230"/>
      <c r="AL176" s="230"/>
      <c r="AM176" s="230" t="str">
        <f t="shared" si="725"/>
        <v/>
      </c>
      <c r="AN176" s="230"/>
      <c r="AO176" s="230"/>
      <c r="AP176" s="230" t="str">
        <f t="shared" si="726"/>
        <v/>
      </c>
      <c r="AQ176" s="230"/>
      <c r="AR176" s="230"/>
      <c r="AS176" s="230" t="str">
        <f t="shared" si="727"/>
        <v/>
      </c>
      <c r="AT176" s="230"/>
      <c r="AV176" s="230" t="e">
        <f t="shared" si="717"/>
        <v>#DIV/0!</v>
      </c>
    </row>
    <row r="177" spans="15:48" x14ac:dyDescent="0.2">
      <c r="O177" s="33"/>
      <c r="P177" s="33"/>
      <c r="Q177" s="230" t="s">
        <v>78</v>
      </c>
      <c r="R177" s="230" t="str">
        <f t="shared" si="718"/>
        <v/>
      </c>
      <c r="S177" s="230"/>
      <c r="T177" s="230"/>
      <c r="U177" s="230" t="str">
        <f t="shared" si="719"/>
        <v/>
      </c>
      <c r="V177" s="230"/>
      <c r="W177" s="230"/>
      <c r="X177" s="230" t="str">
        <f t="shared" si="720"/>
        <v/>
      </c>
      <c r="Y177" s="230"/>
      <c r="Z177" s="230"/>
      <c r="AA177" s="230" t="str">
        <f t="shared" si="721"/>
        <v/>
      </c>
      <c r="AB177" s="230"/>
      <c r="AC177" s="230"/>
      <c r="AD177" s="230" t="str">
        <f t="shared" si="722"/>
        <v/>
      </c>
      <c r="AE177" s="230"/>
      <c r="AF177" s="230"/>
      <c r="AG177" s="230" t="str">
        <f t="shared" si="723"/>
        <v/>
      </c>
      <c r="AH177" s="230"/>
      <c r="AI177" s="230"/>
      <c r="AJ177" s="230" t="str">
        <f t="shared" si="724"/>
        <v/>
      </c>
      <c r="AK177" s="230"/>
      <c r="AL177" s="230"/>
      <c r="AM177" s="230" t="str">
        <f t="shared" si="725"/>
        <v/>
      </c>
      <c r="AN177" s="230"/>
      <c r="AO177" s="230"/>
      <c r="AP177" s="230" t="str">
        <f t="shared" si="726"/>
        <v/>
      </c>
      <c r="AQ177" s="230"/>
      <c r="AR177" s="230"/>
      <c r="AS177" s="230" t="str">
        <f t="shared" si="727"/>
        <v/>
      </c>
      <c r="AT177" s="230"/>
      <c r="AV177" s="230" t="e">
        <f t="shared" si="717"/>
        <v>#DIV/0!</v>
      </c>
    </row>
    <row r="178" spans="15:48" x14ac:dyDescent="0.2">
      <c r="O178" s="33"/>
      <c r="P178" s="33"/>
      <c r="Q178" s="230" t="s">
        <v>79</v>
      </c>
      <c r="R178" s="230" t="str">
        <f t="shared" si="718"/>
        <v/>
      </c>
      <c r="S178" s="230"/>
      <c r="T178" s="230"/>
      <c r="U178" s="230" t="str">
        <f t="shared" si="719"/>
        <v/>
      </c>
      <c r="V178" s="230"/>
      <c r="W178" s="230"/>
      <c r="X178" s="230" t="str">
        <f t="shared" si="720"/>
        <v/>
      </c>
      <c r="Y178" s="230"/>
      <c r="Z178" s="230"/>
      <c r="AA178" s="230" t="str">
        <f t="shared" si="721"/>
        <v/>
      </c>
      <c r="AB178" s="230"/>
      <c r="AC178" s="230"/>
      <c r="AD178" s="230" t="str">
        <f t="shared" si="722"/>
        <v/>
      </c>
      <c r="AE178" s="230"/>
      <c r="AF178" s="230"/>
      <c r="AG178" s="230" t="str">
        <f t="shared" si="723"/>
        <v/>
      </c>
      <c r="AH178" s="230"/>
      <c r="AI178" s="230"/>
      <c r="AJ178" s="230" t="str">
        <f t="shared" si="724"/>
        <v/>
      </c>
      <c r="AK178" s="230"/>
      <c r="AL178" s="230"/>
      <c r="AM178" s="230" t="str">
        <f t="shared" si="725"/>
        <v/>
      </c>
      <c r="AN178" s="230"/>
      <c r="AO178" s="230"/>
      <c r="AP178" s="230" t="str">
        <f t="shared" si="726"/>
        <v/>
      </c>
      <c r="AQ178" s="230"/>
      <c r="AR178" s="230"/>
      <c r="AS178" s="230" t="str">
        <f t="shared" si="727"/>
        <v/>
      </c>
      <c r="AT178" s="230"/>
      <c r="AV178" s="230" t="e">
        <f t="shared" si="717"/>
        <v>#DIV/0!</v>
      </c>
    </row>
    <row r="179" spans="15:48" x14ac:dyDescent="0.2">
      <c r="O179" s="33"/>
      <c r="P179" s="33"/>
      <c r="Q179" s="230" t="s">
        <v>80</v>
      </c>
      <c r="R179" s="230" t="str">
        <f t="shared" si="718"/>
        <v/>
      </c>
      <c r="S179" s="230"/>
      <c r="T179" s="230"/>
      <c r="U179" s="230" t="str">
        <f t="shared" si="719"/>
        <v/>
      </c>
      <c r="V179" s="230"/>
      <c r="W179" s="230"/>
      <c r="X179" s="230" t="str">
        <f t="shared" si="720"/>
        <v/>
      </c>
      <c r="Y179" s="230"/>
      <c r="Z179" s="230"/>
      <c r="AA179" s="230" t="str">
        <f t="shared" si="721"/>
        <v/>
      </c>
      <c r="AB179" s="230"/>
      <c r="AC179" s="230"/>
      <c r="AD179" s="230" t="str">
        <f t="shared" si="722"/>
        <v/>
      </c>
      <c r="AE179" s="230"/>
      <c r="AF179" s="230"/>
      <c r="AG179" s="230" t="str">
        <f t="shared" si="723"/>
        <v/>
      </c>
      <c r="AH179" s="230"/>
      <c r="AI179" s="230"/>
      <c r="AJ179" s="230" t="str">
        <f t="shared" si="724"/>
        <v/>
      </c>
      <c r="AK179" s="230"/>
      <c r="AL179" s="230"/>
      <c r="AM179" s="230" t="str">
        <f t="shared" si="725"/>
        <v/>
      </c>
      <c r="AN179" s="230"/>
      <c r="AO179" s="230"/>
      <c r="AP179" s="230" t="str">
        <f t="shared" si="726"/>
        <v/>
      </c>
      <c r="AQ179" s="230"/>
      <c r="AR179" s="230"/>
      <c r="AS179" s="230" t="str">
        <f t="shared" si="727"/>
        <v/>
      </c>
      <c r="AT179" s="230"/>
      <c r="AV179" s="230" t="e">
        <f t="shared" ref="AV179:AV207" si="728">IF(L77&gt;0,STDEV(R179,U179,X179,AA179,AD179,AG179,AJ179,AM179,AP179,AS179),"")</f>
        <v>#DIV/0!</v>
      </c>
    </row>
    <row r="180" spans="15:48" x14ac:dyDescent="0.2">
      <c r="O180" s="33"/>
      <c r="P180" s="33"/>
      <c r="Q180" s="230" t="s">
        <v>81</v>
      </c>
      <c r="R180" s="230" t="str">
        <f t="shared" si="718"/>
        <v/>
      </c>
      <c r="S180" s="230"/>
      <c r="T180" s="230"/>
      <c r="U180" s="230" t="str">
        <f t="shared" si="719"/>
        <v/>
      </c>
      <c r="V180" s="230"/>
      <c r="W180" s="230"/>
      <c r="X180" s="230" t="str">
        <f t="shared" si="720"/>
        <v/>
      </c>
      <c r="Y180" s="230"/>
      <c r="Z180" s="230"/>
      <c r="AA180" s="230" t="str">
        <f t="shared" si="721"/>
        <v/>
      </c>
      <c r="AB180" s="230"/>
      <c r="AC180" s="230"/>
      <c r="AD180" s="230" t="str">
        <f t="shared" si="722"/>
        <v/>
      </c>
      <c r="AE180" s="230"/>
      <c r="AF180" s="230"/>
      <c r="AG180" s="230" t="str">
        <f t="shared" si="723"/>
        <v/>
      </c>
      <c r="AH180" s="230"/>
      <c r="AI180" s="230"/>
      <c r="AJ180" s="230" t="str">
        <f t="shared" si="724"/>
        <v/>
      </c>
      <c r="AK180" s="230"/>
      <c r="AL180" s="230"/>
      <c r="AM180" s="230" t="str">
        <f t="shared" si="725"/>
        <v/>
      </c>
      <c r="AN180" s="230"/>
      <c r="AO180" s="230"/>
      <c r="AP180" s="230" t="str">
        <f t="shared" si="726"/>
        <v/>
      </c>
      <c r="AQ180" s="230"/>
      <c r="AR180" s="230"/>
      <c r="AS180" s="230" t="str">
        <f t="shared" si="727"/>
        <v/>
      </c>
      <c r="AT180" s="230"/>
      <c r="AV180" s="230" t="e">
        <f t="shared" si="728"/>
        <v>#DIV/0!</v>
      </c>
    </row>
    <row r="181" spans="15:48" x14ac:dyDescent="0.2">
      <c r="O181" s="33"/>
      <c r="P181" s="33"/>
      <c r="Q181" s="230" t="s">
        <v>82</v>
      </c>
      <c r="R181" s="230" t="str">
        <f t="shared" si="718"/>
        <v/>
      </c>
      <c r="S181" s="230"/>
      <c r="T181" s="230"/>
      <c r="U181" s="230" t="str">
        <f t="shared" si="719"/>
        <v/>
      </c>
      <c r="V181" s="230"/>
      <c r="W181" s="230"/>
      <c r="X181" s="230" t="str">
        <f t="shared" si="720"/>
        <v/>
      </c>
      <c r="Y181" s="230"/>
      <c r="Z181" s="230"/>
      <c r="AA181" s="230" t="str">
        <f t="shared" si="721"/>
        <v/>
      </c>
      <c r="AB181" s="230"/>
      <c r="AC181" s="230"/>
      <c r="AD181" s="230" t="str">
        <f t="shared" si="722"/>
        <v/>
      </c>
      <c r="AE181" s="230"/>
      <c r="AF181" s="230"/>
      <c r="AG181" s="230" t="str">
        <f t="shared" si="723"/>
        <v/>
      </c>
      <c r="AH181" s="230"/>
      <c r="AI181" s="230"/>
      <c r="AJ181" s="230" t="str">
        <f t="shared" si="724"/>
        <v/>
      </c>
      <c r="AK181" s="230"/>
      <c r="AL181" s="230"/>
      <c r="AM181" s="230" t="str">
        <f t="shared" si="725"/>
        <v/>
      </c>
      <c r="AN181" s="230"/>
      <c r="AO181" s="230"/>
      <c r="AP181" s="230" t="str">
        <f t="shared" si="726"/>
        <v/>
      </c>
      <c r="AQ181" s="230"/>
      <c r="AR181" s="230"/>
      <c r="AS181" s="230" t="str">
        <f t="shared" si="727"/>
        <v/>
      </c>
      <c r="AT181" s="230"/>
      <c r="AV181" s="230" t="e">
        <f t="shared" si="728"/>
        <v>#DIV/0!</v>
      </c>
    </row>
    <row r="182" spans="15:48" x14ac:dyDescent="0.2">
      <c r="O182" s="33"/>
      <c r="P182" s="33"/>
      <c r="Q182" s="230" t="s">
        <v>83</v>
      </c>
      <c r="R182" s="230" t="str">
        <f t="shared" si="718"/>
        <v/>
      </c>
      <c r="S182" s="230"/>
      <c r="T182" s="230"/>
      <c r="U182" s="230" t="str">
        <f t="shared" si="719"/>
        <v/>
      </c>
      <c r="V182" s="230"/>
      <c r="W182" s="230"/>
      <c r="X182" s="230" t="str">
        <f t="shared" si="720"/>
        <v/>
      </c>
      <c r="Y182" s="230"/>
      <c r="Z182" s="230"/>
      <c r="AA182" s="230" t="str">
        <f t="shared" si="721"/>
        <v/>
      </c>
      <c r="AB182" s="230"/>
      <c r="AC182" s="230"/>
      <c r="AD182" s="230" t="str">
        <f t="shared" si="722"/>
        <v/>
      </c>
      <c r="AE182" s="230"/>
      <c r="AF182" s="230"/>
      <c r="AG182" s="230" t="str">
        <f t="shared" si="723"/>
        <v/>
      </c>
      <c r="AH182" s="230"/>
      <c r="AI182" s="230"/>
      <c r="AJ182" s="230" t="str">
        <f t="shared" si="724"/>
        <v/>
      </c>
      <c r="AK182" s="230"/>
      <c r="AL182" s="230"/>
      <c r="AM182" s="230" t="str">
        <f t="shared" si="725"/>
        <v/>
      </c>
      <c r="AN182" s="230"/>
      <c r="AO182" s="230"/>
      <c r="AP182" s="230" t="str">
        <f t="shared" si="726"/>
        <v/>
      </c>
      <c r="AQ182" s="230"/>
      <c r="AR182" s="230"/>
      <c r="AS182" s="230" t="str">
        <f t="shared" si="727"/>
        <v/>
      </c>
      <c r="AT182" s="230"/>
      <c r="AV182" s="230" t="e">
        <f t="shared" si="728"/>
        <v>#DIV/0!</v>
      </c>
    </row>
    <row r="183" spans="15:48" x14ac:dyDescent="0.2">
      <c r="O183" s="33"/>
      <c r="P183" s="33"/>
      <c r="Q183" s="230" t="s">
        <v>84</v>
      </c>
      <c r="R183" s="230" t="str">
        <f t="shared" si="718"/>
        <v/>
      </c>
      <c r="S183" s="230"/>
      <c r="T183" s="230"/>
      <c r="U183" s="230" t="str">
        <f t="shared" si="719"/>
        <v/>
      </c>
      <c r="V183" s="230"/>
      <c r="W183" s="230"/>
      <c r="X183" s="230" t="str">
        <f t="shared" si="720"/>
        <v/>
      </c>
      <c r="Y183" s="230"/>
      <c r="Z183" s="230"/>
      <c r="AA183" s="230" t="str">
        <f t="shared" si="721"/>
        <v/>
      </c>
      <c r="AB183" s="230"/>
      <c r="AC183" s="230"/>
      <c r="AD183" s="230" t="str">
        <f t="shared" si="722"/>
        <v/>
      </c>
      <c r="AE183" s="230"/>
      <c r="AF183" s="230"/>
      <c r="AG183" s="230" t="str">
        <f t="shared" si="723"/>
        <v/>
      </c>
      <c r="AH183" s="230"/>
      <c r="AI183" s="230"/>
      <c r="AJ183" s="230" t="str">
        <f t="shared" si="724"/>
        <v/>
      </c>
      <c r="AK183" s="230"/>
      <c r="AL183" s="230"/>
      <c r="AM183" s="230" t="str">
        <f t="shared" si="725"/>
        <v/>
      </c>
      <c r="AN183" s="230"/>
      <c r="AO183" s="230"/>
      <c r="AP183" s="230" t="str">
        <f t="shared" si="726"/>
        <v/>
      </c>
      <c r="AQ183" s="230"/>
      <c r="AR183" s="230"/>
      <c r="AS183" s="230" t="str">
        <f t="shared" si="727"/>
        <v/>
      </c>
      <c r="AT183" s="230"/>
      <c r="AV183" s="230" t="e">
        <f t="shared" si="728"/>
        <v>#DIV/0!</v>
      </c>
    </row>
    <row r="184" spans="15:48" x14ac:dyDescent="0.2">
      <c r="O184" s="33"/>
      <c r="P184" s="33"/>
      <c r="Q184" s="230" t="s">
        <v>85</v>
      </c>
      <c r="R184" s="230" t="str">
        <f t="shared" si="718"/>
        <v/>
      </c>
      <c r="S184" s="230"/>
      <c r="T184" s="230"/>
      <c r="U184" s="230" t="str">
        <f t="shared" si="719"/>
        <v/>
      </c>
      <c r="V184" s="230"/>
      <c r="W184" s="230"/>
      <c r="X184" s="230" t="str">
        <f t="shared" si="720"/>
        <v/>
      </c>
      <c r="Y184" s="230"/>
      <c r="Z184" s="230"/>
      <c r="AA184" s="230" t="str">
        <f t="shared" si="721"/>
        <v/>
      </c>
      <c r="AB184" s="230"/>
      <c r="AC184" s="230"/>
      <c r="AD184" s="230" t="str">
        <f t="shared" si="722"/>
        <v/>
      </c>
      <c r="AE184" s="230"/>
      <c r="AF184" s="230"/>
      <c r="AG184" s="230" t="str">
        <f t="shared" si="723"/>
        <v/>
      </c>
      <c r="AH184" s="230"/>
      <c r="AI184" s="230"/>
      <c r="AJ184" s="230" t="str">
        <f t="shared" si="724"/>
        <v/>
      </c>
      <c r="AK184" s="230"/>
      <c r="AL184" s="230"/>
      <c r="AM184" s="230" t="str">
        <f t="shared" si="725"/>
        <v/>
      </c>
      <c r="AN184" s="230"/>
      <c r="AO184" s="230"/>
      <c r="AP184" s="230" t="str">
        <f t="shared" si="726"/>
        <v/>
      </c>
      <c r="AQ184" s="230"/>
      <c r="AR184" s="230"/>
      <c r="AS184" s="230" t="str">
        <f t="shared" si="727"/>
        <v/>
      </c>
      <c r="AT184" s="230"/>
      <c r="AV184" s="230" t="e">
        <f t="shared" si="728"/>
        <v>#DIV/0!</v>
      </c>
    </row>
    <row r="185" spans="15:48" x14ac:dyDescent="0.2">
      <c r="O185" s="33"/>
      <c r="P185" s="33"/>
      <c r="Q185" s="230" t="s">
        <v>86</v>
      </c>
      <c r="R185" s="230" t="str">
        <f t="shared" si="718"/>
        <v/>
      </c>
      <c r="S185" s="230"/>
      <c r="T185" s="230"/>
      <c r="U185" s="230" t="str">
        <f t="shared" si="719"/>
        <v/>
      </c>
      <c r="V185" s="230"/>
      <c r="W185" s="230"/>
      <c r="X185" s="230" t="str">
        <f t="shared" si="720"/>
        <v/>
      </c>
      <c r="Y185" s="230"/>
      <c r="Z185" s="230"/>
      <c r="AA185" s="230" t="str">
        <f t="shared" si="721"/>
        <v/>
      </c>
      <c r="AB185" s="230"/>
      <c r="AC185" s="230"/>
      <c r="AD185" s="230" t="str">
        <f t="shared" si="722"/>
        <v/>
      </c>
      <c r="AE185" s="230"/>
      <c r="AF185" s="230"/>
      <c r="AG185" s="230" t="str">
        <f t="shared" si="723"/>
        <v/>
      </c>
      <c r="AH185" s="230"/>
      <c r="AI185" s="230"/>
      <c r="AJ185" s="230" t="str">
        <f t="shared" si="724"/>
        <v/>
      </c>
      <c r="AK185" s="230"/>
      <c r="AL185" s="230"/>
      <c r="AM185" s="230" t="str">
        <f t="shared" si="725"/>
        <v/>
      </c>
      <c r="AN185" s="230"/>
      <c r="AO185" s="230"/>
      <c r="AP185" s="230" t="str">
        <f t="shared" si="726"/>
        <v/>
      </c>
      <c r="AQ185" s="230"/>
      <c r="AR185" s="230"/>
      <c r="AS185" s="230" t="str">
        <f t="shared" si="727"/>
        <v/>
      </c>
      <c r="AT185" s="230"/>
      <c r="AV185" s="230" t="e">
        <f t="shared" si="728"/>
        <v>#DIV/0!</v>
      </c>
    </row>
    <row r="186" spans="15:48" x14ac:dyDescent="0.2">
      <c r="O186" s="33"/>
      <c r="P186" s="33"/>
      <c r="Q186" s="230" t="s">
        <v>87</v>
      </c>
      <c r="R186" s="230" t="str">
        <f t="shared" si="718"/>
        <v/>
      </c>
      <c r="S186" s="230"/>
      <c r="T186" s="230"/>
      <c r="U186" s="230" t="str">
        <f t="shared" si="719"/>
        <v/>
      </c>
      <c r="V186" s="230"/>
      <c r="W186" s="230"/>
      <c r="X186" s="230" t="str">
        <f t="shared" si="720"/>
        <v/>
      </c>
      <c r="Y186" s="230"/>
      <c r="Z186" s="230"/>
      <c r="AA186" s="230" t="str">
        <f t="shared" si="721"/>
        <v/>
      </c>
      <c r="AB186" s="230"/>
      <c r="AC186" s="230"/>
      <c r="AD186" s="230" t="str">
        <f t="shared" si="722"/>
        <v/>
      </c>
      <c r="AE186" s="230"/>
      <c r="AF186" s="230"/>
      <c r="AG186" s="230" t="str">
        <f t="shared" si="723"/>
        <v/>
      </c>
      <c r="AH186" s="230"/>
      <c r="AI186" s="230"/>
      <c r="AJ186" s="230" t="str">
        <f t="shared" si="724"/>
        <v/>
      </c>
      <c r="AK186" s="230"/>
      <c r="AL186" s="230"/>
      <c r="AM186" s="230" t="str">
        <f t="shared" si="725"/>
        <v/>
      </c>
      <c r="AN186" s="230"/>
      <c r="AO186" s="230"/>
      <c r="AP186" s="230" t="str">
        <f t="shared" si="726"/>
        <v/>
      </c>
      <c r="AQ186" s="230"/>
      <c r="AR186" s="230"/>
      <c r="AS186" s="230" t="str">
        <f t="shared" si="727"/>
        <v/>
      </c>
      <c r="AT186" s="230"/>
      <c r="AV186" s="230" t="e">
        <f t="shared" si="728"/>
        <v>#DIV/0!</v>
      </c>
    </row>
    <row r="187" spans="15:48" x14ac:dyDescent="0.2">
      <c r="O187" s="33"/>
      <c r="P187" s="33"/>
      <c r="Q187" s="230" t="s">
        <v>88</v>
      </c>
      <c r="R187" s="230" t="str">
        <f t="shared" si="718"/>
        <v/>
      </c>
      <c r="S187" s="230"/>
      <c r="T187" s="230"/>
      <c r="U187" s="230" t="str">
        <f t="shared" si="719"/>
        <v/>
      </c>
      <c r="V187" s="230"/>
      <c r="W187" s="230"/>
      <c r="X187" s="230" t="str">
        <f t="shared" si="720"/>
        <v/>
      </c>
      <c r="Y187" s="230"/>
      <c r="Z187" s="230"/>
      <c r="AA187" s="230" t="str">
        <f t="shared" si="721"/>
        <v/>
      </c>
      <c r="AB187" s="230"/>
      <c r="AC187" s="230"/>
      <c r="AD187" s="230" t="str">
        <f t="shared" si="722"/>
        <v/>
      </c>
      <c r="AE187" s="230"/>
      <c r="AF187" s="230"/>
      <c r="AG187" s="230" t="str">
        <f t="shared" si="723"/>
        <v/>
      </c>
      <c r="AH187" s="230"/>
      <c r="AI187" s="230"/>
      <c r="AJ187" s="230" t="str">
        <f t="shared" si="724"/>
        <v/>
      </c>
      <c r="AK187" s="230"/>
      <c r="AL187" s="230"/>
      <c r="AM187" s="230" t="str">
        <f t="shared" si="725"/>
        <v/>
      </c>
      <c r="AN187" s="230"/>
      <c r="AO187" s="230"/>
      <c r="AP187" s="230" t="str">
        <f t="shared" si="726"/>
        <v/>
      </c>
      <c r="AQ187" s="230"/>
      <c r="AR187" s="230"/>
      <c r="AS187" s="230" t="str">
        <f t="shared" si="727"/>
        <v/>
      </c>
      <c r="AT187" s="230"/>
      <c r="AV187" s="230" t="e">
        <f t="shared" si="728"/>
        <v>#DIV/0!</v>
      </c>
    </row>
    <row r="188" spans="15:48" x14ac:dyDescent="0.2">
      <c r="O188" s="33"/>
      <c r="P188" s="33"/>
      <c r="Q188" s="230" t="s">
        <v>89</v>
      </c>
      <c r="R188" s="230" t="str">
        <f t="shared" si="718"/>
        <v/>
      </c>
      <c r="S188" s="230"/>
      <c r="T188" s="230"/>
      <c r="U188" s="230" t="str">
        <f t="shared" si="719"/>
        <v/>
      </c>
      <c r="V188" s="230"/>
      <c r="W188" s="230"/>
      <c r="X188" s="230" t="str">
        <f t="shared" si="720"/>
        <v/>
      </c>
      <c r="Y188" s="230"/>
      <c r="Z188" s="230"/>
      <c r="AA188" s="230" t="str">
        <f t="shared" si="721"/>
        <v/>
      </c>
      <c r="AB188" s="230"/>
      <c r="AC188" s="230"/>
      <c r="AD188" s="230" t="str">
        <f t="shared" si="722"/>
        <v/>
      </c>
      <c r="AE188" s="230"/>
      <c r="AF188" s="230"/>
      <c r="AG188" s="230" t="str">
        <f t="shared" si="723"/>
        <v/>
      </c>
      <c r="AH188" s="230"/>
      <c r="AI188" s="230"/>
      <c r="AJ188" s="230" t="str">
        <f t="shared" si="724"/>
        <v/>
      </c>
      <c r="AK188" s="230"/>
      <c r="AL188" s="230"/>
      <c r="AM188" s="230" t="str">
        <f t="shared" si="725"/>
        <v/>
      </c>
      <c r="AN188" s="230"/>
      <c r="AO188" s="230"/>
      <c r="AP188" s="230" t="str">
        <f t="shared" si="726"/>
        <v/>
      </c>
      <c r="AQ188" s="230"/>
      <c r="AR188" s="230"/>
      <c r="AS188" s="230" t="str">
        <f t="shared" si="727"/>
        <v/>
      </c>
      <c r="AT188" s="230"/>
      <c r="AV188" s="230" t="e">
        <f t="shared" si="728"/>
        <v>#DIV/0!</v>
      </c>
    </row>
    <row r="189" spans="15:48" x14ac:dyDescent="0.2">
      <c r="O189" s="33"/>
      <c r="P189" s="33"/>
      <c r="Q189" s="230" t="s">
        <v>90</v>
      </c>
      <c r="R189" s="230" t="str">
        <f t="shared" si="718"/>
        <v/>
      </c>
      <c r="S189" s="230"/>
      <c r="T189" s="230"/>
      <c r="U189" s="230" t="str">
        <f t="shared" si="719"/>
        <v/>
      </c>
      <c r="V189" s="230"/>
      <c r="W189" s="230"/>
      <c r="X189" s="230" t="str">
        <f t="shared" si="720"/>
        <v/>
      </c>
      <c r="Y189" s="230"/>
      <c r="Z189" s="230"/>
      <c r="AA189" s="230" t="str">
        <f t="shared" si="721"/>
        <v/>
      </c>
      <c r="AB189" s="230"/>
      <c r="AC189" s="230"/>
      <c r="AD189" s="230" t="str">
        <f t="shared" si="722"/>
        <v/>
      </c>
      <c r="AE189" s="230"/>
      <c r="AF189" s="230"/>
      <c r="AG189" s="230" t="str">
        <f t="shared" si="723"/>
        <v/>
      </c>
      <c r="AH189" s="230"/>
      <c r="AI189" s="230"/>
      <c r="AJ189" s="230" t="str">
        <f t="shared" si="724"/>
        <v/>
      </c>
      <c r="AK189" s="230"/>
      <c r="AL189" s="230"/>
      <c r="AM189" s="230" t="str">
        <f t="shared" si="725"/>
        <v/>
      </c>
      <c r="AN189" s="230"/>
      <c r="AO189" s="230"/>
      <c r="AP189" s="230" t="str">
        <f t="shared" si="726"/>
        <v/>
      </c>
      <c r="AQ189" s="230"/>
      <c r="AR189" s="230"/>
      <c r="AS189" s="230" t="str">
        <f t="shared" si="727"/>
        <v/>
      </c>
      <c r="AT189" s="230"/>
      <c r="AV189" s="230" t="e">
        <f t="shared" si="728"/>
        <v>#DIV/0!</v>
      </c>
    </row>
    <row r="190" spans="15:48" x14ac:dyDescent="0.2">
      <c r="O190" s="33"/>
      <c r="P190" s="33"/>
      <c r="Q190" s="230" t="s">
        <v>91</v>
      </c>
      <c r="R190" s="230" t="str">
        <f t="shared" si="718"/>
        <v/>
      </c>
      <c r="S190" s="230"/>
      <c r="T190" s="230"/>
      <c r="U190" s="230" t="str">
        <f t="shared" si="719"/>
        <v/>
      </c>
      <c r="V190" s="230"/>
      <c r="W190" s="230"/>
      <c r="X190" s="230" t="str">
        <f t="shared" si="720"/>
        <v/>
      </c>
      <c r="Y190" s="230"/>
      <c r="Z190" s="230"/>
      <c r="AA190" s="230" t="str">
        <f t="shared" si="721"/>
        <v/>
      </c>
      <c r="AB190" s="230"/>
      <c r="AC190" s="230"/>
      <c r="AD190" s="230" t="str">
        <f t="shared" si="722"/>
        <v/>
      </c>
      <c r="AE190" s="230"/>
      <c r="AF190" s="230"/>
      <c r="AG190" s="230" t="str">
        <f t="shared" si="723"/>
        <v/>
      </c>
      <c r="AH190" s="230"/>
      <c r="AI190" s="230"/>
      <c r="AJ190" s="230" t="str">
        <f t="shared" si="724"/>
        <v/>
      </c>
      <c r="AK190" s="230"/>
      <c r="AL190" s="230"/>
      <c r="AM190" s="230" t="str">
        <f t="shared" si="725"/>
        <v/>
      </c>
      <c r="AN190" s="230"/>
      <c r="AO190" s="230"/>
      <c r="AP190" s="230" t="str">
        <f t="shared" si="726"/>
        <v/>
      </c>
      <c r="AQ190" s="230"/>
      <c r="AR190" s="230"/>
      <c r="AS190" s="230" t="str">
        <f t="shared" si="727"/>
        <v/>
      </c>
      <c r="AT190" s="230"/>
      <c r="AV190" s="230" t="e">
        <f t="shared" si="728"/>
        <v>#DIV/0!</v>
      </c>
    </row>
    <row r="191" spans="15:48" x14ac:dyDescent="0.2">
      <c r="O191" s="33"/>
      <c r="P191" s="33"/>
      <c r="Q191" s="230" t="s">
        <v>92</v>
      </c>
      <c r="R191" s="230" t="str">
        <f t="shared" si="718"/>
        <v/>
      </c>
      <c r="S191" s="230"/>
      <c r="T191" s="230"/>
      <c r="U191" s="230" t="str">
        <f t="shared" si="719"/>
        <v/>
      </c>
      <c r="V191" s="230"/>
      <c r="W191" s="230"/>
      <c r="X191" s="230" t="str">
        <f t="shared" si="720"/>
        <v/>
      </c>
      <c r="Y191" s="230"/>
      <c r="Z191" s="230"/>
      <c r="AA191" s="230" t="str">
        <f t="shared" si="721"/>
        <v/>
      </c>
      <c r="AB191" s="230"/>
      <c r="AC191" s="230"/>
      <c r="AD191" s="230" t="str">
        <f t="shared" si="722"/>
        <v/>
      </c>
      <c r="AE191" s="230"/>
      <c r="AF191" s="230"/>
      <c r="AG191" s="230" t="str">
        <f t="shared" si="723"/>
        <v/>
      </c>
      <c r="AH191" s="230"/>
      <c r="AI191" s="230"/>
      <c r="AJ191" s="230" t="str">
        <f t="shared" si="724"/>
        <v/>
      </c>
      <c r="AK191" s="230"/>
      <c r="AL191" s="230"/>
      <c r="AM191" s="230" t="str">
        <f t="shared" si="725"/>
        <v/>
      </c>
      <c r="AN191" s="230"/>
      <c r="AO191" s="230"/>
      <c r="AP191" s="230" t="str">
        <f t="shared" si="726"/>
        <v/>
      </c>
      <c r="AQ191" s="230"/>
      <c r="AR191" s="230"/>
      <c r="AS191" s="230" t="str">
        <f t="shared" si="727"/>
        <v/>
      </c>
      <c r="AT191" s="230"/>
      <c r="AV191" s="230" t="e">
        <f t="shared" si="728"/>
        <v>#DIV/0!</v>
      </c>
    </row>
    <row r="192" spans="15:48" x14ac:dyDescent="0.2">
      <c r="O192" s="33"/>
      <c r="P192" s="33"/>
      <c r="Q192" s="230" t="s">
        <v>93</v>
      </c>
      <c r="R192" s="230" t="str">
        <f t="shared" si="718"/>
        <v/>
      </c>
      <c r="S192" s="230"/>
      <c r="T192" s="230"/>
      <c r="U192" s="230" t="str">
        <f t="shared" si="719"/>
        <v/>
      </c>
      <c r="V192" s="230"/>
      <c r="W192" s="230"/>
      <c r="X192" s="230" t="str">
        <f t="shared" si="720"/>
        <v/>
      </c>
      <c r="Y192" s="230"/>
      <c r="Z192" s="230"/>
      <c r="AA192" s="230" t="str">
        <f t="shared" si="721"/>
        <v/>
      </c>
      <c r="AB192" s="230"/>
      <c r="AC192" s="230"/>
      <c r="AD192" s="230" t="str">
        <f t="shared" si="722"/>
        <v/>
      </c>
      <c r="AE192" s="230"/>
      <c r="AF192" s="230"/>
      <c r="AG192" s="230" t="str">
        <f t="shared" si="723"/>
        <v/>
      </c>
      <c r="AH192" s="230"/>
      <c r="AI192" s="230"/>
      <c r="AJ192" s="230" t="str">
        <f t="shared" si="724"/>
        <v/>
      </c>
      <c r="AK192" s="230"/>
      <c r="AL192" s="230"/>
      <c r="AM192" s="230" t="str">
        <f t="shared" si="725"/>
        <v/>
      </c>
      <c r="AN192" s="230"/>
      <c r="AO192" s="230"/>
      <c r="AP192" s="230" t="str">
        <f t="shared" si="726"/>
        <v/>
      </c>
      <c r="AQ192" s="230"/>
      <c r="AR192" s="230"/>
      <c r="AS192" s="230" t="str">
        <f t="shared" si="727"/>
        <v/>
      </c>
      <c r="AT192" s="230"/>
      <c r="AV192" s="230" t="e">
        <f t="shared" si="728"/>
        <v>#DIV/0!</v>
      </c>
    </row>
    <row r="193" spans="15:50" x14ac:dyDescent="0.2">
      <c r="O193" s="33"/>
      <c r="P193" s="33"/>
      <c r="Q193" s="230" t="s">
        <v>94</v>
      </c>
      <c r="R193" s="230" t="str">
        <f t="shared" si="718"/>
        <v/>
      </c>
      <c r="S193" s="230"/>
      <c r="T193" s="230"/>
      <c r="U193" s="230" t="str">
        <f t="shared" si="719"/>
        <v/>
      </c>
      <c r="V193" s="230"/>
      <c r="W193" s="230"/>
      <c r="X193" s="230" t="str">
        <f t="shared" si="720"/>
        <v/>
      </c>
      <c r="Y193" s="230"/>
      <c r="Z193" s="230"/>
      <c r="AA193" s="230" t="str">
        <f t="shared" si="721"/>
        <v/>
      </c>
      <c r="AB193" s="230"/>
      <c r="AC193" s="230"/>
      <c r="AD193" s="230" t="str">
        <f t="shared" si="722"/>
        <v/>
      </c>
      <c r="AE193" s="230"/>
      <c r="AF193" s="230"/>
      <c r="AG193" s="230" t="str">
        <f t="shared" si="723"/>
        <v/>
      </c>
      <c r="AH193" s="230"/>
      <c r="AI193" s="230"/>
      <c r="AJ193" s="230" t="str">
        <f t="shared" si="724"/>
        <v/>
      </c>
      <c r="AK193" s="230"/>
      <c r="AL193" s="230"/>
      <c r="AM193" s="230" t="str">
        <f t="shared" si="725"/>
        <v/>
      </c>
      <c r="AN193" s="230"/>
      <c r="AO193" s="230"/>
      <c r="AP193" s="230" t="str">
        <f t="shared" si="726"/>
        <v/>
      </c>
      <c r="AQ193" s="230"/>
      <c r="AR193" s="230"/>
      <c r="AS193" s="230" t="str">
        <f t="shared" si="727"/>
        <v/>
      </c>
      <c r="AT193" s="230"/>
      <c r="AV193" s="230" t="e">
        <f t="shared" si="728"/>
        <v>#DIV/0!</v>
      </c>
    </row>
    <row r="194" spans="15:50" x14ac:dyDescent="0.2">
      <c r="O194" s="33"/>
      <c r="P194" s="33"/>
      <c r="Q194" s="230" t="s">
        <v>95</v>
      </c>
      <c r="R194" s="230" t="str">
        <f t="shared" si="718"/>
        <v/>
      </c>
      <c r="S194" s="230"/>
      <c r="T194" s="230"/>
      <c r="U194" s="230" t="str">
        <f t="shared" si="719"/>
        <v/>
      </c>
      <c r="V194" s="230"/>
      <c r="W194" s="230"/>
      <c r="X194" s="230" t="str">
        <f t="shared" si="720"/>
        <v/>
      </c>
      <c r="Y194" s="230"/>
      <c r="Z194" s="230"/>
      <c r="AA194" s="230" t="str">
        <f t="shared" si="721"/>
        <v/>
      </c>
      <c r="AB194" s="230"/>
      <c r="AC194" s="230"/>
      <c r="AD194" s="230" t="str">
        <f t="shared" si="722"/>
        <v/>
      </c>
      <c r="AE194" s="230"/>
      <c r="AF194" s="230"/>
      <c r="AG194" s="230" t="str">
        <f t="shared" si="723"/>
        <v/>
      </c>
      <c r="AH194" s="230"/>
      <c r="AI194" s="230"/>
      <c r="AJ194" s="230" t="str">
        <f t="shared" si="724"/>
        <v/>
      </c>
      <c r="AK194" s="230"/>
      <c r="AL194" s="230"/>
      <c r="AM194" s="230" t="str">
        <f t="shared" si="725"/>
        <v/>
      </c>
      <c r="AN194" s="230"/>
      <c r="AO194" s="230"/>
      <c r="AP194" s="230" t="str">
        <f t="shared" si="726"/>
        <v/>
      </c>
      <c r="AQ194" s="230"/>
      <c r="AR194" s="230"/>
      <c r="AS194" s="230" t="str">
        <f t="shared" si="727"/>
        <v/>
      </c>
      <c r="AT194" s="230"/>
      <c r="AV194" s="230" t="e">
        <f t="shared" si="728"/>
        <v>#DIV/0!</v>
      </c>
    </row>
    <row r="195" spans="15:50" x14ac:dyDescent="0.2">
      <c r="O195" s="33"/>
      <c r="P195" s="33"/>
      <c r="Q195" s="230" t="s">
        <v>96</v>
      </c>
      <c r="R195" s="230" t="str">
        <f t="shared" si="718"/>
        <v/>
      </c>
      <c r="S195" s="230"/>
      <c r="T195" s="230"/>
      <c r="U195" s="230" t="str">
        <f t="shared" si="719"/>
        <v/>
      </c>
      <c r="V195" s="230"/>
      <c r="W195" s="230"/>
      <c r="X195" s="230" t="str">
        <f t="shared" si="720"/>
        <v/>
      </c>
      <c r="Y195" s="230"/>
      <c r="Z195" s="230"/>
      <c r="AA195" s="230" t="str">
        <f t="shared" si="721"/>
        <v/>
      </c>
      <c r="AB195" s="230"/>
      <c r="AC195" s="230"/>
      <c r="AD195" s="230" t="str">
        <f t="shared" si="722"/>
        <v/>
      </c>
      <c r="AE195" s="230"/>
      <c r="AF195" s="230"/>
      <c r="AG195" s="230" t="str">
        <f t="shared" si="723"/>
        <v/>
      </c>
      <c r="AH195" s="230"/>
      <c r="AI195" s="230"/>
      <c r="AJ195" s="230" t="str">
        <f t="shared" si="724"/>
        <v/>
      </c>
      <c r="AK195" s="230"/>
      <c r="AL195" s="230"/>
      <c r="AM195" s="230" t="str">
        <f t="shared" si="725"/>
        <v/>
      </c>
      <c r="AN195" s="230"/>
      <c r="AO195" s="230"/>
      <c r="AP195" s="230" t="str">
        <f t="shared" si="726"/>
        <v/>
      </c>
      <c r="AQ195" s="230"/>
      <c r="AR195" s="230"/>
      <c r="AS195" s="230" t="str">
        <f t="shared" si="727"/>
        <v/>
      </c>
      <c r="AT195" s="230"/>
      <c r="AV195" s="230" t="e">
        <f t="shared" si="728"/>
        <v>#DIV/0!</v>
      </c>
    </row>
    <row r="196" spans="15:50" x14ac:dyDescent="0.2">
      <c r="O196" s="228"/>
      <c r="P196" s="229"/>
      <c r="Q196" s="230" t="s">
        <v>97</v>
      </c>
      <c r="R196" s="230" t="str">
        <f t="shared" si="718"/>
        <v/>
      </c>
      <c r="S196" s="230"/>
      <c r="T196" s="230"/>
      <c r="U196" s="230" t="str">
        <f t="shared" si="719"/>
        <v/>
      </c>
      <c r="V196" s="230"/>
      <c r="W196" s="230"/>
      <c r="X196" s="230" t="str">
        <f t="shared" si="720"/>
        <v/>
      </c>
      <c r="Y196" s="230"/>
      <c r="Z196" s="230"/>
      <c r="AA196" s="230" t="str">
        <f t="shared" si="721"/>
        <v/>
      </c>
      <c r="AB196" s="230"/>
      <c r="AC196" s="230"/>
      <c r="AD196" s="230" t="str">
        <f t="shared" si="722"/>
        <v/>
      </c>
      <c r="AE196" s="230"/>
      <c r="AF196" s="230"/>
      <c r="AG196" s="230" t="str">
        <f t="shared" si="723"/>
        <v/>
      </c>
      <c r="AH196" s="230"/>
      <c r="AI196" s="230"/>
      <c r="AJ196" s="230" t="str">
        <f t="shared" si="724"/>
        <v/>
      </c>
      <c r="AK196" s="230"/>
      <c r="AL196" s="230"/>
      <c r="AM196" s="230" t="str">
        <f t="shared" si="725"/>
        <v/>
      </c>
      <c r="AN196" s="230"/>
      <c r="AO196" s="230"/>
      <c r="AP196" s="230" t="str">
        <f t="shared" si="726"/>
        <v/>
      </c>
      <c r="AQ196" s="230"/>
      <c r="AR196" s="230"/>
      <c r="AS196" s="230" t="str">
        <f t="shared" si="727"/>
        <v/>
      </c>
      <c r="AT196" s="230"/>
      <c r="AV196" s="230" t="e">
        <f t="shared" si="728"/>
        <v>#DIV/0!</v>
      </c>
    </row>
    <row r="197" spans="15:50" x14ac:dyDescent="0.2">
      <c r="O197" s="228"/>
      <c r="P197" s="229"/>
      <c r="Q197" s="230" t="s">
        <v>98</v>
      </c>
      <c r="R197" s="230" t="str">
        <f t="shared" si="718"/>
        <v/>
      </c>
      <c r="S197" s="230"/>
      <c r="T197" s="230"/>
      <c r="U197" s="230" t="str">
        <f t="shared" si="719"/>
        <v/>
      </c>
      <c r="V197" s="230"/>
      <c r="W197" s="230"/>
      <c r="X197" s="230" t="str">
        <f t="shared" si="720"/>
        <v/>
      </c>
      <c r="Y197" s="230"/>
      <c r="Z197" s="230"/>
      <c r="AA197" s="230" t="str">
        <f t="shared" si="721"/>
        <v/>
      </c>
      <c r="AB197" s="230"/>
      <c r="AC197" s="230"/>
      <c r="AD197" s="230" t="str">
        <f t="shared" si="722"/>
        <v/>
      </c>
      <c r="AE197" s="230"/>
      <c r="AF197" s="230"/>
      <c r="AG197" s="230" t="str">
        <f t="shared" si="723"/>
        <v/>
      </c>
      <c r="AH197" s="230"/>
      <c r="AI197" s="230"/>
      <c r="AJ197" s="230" t="str">
        <f t="shared" si="724"/>
        <v/>
      </c>
      <c r="AK197" s="230"/>
      <c r="AL197" s="230"/>
      <c r="AM197" s="230" t="str">
        <f t="shared" si="725"/>
        <v/>
      </c>
      <c r="AN197" s="230"/>
      <c r="AO197" s="230"/>
      <c r="AP197" s="230" t="str">
        <f t="shared" si="726"/>
        <v/>
      </c>
      <c r="AQ197" s="230"/>
      <c r="AR197" s="230"/>
      <c r="AS197" s="230" t="str">
        <f t="shared" si="727"/>
        <v/>
      </c>
      <c r="AT197" s="230"/>
      <c r="AV197" s="230" t="e">
        <f t="shared" si="728"/>
        <v>#DIV/0!</v>
      </c>
    </row>
    <row r="198" spans="15:50" x14ac:dyDescent="0.2">
      <c r="O198" s="291" t="s">
        <v>227</v>
      </c>
      <c r="P198" s="292">
        <f>Intro!C29</f>
        <v>2</v>
      </c>
      <c r="Q198" s="230" t="s">
        <v>99</v>
      </c>
      <c r="R198" s="230" t="str">
        <f t="shared" si="718"/>
        <v/>
      </c>
      <c r="S198" s="230"/>
      <c r="T198" s="230"/>
      <c r="U198" s="230" t="str">
        <f t="shared" si="719"/>
        <v/>
      </c>
      <c r="V198" s="230"/>
      <c r="W198" s="230"/>
      <c r="X198" s="230" t="str">
        <f t="shared" si="720"/>
        <v/>
      </c>
      <c r="Y198" s="230"/>
      <c r="Z198" s="230"/>
      <c r="AA198" s="230" t="str">
        <f t="shared" si="721"/>
        <v/>
      </c>
      <c r="AB198" s="230"/>
      <c r="AC198" s="230"/>
      <c r="AD198" s="230" t="str">
        <f t="shared" si="722"/>
        <v/>
      </c>
      <c r="AE198" s="230"/>
      <c r="AF198" s="230"/>
      <c r="AG198" s="230" t="str">
        <f t="shared" si="723"/>
        <v/>
      </c>
      <c r="AH198" s="230"/>
      <c r="AI198" s="230"/>
      <c r="AJ198" s="230" t="str">
        <f t="shared" si="724"/>
        <v/>
      </c>
      <c r="AK198" s="230"/>
      <c r="AL198" s="230"/>
      <c r="AM198" s="230" t="str">
        <f t="shared" si="725"/>
        <v/>
      </c>
      <c r="AN198" s="230"/>
      <c r="AO198" s="230"/>
      <c r="AP198" s="230" t="str">
        <f t="shared" si="726"/>
        <v/>
      </c>
      <c r="AQ198" s="230"/>
      <c r="AR198" s="230"/>
      <c r="AS198" s="230" t="str">
        <f t="shared" si="727"/>
        <v/>
      </c>
      <c r="AT198" s="230"/>
      <c r="AV198" s="230" t="e">
        <f t="shared" si="728"/>
        <v>#DIV/0!</v>
      </c>
    </row>
    <row r="199" spans="15:50" x14ac:dyDescent="0.2">
      <c r="O199" s="291" t="s">
        <v>228</v>
      </c>
      <c r="P199" s="292">
        <f>Intro!C30</f>
        <v>2</v>
      </c>
      <c r="Q199" s="230" t="s">
        <v>100</v>
      </c>
      <c r="R199" s="230" t="str">
        <f t="shared" si="718"/>
        <v/>
      </c>
      <c r="S199" s="230"/>
      <c r="T199" s="230"/>
      <c r="U199" s="230" t="str">
        <f t="shared" si="719"/>
        <v/>
      </c>
      <c r="V199" s="230"/>
      <c r="W199" s="230"/>
      <c r="X199" s="230" t="str">
        <f t="shared" si="720"/>
        <v/>
      </c>
      <c r="Y199" s="230"/>
      <c r="Z199" s="230"/>
      <c r="AA199" s="230" t="str">
        <f t="shared" si="721"/>
        <v/>
      </c>
      <c r="AB199" s="230"/>
      <c r="AC199" s="230"/>
      <c r="AD199" s="230" t="str">
        <f t="shared" si="722"/>
        <v/>
      </c>
      <c r="AE199" s="230"/>
      <c r="AF199" s="230"/>
      <c r="AG199" s="230" t="str">
        <f t="shared" si="723"/>
        <v/>
      </c>
      <c r="AH199" s="230"/>
      <c r="AI199" s="230"/>
      <c r="AJ199" s="230" t="str">
        <f t="shared" si="724"/>
        <v/>
      </c>
      <c r="AK199" s="230"/>
      <c r="AL199" s="230"/>
      <c r="AM199" s="230" t="str">
        <f t="shared" si="725"/>
        <v/>
      </c>
      <c r="AN199" s="230"/>
      <c r="AO199" s="230"/>
      <c r="AP199" s="230" t="str">
        <f t="shared" si="726"/>
        <v/>
      </c>
      <c r="AQ199" s="230"/>
      <c r="AR199" s="230"/>
      <c r="AS199" s="230" t="str">
        <f t="shared" si="727"/>
        <v/>
      </c>
      <c r="AT199" s="230"/>
      <c r="AV199" s="230" t="e">
        <f t="shared" si="728"/>
        <v>#DIV/0!</v>
      </c>
    </row>
    <row r="200" spans="15:50" x14ac:dyDescent="0.2">
      <c r="O200" s="291" t="s">
        <v>229</v>
      </c>
      <c r="P200" s="292">
        <f>Intro!C31</f>
        <v>2</v>
      </c>
      <c r="Q200" s="230" t="s">
        <v>101</v>
      </c>
      <c r="R200" s="230" t="str">
        <f t="shared" si="718"/>
        <v/>
      </c>
      <c r="S200" s="230"/>
      <c r="T200" s="230"/>
      <c r="U200" s="230" t="str">
        <f t="shared" si="719"/>
        <v/>
      </c>
      <c r="V200" s="230"/>
      <c r="W200" s="230"/>
      <c r="X200" s="230" t="str">
        <f t="shared" si="720"/>
        <v/>
      </c>
      <c r="Y200" s="230"/>
      <c r="Z200" s="230"/>
      <c r="AA200" s="230" t="str">
        <f t="shared" si="721"/>
        <v/>
      </c>
      <c r="AB200" s="230"/>
      <c r="AC200" s="230"/>
      <c r="AD200" s="230" t="str">
        <f t="shared" si="722"/>
        <v/>
      </c>
      <c r="AE200" s="230"/>
      <c r="AF200" s="230"/>
      <c r="AG200" s="230" t="str">
        <f t="shared" si="723"/>
        <v/>
      </c>
      <c r="AH200" s="230"/>
      <c r="AI200" s="230"/>
      <c r="AJ200" s="230" t="str">
        <f t="shared" si="724"/>
        <v/>
      </c>
      <c r="AK200" s="230"/>
      <c r="AL200" s="230"/>
      <c r="AM200" s="230" t="str">
        <f t="shared" si="725"/>
        <v/>
      </c>
      <c r="AN200" s="230"/>
      <c r="AO200" s="230"/>
      <c r="AP200" s="230" t="str">
        <f t="shared" si="726"/>
        <v/>
      </c>
      <c r="AQ200" s="230"/>
      <c r="AR200" s="230"/>
      <c r="AS200" s="230" t="str">
        <f t="shared" si="727"/>
        <v/>
      </c>
      <c r="AT200" s="230"/>
      <c r="AV200" s="230" t="e">
        <f t="shared" si="728"/>
        <v>#DIV/0!</v>
      </c>
    </row>
    <row r="201" spans="15:50" x14ac:dyDescent="0.2">
      <c r="O201" s="291" t="s">
        <v>230</v>
      </c>
      <c r="P201" s="292">
        <f>Intro!C32</f>
        <v>2</v>
      </c>
      <c r="Q201" s="230" t="s">
        <v>102</v>
      </c>
      <c r="R201" s="230" t="str">
        <f t="shared" si="718"/>
        <v/>
      </c>
      <c r="S201" s="230"/>
      <c r="T201" s="230"/>
      <c r="U201" s="230" t="str">
        <f t="shared" si="719"/>
        <v/>
      </c>
      <c r="V201" s="230"/>
      <c r="W201" s="230"/>
      <c r="X201" s="230" t="str">
        <f t="shared" si="720"/>
        <v/>
      </c>
      <c r="Y201" s="230"/>
      <c r="Z201" s="230"/>
      <c r="AA201" s="230" t="str">
        <f t="shared" si="721"/>
        <v/>
      </c>
      <c r="AB201" s="230"/>
      <c r="AC201" s="230"/>
      <c r="AD201" s="230" t="str">
        <f t="shared" si="722"/>
        <v/>
      </c>
      <c r="AE201" s="230"/>
      <c r="AF201" s="230"/>
      <c r="AG201" s="230" t="str">
        <f t="shared" si="723"/>
        <v/>
      </c>
      <c r="AH201" s="230"/>
      <c r="AI201" s="230"/>
      <c r="AJ201" s="230" t="str">
        <f t="shared" si="724"/>
        <v/>
      </c>
      <c r="AK201" s="230"/>
      <c r="AL201" s="230"/>
      <c r="AM201" s="230" t="str">
        <f t="shared" si="725"/>
        <v/>
      </c>
      <c r="AN201" s="230"/>
      <c r="AO201" s="230"/>
      <c r="AP201" s="230" t="str">
        <f t="shared" si="726"/>
        <v/>
      </c>
      <c r="AQ201" s="230"/>
      <c r="AR201" s="230"/>
      <c r="AS201" s="230" t="str">
        <f t="shared" si="727"/>
        <v/>
      </c>
      <c r="AT201" s="230"/>
      <c r="AV201" s="230" t="e">
        <f t="shared" si="728"/>
        <v>#DIV/0!</v>
      </c>
    </row>
    <row r="202" spans="15:50" x14ac:dyDescent="0.2">
      <c r="O202" s="291" t="s">
        <v>231</v>
      </c>
      <c r="P202" s="292">
        <f>Intro!C33</f>
        <v>2</v>
      </c>
      <c r="Q202" s="230" t="s">
        <v>103</v>
      </c>
      <c r="R202" s="230" t="str">
        <f t="shared" si="718"/>
        <v/>
      </c>
      <c r="S202" s="230"/>
      <c r="T202" s="230"/>
      <c r="U202" s="230" t="str">
        <f t="shared" si="719"/>
        <v/>
      </c>
      <c r="V202" s="230"/>
      <c r="W202" s="230"/>
      <c r="X202" s="230" t="str">
        <f t="shared" si="720"/>
        <v/>
      </c>
      <c r="Y202" s="230"/>
      <c r="Z202" s="230"/>
      <c r="AA202" s="230" t="str">
        <f t="shared" si="721"/>
        <v/>
      </c>
      <c r="AB202" s="230"/>
      <c r="AC202" s="230"/>
      <c r="AD202" s="230" t="str">
        <f t="shared" si="722"/>
        <v/>
      </c>
      <c r="AE202" s="230"/>
      <c r="AF202" s="230"/>
      <c r="AG202" s="230" t="str">
        <f t="shared" si="723"/>
        <v/>
      </c>
      <c r="AH202" s="230"/>
      <c r="AI202" s="230"/>
      <c r="AJ202" s="230" t="str">
        <f t="shared" si="724"/>
        <v/>
      </c>
      <c r="AK202" s="230"/>
      <c r="AL202" s="230"/>
      <c r="AM202" s="230" t="str">
        <f t="shared" si="725"/>
        <v/>
      </c>
      <c r="AN202" s="230"/>
      <c r="AO202" s="230"/>
      <c r="AP202" s="230" t="str">
        <f t="shared" si="726"/>
        <v/>
      </c>
      <c r="AQ202" s="230"/>
      <c r="AR202" s="230"/>
      <c r="AS202" s="230" t="str">
        <f t="shared" si="727"/>
        <v/>
      </c>
      <c r="AT202" s="230"/>
      <c r="AV202" s="230" t="e">
        <f t="shared" si="728"/>
        <v>#DIV/0!</v>
      </c>
    </row>
    <row r="203" spans="15:50" x14ac:dyDescent="0.2">
      <c r="O203" s="291" t="s">
        <v>232</v>
      </c>
      <c r="P203" s="292">
        <f>Intro!C34</f>
        <v>2</v>
      </c>
      <c r="Q203" s="230" t="s">
        <v>104</v>
      </c>
      <c r="R203" s="230" t="str">
        <f t="shared" si="718"/>
        <v/>
      </c>
      <c r="S203" s="230"/>
      <c r="T203" s="230"/>
      <c r="U203" s="230" t="str">
        <f t="shared" si="719"/>
        <v/>
      </c>
      <c r="V203" s="230"/>
      <c r="W203" s="230"/>
      <c r="X203" s="230" t="str">
        <f t="shared" si="720"/>
        <v/>
      </c>
      <c r="Y203" s="230"/>
      <c r="Z203" s="230"/>
      <c r="AA203" s="230" t="str">
        <f t="shared" si="721"/>
        <v/>
      </c>
      <c r="AB203" s="230"/>
      <c r="AC203" s="230"/>
      <c r="AD203" s="230" t="str">
        <f t="shared" si="722"/>
        <v/>
      </c>
      <c r="AE203" s="230"/>
      <c r="AF203" s="230"/>
      <c r="AG203" s="230" t="str">
        <f t="shared" si="723"/>
        <v/>
      </c>
      <c r="AH203" s="230"/>
      <c r="AI203" s="230"/>
      <c r="AJ203" s="230" t="str">
        <f t="shared" si="724"/>
        <v/>
      </c>
      <c r="AK203" s="230"/>
      <c r="AL203" s="230"/>
      <c r="AM203" s="230" t="str">
        <f t="shared" si="725"/>
        <v/>
      </c>
      <c r="AN203" s="230"/>
      <c r="AO203" s="230"/>
      <c r="AP203" s="230" t="str">
        <f t="shared" si="726"/>
        <v/>
      </c>
      <c r="AQ203" s="230"/>
      <c r="AR203" s="230"/>
      <c r="AS203" s="230" t="str">
        <f t="shared" si="727"/>
        <v/>
      </c>
      <c r="AT203" s="230"/>
      <c r="AV203" s="230" t="e">
        <f t="shared" si="728"/>
        <v>#DIV/0!</v>
      </c>
    </row>
    <row r="204" spans="15:50" x14ac:dyDescent="0.2">
      <c r="O204" s="291" t="s">
        <v>233</v>
      </c>
      <c r="P204" s="292">
        <f>Intro!C35</f>
        <v>2</v>
      </c>
      <c r="Q204" s="230" t="s">
        <v>105</v>
      </c>
      <c r="R204" s="230" t="str">
        <f t="shared" si="718"/>
        <v/>
      </c>
      <c r="S204" s="230"/>
      <c r="T204" s="230"/>
      <c r="U204" s="230" t="str">
        <f t="shared" si="719"/>
        <v/>
      </c>
      <c r="V204" s="230"/>
      <c r="W204" s="230"/>
      <c r="X204" s="230" t="str">
        <f t="shared" si="720"/>
        <v/>
      </c>
      <c r="Y204" s="230"/>
      <c r="Z204" s="230"/>
      <c r="AA204" s="230" t="str">
        <f t="shared" si="721"/>
        <v/>
      </c>
      <c r="AB204" s="230"/>
      <c r="AC204" s="230"/>
      <c r="AD204" s="230" t="str">
        <f t="shared" si="722"/>
        <v/>
      </c>
      <c r="AE204" s="230"/>
      <c r="AF204" s="230"/>
      <c r="AG204" s="230" t="str">
        <f t="shared" si="723"/>
        <v/>
      </c>
      <c r="AH204" s="230"/>
      <c r="AI204" s="230"/>
      <c r="AJ204" s="230" t="str">
        <f t="shared" si="724"/>
        <v/>
      </c>
      <c r="AK204" s="230"/>
      <c r="AL204" s="230"/>
      <c r="AM204" s="230" t="str">
        <f t="shared" si="725"/>
        <v/>
      </c>
      <c r="AN204" s="230"/>
      <c r="AO204" s="230"/>
      <c r="AP204" s="230" t="str">
        <f t="shared" si="726"/>
        <v/>
      </c>
      <c r="AQ204" s="230"/>
      <c r="AR204" s="230"/>
      <c r="AS204" s="230" t="str">
        <f t="shared" si="727"/>
        <v/>
      </c>
      <c r="AT204" s="230"/>
      <c r="AV204" s="230" t="e">
        <f t="shared" si="728"/>
        <v>#DIV/0!</v>
      </c>
    </row>
    <row r="205" spans="15:50" x14ac:dyDescent="0.2">
      <c r="O205" s="291" t="s">
        <v>234</v>
      </c>
      <c r="P205" s="292">
        <f>Intro!C36</f>
        <v>2</v>
      </c>
      <c r="Q205" s="230" t="s">
        <v>106</v>
      </c>
      <c r="R205" s="230" t="str">
        <f t="shared" si="718"/>
        <v/>
      </c>
      <c r="S205" s="230"/>
      <c r="T205" s="230"/>
      <c r="U205" s="230" t="str">
        <f t="shared" si="719"/>
        <v/>
      </c>
      <c r="V205" s="230"/>
      <c r="W205" s="230"/>
      <c r="X205" s="230" t="str">
        <f t="shared" si="720"/>
        <v/>
      </c>
      <c r="Y205" s="230"/>
      <c r="Z205" s="230"/>
      <c r="AA205" s="230" t="str">
        <f t="shared" si="721"/>
        <v/>
      </c>
      <c r="AB205" s="230"/>
      <c r="AC205" s="230"/>
      <c r="AD205" s="230" t="str">
        <f t="shared" si="722"/>
        <v/>
      </c>
      <c r="AE205" s="230"/>
      <c r="AF205" s="230"/>
      <c r="AG205" s="230" t="str">
        <f t="shared" si="723"/>
        <v/>
      </c>
      <c r="AH205" s="230"/>
      <c r="AI205" s="230"/>
      <c r="AJ205" s="230" t="str">
        <f t="shared" si="724"/>
        <v/>
      </c>
      <c r="AK205" s="230"/>
      <c r="AL205" s="230"/>
      <c r="AM205" s="230" t="str">
        <f t="shared" si="725"/>
        <v/>
      </c>
      <c r="AN205" s="230"/>
      <c r="AO205" s="230"/>
      <c r="AP205" s="230" t="str">
        <f t="shared" si="726"/>
        <v/>
      </c>
      <c r="AQ205" s="230"/>
      <c r="AR205" s="230"/>
      <c r="AS205" s="230" t="str">
        <f t="shared" si="727"/>
        <v/>
      </c>
      <c r="AT205" s="230"/>
      <c r="AV205" s="230" t="e">
        <f t="shared" si="728"/>
        <v>#DIV/0!</v>
      </c>
    </row>
    <row r="206" spans="15:50" x14ac:dyDescent="0.2">
      <c r="O206" s="291" t="s">
        <v>235</v>
      </c>
      <c r="P206" s="292">
        <f>Intro!C37</f>
        <v>2</v>
      </c>
      <c r="Q206" s="230" t="s">
        <v>107</v>
      </c>
      <c r="R206" s="230" t="str">
        <f t="shared" si="718"/>
        <v/>
      </c>
      <c r="S206" s="230"/>
      <c r="T206" s="230"/>
      <c r="U206" s="230" t="str">
        <f t="shared" si="719"/>
        <v/>
      </c>
      <c r="V206" s="230"/>
      <c r="W206" s="230"/>
      <c r="X206" s="230" t="str">
        <f t="shared" si="720"/>
        <v/>
      </c>
      <c r="Y206" s="230"/>
      <c r="Z206" s="230"/>
      <c r="AA206" s="230" t="str">
        <f t="shared" si="721"/>
        <v/>
      </c>
      <c r="AB206" s="230"/>
      <c r="AC206" s="230"/>
      <c r="AD206" s="230" t="str">
        <f t="shared" si="722"/>
        <v/>
      </c>
      <c r="AE206" s="230"/>
      <c r="AF206" s="230"/>
      <c r="AG206" s="230" t="str">
        <f t="shared" si="723"/>
        <v/>
      </c>
      <c r="AH206" s="230"/>
      <c r="AI206" s="230"/>
      <c r="AJ206" s="230" t="str">
        <f t="shared" si="724"/>
        <v/>
      </c>
      <c r="AK206" s="230"/>
      <c r="AL206" s="230"/>
      <c r="AM206" s="230" t="str">
        <f t="shared" si="725"/>
        <v/>
      </c>
      <c r="AN206" s="230"/>
      <c r="AO206" s="230"/>
      <c r="AP206" s="230" t="str">
        <f t="shared" si="726"/>
        <v/>
      </c>
      <c r="AQ206" s="230"/>
      <c r="AR206" s="230"/>
      <c r="AS206" s="230" t="str">
        <f t="shared" si="727"/>
        <v/>
      </c>
      <c r="AT206" s="230"/>
      <c r="AV206" s="230" t="e">
        <f t="shared" si="728"/>
        <v>#DIV/0!</v>
      </c>
    </row>
    <row r="207" spans="15:50" x14ac:dyDescent="0.2">
      <c r="O207" s="291" t="s">
        <v>236</v>
      </c>
      <c r="P207" s="292">
        <f>Intro!C38</f>
        <v>2</v>
      </c>
      <c r="Q207" s="230" t="s">
        <v>108</v>
      </c>
      <c r="R207" s="230" t="str">
        <f t="shared" si="718"/>
        <v/>
      </c>
      <c r="S207" s="230"/>
      <c r="T207" s="230"/>
      <c r="U207" s="230" t="str">
        <f t="shared" si="719"/>
        <v/>
      </c>
      <c r="V207" s="230"/>
      <c r="W207" s="230"/>
      <c r="X207" s="230" t="str">
        <f t="shared" si="720"/>
        <v/>
      </c>
      <c r="Y207" s="230"/>
      <c r="Z207" s="230"/>
      <c r="AA207" s="230" t="str">
        <f t="shared" si="721"/>
        <v/>
      </c>
      <c r="AB207" s="230"/>
      <c r="AC207" s="230"/>
      <c r="AD207" s="230" t="str">
        <f t="shared" si="722"/>
        <v/>
      </c>
      <c r="AE207" s="230"/>
      <c r="AF207" s="230"/>
      <c r="AG207" s="230" t="str">
        <f t="shared" si="723"/>
        <v/>
      </c>
      <c r="AH207" s="230"/>
      <c r="AI207" s="230"/>
      <c r="AJ207" s="230" t="str">
        <f t="shared" si="724"/>
        <v/>
      </c>
      <c r="AK207" s="230"/>
      <c r="AL207" s="230"/>
      <c r="AM207" s="230" t="str">
        <f t="shared" si="725"/>
        <v/>
      </c>
      <c r="AN207" s="230"/>
      <c r="AO207" s="230"/>
      <c r="AP207" s="230" t="str">
        <f t="shared" si="726"/>
        <v/>
      </c>
      <c r="AQ207" s="230"/>
      <c r="AR207" s="230"/>
      <c r="AS207" s="230" t="str">
        <f t="shared" si="727"/>
        <v/>
      </c>
      <c r="AT207" s="230"/>
      <c r="AV207" s="230" t="e">
        <f t="shared" si="728"/>
        <v>#DIV/0!</v>
      </c>
    </row>
    <row r="208" spans="15:50" x14ac:dyDescent="0.2">
      <c r="AU208" s="33"/>
      <c r="AV208" s="221"/>
      <c r="AW208" s="33"/>
      <c r="AX208" s="31"/>
    </row>
    <row r="209" spans="47:50" x14ac:dyDescent="0.2">
      <c r="AU209" s="33"/>
      <c r="AV209" s="33"/>
      <c r="AW209" s="33"/>
      <c r="AX209" s="31"/>
    </row>
    <row r="210" spans="47:50" x14ac:dyDescent="0.2">
      <c r="AV210" s="33"/>
      <c r="AW210" s="33"/>
    </row>
    <row r="211" spans="47:50" x14ac:dyDescent="0.2">
      <c r="AV211" s="33"/>
      <c r="AW211" s="33"/>
    </row>
    <row r="212" spans="47:50" x14ac:dyDescent="0.2">
      <c r="AV212" s="33"/>
      <c r="AW212" s="33"/>
    </row>
    <row r="213" spans="47:50" x14ac:dyDescent="0.2">
      <c r="AV213" s="33"/>
      <c r="AW213" s="33"/>
    </row>
    <row r="214" spans="47:50" x14ac:dyDescent="0.2">
      <c r="AV214" s="33"/>
      <c r="AW214" s="33"/>
    </row>
    <row r="215" spans="47:50" x14ac:dyDescent="0.2">
      <c r="AV215" s="33"/>
      <c r="AW215" s="33"/>
    </row>
    <row r="216" spans="47:50" x14ac:dyDescent="0.2">
      <c r="AV216" s="33"/>
      <c r="AW216" s="33"/>
    </row>
    <row r="217" spans="47:50" x14ac:dyDescent="0.2">
      <c r="AV217" s="33"/>
      <c r="AW217" s="33"/>
    </row>
    <row r="218" spans="47:50" x14ac:dyDescent="0.2">
      <c r="AV218" s="33"/>
      <c r="AW218" s="33"/>
    </row>
    <row r="219" spans="47:50" x14ac:dyDescent="0.2">
      <c r="AV219" s="33"/>
      <c r="AW219" s="33"/>
    </row>
    <row r="220" spans="47:50" x14ac:dyDescent="0.2">
      <c r="AV220" s="33"/>
      <c r="AW220" s="33"/>
    </row>
    <row r="221" spans="47:50" x14ac:dyDescent="0.2">
      <c r="AV221" s="33"/>
      <c r="AW221" s="33"/>
    </row>
    <row r="222" spans="47:50" x14ac:dyDescent="0.2">
      <c r="AV222" s="33"/>
      <c r="AW222" s="33"/>
    </row>
    <row r="223" spans="47:50" x14ac:dyDescent="0.2">
      <c r="AV223" s="33"/>
      <c r="AW223" s="33"/>
    </row>
    <row r="224" spans="47:50" x14ac:dyDescent="0.2">
      <c r="AV224" s="33"/>
      <c r="AW224" s="33"/>
    </row>
    <row r="225" spans="48:49" x14ac:dyDescent="0.2">
      <c r="AV225" s="33"/>
      <c r="AW225" s="33"/>
    </row>
    <row r="226" spans="48:49" x14ac:dyDescent="0.2">
      <c r="AV226" s="33"/>
      <c r="AW226" s="33"/>
    </row>
    <row r="227" spans="48:49" x14ac:dyDescent="0.2">
      <c r="AV227" s="33"/>
      <c r="AW227" s="33"/>
    </row>
    <row r="228" spans="48:49" x14ac:dyDescent="0.2">
      <c r="AV228" s="33"/>
      <c r="AW228" s="33"/>
    </row>
    <row r="229" spans="48:49" x14ac:dyDescent="0.2">
      <c r="AV229" s="33"/>
      <c r="AW229" s="33"/>
    </row>
    <row r="230" spans="48:49" x14ac:dyDescent="0.2">
      <c r="AV230" s="33"/>
      <c r="AW230" s="33"/>
    </row>
    <row r="231" spans="48:49" x14ac:dyDescent="0.2">
      <c r="AV231" s="33"/>
      <c r="AW231" s="33"/>
    </row>
    <row r="232" spans="48:49" x14ac:dyDescent="0.2">
      <c r="AV232" s="33"/>
      <c r="AW232" s="33"/>
    </row>
    <row r="233" spans="48:49" x14ac:dyDescent="0.2">
      <c r="AV233" s="33"/>
      <c r="AW233" s="33"/>
    </row>
    <row r="234" spans="48:49" x14ac:dyDescent="0.2">
      <c r="AV234" s="33"/>
      <c r="AW234" s="33"/>
    </row>
    <row r="235" spans="48:49" x14ac:dyDescent="0.2">
      <c r="AV235" s="33"/>
      <c r="AW235" s="33"/>
    </row>
    <row r="236" spans="48:49" x14ac:dyDescent="0.2">
      <c r="AV236" s="33"/>
      <c r="AW236" s="33"/>
    </row>
    <row r="237" spans="48:49" x14ac:dyDescent="0.2">
      <c r="AV237" s="33"/>
      <c r="AW237" s="33"/>
    </row>
    <row r="238" spans="48:49" x14ac:dyDescent="0.2">
      <c r="AV238" s="33"/>
      <c r="AW238" s="33"/>
    </row>
    <row r="239" spans="48:49" x14ac:dyDescent="0.2">
      <c r="AV239" s="33"/>
      <c r="AW239" s="33"/>
    </row>
    <row r="240" spans="48:49" x14ac:dyDescent="0.2">
      <c r="AV240" s="33"/>
      <c r="AW240" s="33"/>
    </row>
    <row r="241" spans="48:49" x14ac:dyDescent="0.2">
      <c r="AV241" s="33"/>
      <c r="AW241" s="33"/>
    </row>
    <row r="242" spans="48:49" x14ac:dyDescent="0.2">
      <c r="AV242" s="33"/>
      <c r="AW242" s="33"/>
    </row>
    <row r="243" spans="48:49" x14ac:dyDescent="0.2">
      <c r="AV243" s="33"/>
      <c r="AW243" s="33"/>
    </row>
    <row r="244" spans="48:49" x14ac:dyDescent="0.2">
      <c r="AV244" s="33"/>
      <c r="AW244" s="33"/>
    </row>
    <row r="245" spans="48:49" x14ac:dyDescent="0.2">
      <c r="AV245" s="33"/>
      <c r="AW245" s="33"/>
    </row>
    <row r="246" spans="48:49" x14ac:dyDescent="0.2">
      <c r="AV246" s="33"/>
      <c r="AW246" s="33"/>
    </row>
    <row r="247" spans="48:49" x14ac:dyDescent="0.2">
      <c r="AV247" s="33"/>
      <c r="AW247" s="33"/>
    </row>
    <row r="248" spans="48:49" x14ac:dyDescent="0.2">
      <c r="AV248" s="33"/>
      <c r="AW248" s="33"/>
    </row>
    <row r="249" spans="48:49" x14ac:dyDescent="0.2">
      <c r="AV249" s="33"/>
      <c r="AW249" s="33"/>
    </row>
    <row r="250" spans="48:49" x14ac:dyDescent="0.2">
      <c r="AV250" s="33"/>
      <c r="AW250" s="33"/>
    </row>
    <row r="251" spans="48:49" x14ac:dyDescent="0.2">
      <c r="AV251" s="33"/>
      <c r="AW251" s="33"/>
    </row>
    <row r="252" spans="48:49" x14ac:dyDescent="0.2">
      <c r="AV252" s="33"/>
      <c r="AW252" s="33"/>
    </row>
    <row r="253" spans="48:49" x14ac:dyDescent="0.2">
      <c r="AV253" s="33"/>
      <c r="AW253" s="33"/>
    </row>
    <row r="254" spans="48:49" x14ac:dyDescent="0.2">
      <c r="AV254" s="33"/>
      <c r="AW254" s="33"/>
    </row>
    <row r="255" spans="48:49" x14ac:dyDescent="0.2">
      <c r="AV255" s="33"/>
      <c r="AW255" s="33"/>
    </row>
    <row r="256" spans="48:49" x14ac:dyDescent="0.2">
      <c r="AV256" s="33"/>
      <c r="AW256" s="33"/>
    </row>
    <row r="257" spans="48:49" x14ac:dyDescent="0.2">
      <c r="AV257" s="33"/>
      <c r="AW257" s="33"/>
    </row>
    <row r="258" spans="48:49" x14ac:dyDescent="0.2">
      <c r="AV258" s="33"/>
      <c r="AW258" s="33"/>
    </row>
    <row r="259" spans="48:49" x14ac:dyDescent="0.2">
      <c r="AV259" s="33"/>
      <c r="AW259" s="33"/>
    </row>
    <row r="260" spans="48:49" x14ac:dyDescent="0.2">
      <c r="AV260" s="33"/>
      <c r="AW260" s="33"/>
    </row>
    <row r="261" spans="48:49" x14ac:dyDescent="0.2">
      <c r="AV261" s="33"/>
      <c r="AW261" s="33"/>
    </row>
    <row r="262" spans="48:49" x14ac:dyDescent="0.2">
      <c r="AV262" s="33"/>
      <c r="AW262" s="33"/>
    </row>
    <row r="263" spans="48:49" x14ac:dyDescent="0.2">
      <c r="AV263" s="33"/>
      <c r="AW263" s="33"/>
    </row>
    <row r="264" spans="48:49" x14ac:dyDescent="0.2">
      <c r="AV264" s="33"/>
      <c r="AW264" s="33"/>
    </row>
    <row r="265" spans="48:49" x14ac:dyDescent="0.2">
      <c r="AV265" s="33"/>
      <c r="AW265" s="33"/>
    </row>
    <row r="266" spans="48:49" x14ac:dyDescent="0.2">
      <c r="AV266" s="33"/>
      <c r="AW266" s="33"/>
    </row>
    <row r="267" spans="48:49" x14ac:dyDescent="0.2">
      <c r="AV267" s="33"/>
      <c r="AW267" s="33"/>
    </row>
    <row r="268" spans="48:49" x14ac:dyDescent="0.2">
      <c r="AV268" s="33"/>
      <c r="AW268" s="33"/>
    </row>
    <row r="269" spans="48:49" x14ac:dyDescent="0.2">
      <c r="AV269" s="33"/>
      <c r="AW269" s="33"/>
    </row>
    <row r="270" spans="48:49" x14ac:dyDescent="0.2">
      <c r="AV270" s="33"/>
      <c r="AW270" s="33"/>
    </row>
    <row r="271" spans="48:49" x14ac:dyDescent="0.2">
      <c r="AV271" s="33"/>
      <c r="AW271" s="33"/>
    </row>
    <row r="272" spans="48:49" x14ac:dyDescent="0.2">
      <c r="AV272" s="33"/>
      <c r="AW272" s="33"/>
    </row>
    <row r="273" spans="48:49" x14ac:dyDescent="0.2">
      <c r="AV273" s="33"/>
      <c r="AW273" s="33"/>
    </row>
    <row r="274" spans="48:49" x14ac:dyDescent="0.2">
      <c r="AV274" s="33"/>
      <c r="AW274" s="33"/>
    </row>
    <row r="275" spans="48:49" x14ac:dyDescent="0.2">
      <c r="AV275" s="33"/>
      <c r="AW275" s="33"/>
    </row>
    <row r="276" spans="48:49" x14ac:dyDescent="0.2">
      <c r="AV276" s="33"/>
      <c r="AW276" s="33"/>
    </row>
    <row r="277" spans="48:49" x14ac:dyDescent="0.2">
      <c r="AV277" s="33"/>
      <c r="AW277" s="33"/>
    </row>
    <row r="278" spans="48:49" x14ac:dyDescent="0.2">
      <c r="AV278" s="33"/>
      <c r="AW278" s="33"/>
    </row>
    <row r="279" spans="48:49" x14ac:dyDescent="0.2">
      <c r="AV279" s="33"/>
      <c r="AW279" s="33"/>
    </row>
    <row r="280" spans="48:49" x14ac:dyDescent="0.2">
      <c r="AV280" s="33"/>
      <c r="AW280" s="33"/>
    </row>
    <row r="281" spans="48:49" x14ac:dyDescent="0.2">
      <c r="AV281" s="33"/>
      <c r="AW281" s="33"/>
    </row>
    <row r="282" spans="48:49" x14ac:dyDescent="0.2">
      <c r="AV282" s="33"/>
      <c r="AW282" s="33"/>
    </row>
    <row r="283" spans="48:49" x14ac:dyDescent="0.2">
      <c r="AV283" s="33"/>
      <c r="AW283" s="33"/>
    </row>
    <row r="284" spans="48:49" x14ac:dyDescent="0.2">
      <c r="AV284" s="33"/>
      <c r="AW284" s="33"/>
    </row>
    <row r="285" spans="48:49" x14ac:dyDescent="0.2">
      <c r="AV285" s="33"/>
      <c r="AW285" s="33"/>
    </row>
    <row r="286" spans="48:49" x14ac:dyDescent="0.2">
      <c r="AV286" s="33"/>
      <c r="AW286" s="33"/>
    </row>
    <row r="287" spans="48:49" x14ac:dyDescent="0.2">
      <c r="AV287" s="33"/>
      <c r="AW287" s="33"/>
    </row>
    <row r="288" spans="48:49" x14ac:dyDescent="0.2">
      <c r="AV288" s="33"/>
      <c r="AW288" s="33"/>
    </row>
    <row r="289" spans="48:49" x14ac:dyDescent="0.2">
      <c r="AV289" s="33"/>
      <c r="AW289" s="33"/>
    </row>
    <row r="290" spans="48:49" x14ac:dyDescent="0.2">
      <c r="AV290" s="33"/>
      <c r="AW290" s="33"/>
    </row>
    <row r="291" spans="48:49" x14ac:dyDescent="0.2">
      <c r="AV291" s="33"/>
      <c r="AW291" s="33"/>
    </row>
    <row r="292" spans="48:49" x14ac:dyDescent="0.2">
      <c r="AV292" s="33"/>
      <c r="AW292" s="33"/>
    </row>
    <row r="293" spans="48:49" x14ac:dyDescent="0.2">
      <c r="AV293" s="33"/>
      <c r="AW293" s="33"/>
    </row>
    <row r="294" spans="48:49" x14ac:dyDescent="0.2">
      <c r="AV294" s="33"/>
      <c r="AW294" s="33"/>
    </row>
    <row r="295" spans="48:49" x14ac:dyDescent="0.2">
      <c r="AV295" s="33"/>
      <c r="AW295" s="33"/>
    </row>
  </sheetData>
  <sheetProtection password="EB75" sheet="1" objects="1" scenarios="1"/>
  <phoneticPr fontId="0" type="noConversion"/>
  <conditionalFormatting sqref="B114:M114">
    <cfRule type="cellIs" dxfId="10" priority="1" stopIfTrue="1" operator="between">
      <formula>1</formula>
      <formula>20</formula>
    </cfRule>
  </conditionalFormatting>
  <conditionalFormatting sqref="AV108:AV207">
    <cfRule type="cellIs" dxfId="9" priority="2" stopIfTrue="1" operator="between">
      <formula>5</formula>
      <formula>1000</formula>
    </cfRule>
  </conditionalFormatting>
  <conditionalFormatting sqref="N6:N105 P6:P105">
    <cfRule type="cellIs" dxfId="8" priority="3" stopIfTrue="1" operator="between">
      <formula>1</formula>
      <formula>100</formula>
    </cfRule>
  </conditionalFormatting>
  <conditionalFormatting sqref="O6:O105">
    <cfRule type="cellIs" dxfId="7" priority="4" stopIfTrue="1" operator="between">
      <formula>10</formula>
      <formula>1000</formula>
    </cfRule>
  </conditionalFormatting>
  <conditionalFormatting sqref="B141:K141 B154:K154">
    <cfRule type="cellIs" dxfId="6" priority="5" stopIfTrue="1" operator="between">
      <formula>0.0001</formula>
      <formula>0.05</formula>
    </cfRule>
  </conditionalFormatting>
  <hyperlinks>
    <hyperlink ref="B157" r:id="rId1"/>
    <hyperlink ref="E157" r:id="rId2"/>
  </hyperlinks>
  <pageMargins left="0.75" right="0.75" top="1" bottom="1" header="0.4921259845" footer="0.4921259845"/>
  <pageSetup paperSize="9" scale="41" orientation="landscape" r:id="rId3"/>
  <headerFooter alignWithMargins="0"/>
  <rowBreaks count="2" manualBreakCount="2">
    <brk id="55" max="254" man="1"/>
    <brk id="106" max="16383" man="1"/>
  </rowBreaks>
  <colBreaks count="1" manualBreakCount="1">
    <brk id="16" max="1048575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116"/>
  <sheetViews>
    <sheetView view="pageBreakPreview" zoomScaleNormal="50" workbookViewId="0">
      <pane ySplit="1890"/>
      <selection activeCell="H4" sqref="H4"/>
      <selection pane="bottomLeft" activeCell="B3" sqref="B3"/>
    </sheetView>
  </sheetViews>
  <sheetFormatPr defaultColWidth="11.5703125" defaultRowHeight="12.75" x14ac:dyDescent="0.2"/>
  <cols>
    <col min="1" max="1" width="14.42578125" style="3" customWidth="1"/>
    <col min="2" max="2" width="6.42578125" style="3" customWidth="1"/>
    <col min="3" max="3" width="14" style="3" customWidth="1"/>
    <col min="4" max="4" width="15.140625" style="3" customWidth="1"/>
    <col min="5" max="5" width="14.28515625" style="3" customWidth="1"/>
    <col min="6" max="6" width="16.28515625" style="3" customWidth="1"/>
    <col min="7" max="7" width="14.140625" style="6" customWidth="1"/>
    <col min="8" max="8" width="15.7109375" style="3" customWidth="1"/>
    <col min="9" max="9" width="16.28515625" style="3" customWidth="1"/>
    <col min="10" max="16384" width="11.5703125" style="3"/>
  </cols>
  <sheetData>
    <row r="1" spans="1:9" ht="15.75" x14ac:dyDescent="0.25">
      <c r="A1" s="169" t="s">
        <v>367</v>
      </c>
    </row>
    <row r="4" spans="1:9" x14ac:dyDescent="0.2">
      <c r="C4" s="141" t="s">
        <v>355</v>
      </c>
      <c r="D4" s="35"/>
      <c r="E4" s="36"/>
      <c r="F4" s="33"/>
      <c r="G4" s="33"/>
      <c r="H4" s="32"/>
      <c r="I4" s="30"/>
    </row>
    <row r="6" spans="1:9" s="143" customFormat="1" x14ac:dyDescent="0.2">
      <c r="A6" s="67"/>
      <c r="B6" s="79" t="str">
        <f>'HKG vs. BK'!L5</f>
        <v>n</v>
      </c>
      <c r="C6" s="79" t="str">
        <f>'HKG vs. BK'!M5</f>
        <v>BestKeeper</v>
      </c>
      <c r="D6" s="79" t="str">
        <f>'HKG vs. BK'!N5</f>
        <v>InVar. [± CP]</v>
      </c>
      <c r="E6" s="79" t="str">
        <f>'HKG vs. BK'!O5</f>
        <v>InVar. [ ± % CP]</v>
      </c>
      <c r="F6" s="79" t="str">
        <f>'HKG vs. BK'!P5</f>
        <v>InVar. [± x-fold]</v>
      </c>
      <c r="G6" s="142" t="str">
        <f>D6</f>
        <v>InVar. [± CP]</v>
      </c>
      <c r="H6" s="142" t="str">
        <f>E6</f>
        <v>InVar. [ ± % CP]</v>
      </c>
      <c r="I6" s="142" t="str">
        <f>F6</f>
        <v>InVar. [± x-fold]</v>
      </c>
    </row>
    <row r="7" spans="1:9" s="29" customFormat="1" x14ac:dyDescent="0.2">
      <c r="A7" s="57" t="s">
        <v>9</v>
      </c>
      <c r="B7" s="68">
        <f>'HKG vs. BK'!L6</f>
        <v>10</v>
      </c>
      <c r="C7" s="69">
        <f>'HKG vs. BK'!M6</f>
        <v>21.595572654283895</v>
      </c>
      <c r="D7" s="69" t="str">
        <f>'HKG vs. BK'!N6</f>
        <v>±0,6</v>
      </c>
      <c r="E7" s="69" t="str">
        <f>'HKG vs. BK'!O6</f>
        <v>±2,81</v>
      </c>
      <c r="F7" s="69" t="str">
        <f>'HKG vs. BK'!P6</f>
        <v>±0,42</v>
      </c>
      <c r="G7" s="132">
        <f>'HKG vs. BK'!AX6</f>
        <v>0.6</v>
      </c>
      <c r="H7" s="132">
        <f>'HKG vs. BK'!AY6</f>
        <v>2.81</v>
      </c>
      <c r="I7" s="132">
        <f>'HKG vs. BK'!AW108</f>
        <v>0.42</v>
      </c>
    </row>
    <row r="8" spans="1:9" s="29" customFormat="1" x14ac:dyDescent="0.2">
      <c r="A8" s="57" t="s">
        <v>10</v>
      </c>
      <c r="B8" s="68">
        <f>'HKG vs. BK'!L7</f>
        <v>10</v>
      </c>
      <c r="C8" s="69">
        <f>'HKG vs. BK'!M7</f>
        <v>22.311930515127468</v>
      </c>
      <c r="D8" s="69" t="str">
        <f>'HKG vs. BK'!N7</f>
        <v>±1,24</v>
      </c>
      <c r="E8" s="69" t="str">
        <f>'HKG vs. BK'!O7</f>
        <v>±5,62</v>
      </c>
      <c r="F8" s="69" t="str">
        <f>'HKG vs. BK'!P7</f>
        <v>±1,15</v>
      </c>
      <c r="G8" s="132">
        <f>'HKG vs. BK'!AX7</f>
        <v>1.24</v>
      </c>
      <c r="H8" s="132">
        <f>'HKG vs. BK'!AY7</f>
        <v>5.62</v>
      </c>
      <c r="I8" s="132">
        <f>'HKG vs. BK'!AW109</f>
        <v>1.1499999999999999</v>
      </c>
    </row>
    <row r="9" spans="1:9" s="29" customFormat="1" x14ac:dyDescent="0.2">
      <c r="A9" s="57" t="s">
        <v>11</v>
      </c>
      <c r="B9" s="68">
        <f>'HKG vs. BK'!L8</f>
        <v>10</v>
      </c>
      <c r="C9" s="69">
        <f>'HKG vs. BK'!M8</f>
        <v>23.377859501551274</v>
      </c>
      <c r="D9" s="69" t="str">
        <f>'HKG vs. BK'!N8</f>
        <v>±2,3</v>
      </c>
      <c r="E9" s="69" t="str">
        <f>'HKG vs. BK'!O8</f>
        <v>±8,85</v>
      </c>
      <c r="F9" s="69" t="str">
        <f>'HKG vs. BK'!P8</f>
        <v>±37,3</v>
      </c>
      <c r="G9" s="132">
        <f>'HKG vs. BK'!AX8</f>
        <v>2.2999999999999998</v>
      </c>
      <c r="H9" s="132">
        <f>'HKG vs. BK'!AY8</f>
        <v>8.85</v>
      </c>
      <c r="I9" s="132">
        <f>'HKG vs. BK'!AW110</f>
        <v>37.299999999999997</v>
      </c>
    </row>
    <row r="10" spans="1:9" s="29" customFormat="1" x14ac:dyDescent="0.2">
      <c r="A10" s="57" t="s">
        <v>12</v>
      </c>
      <c r="B10" s="68">
        <f>'HKG vs. BK'!L9</f>
        <v>10</v>
      </c>
      <c r="C10" s="69">
        <f>'HKG vs. BK'!M9</f>
        <v>22.659400189812086</v>
      </c>
      <c r="D10" s="69" t="str">
        <f>'HKG vs. BK'!N9</f>
        <v>±1,26</v>
      </c>
      <c r="E10" s="69" t="str">
        <f>'HKG vs. BK'!O9</f>
        <v>±5,7</v>
      </c>
      <c r="F10" s="69" t="str">
        <f>'HKG vs. BK'!P9</f>
        <v>±3,08</v>
      </c>
      <c r="G10" s="132">
        <f>'HKG vs. BK'!AX9</f>
        <v>1.26</v>
      </c>
      <c r="H10" s="132">
        <f>'HKG vs. BK'!AY9</f>
        <v>5.7</v>
      </c>
      <c r="I10" s="132">
        <f>'HKG vs. BK'!AW111</f>
        <v>3.08</v>
      </c>
    </row>
    <row r="11" spans="1:9" s="29" customFormat="1" x14ac:dyDescent="0.2">
      <c r="A11" s="57" t="s">
        <v>13</v>
      </c>
      <c r="B11" s="68">
        <f>'HKG vs. BK'!L10</f>
        <v>10</v>
      </c>
      <c r="C11" s="69">
        <f>'HKG vs. BK'!M10</f>
        <v>21.151850510286614</v>
      </c>
      <c r="D11" s="69" t="str">
        <f>'HKG vs. BK'!N10</f>
        <v>±0,43</v>
      </c>
      <c r="E11" s="69" t="str">
        <f>'HKG vs. BK'!O10</f>
        <v>±1,83</v>
      </c>
      <c r="F11" s="69" t="str">
        <f>'HKG vs. BK'!P10</f>
        <v>±0,22</v>
      </c>
      <c r="G11" s="132">
        <f>'HKG vs. BK'!AX10</f>
        <v>0.43</v>
      </c>
      <c r="H11" s="132">
        <f>'HKG vs. BK'!AY10</f>
        <v>1.83</v>
      </c>
      <c r="I11" s="132">
        <f>'HKG vs. BK'!AW112</f>
        <v>0.22</v>
      </c>
    </row>
    <row r="12" spans="1:9" s="29" customFormat="1" x14ac:dyDescent="0.2">
      <c r="A12" s="57" t="s">
        <v>14</v>
      </c>
      <c r="B12" s="68">
        <f>'HKG vs. BK'!L11</f>
        <v>10</v>
      </c>
      <c r="C12" s="69">
        <f>'HKG vs. BK'!M11</f>
        <v>20.739021215536624</v>
      </c>
      <c r="D12" s="69" t="str">
        <f>'HKG vs. BK'!N11</f>
        <v>±0,87</v>
      </c>
      <c r="E12" s="69" t="str">
        <f>'HKG vs. BK'!O11</f>
        <v>±3,66</v>
      </c>
      <c r="F12" s="69" t="str">
        <f>'HKG vs. BK'!P11</f>
        <v>±0,69</v>
      </c>
      <c r="G12" s="132">
        <f>'HKG vs. BK'!AX11</f>
        <v>0.87</v>
      </c>
      <c r="H12" s="132">
        <f>'HKG vs. BK'!AY11</f>
        <v>3.66</v>
      </c>
      <c r="I12" s="132">
        <f>'HKG vs. BK'!AW113</f>
        <v>0.69</v>
      </c>
    </row>
    <row r="13" spans="1:9" s="29" customFormat="1" x14ac:dyDescent="0.2">
      <c r="A13" s="57" t="s">
        <v>15</v>
      </c>
      <c r="B13" s="68">
        <f>'HKG vs. BK'!L12</f>
        <v>10</v>
      </c>
      <c r="C13" s="69">
        <f>'HKG vs. BK'!M12</f>
        <v>25.947119292885088</v>
      </c>
      <c r="D13" s="69" t="str">
        <f>'HKG vs. BK'!N12</f>
        <v>±1,29</v>
      </c>
      <c r="E13" s="69" t="str">
        <f>'HKG vs. BK'!O12</f>
        <v>±5,3</v>
      </c>
      <c r="F13" s="69" t="str">
        <f>'HKG vs. BK'!P12</f>
        <v>±22,77</v>
      </c>
      <c r="G13" s="132">
        <f>'HKG vs. BK'!AX12</f>
        <v>1.29</v>
      </c>
      <c r="H13" s="132">
        <f>'HKG vs. BK'!AY12</f>
        <v>5.3</v>
      </c>
      <c r="I13" s="132">
        <f>'HKG vs. BK'!AW114</f>
        <v>22.77</v>
      </c>
    </row>
    <row r="14" spans="1:9" s="29" customFormat="1" x14ac:dyDescent="0.2">
      <c r="A14" s="57" t="s">
        <v>16</v>
      </c>
      <c r="B14" s="68">
        <f>'HKG vs. BK'!L13</f>
        <v>10</v>
      </c>
      <c r="C14" s="69">
        <f>'HKG vs. BK'!M13</f>
        <v>21.289852159115156</v>
      </c>
      <c r="D14" s="69" t="str">
        <f>'HKG vs. BK'!N13</f>
        <v>±0,86</v>
      </c>
      <c r="E14" s="69" t="str">
        <f>'HKG vs. BK'!O13</f>
        <v>±4,16</v>
      </c>
      <c r="F14" s="69" t="str">
        <f>'HKG vs. BK'!P13</f>
        <v>±0,57</v>
      </c>
      <c r="G14" s="132">
        <f>'HKG vs. BK'!AX13</f>
        <v>0.86</v>
      </c>
      <c r="H14" s="132">
        <f>'HKG vs. BK'!AY13</f>
        <v>4.16</v>
      </c>
      <c r="I14" s="132">
        <f>'HKG vs. BK'!AW115</f>
        <v>0.56999999999999995</v>
      </c>
    </row>
    <row r="15" spans="1:9" s="29" customFormat="1" x14ac:dyDescent="0.2">
      <c r="A15" s="57" t="s">
        <v>17</v>
      </c>
      <c r="B15" s="68">
        <f>'HKG vs. BK'!L14</f>
        <v>10</v>
      </c>
      <c r="C15" s="69">
        <f>'HKG vs. BK'!M14</f>
        <v>23.635283440586562</v>
      </c>
      <c r="D15" s="69" t="str">
        <f>'HKG vs. BK'!N14</f>
        <v>±0,74</v>
      </c>
      <c r="E15" s="69" t="str">
        <f>'HKG vs. BK'!O14</f>
        <v>±3,54</v>
      </c>
      <c r="F15" s="69" t="str">
        <f>'HKG vs. BK'!P14</f>
        <v>±2,4</v>
      </c>
      <c r="G15" s="132">
        <f>'HKG vs. BK'!AX14</f>
        <v>0.74</v>
      </c>
      <c r="H15" s="132">
        <f>'HKG vs. BK'!AY14</f>
        <v>3.54</v>
      </c>
      <c r="I15" s="132">
        <f>'HKG vs. BK'!AW116</f>
        <v>2.4</v>
      </c>
    </row>
    <row r="16" spans="1:9" s="29" customFormat="1" x14ac:dyDescent="0.2">
      <c r="A16" s="57" t="s">
        <v>18</v>
      </c>
      <c r="B16" s="68">
        <f>'HKG vs. BK'!L15</f>
        <v>10</v>
      </c>
      <c r="C16" s="69">
        <f>'HKG vs. BK'!M15</f>
        <v>22.67075982869493</v>
      </c>
      <c r="D16" s="69" t="str">
        <f>'HKG vs. BK'!N15</f>
        <v>±1,26</v>
      </c>
      <c r="E16" s="69" t="str">
        <f>'HKG vs. BK'!O15</f>
        <v>±5,59</v>
      </c>
      <c r="F16" s="69" t="str">
        <f>'HKG vs. BK'!P15</f>
        <v>±3,79</v>
      </c>
      <c r="G16" s="132">
        <f>'HKG vs. BK'!AX15</f>
        <v>1.26</v>
      </c>
      <c r="H16" s="132">
        <f>'HKG vs. BK'!AY15</f>
        <v>5.59</v>
      </c>
      <c r="I16" s="132">
        <f>'HKG vs. BK'!AW117</f>
        <v>3.79</v>
      </c>
    </row>
    <row r="17" spans="1:9" s="29" customFormat="1" x14ac:dyDescent="0.2">
      <c r="A17" s="57" t="s">
        <v>19</v>
      </c>
      <c r="B17" s="68">
        <f>'HKG vs. BK'!L16</f>
        <v>10</v>
      </c>
      <c r="C17" s="69">
        <f>'HKG vs. BK'!M16</f>
        <v>20.179355674112671</v>
      </c>
      <c r="D17" s="69" t="str">
        <f>'HKG vs. BK'!N16</f>
        <v>±0,48</v>
      </c>
      <c r="E17" s="69" t="str">
        <f>'HKG vs. BK'!O16</f>
        <v>±2,1</v>
      </c>
      <c r="F17" s="69" t="str">
        <f>'HKG vs. BK'!P16</f>
        <v>±0,14</v>
      </c>
      <c r="G17" s="132">
        <f>'HKG vs. BK'!AX16</f>
        <v>0.48</v>
      </c>
      <c r="H17" s="132">
        <f>'HKG vs. BK'!AY16</f>
        <v>2.1</v>
      </c>
      <c r="I17" s="132">
        <f>'HKG vs. BK'!AW118</f>
        <v>0.14000000000000001</v>
      </c>
    </row>
    <row r="18" spans="1:9" s="29" customFormat="1" x14ac:dyDescent="0.2">
      <c r="A18" s="57" t="s">
        <v>20</v>
      </c>
      <c r="B18" s="68">
        <f>'HKG vs. BK'!L17</f>
        <v>10</v>
      </c>
      <c r="C18" s="69">
        <f>'HKG vs. BK'!M17</f>
        <v>21.980246995494621</v>
      </c>
      <c r="D18" s="69" t="str">
        <f>'HKG vs. BK'!N17</f>
        <v>±0,51</v>
      </c>
      <c r="E18" s="69" t="str">
        <f>'HKG vs. BK'!O17</f>
        <v>±2,25</v>
      </c>
      <c r="F18" s="69" t="str">
        <f>'HKG vs. BK'!P17</f>
        <v>±0,45</v>
      </c>
      <c r="G18" s="132">
        <f>'HKG vs. BK'!AX17</f>
        <v>0.51</v>
      </c>
      <c r="H18" s="132">
        <f>'HKG vs. BK'!AY17</f>
        <v>2.25</v>
      </c>
      <c r="I18" s="132">
        <f>'HKG vs. BK'!AW119</f>
        <v>0.45</v>
      </c>
    </row>
    <row r="19" spans="1:9" s="29" customFormat="1" x14ac:dyDescent="0.2">
      <c r="A19" s="57" t="s">
        <v>21</v>
      </c>
      <c r="B19" s="68">
        <f>'HKG vs. BK'!L18</f>
        <v>10</v>
      </c>
      <c r="C19" s="69">
        <f>'HKG vs. BK'!M18</f>
        <v>21.498845767361992</v>
      </c>
      <c r="D19" s="69" t="str">
        <f>'HKG vs. BK'!N18</f>
        <v>±0,41</v>
      </c>
      <c r="E19" s="69" t="str">
        <f>'HKG vs. BK'!O18</f>
        <v>±1,95</v>
      </c>
      <c r="F19" s="69" t="str">
        <f>'HKG vs. BK'!P18</f>
        <v>±0,27</v>
      </c>
      <c r="G19" s="132">
        <f>'HKG vs. BK'!AX18</f>
        <v>0.41</v>
      </c>
      <c r="H19" s="132">
        <f>'HKG vs. BK'!AY18</f>
        <v>1.95</v>
      </c>
      <c r="I19" s="132">
        <f>'HKG vs. BK'!AW120</f>
        <v>0.27</v>
      </c>
    </row>
    <row r="20" spans="1:9" s="29" customFormat="1" x14ac:dyDescent="0.2">
      <c r="A20" s="57" t="s">
        <v>22</v>
      </c>
      <c r="B20" s="68">
        <f>'HKG vs. BK'!L19</f>
        <v>10</v>
      </c>
      <c r="C20" s="69">
        <f>'HKG vs. BK'!M19</f>
        <v>23.517416852369028</v>
      </c>
      <c r="D20" s="69" t="str">
        <f>'HKG vs. BK'!N19</f>
        <v>±1,25</v>
      </c>
      <c r="E20" s="69" t="str">
        <f>'HKG vs. BK'!O19</f>
        <v>±5,56</v>
      </c>
      <c r="F20" s="69" t="str">
        <f>'HKG vs. BK'!P19</f>
        <v>±2,29</v>
      </c>
      <c r="G20" s="132">
        <f>'HKG vs. BK'!AX19</f>
        <v>1.25</v>
      </c>
      <c r="H20" s="132">
        <f>'HKG vs. BK'!AY19</f>
        <v>5.56</v>
      </c>
      <c r="I20" s="132">
        <f>'HKG vs. BK'!AW121</f>
        <v>2.29</v>
      </c>
    </row>
    <row r="21" spans="1:9" s="29" customFormat="1" x14ac:dyDescent="0.2">
      <c r="A21" s="57" t="s">
        <v>23</v>
      </c>
      <c r="B21" s="68">
        <f>'HKG vs. BK'!L20</f>
        <v>10</v>
      </c>
      <c r="C21" s="69">
        <f>'HKG vs. BK'!M20</f>
        <v>19.924131660822795</v>
      </c>
      <c r="D21" s="69" t="str">
        <f>'HKG vs. BK'!N20</f>
        <v>±0,64</v>
      </c>
      <c r="E21" s="69" t="str">
        <f>'HKG vs. BK'!O20</f>
        <v>±2,89</v>
      </c>
      <c r="F21" s="69" t="str">
        <f>'HKG vs. BK'!P20</f>
        <v>±0,16</v>
      </c>
      <c r="G21" s="132">
        <f>'HKG vs. BK'!AX20</f>
        <v>0.64</v>
      </c>
      <c r="H21" s="132">
        <f>'HKG vs. BK'!AY20</f>
        <v>2.89</v>
      </c>
      <c r="I21" s="132">
        <f>'HKG vs. BK'!AW122</f>
        <v>0.16</v>
      </c>
    </row>
    <row r="22" spans="1:9" s="29" customFormat="1" x14ac:dyDescent="0.2">
      <c r="A22" s="57" t="s">
        <v>24</v>
      </c>
      <c r="B22" s="68">
        <f>'HKG vs. BK'!L21</f>
        <v>10</v>
      </c>
      <c r="C22" s="69">
        <f>'HKG vs. BK'!M21</f>
        <v>21.737170376056429</v>
      </c>
      <c r="D22" s="69" t="str">
        <f>'HKG vs. BK'!N21</f>
        <v>±0,85</v>
      </c>
      <c r="E22" s="69" t="str">
        <f>'HKG vs. BK'!O21</f>
        <v>±3,73</v>
      </c>
      <c r="F22" s="69" t="str">
        <f>'HKG vs. BK'!P21</f>
        <v>±0,66</v>
      </c>
      <c r="G22" s="132">
        <f>'HKG vs. BK'!AX21</f>
        <v>0.85</v>
      </c>
      <c r="H22" s="132">
        <f>'HKG vs. BK'!AY21</f>
        <v>3.73</v>
      </c>
      <c r="I22" s="132">
        <f>'HKG vs. BK'!AW123</f>
        <v>0.66</v>
      </c>
    </row>
    <row r="23" spans="1:9" s="29" customFormat="1" x14ac:dyDescent="0.2">
      <c r="A23" s="57" t="s">
        <v>25</v>
      </c>
      <c r="B23" s="68">
        <f>'HKG vs. BK'!L22</f>
        <v>10</v>
      </c>
      <c r="C23" s="69">
        <f>'HKG vs. BK'!M22</f>
        <v>19.954333864373606</v>
      </c>
      <c r="D23" s="69" t="str">
        <f>'HKG vs. BK'!N22</f>
        <v>±0,88</v>
      </c>
      <c r="E23" s="69" t="str">
        <f>'HKG vs. BK'!O22</f>
        <v>±3,67</v>
      </c>
      <c r="F23" s="69" t="str">
        <f>'HKG vs. BK'!P22</f>
        <v>±0,22</v>
      </c>
      <c r="G23" s="132">
        <f>'HKG vs. BK'!AX22</f>
        <v>0.88</v>
      </c>
      <c r="H23" s="132">
        <f>'HKG vs. BK'!AY22</f>
        <v>3.67</v>
      </c>
      <c r="I23" s="132">
        <f>'HKG vs. BK'!AW124</f>
        <v>0.22</v>
      </c>
    </row>
    <row r="24" spans="1:9" s="29" customFormat="1" x14ac:dyDescent="0.2">
      <c r="A24" s="57" t="s">
        <v>26</v>
      </c>
      <c r="B24" s="68">
        <f>'HKG vs. BK'!L23</f>
        <v>10</v>
      </c>
      <c r="C24" s="69">
        <f>'HKG vs. BK'!M23</f>
        <v>21.288810255385243</v>
      </c>
      <c r="D24" s="69" t="str">
        <f>'HKG vs. BK'!N23</f>
        <v>±0,7</v>
      </c>
      <c r="E24" s="69" t="str">
        <f>'HKG vs. BK'!O23</f>
        <v>±2,98</v>
      </c>
      <c r="F24" s="69" t="str">
        <f>'HKG vs. BK'!P23</f>
        <v>±0,43</v>
      </c>
      <c r="G24" s="132">
        <f>'HKG vs. BK'!AX23</f>
        <v>0.7</v>
      </c>
      <c r="H24" s="132">
        <f>'HKG vs. BK'!AY23</f>
        <v>2.98</v>
      </c>
      <c r="I24" s="132">
        <f>'HKG vs. BK'!AW125</f>
        <v>0.43</v>
      </c>
    </row>
    <row r="25" spans="1:9" s="29" customFormat="1" x14ac:dyDescent="0.2">
      <c r="A25" s="57" t="s">
        <v>27</v>
      </c>
      <c r="B25" s="68">
        <f>'HKG vs. BK'!L24</f>
        <v>10</v>
      </c>
      <c r="C25" s="69">
        <f>'HKG vs. BK'!M24</f>
        <v>20.969932590149632</v>
      </c>
      <c r="D25" s="69" t="str">
        <f>'HKG vs. BK'!N24</f>
        <v>±0,86</v>
      </c>
      <c r="E25" s="69" t="str">
        <f>'HKG vs. BK'!O24</f>
        <v>±4,29</v>
      </c>
      <c r="F25" s="69" t="str">
        <f>'HKG vs. BK'!P24</f>
        <v>±0,49</v>
      </c>
      <c r="G25" s="132">
        <f>'HKG vs. BK'!AX24</f>
        <v>0.86</v>
      </c>
      <c r="H25" s="132">
        <f>'HKG vs. BK'!AY24</f>
        <v>4.29</v>
      </c>
      <c r="I25" s="132">
        <f>'HKG vs. BK'!AW126</f>
        <v>0.49</v>
      </c>
    </row>
    <row r="26" spans="1:9" s="29" customFormat="1" x14ac:dyDescent="0.2">
      <c r="A26" s="57" t="s">
        <v>28</v>
      </c>
      <c r="B26" s="68">
        <f>'HKG vs. BK'!L25</f>
        <v>10</v>
      </c>
      <c r="C26" s="69">
        <f>'HKG vs. BK'!M25</f>
        <v>21.342715215320588</v>
      </c>
      <c r="D26" s="69" t="str">
        <f>'HKG vs. BK'!N25</f>
        <v>±0,6</v>
      </c>
      <c r="E26" s="69" t="str">
        <f>'HKG vs. BK'!O25</f>
        <v>±2,67</v>
      </c>
      <c r="F26" s="69" t="str">
        <f>'HKG vs. BK'!P25</f>
        <v>±0,29</v>
      </c>
      <c r="G26" s="132">
        <f>'HKG vs. BK'!AX25</f>
        <v>0.6</v>
      </c>
      <c r="H26" s="132">
        <f>'HKG vs. BK'!AY25</f>
        <v>2.67</v>
      </c>
      <c r="I26" s="132">
        <f>'HKG vs. BK'!AW127</f>
        <v>0.28999999999999998</v>
      </c>
    </row>
    <row r="27" spans="1:9" s="29" customFormat="1" x14ac:dyDescent="0.2">
      <c r="A27" s="57" t="s">
        <v>29</v>
      </c>
      <c r="B27" s="68">
        <f>'HKG vs. BK'!L26</f>
        <v>10</v>
      </c>
      <c r="C27" s="69">
        <f>'HKG vs. BK'!M26</f>
        <v>21.341068462954023</v>
      </c>
      <c r="D27" s="69" t="str">
        <f>'HKG vs. BK'!N26</f>
        <v>±0,64</v>
      </c>
      <c r="E27" s="69" t="str">
        <f>'HKG vs. BK'!O26</f>
        <v>±2,78</v>
      </c>
      <c r="F27" s="69" t="str">
        <f>'HKG vs. BK'!P26</f>
        <v>±0,47</v>
      </c>
      <c r="G27" s="132">
        <f>'HKG vs. BK'!AX26</f>
        <v>0.64</v>
      </c>
      <c r="H27" s="132">
        <f>'HKG vs. BK'!AY26</f>
        <v>2.78</v>
      </c>
      <c r="I27" s="132">
        <f>'HKG vs. BK'!AW128</f>
        <v>0.47</v>
      </c>
    </row>
    <row r="28" spans="1:9" s="29" customFormat="1" x14ac:dyDescent="0.2">
      <c r="A28" s="57" t="s">
        <v>30</v>
      </c>
      <c r="B28" s="68">
        <f>'HKG vs. BK'!L27</f>
        <v>10</v>
      </c>
      <c r="C28" s="69">
        <f>'HKG vs. BK'!M27</f>
        <v>20.917368789874118</v>
      </c>
      <c r="D28" s="69" t="str">
        <f>'HKG vs. BK'!N27</f>
        <v>±1,48</v>
      </c>
      <c r="E28" s="69" t="str">
        <f>'HKG vs. BK'!O27</f>
        <v>±5,81</v>
      </c>
      <c r="F28" s="69" t="str">
        <f>'HKG vs. BK'!P27</f>
        <v>±0,52</v>
      </c>
      <c r="G28" s="132">
        <f>'HKG vs. BK'!AX27</f>
        <v>1.48</v>
      </c>
      <c r="H28" s="132">
        <f>'HKG vs. BK'!AY27</f>
        <v>5.81</v>
      </c>
      <c r="I28" s="132">
        <f>'HKG vs. BK'!AW129</f>
        <v>0.52</v>
      </c>
    </row>
    <row r="29" spans="1:9" s="29" customFormat="1" x14ac:dyDescent="0.2">
      <c r="A29" s="57" t="s">
        <v>31</v>
      </c>
      <c r="B29" s="68">
        <f>'HKG vs. BK'!L28</f>
        <v>10</v>
      </c>
      <c r="C29" s="69">
        <f>'HKG vs. BK'!M28</f>
        <v>20.965103513981621</v>
      </c>
      <c r="D29" s="69" t="str">
        <f>'HKG vs. BK'!N28</f>
        <v>±0,97</v>
      </c>
      <c r="E29" s="69" t="str">
        <f>'HKG vs. BK'!O28</f>
        <v>±3,96</v>
      </c>
      <c r="F29" s="69" t="str">
        <f>'HKG vs. BK'!P28</f>
        <v>±0,36</v>
      </c>
      <c r="G29" s="132">
        <f>'HKG vs. BK'!AX28</f>
        <v>0.97</v>
      </c>
      <c r="H29" s="132">
        <f>'HKG vs. BK'!AY28</f>
        <v>3.96</v>
      </c>
      <c r="I29" s="132">
        <f>'HKG vs. BK'!AW130</f>
        <v>0.36</v>
      </c>
    </row>
    <row r="30" spans="1:9" s="29" customFormat="1" x14ac:dyDescent="0.2">
      <c r="A30" s="57" t="s">
        <v>32</v>
      </c>
      <c r="B30" s="68">
        <f>'HKG vs. BK'!L29</f>
        <v>10</v>
      </c>
      <c r="C30" s="69">
        <f>'HKG vs. BK'!M29</f>
        <v>21.263005520124221</v>
      </c>
      <c r="D30" s="69" t="str">
        <f>'HKG vs. BK'!N29</f>
        <v>±0,44</v>
      </c>
      <c r="E30" s="69" t="str">
        <f>'HKG vs. BK'!O29</f>
        <v>±2,01</v>
      </c>
      <c r="F30" s="69" t="str">
        <f>'HKG vs. BK'!P29</f>
        <v>±0,22</v>
      </c>
      <c r="G30" s="132">
        <f>'HKG vs. BK'!AX29</f>
        <v>0.44</v>
      </c>
      <c r="H30" s="132">
        <f>'HKG vs. BK'!AY29</f>
        <v>2.0099999999999998</v>
      </c>
      <c r="I30" s="132">
        <f>'HKG vs. BK'!AW131</f>
        <v>0.22</v>
      </c>
    </row>
    <row r="31" spans="1:9" s="29" customFormat="1" x14ac:dyDescent="0.2">
      <c r="A31" s="57" t="s">
        <v>33</v>
      </c>
      <c r="B31" s="68">
        <f>'HKG vs. BK'!L30</f>
        <v>10</v>
      </c>
      <c r="C31" s="69">
        <f>'HKG vs. BK'!M30</f>
        <v>21.192633178531661</v>
      </c>
      <c r="D31" s="69" t="str">
        <f>'HKG vs. BK'!N30</f>
        <v>±0,66</v>
      </c>
      <c r="E31" s="69" t="str">
        <f>'HKG vs. BK'!O30</f>
        <v>±3,12</v>
      </c>
      <c r="F31" s="69" t="str">
        <f>'HKG vs. BK'!P30</f>
        <v>±0,39</v>
      </c>
      <c r="G31" s="132">
        <f>'HKG vs. BK'!AX30</f>
        <v>0.66</v>
      </c>
      <c r="H31" s="132">
        <f>'HKG vs. BK'!AY30</f>
        <v>3.12</v>
      </c>
      <c r="I31" s="132">
        <f>'HKG vs. BK'!AW132</f>
        <v>0.39</v>
      </c>
    </row>
    <row r="32" spans="1:9" s="29" customFormat="1" x14ac:dyDescent="0.2">
      <c r="A32" s="57" t="s">
        <v>34</v>
      </c>
      <c r="B32" s="68">
        <f>'HKG vs. BK'!L31</f>
        <v>10</v>
      </c>
      <c r="C32" s="69">
        <f>'HKG vs. BK'!M31</f>
        <v>21.782679309753654</v>
      </c>
      <c r="D32" s="69" t="str">
        <f>'HKG vs. BK'!N31</f>
        <v>±1,18</v>
      </c>
      <c r="E32" s="69" t="str">
        <f>'HKG vs. BK'!O31</f>
        <v>±4,87</v>
      </c>
      <c r="F32" s="69" t="str">
        <f>'HKG vs. BK'!P31</f>
        <v>±0,93</v>
      </c>
      <c r="G32" s="132">
        <f>'HKG vs. BK'!AX31</f>
        <v>1.18</v>
      </c>
      <c r="H32" s="132">
        <f>'HKG vs. BK'!AY31</f>
        <v>4.87</v>
      </c>
      <c r="I32" s="132">
        <f>'HKG vs. BK'!AW133</f>
        <v>0.93</v>
      </c>
    </row>
    <row r="33" spans="1:9" s="29" customFormat="1" x14ac:dyDescent="0.2">
      <c r="A33" s="57" t="s">
        <v>35</v>
      </c>
      <c r="B33" s="68">
        <f>'HKG vs. BK'!L32</f>
        <v>10</v>
      </c>
      <c r="C33" s="69">
        <f>'HKG vs. BK'!M32</f>
        <v>19.980305133768042</v>
      </c>
      <c r="D33" s="69" t="str">
        <f>'HKG vs. BK'!N32</f>
        <v>±0,71</v>
      </c>
      <c r="E33" s="69" t="str">
        <f>'HKG vs. BK'!O32</f>
        <v>±2,68</v>
      </c>
      <c r="F33" s="69" t="str">
        <f>'HKG vs. BK'!P32</f>
        <v>±0,14</v>
      </c>
      <c r="G33" s="132">
        <f>'HKG vs. BK'!AX32</f>
        <v>0.71</v>
      </c>
      <c r="H33" s="132">
        <f>'HKG vs. BK'!AY32</f>
        <v>2.68</v>
      </c>
      <c r="I33" s="132">
        <f>'HKG vs. BK'!AW134</f>
        <v>0.14000000000000001</v>
      </c>
    </row>
    <row r="34" spans="1:9" s="29" customFormat="1" x14ac:dyDescent="0.2">
      <c r="A34" s="57" t="s">
        <v>36</v>
      </c>
      <c r="B34" s="68">
        <f>'HKG vs. BK'!L33</f>
        <v>10</v>
      </c>
      <c r="C34" s="69">
        <f>'HKG vs. BK'!M33</f>
        <v>20.566437976192294</v>
      </c>
      <c r="D34" s="69" t="str">
        <f>'HKG vs. BK'!N33</f>
        <v>±1,02</v>
      </c>
      <c r="E34" s="69" t="str">
        <f>'HKG vs. BK'!O33</f>
        <v>±4,23</v>
      </c>
      <c r="F34" s="69" t="str">
        <f>'HKG vs. BK'!P33</f>
        <v>±0,41</v>
      </c>
      <c r="G34" s="132">
        <f>'HKG vs. BK'!AX33</f>
        <v>1.02</v>
      </c>
      <c r="H34" s="132">
        <f>'HKG vs. BK'!AY33</f>
        <v>4.2300000000000004</v>
      </c>
      <c r="I34" s="132">
        <f>'HKG vs. BK'!AW135</f>
        <v>0.41</v>
      </c>
    </row>
    <row r="35" spans="1:9" s="29" customFormat="1" x14ac:dyDescent="0.2">
      <c r="A35" s="57" t="s">
        <v>37</v>
      </c>
      <c r="B35" s="68">
        <f>'HKG vs. BK'!L34</f>
        <v>0</v>
      </c>
      <c r="C35" s="69" t="str">
        <f>'HKG vs. BK'!M34</f>
        <v/>
      </c>
      <c r="D35" s="69" t="str">
        <f>'HKG vs. BK'!N34</f>
        <v/>
      </c>
      <c r="E35" s="69" t="str">
        <f>'HKG vs. BK'!O34</f>
        <v/>
      </c>
      <c r="F35" s="69" t="str">
        <f>'HKG vs. BK'!P34</f>
        <v/>
      </c>
      <c r="G35" s="132" t="str">
        <f>'HKG vs. BK'!AX34</f>
        <v/>
      </c>
      <c r="H35" s="132" t="str">
        <f>'HKG vs. BK'!AY34</f>
        <v/>
      </c>
      <c r="I35" s="132" t="str">
        <f>'HKG vs. BK'!AW136</f>
        <v/>
      </c>
    </row>
    <row r="36" spans="1:9" s="29" customFormat="1" x14ac:dyDescent="0.2">
      <c r="A36" s="57" t="s">
        <v>38</v>
      </c>
      <c r="B36" s="68">
        <f>'HKG vs. BK'!L35</f>
        <v>0</v>
      </c>
      <c r="C36" s="69" t="str">
        <f>'HKG vs. BK'!M35</f>
        <v/>
      </c>
      <c r="D36" s="69" t="str">
        <f>'HKG vs. BK'!N35</f>
        <v/>
      </c>
      <c r="E36" s="69" t="str">
        <f>'HKG vs. BK'!O35</f>
        <v/>
      </c>
      <c r="F36" s="69" t="str">
        <f>'HKG vs. BK'!P35</f>
        <v/>
      </c>
      <c r="G36" s="132" t="str">
        <f>'HKG vs. BK'!AX35</f>
        <v/>
      </c>
      <c r="H36" s="132" t="str">
        <f>'HKG vs. BK'!AY35</f>
        <v/>
      </c>
      <c r="I36" s="132" t="str">
        <f>'HKG vs. BK'!AW137</f>
        <v/>
      </c>
    </row>
    <row r="37" spans="1:9" s="29" customFormat="1" x14ac:dyDescent="0.2">
      <c r="A37" s="57" t="s">
        <v>39</v>
      </c>
      <c r="B37" s="68">
        <f>'HKG vs. BK'!L36</f>
        <v>0</v>
      </c>
      <c r="C37" s="69" t="str">
        <f>'HKG vs. BK'!M36</f>
        <v/>
      </c>
      <c r="D37" s="69" t="str">
        <f>'HKG vs. BK'!N36</f>
        <v/>
      </c>
      <c r="E37" s="69" t="str">
        <f>'HKG vs. BK'!O36</f>
        <v/>
      </c>
      <c r="F37" s="69" t="str">
        <f>'HKG vs. BK'!P36</f>
        <v/>
      </c>
      <c r="G37" s="132" t="str">
        <f>'HKG vs. BK'!AX36</f>
        <v/>
      </c>
      <c r="H37" s="132" t="str">
        <f>'HKG vs. BK'!AY36</f>
        <v/>
      </c>
      <c r="I37" s="132" t="str">
        <f>'HKG vs. BK'!AW138</f>
        <v/>
      </c>
    </row>
    <row r="38" spans="1:9" s="29" customFormat="1" x14ac:dyDescent="0.2">
      <c r="A38" s="57" t="s">
        <v>40</v>
      </c>
      <c r="B38" s="68">
        <f>'HKG vs. BK'!L37</f>
        <v>0</v>
      </c>
      <c r="C38" s="69" t="str">
        <f>'HKG vs. BK'!M37</f>
        <v/>
      </c>
      <c r="D38" s="69" t="str">
        <f>'HKG vs. BK'!N37</f>
        <v/>
      </c>
      <c r="E38" s="69" t="str">
        <f>'HKG vs. BK'!O37</f>
        <v/>
      </c>
      <c r="F38" s="69" t="str">
        <f>'HKG vs. BK'!P37</f>
        <v/>
      </c>
      <c r="G38" s="132" t="str">
        <f>'HKG vs. BK'!AX37</f>
        <v/>
      </c>
      <c r="H38" s="132" t="str">
        <f>'HKG vs. BK'!AY37</f>
        <v/>
      </c>
      <c r="I38" s="132" t="str">
        <f>'HKG vs. BK'!AW139</f>
        <v/>
      </c>
    </row>
    <row r="39" spans="1:9" s="29" customFormat="1" x14ac:dyDescent="0.2">
      <c r="A39" s="57" t="s">
        <v>41</v>
      </c>
      <c r="B39" s="68">
        <f>'HKG vs. BK'!L38</f>
        <v>0</v>
      </c>
      <c r="C39" s="69" t="str">
        <f>'HKG vs. BK'!M38</f>
        <v/>
      </c>
      <c r="D39" s="69" t="str">
        <f>'HKG vs. BK'!N38</f>
        <v/>
      </c>
      <c r="E39" s="69" t="str">
        <f>'HKG vs. BK'!O38</f>
        <v/>
      </c>
      <c r="F39" s="69" t="str">
        <f>'HKG vs. BK'!P38</f>
        <v/>
      </c>
      <c r="G39" s="132" t="str">
        <f>'HKG vs. BK'!AX38</f>
        <v/>
      </c>
      <c r="H39" s="132" t="str">
        <f>'HKG vs. BK'!AY38</f>
        <v/>
      </c>
      <c r="I39" s="132" t="str">
        <f>'HKG vs. BK'!AW140</f>
        <v/>
      </c>
    </row>
    <row r="40" spans="1:9" s="29" customFormat="1" x14ac:dyDescent="0.2">
      <c r="A40" s="57" t="s">
        <v>42</v>
      </c>
      <c r="B40" s="68">
        <f>'HKG vs. BK'!L39</f>
        <v>0</v>
      </c>
      <c r="C40" s="69" t="str">
        <f>'HKG vs. BK'!M39</f>
        <v/>
      </c>
      <c r="D40" s="69" t="str">
        <f>'HKG vs. BK'!N39</f>
        <v/>
      </c>
      <c r="E40" s="69" t="str">
        <f>'HKG vs. BK'!O39</f>
        <v/>
      </c>
      <c r="F40" s="69" t="str">
        <f>'HKG vs. BK'!P39</f>
        <v/>
      </c>
      <c r="G40" s="132" t="str">
        <f>'HKG vs. BK'!AX39</f>
        <v/>
      </c>
      <c r="H40" s="132" t="str">
        <f>'HKG vs. BK'!AY39</f>
        <v/>
      </c>
      <c r="I40" s="132" t="str">
        <f>'HKG vs. BK'!AW141</f>
        <v/>
      </c>
    </row>
    <row r="41" spans="1:9" s="29" customFormat="1" x14ac:dyDescent="0.2">
      <c r="A41" s="57" t="s">
        <v>43</v>
      </c>
      <c r="B41" s="68">
        <f>'HKG vs. BK'!L40</f>
        <v>0</v>
      </c>
      <c r="C41" s="69" t="str">
        <f>'HKG vs. BK'!M40</f>
        <v/>
      </c>
      <c r="D41" s="69" t="str">
        <f>'HKG vs. BK'!N40</f>
        <v/>
      </c>
      <c r="E41" s="69" t="str">
        <f>'HKG vs. BK'!O40</f>
        <v/>
      </c>
      <c r="F41" s="69" t="str">
        <f>'HKG vs. BK'!P40</f>
        <v/>
      </c>
      <c r="G41" s="132" t="str">
        <f>'HKG vs. BK'!AX40</f>
        <v/>
      </c>
      <c r="H41" s="132" t="str">
        <f>'HKG vs. BK'!AY40</f>
        <v/>
      </c>
      <c r="I41" s="132" t="str">
        <f>'HKG vs. BK'!AW142</f>
        <v/>
      </c>
    </row>
    <row r="42" spans="1:9" s="29" customFormat="1" x14ac:dyDescent="0.2">
      <c r="A42" s="57" t="s">
        <v>44</v>
      </c>
      <c r="B42" s="68">
        <f>'HKG vs. BK'!L41</f>
        <v>0</v>
      </c>
      <c r="C42" s="69" t="str">
        <f>'HKG vs. BK'!M41</f>
        <v/>
      </c>
      <c r="D42" s="69" t="str">
        <f>'HKG vs. BK'!N41</f>
        <v/>
      </c>
      <c r="E42" s="69" t="str">
        <f>'HKG vs. BK'!O41</f>
        <v/>
      </c>
      <c r="F42" s="69" t="str">
        <f>'HKG vs. BK'!P41</f>
        <v/>
      </c>
      <c r="G42" s="132" t="str">
        <f>'HKG vs. BK'!AX41</f>
        <v/>
      </c>
      <c r="H42" s="132" t="str">
        <f>'HKG vs. BK'!AY41</f>
        <v/>
      </c>
      <c r="I42" s="132" t="str">
        <f>'HKG vs. BK'!AW143</f>
        <v/>
      </c>
    </row>
    <row r="43" spans="1:9" s="29" customFormat="1" x14ac:dyDescent="0.2">
      <c r="A43" s="57" t="s">
        <v>45</v>
      </c>
      <c r="B43" s="68">
        <f>'HKG vs. BK'!L42</f>
        <v>0</v>
      </c>
      <c r="C43" s="69" t="str">
        <f>'HKG vs. BK'!M42</f>
        <v/>
      </c>
      <c r="D43" s="69" t="str">
        <f>'HKG vs. BK'!N42</f>
        <v/>
      </c>
      <c r="E43" s="69" t="str">
        <f>'HKG vs. BK'!O42</f>
        <v/>
      </c>
      <c r="F43" s="69" t="str">
        <f>'HKG vs. BK'!P42</f>
        <v/>
      </c>
      <c r="G43" s="132" t="str">
        <f>'HKG vs. BK'!AX42</f>
        <v/>
      </c>
      <c r="H43" s="132" t="str">
        <f>'HKG vs. BK'!AY42</f>
        <v/>
      </c>
      <c r="I43" s="132" t="str">
        <f>'HKG vs. BK'!AW144</f>
        <v/>
      </c>
    </row>
    <row r="44" spans="1:9" s="29" customFormat="1" x14ac:dyDescent="0.2">
      <c r="A44" s="57" t="s">
        <v>46</v>
      </c>
      <c r="B44" s="68">
        <f>'HKG vs. BK'!L43</f>
        <v>0</v>
      </c>
      <c r="C44" s="69" t="str">
        <f>'HKG vs. BK'!M43</f>
        <v/>
      </c>
      <c r="D44" s="69" t="str">
        <f>'HKG vs. BK'!N43</f>
        <v/>
      </c>
      <c r="E44" s="69" t="str">
        <f>'HKG vs. BK'!O43</f>
        <v/>
      </c>
      <c r="F44" s="69" t="str">
        <f>'HKG vs. BK'!P43</f>
        <v/>
      </c>
      <c r="G44" s="132" t="str">
        <f>'HKG vs. BK'!AX43</f>
        <v/>
      </c>
      <c r="H44" s="132" t="str">
        <f>'HKG vs. BK'!AY43</f>
        <v/>
      </c>
      <c r="I44" s="132" t="str">
        <f>'HKG vs. BK'!AW145</f>
        <v/>
      </c>
    </row>
    <row r="45" spans="1:9" s="29" customFormat="1" x14ac:dyDescent="0.2">
      <c r="A45" s="57" t="s">
        <v>47</v>
      </c>
      <c r="B45" s="68">
        <f>'HKG vs. BK'!L44</f>
        <v>0</v>
      </c>
      <c r="C45" s="69" t="str">
        <f>'HKG vs. BK'!M44</f>
        <v/>
      </c>
      <c r="D45" s="69" t="str">
        <f>'HKG vs. BK'!N44</f>
        <v/>
      </c>
      <c r="E45" s="69" t="str">
        <f>'HKG vs. BK'!O44</f>
        <v/>
      </c>
      <c r="F45" s="69" t="str">
        <f>'HKG vs. BK'!P44</f>
        <v/>
      </c>
      <c r="G45" s="132" t="str">
        <f>'HKG vs. BK'!AX44</f>
        <v/>
      </c>
      <c r="H45" s="132" t="str">
        <f>'HKG vs. BK'!AY44</f>
        <v/>
      </c>
      <c r="I45" s="132" t="str">
        <f>'HKG vs. BK'!AW146</f>
        <v/>
      </c>
    </row>
    <row r="46" spans="1:9" s="29" customFormat="1" x14ac:dyDescent="0.2">
      <c r="A46" s="57" t="s">
        <v>48</v>
      </c>
      <c r="B46" s="68">
        <f>'HKG vs. BK'!L45</f>
        <v>0</v>
      </c>
      <c r="C46" s="69" t="str">
        <f>'HKG vs. BK'!M45</f>
        <v/>
      </c>
      <c r="D46" s="69" t="str">
        <f>'HKG vs. BK'!N45</f>
        <v/>
      </c>
      <c r="E46" s="69" t="str">
        <f>'HKG vs. BK'!O45</f>
        <v/>
      </c>
      <c r="F46" s="69" t="str">
        <f>'HKG vs. BK'!P45</f>
        <v/>
      </c>
      <c r="G46" s="132" t="str">
        <f>'HKG vs. BK'!AX45</f>
        <v/>
      </c>
      <c r="H46" s="132" t="str">
        <f>'HKG vs. BK'!AY45</f>
        <v/>
      </c>
      <c r="I46" s="132" t="str">
        <f>'HKG vs. BK'!AW147</f>
        <v/>
      </c>
    </row>
    <row r="47" spans="1:9" s="29" customFormat="1" x14ac:dyDescent="0.2">
      <c r="A47" s="57" t="s">
        <v>49</v>
      </c>
      <c r="B47" s="68">
        <f>'HKG vs. BK'!L46</f>
        <v>0</v>
      </c>
      <c r="C47" s="69" t="str">
        <f>'HKG vs. BK'!M46</f>
        <v/>
      </c>
      <c r="D47" s="69" t="str">
        <f>'HKG vs. BK'!N46</f>
        <v/>
      </c>
      <c r="E47" s="69" t="str">
        <f>'HKG vs. BK'!O46</f>
        <v/>
      </c>
      <c r="F47" s="69" t="str">
        <f>'HKG vs. BK'!P46</f>
        <v/>
      </c>
      <c r="G47" s="132" t="str">
        <f>'HKG vs. BK'!AX46</f>
        <v/>
      </c>
      <c r="H47" s="132" t="str">
        <f>'HKG vs. BK'!AY46</f>
        <v/>
      </c>
      <c r="I47" s="132" t="str">
        <f>'HKG vs. BK'!AW148</f>
        <v/>
      </c>
    </row>
    <row r="48" spans="1:9" s="29" customFormat="1" x14ac:dyDescent="0.2">
      <c r="A48" s="57" t="s">
        <v>50</v>
      </c>
      <c r="B48" s="68">
        <f>'HKG vs. BK'!L47</f>
        <v>0</v>
      </c>
      <c r="C48" s="69" t="str">
        <f>'HKG vs. BK'!M47</f>
        <v/>
      </c>
      <c r="D48" s="69" t="str">
        <f>'HKG vs. BK'!N47</f>
        <v/>
      </c>
      <c r="E48" s="69" t="str">
        <f>'HKG vs. BK'!O47</f>
        <v/>
      </c>
      <c r="F48" s="69" t="str">
        <f>'HKG vs. BK'!P47</f>
        <v/>
      </c>
      <c r="G48" s="132" t="str">
        <f>'HKG vs. BK'!AX47</f>
        <v/>
      </c>
      <c r="H48" s="132" t="str">
        <f>'HKG vs. BK'!AY47</f>
        <v/>
      </c>
      <c r="I48" s="132" t="str">
        <f>'HKG vs. BK'!AW149</f>
        <v/>
      </c>
    </row>
    <row r="49" spans="1:9" s="29" customFormat="1" x14ac:dyDescent="0.2">
      <c r="A49" s="57" t="s">
        <v>51</v>
      </c>
      <c r="B49" s="68">
        <f>'HKG vs. BK'!L48</f>
        <v>0</v>
      </c>
      <c r="C49" s="69" t="str">
        <f>'HKG vs. BK'!M48</f>
        <v/>
      </c>
      <c r="D49" s="69" t="str">
        <f>'HKG vs. BK'!N48</f>
        <v/>
      </c>
      <c r="E49" s="69" t="str">
        <f>'HKG vs. BK'!O48</f>
        <v/>
      </c>
      <c r="F49" s="69" t="str">
        <f>'HKG vs. BK'!P48</f>
        <v/>
      </c>
      <c r="G49" s="132" t="str">
        <f>'HKG vs. BK'!AX48</f>
        <v/>
      </c>
      <c r="H49" s="132" t="str">
        <f>'HKG vs. BK'!AY48</f>
        <v/>
      </c>
      <c r="I49" s="132" t="str">
        <f>'HKG vs. BK'!AW150</f>
        <v/>
      </c>
    </row>
    <row r="50" spans="1:9" s="29" customFormat="1" x14ac:dyDescent="0.2">
      <c r="A50" s="57" t="s">
        <v>52</v>
      </c>
      <c r="B50" s="68">
        <f>'HKG vs. BK'!L49</f>
        <v>0</v>
      </c>
      <c r="C50" s="69" t="str">
        <f>'HKG vs. BK'!M49</f>
        <v/>
      </c>
      <c r="D50" s="69" t="str">
        <f>'HKG vs. BK'!N49</f>
        <v/>
      </c>
      <c r="E50" s="69" t="str">
        <f>'HKG vs. BK'!O49</f>
        <v/>
      </c>
      <c r="F50" s="69" t="str">
        <f>'HKG vs. BK'!P49</f>
        <v/>
      </c>
      <c r="G50" s="132" t="str">
        <f>'HKG vs. BK'!AX49</f>
        <v/>
      </c>
      <c r="H50" s="132" t="str">
        <f>'HKG vs. BK'!AY49</f>
        <v/>
      </c>
      <c r="I50" s="132" t="str">
        <f>'HKG vs. BK'!AW151</f>
        <v/>
      </c>
    </row>
    <row r="51" spans="1:9" s="29" customFormat="1" x14ac:dyDescent="0.2">
      <c r="A51" s="57" t="s">
        <v>53</v>
      </c>
      <c r="B51" s="68">
        <f>'HKG vs. BK'!L50</f>
        <v>0</v>
      </c>
      <c r="C51" s="69" t="str">
        <f>'HKG vs. BK'!M50</f>
        <v/>
      </c>
      <c r="D51" s="69" t="str">
        <f>'HKG vs. BK'!N50</f>
        <v/>
      </c>
      <c r="E51" s="69" t="str">
        <f>'HKG vs. BK'!O50</f>
        <v/>
      </c>
      <c r="F51" s="69" t="str">
        <f>'HKG vs. BK'!P50</f>
        <v/>
      </c>
      <c r="G51" s="132" t="str">
        <f>'HKG vs. BK'!AX50</f>
        <v/>
      </c>
      <c r="H51" s="132" t="str">
        <f>'HKG vs. BK'!AY50</f>
        <v/>
      </c>
      <c r="I51" s="132" t="str">
        <f>'HKG vs. BK'!AW152</f>
        <v/>
      </c>
    </row>
    <row r="52" spans="1:9" s="29" customFormat="1" x14ac:dyDescent="0.2">
      <c r="A52" s="57" t="s">
        <v>54</v>
      </c>
      <c r="B52" s="68">
        <f>'HKG vs. BK'!L51</f>
        <v>0</v>
      </c>
      <c r="C52" s="69" t="str">
        <f>'HKG vs. BK'!M51</f>
        <v/>
      </c>
      <c r="D52" s="69" t="str">
        <f>'HKG vs. BK'!N51</f>
        <v/>
      </c>
      <c r="E52" s="69" t="str">
        <f>'HKG vs. BK'!O51</f>
        <v/>
      </c>
      <c r="F52" s="69" t="str">
        <f>'HKG vs. BK'!P51</f>
        <v/>
      </c>
      <c r="G52" s="132" t="str">
        <f>'HKG vs. BK'!AX51</f>
        <v/>
      </c>
      <c r="H52" s="132" t="str">
        <f>'HKG vs. BK'!AY51</f>
        <v/>
      </c>
      <c r="I52" s="132" t="str">
        <f>'HKG vs. BK'!AW153</f>
        <v/>
      </c>
    </row>
    <row r="53" spans="1:9" s="29" customFormat="1" x14ac:dyDescent="0.2">
      <c r="A53" s="57" t="s">
        <v>55</v>
      </c>
      <c r="B53" s="68">
        <f>'HKG vs. BK'!L52</f>
        <v>0</v>
      </c>
      <c r="C53" s="69" t="str">
        <f>'HKG vs. BK'!M52</f>
        <v/>
      </c>
      <c r="D53" s="69" t="str">
        <f>'HKG vs. BK'!N52</f>
        <v/>
      </c>
      <c r="E53" s="69" t="str">
        <f>'HKG vs. BK'!O52</f>
        <v/>
      </c>
      <c r="F53" s="69" t="str">
        <f>'HKG vs. BK'!P52</f>
        <v/>
      </c>
      <c r="G53" s="132" t="str">
        <f>'HKG vs. BK'!AX52</f>
        <v/>
      </c>
      <c r="H53" s="132" t="str">
        <f>'HKG vs. BK'!AY52</f>
        <v/>
      </c>
      <c r="I53" s="132" t="str">
        <f>'HKG vs. BK'!AW154</f>
        <v/>
      </c>
    </row>
    <row r="54" spans="1:9" s="29" customFormat="1" x14ac:dyDescent="0.2">
      <c r="A54" s="57" t="s">
        <v>56</v>
      </c>
      <c r="B54" s="68">
        <f>'HKG vs. BK'!L53</f>
        <v>0</v>
      </c>
      <c r="C54" s="69" t="str">
        <f>'HKG vs. BK'!M53</f>
        <v/>
      </c>
      <c r="D54" s="69" t="str">
        <f>'HKG vs. BK'!N53</f>
        <v/>
      </c>
      <c r="E54" s="69" t="str">
        <f>'HKG vs. BK'!O53</f>
        <v/>
      </c>
      <c r="F54" s="69" t="str">
        <f>'HKG vs. BK'!P53</f>
        <v/>
      </c>
      <c r="G54" s="132" t="str">
        <f>'HKG vs. BK'!AX53</f>
        <v/>
      </c>
      <c r="H54" s="132" t="str">
        <f>'HKG vs. BK'!AY53</f>
        <v/>
      </c>
      <c r="I54" s="132" t="str">
        <f>'HKG vs. BK'!AW155</f>
        <v/>
      </c>
    </row>
    <row r="55" spans="1:9" s="29" customFormat="1" x14ac:dyDescent="0.2">
      <c r="A55" s="57" t="s">
        <v>57</v>
      </c>
      <c r="B55" s="68">
        <f>'HKG vs. BK'!L54</f>
        <v>0</v>
      </c>
      <c r="C55" s="69" t="str">
        <f>'HKG vs. BK'!M54</f>
        <v/>
      </c>
      <c r="D55" s="69" t="str">
        <f>'HKG vs. BK'!N54</f>
        <v/>
      </c>
      <c r="E55" s="69" t="str">
        <f>'HKG vs. BK'!O54</f>
        <v/>
      </c>
      <c r="F55" s="69" t="str">
        <f>'HKG vs. BK'!P54</f>
        <v/>
      </c>
      <c r="G55" s="132" t="str">
        <f>'HKG vs. BK'!AX54</f>
        <v/>
      </c>
      <c r="H55" s="132" t="str">
        <f>'HKG vs. BK'!AY54</f>
        <v/>
      </c>
      <c r="I55" s="132" t="str">
        <f>'HKG vs. BK'!AW156</f>
        <v/>
      </c>
    </row>
    <row r="56" spans="1:9" s="29" customFormat="1" x14ac:dyDescent="0.2">
      <c r="A56" s="57" t="s">
        <v>58</v>
      </c>
      <c r="B56" s="68">
        <f>'HKG vs. BK'!L55</f>
        <v>0</v>
      </c>
      <c r="C56" s="69" t="str">
        <f>'HKG vs. BK'!M55</f>
        <v/>
      </c>
      <c r="D56" s="69" t="str">
        <f>'HKG vs. BK'!N55</f>
        <v/>
      </c>
      <c r="E56" s="69" t="str">
        <f>'HKG vs. BK'!O55</f>
        <v/>
      </c>
      <c r="F56" s="69" t="str">
        <f>'HKG vs. BK'!P55</f>
        <v/>
      </c>
      <c r="G56" s="132" t="str">
        <f>'HKG vs. BK'!AX55</f>
        <v/>
      </c>
      <c r="H56" s="132" t="str">
        <f>'HKG vs. BK'!AY55</f>
        <v/>
      </c>
      <c r="I56" s="132" t="str">
        <f>'HKG vs. BK'!AW157</f>
        <v/>
      </c>
    </row>
    <row r="57" spans="1:9" s="29" customFormat="1" x14ac:dyDescent="0.2">
      <c r="A57" s="57" t="s">
        <v>59</v>
      </c>
      <c r="B57" s="68">
        <f>'HKG vs. BK'!L56</f>
        <v>0</v>
      </c>
      <c r="C57" s="69" t="str">
        <f>'HKG vs. BK'!M56</f>
        <v/>
      </c>
      <c r="D57" s="69" t="str">
        <f>'HKG vs. BK'!N56</f>
        <v/>
      </c>
      <c r="E57" s="69" t="str">
        <f>'HKG vs. BK'!O56</f>
        <v/>
      </c>
      <c r="F57" s="69" t="str">
        <f>'HKG vs. BK'!P56</f>
        <v/>
      </c>
      <c r="G57" s="132" t="str">
        <f>'HKG vs. BK'!AX56</f>
        <v/>
      </c>
      <c r="H57" s="132" t="str">
        <f>'HKG vs. BK'!AY56</f>
        <v/>
      </c>
      <c r="I57" s="132" t="str">
        <f>'HKG vs. BK'!AW158</f>
        <v/>
      </c>
    </row>
    <row r="58" spans="1:9" s="29" customFormat="1" x14ac:dyDescent="0.2">
      <c r="A58" s="57" t="s">
        <v>60</v>
      </c>
      <c r="B58" s="68">
        <f>'HKG vs. BK'!L57</f>
        <v>0</v>
      </c>
      <c r="C58" s="69" t="str">
        <f>'HKG vs. BK'!M57</f>
        <v/>
      </c>
      <c r="D58" s="69" t="str">
        <f>'HKG vs. BK'!N57</f>
        <v/>
      </c>
      <c r="E58" s="69" t="str">
        <f>'HKG vs. BK'!O57</f>
        <v/>
      </c>
      <c r="F58" s="69" t="str">
        <f>'HKG vs. BK'!P57</f>
        <v/>
      </c>
      <c r="G58" s="132" t="str">
        <f>'HKG vs. BK'!AX57</f>
        <v/>
      </c>
      <c r="H58" s="132" t="str">
        <f>'HKG vs. BK'!AY57</f>
        <v/>
      </c>
      <c r="I58" s="132" t="str">
        <f>'HKG vs. BK'!AW159</f>
        <v/>
      </c>
    </row>
    <row r="59" spans="1:9" s="29" customFormat="1" x14ac:dyDescent="0.2">
      <c r="A59" s="57" t="s">
        <v>61</v>
      </c>
      <c r="B59" s="68">
        <f>'HKG vs. BK'!L58</f>
        <v>0</v>
      </c>
      <c r="C59" s="69" t="str">
        <f>'HKG vs. BK'!M58</f>
        <v/>
      </c>
      <c r="D59" s="69" t="str">
        <f>'HKG vs. BK'!N58</f>
        <v/>
      </c>
      <c r="E59" s="69" t="str">
        <f>'HKG vs. BK'!O58</f>
        <v/>
      </c>
      <c r="F59" s="69" t="str">
        <f>'HKG vs. BK'!P58</f>
        <v/>
      </c>
      <c r="G59" s="132" t="str">
        <f>'HKG vs. BK'!AX58</f>
        <v/>
      </c>
      <c r="H59" s="132" t="str">
        <f>'HKG vs. BK'!AY58</f>
        <v/>
      </c>
      <c r="I59" s="132" t="str">
        <f>'HKG vs. BK'!AW160</f>
        <v/>
      </c>
    </row>
    <row r="60" spans="1:9" s="29" customFormat="1" x14ac:dyDescent="0.2">
      <c r="A60" s="57" t="s">
        <v>62</v>
      </c>
      <c r="B60" s="68">
        <f>'HKG vs. BK'!L59</f>
        <v>0</v>
      </c>
      <c r="C60" s="69" t="str">
        <f>'HKG vs. BK'!M59</f>
        <v/>
      </c>
      <c r="D60" s="69" t="str">
        <f>'HKG vs. BK'!N59</f>
        <v/>
      </c>
      <c r="E60" s="69" t="str">
        <f>'HKG vs. BK'!O59</f>
        <v/>
      </c>
      <c r="F60" s="69" t="str">
        <f>'HKG vs. BK'!P59</f>
        <v/>
      </c>
      <c r="G60" s="132" t="str">
        <f>'HKG vs. BK'!AX59</f>
        <v/>
      </c>
      <c r="H60" s="132" t="str">
        <f>'HKG vs. BK'!AY59</f>
        <v/>
      </c>
      <c r="I60" s="132" t="str">
        <f>'HKG vs. BK'!AW161</f>
        <v/>
      </c>
    </row>
    <row r="61" spans="1:9" s="29" customFormat="1" x14ac:dyDescent="0.2">
      <c r="A61" s="57" t="s">
        <v>63</v>
      </c>
      <c r="B61" s="68">
        <f>'HKG vs. BK'!L60</f>
        <v>0</v>
      </c>
      <c r="C61" s="69" t="str">
        <f>'HKG vs. BK'!M60</f>
        <v/>
      </c>
      <c r="D61" s="69" t="str">
        <f>'HKG vs. BK'!N60</f>
        <v/>
      </c>
      <c r="E61" s="69" t="str">
        <f>'HKG vs. BK'!O60</f>
        <v/>
      </c>
      <c r="F61" s="69" t="str">
        <f>'HKG vs. BK'!P60</f>
        <v/>
      </c>
      <c r="G61" s="132" t="str">
        <f>'HKG vs. BK'!AX60</f>
        <v/>
      </c>
      <c r="H61" s="132" t="str">
        <f>'HKG vs. BK'!AY60</f>
        <v/>
      </c>
      <c r="I61" s="132" t="str">
        <f>'HKG vs. BK'!AW162</f>
        <v/>
      </c>
    </row>
    <row r="62" spans="1:9" s="29" customFormat="1" x14ac:dyDescent="0.2">
      <c r="A62" s="57" t="s">
        <v>64</v>
      </c>
      <c r="B62" s="68">
        <f>'HKG vs. BK'!L61</f>
        <v>0</v>
      </c>
      <c r="C62" s="69" t="str">
        <f>'HKG vs. BK'!M61</f>
        <v/>
      </c>
      <c r="D62" s="69" t="str">
        <f>'HKG vs. BK'!N61</f>
        <v/>
      </c>
      <c r="E62" s="69" t="str">
        <f>'HKG vs. BK'!O61</f>
        <v/>
      </c>
      <c r="F62" s="69" t="str">
        <f>'HKG vs. BK'!P61</f>
        <v/>
      </c>
      <c r="G62" s="132" t="str">
        <f>'HKG vs. BK'!AX61</f>
        <v/>
      </c>
      <c r="H62" s="132" t="str">
        <f>'HKG vs. BK'!AY61</f>
        <v/>
      </c>
      <c r="I62" s="132" t="str">
        <f>'HKG vs. BK'!AW163</f>
        <v/>
      </c>
    </row>
    <row r="63" spans="1:9" s="29" customFormat="1" x14ac:dyDescent="0.2">
      <c r="A63" s="57" t="s">
        <v>65</v>
      </c>
      <c r="B63" s="68">
        <f>'HKG vs. BK'!L62</f>
        <v>0</v>
      </c>
      <c r="C63" s="69" t="str">
        <f>'HKG vs. BK'!M62</f>
        <v/>
      </c>
      <c r="D63" s="69" t="str">
        <f>'HKG vs. BK'!N62</f>
        <v/>
      </c>
      <c r="E63" s="69" t="str">
        <f>'HKG vs. BK'!O62</f>
        <v/>
      </c>
      <c r="F63" s="69" t="str">
        <f>'HKG vs. BK'!P62</f>
        <v/>
      </c>
      <c r="G63" s="132" t="str">
        <f>'HKG vs. BK'!AX62</f>
        <v/>
      </c>
      <c r="H63" s="132" t="str">
        <f>'HKG vs. BK'!AY62</f>
        <v/>
      </c>
      <c r="I63" s="132" t="str">
        <f>'HKG vs. BK'!AW164</f>
        <v/>
      </c>
    </row>
    <row r="64" spans="1:9" s="29" customFormat="1" x14ac:dyDescent="0.2">
      <c r="A64" s="57" t="s">
        <v>66</v>
      </c>
      <c r="B64" s="68">
        <f>'HKG vs. BK'!L63</f>
        <v>0</v>
      </c>
      <c r="C64" s="69" t="str">
        <f>'HKG vs. BK'!M63</f>
        <v/>
      </c>
      <c r="D64" s="69" t="str">
        <f>'HKG vs. BK'!N63</f>
        <v/>
      </c>
      <c r="E64" s="69" t="str">
        <f>'HKG vs. BK'!O63</f>
        <v/>
      </c>
      <c r="F64" s="69" t="str">
        <f>'HKG vs. BK'!P63</f>
        <v/>
      </c>
      <c r="G64" s="132" t="str">
        <f>'HKG vs. BK'!AX63</f>
        <v/>
      </c>
      <c r="H64" s="132" t="str">
        <f>'HKG vs. BK'!AY63</f>
        <v/>
      </c>
      <c r="I64" s="132" t="str">
        <f>'HKG vs. BK'!AW165</f>
        <v/>
      </c>
    </row>
    <row r="65" spans="1:9" s="29" customFormat="1" x14ac:dyDescent="0.2">
      <c r="A65" s="57" t="s">
        <v>67</v>
      </c>
      <c r="B65" s="68">
        <f>'HKG vs. BK'!L64</f>
        <v>0</v>
      </c>
      <c r="C65" s="69" t="str">
        <f>'HKG vs. BK'!M64</f>
        <v/>
      </c>
      <c r="D65" s="69" t="str">
        <f>'HKG vs. BK'!N64</f>
        <v/>
      </c>
      <c r="E65" s="69" t="str">
        <f>'HKG vs. BK'!O64</f>
        <v/>
      </c>
      <c r="F65" s="69" t="str">
        <f>'HKG vs. BK'!P64</f>
        <v/>
      </c>
      <c r="G65" s="132" t="str">
        <f>'HKG vs. BK'!AX64</f>
        <v/>
      </c>
      <c r="H65" s="132" t="str">
        <f>'HKG vs. BK'!AY64</f>
        <v/>
      </c>
      <c r="I65" s="132" t="str">
        <f>'HKG vs. BK'!AW166</f>
        <v/>
      </c>
    </row>
    <row r="66" spans="1:9" s="29" customFormat="1" x14ac:dyDescent="0.2">
      <c r="A66" s="57" t="s">
        <v>68</v>
      </c>
      <c r="B66" s="68">
        <f>'HKG vs. BK'!L65</f>
        <v>0</v>
      </c>
      <c r="C66" s="69" t="str">
        <f>'HKG vs. BK'!M65</f>
        <v/>
      </c>
      <c r="D66" s="69" t="str">
        <f>'HKG vs. BK'!N65</f>
        <v/>
      </c>
      <c r="E66" s="69" t="str">
        <f>'HKG vs. BK'!O65</f>
        <v/>
      </c>
      <c r="F66" s="69" t="str">
        <f>'HKG vs. BK'!P65</f>
        <v/>
      </c>
      <c r="G66" s="132" t="str">
        <f>'HKG vs. BK'!AX65</f>
        <v/>
      </c>
      <c r="H66" s="132" t="str">
        <f>'HKG vs. BK'!AY65</f>
        <v/>
      </c>
      <c r="I66" s="132" t="str">
        <f>'HKG vs. BK'!AW167</f>
        <v/>
      </c>
    </row>
    <row r="67" spans="1:9" s="29" customFormat="1" x14ac:dyDescent="0.2">
      <c r="A67" s="57" t="s">
        <v>69</v>
      </c>
      <c r="B67" s="68">
        <f>'HKG vs. BK'!L66</f>
        <v>0</v>
      </c>
      <c r="C67" s="69" t="str">
        <f>'HKG vs. BK'!M66</f>
        <v/>
      </c>
      <c r="D67" s="69" t="str">
        <f>'HKG vs. BK'!N66</f>
        <v/>
      </c>
      <c r="E67" s="69" t="str">
        <f>'HKG vs. BK'!O66</f>
        <v/>
      </c>
      <c r="F67" s="69" t="str">
        <f>'HKG vs. BK'!P66</f>
        <v/>
      </c>
      <c r="G67" s="132" t="str">
        <f>'HKG vs. BK'!AX66</f>
        <v/>
      </c>
      <c r="H67" s="132" t="str">
        <f>'HKG vs. BK'!AY66</f>
        <v/>
      </c>
      <c r="I67" s="132" t="str">
        <f>'HKG vs. BK'!AW168</f>
        <v/>
      </c>
    </row>
    <row r="68" spans="1:9" s="29" customFormat="1" x14ac:dyDescent="0.2">
      <c r="A68" s="57" t="s">
        <v>70</v>
      </c>
      <c r="B68" s="68">
        <f>'HKG vs. BK'!L67</f>
        <v>0</v>
      </c>
      <c r="C68" s="69" t="str">
        <f>'HKG vs. BK'!M67</f>
        <v/>
      </c>
      <c r="D68" s="69" t="str">
        <f>'HKG vs. BK'!N67</f>
        <v/>
      </c>
      <c r="E68" s="69" t="str">
        <f>'HKG vs. BK'!O67</f>
        <v/>
      </c>
      <c r="F68" s="69" t="str">
        <f>'HKG vs. BK'!P67</f>
        <v/>
      </c>
      <c r="G68" s="132" t="str">
        <f>'HKG vs. BK'!AX67</f>
        <v/>
      </c>
      <c r="H68" s="132" t="str">
        <f>'HKG vs. BK'!AY67</f>
        <v/>
      </c>
      <c r="I68" s="132" t="str">
        <f>'HKG vs. BK'!AW169</f>
        <v/>
      </c>
    </row>
    <row r="69" spans="1:9" s="29" customFormat="1" x14ac:dyDescent="0.2">
      <c r="A69" s="57" t="s">
        <v>71</v>
      </c>
      <c r="B69" s="68">
        <f>'HKG vs. BK'!L68</f>
        <v>0</v>
      </c>
      <c r="C69" s="69" t="str">
        <f>'HKG vs. BK'!M68</f>
        <v/>
      </c>
      <c r="D69" s="69" t="str">
        <f>'HKG vs. BK'!N68</f>
        <v/>
      </c>
      <c r="E69" s="69" t="str">
        <f>'HKG vs. BK'!O68</f>
        <v/>
      </c>
      <c r="F69" s="69" t="str">
        <f>'HKG vs. BK'!P68</f>
        <v/>
      </c>
      <c r="G69" s="132" t="str">
        <f>'HKG vs. BK'!AX68</f>
        <v/>
      </c>
      <c r="H69" s="132" t="str">
        <f>'HKG vs. BK'!AY68</f>
        <v/>
      </c>
      <c r="I69" s="132" t="str">
        <f>'HKG vs. BK'!AW170</f>
        <v/>
      </c>
    </row>
    <row r="70" spans="1:9" s="29" customFormat="1" x14ac:dyDescent="0.2">
      <c r="A70" s="57" t="s">
        <v>72</v>
      </c>
      <c r="B70" s="68">
        <f>'HKG vs. BK'!L69</f>
        <v>0</v>
      </c>
      <c r="C70" s="69" t="str">
        <f>'HKG vs. BK'!M69</f>
        <v/>
      </c>
      <c r="D70" s="69" t="str">
        <f>'HKG vs. BK'!N69</f>
        <v/>
      </c>
      <c r="E70" s="69" t="str">
        <f>'HKG vs. BK'!O69</f>
        <v/>
      </c>
      <c r="F70" s="69" t="str">
        <f>'HKG vs. BK'!P69</f>
        <v/>
      </c>
      <c r="G70" s="132" t="str">
        <f>'HKG vs. BK'!AX69</f>
        <v/>
      </c>
      <c r="H70" s="132" t="str">
        <f>'HKG vs. BK'!AY69</f>
        <v/>
      </c>
      <c r="I70" s="132" t="str">
        <f>'HKG vs. BK'!AW171</f>
        <v/>
      </c>
    </row>
    <row r="71" spans="1:9" s="29" customFormat="1" x14ac:dyDescent="0.2">
      <c r="A71" s="57" t="s">
        <v>73</v>
      </c>
      <c r="B71" s="68">
        <f>'HKG vs. BK'!L70</f>
        <v>0</v>
      </c>
      <c r="C71" s="69" t="str">
        <f>'HKG vs. BK'!M70</f>
        <v/>
      </c>
      <c r="D71" s="69" t="str">
        <f>'HKG vs. BK'!N70</f>
        <v/>
      </c>
      <c r="E71" s="69" t="str">
        <f>'HKG vs. BK'!O70</f>
        <v/>
      </c>
      <c r="F71" s="69" t="str">
        <f>'HKG vs. BK'!P70</f>
        <v/>
      </c>
      <c r="G71" s="132" t="str">
        <f>'HKG vs. BK'!AX70</f>
        <v/>
      </c>
      <c r="H71" s="132" t="str">
        <f>'HKG vs. BK'!AY70</f>
        <v/>
      </c>
      <c r="I71" s="132" t="str">
        <f>'HKG vs. BK'!AW172</f>
        <v/>
      </c>
    </row>
    <row r="72" spans="1:9" s="29" customFormat="1" x14ac:dyDescent="0.2">
      <c r="A72" s="57" t="s">
        <v>74</v>
      </c>
      <c r="B72" s="68">
        <f>'HKG vs. BK'!L71</f>
        <v>0</v>
      </c>
      <c r="C72" s="69" t="str">
        <f>'HKG vs. BK'!M71</f>
        <v/>
      </c>
      <c r="D72" s="69" t="str">
        <f>'HKG vs. BK'!N71</f>
        <v/>
      </c>
      <c r="E72" s="69" t="str">
        <f>'HKG vs. BK'!O71</f>
        <v/>
      </c>
      <c r="F72" s="69" t="str">
        <f>'HKG vs. BK'!P71</f>
        <v/>
      </c>
      <c r="G72" s="132" t="str">
        <f>'HKG vs. BK'!AX71</f>
        <v/>
      </c>
      <c r="H72" s="132" t="str">
        <f>'HKG vs. BK'!AY71</f>
        <v/>
      </c>
      <c r="I72" s="132" t="str">
        <f>'HKG vs. BK'!AW173</f>
        <v/>
      </c>
    </row>
    <row r="73" spans="1:9" s="29" customFormat="1" x14ac:dyDescent="0.2">
      <c r="A73" s="57" t="s">
        <v>75</v>
      </c>
      <c r="B73" s="68">
        <f>'HKG vs. BK'!L72</f>
        <v>0</v>
      </c>
      <c r="C73" s="69" t="str">
        <f>'HKG vs. BK'!M72</f>
        <v/>
      </c>
      <c r="D73" s="69" t="str">
        <f>'HKG vs. BK'!N72</f>
        <v/>
      </c>
      <c r="E73" s="69" t="str">
        <f>'HKG vs. BK'!O72</f>
        <v/>
      </c>
      <c r="F73" s="69" t="str">
        <f>'HKG vs. BK'!P72</f>
        <v/>
      </c>
      <c r="G73" s="132" t="str">
        <f>'HKG vs. BK'!AX72</f>
        <v/>
      </c>
      <c r="H73" s="132" t="str">
        <f>'HKG vs. BK'!AY72</f>
        <v/>
      </c>
      <c r="I73" s="132" t="str">
        <f>'HKG vs. BK'!AW174</f>
        <v/>
      </c>
    </row>
    <row r="74" spans="1:9" s="29" customFormat="1" x14ac:dyDescent="0.2">
      <c r="A74" s="57" t="s">
        <v>76</v>
      </c>
      <c r="B74" s="68">
        <f>'HKG vs. BK'!L73</f>
        <v>0</v>
      </c>
      <c r="C74" s="69" t="str">
        <f>'HKG vs. BK'!M73</f>
        <v/>
      </c>
      <c r="D74" s="69" t="str">
        <f>'HKG vs. BK'!N73</f>
        <v/>
      </c>
      <c r="E74" s="69" t="str">
        <f>'HKG vs. BK'!O73</f>
        <v/>
      </c>
      <c r="F74" s="69" t="str">
        <f>'HKG vs. BK'!P73</f>
        <v/>
      </c>
      <c r="G74" s="132" t="str">
        <f>'HKG vs. BK'!AX73</f>
        <v/>
      </c>
      <c r="H74" s="132" t="str">
        <f>'HKG vs. BK'!AY73</f>
        <v/>
      </c>
      <c r="I74" s="132" t="str">
        <f>'HKG vs. BK'!AW175</f>
        <v/>
      </c>
    </row>
    <row r="75" spans="1:9" s="29" customFormat="1" x14ac:dyDescent="0.2">
      <c r="A75" s="57" t="s">
        <v>77</v>
      </c>
      <c r="B75" s="68">
        <f>'HKG vs. BK'!L74</f>
        <v>0</v>
      </c>
      <c r="C75" s="69" t="str">
        <f>'HKG vs. BK'!M74</f>
        <v/>
      </c>
      <c r="D75" s="69" t="str">
        <f>'HKG vs. BK'!N74</f>
        <v/>
      </c>
      <c r="E75" s="69" t="str">
        <f>'HKG vs. BK'!O74</f>
        <v/>
      </c>
      <c r="F75" s="69" t="str">
        <f>'HKG vs. BK'!P74</f>
        <v/>
      </c>
      <c r="G75" s="132" t="str">
        <f>'HKG vs. BK'!AX74</f>
        <v/>
      </c>
      <c r="H75" s="132" t="str">
        <f>'HKG vs. BK'!AY74</f>
        <v/>
      </c>
      <c r="I75" s="132" t="str">
        <f>'HKG vs. BK'!AW176</f>
        <v/>
      </c>
    </row>
    <row r="76" spans="1:9" s="29" customFormat="1" x14ac:dyDescent="0.2">
      <c r="A76" s="57" t="s">
        <v>78</v>
      </c>
      <c r="B76" s="68">
        <f>'HKG vs. BK'!L75</f>
        <v>0</v>
      </c>
      <c r="C76" s="69" t="str">
        <f>'HKG vs. BK'!M75</f>
        <v/>
      </c>
      <c r="D76" s="69" t="str">
        <f>'HKG vs. BK'!N75</f>
        <v/>
      </c>
      <c r="E76" s="69" t="str">
        <f>'HKG vs. BK'!O75</f>
        <v/>
      </c>
      <c r="F76" s="69" t="str">
        <f>'HKG vs. BK'!P75</f>
        <v/>
      </c>
      <c r="G76" s="132" t="str">
        <f>'HKG vs. BK'!AX75</f>
        <v/>
      </c>
      <c r="H76" s="132" t="str">
        <f>'HKG vs. BK'!AY75</f>
        <v/>
      </c>
      <c r="I76" s="132" t="str">
        <f>'HKG vs. BK'!AW177</f>
        <v/>
      </c>
    </row>
    <row r="77" spans="1:9" s="29" customFormat="1" x14ac:dyDescent="0.2">
      <c r="A77" s="57" t="s">
        <v>79</v>
      </c>
      <c r="B77" s="68">
        <f>'HKG vs. BK'!L76</f>
        <v>0</v>
      </c>
      <c r="C77" s="69" t="str">
        <f>'HKG vs. BK'!M76</f>
        <v/>
      </c>
      <c r="D77" s="69" t="str">
        <f>'HKG vs. BK'!N76</f>
        <v/>
      </c>
      <c r="E77" s="69" t="str">
        <f>'HKG vs. BK'!O76</f>
        <v/>
      </c>
      <c r="F77" s="69" t="str">
        <f>'HKG vs. BK'!P76</f>
        <v/>
      </c>
      <c r="G77" s="132" t="str">
        <f>'HKG vs. BK'!AX76</f>
        <v/>
      </c>
      <c r="H77" s="132" t="str">
        <f>'HKG vs. BK'!AY76</f>
        <v/>
      </c>
      <c r="I77" s="132" t="str">
        <f>'HKG vs. BK'!AW178</f>
        <v/>
      </c>
    </row>
    <row r="78" spans="1:9" s="29" customFormat="1" x14ac:dyDescent="0.2">
      <c r="A78" s="57" t="s">
        <v>80</v>
      </c>
      <c r="B78" s="68">
        <f>'HKG vs. BK'!L77</f>
        <v>0</v>
      </c>
      <c r="C78" s="69" t="str">
        <f>'HKG vs. BK'!M77</f>
        <v/>
      </c>
      <c r="D78" s="69" t="str">
        <f>'HKG vs. BK'!N77</f>
        <v/>
      </c>
      <c r="E78" s="69" t="str">
        <f>'HKG vs. BK'!O77</f>
        <v/>
      </c>
      <c r="F78" s="69" t="str">
        <f>'HKG vs. BK'!P77</f>
        <v/>
      </c>
      <c r="G78" s="132" t="str">
        <f>'HKG vs. BK'!AX77</f>
        <v/>
      </c>
      <c r="H78" s="132" t="str">
        <f>'HKG vs. BK'!AY77</f>
        <v/>
      </c>
      <c r="I78" s="132" t="str">
        <f>'HKG vs. BK'!AW179</f>
        <v/>
      </c>
    </row>
    <row r="79" spans="1:9" s="29" customFormat="1" x14ac:dyDescent="0.2">
      <c r="A79" s="57" t="s">
        <v>81</v>
      </c>
      <c r="B79" s="68">
        <f>'HKG vs. BK'!L78</f>
        <v>0</v>
      </c>
      <c r="C79" s="69" t="str">
        <f>'HKG vs. BK'!M78</f>
        <v/>
      </c>
      <c r="D79" s="69" t="str">
        <f>'HKG vs. BK'!N78</f>
        <v/>
      </c>
      <c r="E79" s="69" t="str">
        <f>'HKG vs. BK'!O78</f>
        <v/>
      </c>
      <c r="F79" s="69" t="str">
        <f>'HKG vs. BK'!P78</f>
        <v/>
      </c>
      <c r="G79" s="132" t="str">
        <f>'HKG vs. BK'!AX78</f>
        <v/>
      </c>
      <c r="H79" s="132" t="str">
        <f>'HKG vs. BK'!AY78</f>
        <v/>
      </c>
      <c r="I79" s="132" t="str">
        <f>'HKG vs. BK'!AW180</f>
        <v/>
      </c>
    </row>
    <row r="80" spans="1:9" s="29" customFormat="1" x14ac:dyDescent="0.2">
      <c r="A80" s="57" t="s">
        <v>82</v>
      </c>
      <c r="B80" s="68">
        <f>'HKG vs. BK'!L79</f>
        <v>0</v>
      </c>
      <c r="C80" s="69" t="str">
        <f>'HKG vs. BK'!M79</f>
        <v/>
      </c>
      <c r="D80" s="69" t="str">
        <f>'HKG vs. BK'!N79</f>
        <v/>
      </c>
      <c r="E80" s="69" t="str">
        <f>'HKG vs. BK'!O79</f>
        <v/>
      </c>
      <c r="F80" s="69" t="str">
        <f>'HKG vs. BK'!P79</f>
        <v/>
      </c>
      <c r="G80" s="132" t="str">
        <f>'HKG vs. BK'!AX79</f>
        <v/>
      </c>
      <c r="H80" s="132" t="str">
        <f>'HKG vs. BK'!AY79</f>
        <v/>
      </c>
      <c r="I80" s="132" t="str">
        <f>'HKG vs. BK'!AW181</f>
        <v/>
      </c>
    </row>
    <row r="81" spans="1:9" s="29" customFormat="1" x14ac:dyDescent="0.2">
      <c r="A81" s="57" t="s">
        <v>83</v>
      </c>
      <c r="B81" s="68">
        <f>'HKG vs. BK'!L80</f>
        <v>0</v>
      </c>
      <c r="C81" s="69" t="str">
        <f>'HKG vs. BK'!M80</f>
        <v/>
      </c>
      <c r="D81" s="69" t="str">
        <f>'HKG vs. BK'!N80</f>
        <v/>
      </c>
      <c r="E81" s="69" t="str">
        <f>'HKG vs. BK'!O80</f>
        <v/>
      </c>
      <c r="F81" s="69" t="str">
        <f>'HKG vs. BK'!P80</f>
        <v/>
      </c>
      <c r="G81" s="132" t="str">
        <f>'HKG vs. BK'!AX80</f>
        <v/>
      </c>
      <c r="H81" s="132" t="str">
        <f>'HKG vs. BK'!AY80</f>
        <v/>
      </c>
      <c r="I81" s="132" t="str">
        <f>'HKG vs. BK'!AW182</f>
        <v/>
      </c>
    </row>
    <row r="82" spans="1:9" s="29" customFormat="1" x14ac:dyDescent="0.2">
      <c r="A82" s="57" t="s">
        <v>84</v>
      </c>
      <c r="B82" s="68">
        <f>'HKG vs. BK'!L81</f>
        <v>0</v>
      </c>
      <c r="C82" s="69" t="str">
        <f>'HKG vs. BK'!M81</f>
        <v/>
      </c>
      <c r="D82" s="69" t="str">
        <f>'HKG vs. BK'!N81</f>
        <v/>
      </c>
      <c r="E82" s="69" t="str">
        <f>'HKG vs. BK'!O81</f>
        <v/>
      </c>
      <c r="F82" s="69" t="str">
        <f>'HKG vs. BK'!P81</f>
        <v/>
      </c>
      <c r="G82" s="132" t="str">
        <f>'HKG vs. BK'!AX81</f>
        <v/>
      </c>
      <c r="H82" s="132" t="str">
        <f>'HKG vs. BK'!AY81</f>
        <v/>
      </c>
      <c r="I82" s="132" t="str">
        <f>'HKG vs. BK'!AW183</f>
        <v/>
      </c>
    </row>
    <row r="83" spans="1:9" s="29" customFormat="1" x14ac:dyDescent="0.2">
      <c r="A83" s="57" t="s">
        <v>85</v>
      </c>
      <c r="B83" s="68">
        <f>'HKG vs. BK'!L82</f>
        <v>0</v>
      </c>
      <c r="C83" s="69" t="str">
        <f>'HKG vs. BK'!M82</f>
        <v/>
      </c>
      <c r="D83" s="69" t="str">
        <f>'HKG vs. BK'!N82</f>
        <v/>
      </c>
      <c r="E83" s="69" t="str">
        <f>'HKG vs. BK'!O82</f>
        <v/>
      </c>
      <c r="F83" s="69" t="str">
        <f>'HKG vs. BK'!P82</f>
        <v/>
      </c>
      <c r="G83" s="132" t="str">
        <f>'HKG vs. BK'!AX82</f>
        <v/>
      </c>
      <c r="H83" s="132" t="str">
        <f>'HKG vs. BK'!AY82</f>
        <v/>
      </c>
      <c r="I83" s="132" t="str">
        <f>'HKG vs. BK'!AW184</f>
        <v/>
      </c>
    </row>
    <row r="84" spans="1:9" s="29" customFormat="1" x14ac:dyDescent="0.2">
      <c r="A84" s="57" t="s">
        <v>86</v>
      </c>
      <c r="B84" s="68">
        <f>'HKG vs. BK'!L83</f>
        <v>0</v>
      </c>
      <c r="C84" s="69" t="str">
        <f>'HKG vs. BK'!M83</f>
        <v/>
      </c>
      <c r="D84" s="69" t="str">
        <f>'HKG vs. BK'!N83</f>
        <v/>
      </c>
      <c r="E84" s="69" t="str">
        <f>'HKG vs. BK'!O83</f>
        <v/>
      </c>
      <c r="F84" s="69" t="str">
        <f>'HKG vs. BK'!P83</f>
        <v/>
      </c>
      <c r="G84" s="132" t="str">
        <f>'HKG vs. BK'!AX83</f>
        <v/>
      </c>
      <c r="H84" s="132" t="str">
        <f>'HKG vs. BK'!AY83</f>
        <v/>
      </c>
      <c r="I84" s="132" t="str">
        <f>'HKG vs. BK'!AW185</f>
        <v/>
      </c>
    </row>
    <row r="85" spans="1:9" s="29" customFormat="1" x14ac:dyDescent="0.2">
      <c r="A85" s="57" t="s">
        <v>87</v>
      </c>
      <c r="B85" s="68">
        <f>'HKG vs. BK'!L84</f>
        <v>0</v>
      </c>
      <c r="C85" s="69" t="str">
        <f>'HKG vs. BK'!M84</f>
        <v/>
      </c>
      <c r="D85" s="69" t="str">
        <f>'HKG vs. BK'!N84</f>
        <v/>
      </c>
      <c r="E85" s="69" t="str">
        <f>'HKG vs. BK'!O84</f>
        <v/>
      </c>
      <c r="F85" s="69" t="str">
        <f>'HKG vs. BK'!P84</f>
        <v/>
      </c>
      <c r="G85" s="132" t="str">
        <f>'HKG vs. BK'!AX84</f>
        <v/>
      </c>
      <c r="H85" s="132" t="str">
        <f>'HKG vs. BK'!AY84</f>
        <v/>
      </c>
      <c r="I85" s="132" t="str">
        <f>'HKG vs. BK'!AW186</f>
        <v/>
      </c>
    </row>
    <row r="86" spans="1:9" s="29" customFormat="1" x14ac:dyDescent="0.2">
      <c r="A86" s="57" t="s">
        <v>88</v>
      </c>
      <c r="B86" s="68">
        <f>'HKG vs. BK'!L85</f>
        <v>0</v>
      </c>
      <c r="C86" s="69" t="str">
        <f>'HKG vs. BK'!M85</f>
        <v/>
      </c>
      <c r="D86" s="69" t="str">
        <f>'HKG vs. BK'!N85</f>
        <v/>
      </c>
      <c r="E86" s="69" t="str">
        <f>'HKG vs. BK'!O85</f>
        <v/>
      </c>
      <c r="F86" s="69" t="str">
        <f>'HKG vs. BK'!P85</f>
        <v/>
      </c>
      <c r="G86" s="132" t="str">
        <f>'HKG vs. BK'!AX85</f>
        <v/>
      </c>
      <c r="H86" s="132" t="str">
        <f>'HKG vs. BK'!AY85</f>
        <v/>
      </c>
      <c r="I86" s="132" t="str">
        <f>'HKG vs. BK'!AW187</f>
        <v/>
      </c>
    </row>
    <row r="87" spans="1:9" s="29" customFormat="1" x14ac:dyDescent="0.2">
      <c r="A87" s="57" t="s">
        <v>89</v>
      </c>
      <c r="B87" s="68">
        <f>'HKG vs. BK'!L86</f>
        <v>0</v>
      </c>
      <c r="C87" s="69" t="str">
        <f>'HKG vs. BK'!M86</f>
        <v/>
      </c>
      <c r="D87" s="69" t="str">
        <f>'HKG vs. BK'!N86</f>
        <v/>
      </c>
      <c r="E87" s="69" t="str">
        <f>'HKG vs. BK'!O86</f>
        <v/>
      </c>
      <c r="F87" s="69" t="str">
        <f>'HKG vs. BK'!P86</f>
        <v/>
      </c>
      <c r="G87" s="132" t="str">
        <f>'HKG vs. BK'!AX86</f>
        <v/>
      </c>
      <c r="H87" s="132" t="str">
        <f>'HKG vs. BK'!AY86</f>
        <v/>
      </c>
      <c r="I87" s="132" t="str">
        <f>'HKG vs. BK'!AW188</f>
        <v/>
      </c>
    </row>
    <row r="88" spans="1:9" s="29" customFormat="1" x14ac:dyDescent="0.2">
      <c r="A88" s="57" t="s">
        <v>90</v>
      </c>
      <c r="B88" s="68">
        <f>'HKG vs. BK'!L87</f>
        <v>0</v>
      </c>
      <c r="C88" s="69" t="str">
        <f>'HKG vs. BK'!M87</f>
        <v/>
      </c>
      <c r="D88" s="69" t="str">
        <f>'HKG vs. BK'!N87</f>
        <v/>
      </c>
      <c r="E88" s="69" t="str">
        <f>'HKG vs. BK'!O87</f>
        <v/>
      </c>
      <c r="F88" s="69" t="str">
        <f>'HKG vs. BK'!P87</f>
        <v/>
      </c>
      <c r="G88" s="132" t="str">
        <f>'HKG vs. BK'!AX87</f>
        <v/>
      </c>
      <c r="H88" s="132" t="str">
        <f>'HKG vs. BK'!AY87</f>
        <v/>
      </c>
      <c r="I88" s="132" t="str">
        <f>'HKG vs. BK'!AW189</f>
        <v/>
      </c>
    </row>
    <row r="89" spans="1:9" s="29" customFormat="1" x14ac:dyDescent="0.2">
      <c r="A89" s="57" t="s">
        <v>91</v>
      </c>
      <c r="B89" s="68">
        <f>'HKG vs. BK'!L88</f>
        <v>0</v>
      </c>
      <c r="C89" s="69" t="str">
        <f>'HKG vs. BK'!M88</f>
        <v/>
      </c>
      <c r="D89" s="69" t="str">
        <f>'HKG vs. BK'!N88</f>
        <v/>
      </c>
      <c r="E89" s="69" t="str">
        <f>'HKG vs. BK'!O88</f>
        <v/>
      </c>
      <c r="F89" s="69" t="str">
        <f>'HKG vs. BK'!P88</f>
        <v/>
      </c>
      <c r="G89" s="132" t="str">
        <f>'HKG vs. BK'!AX88</f>
        <v/>
      </c>
      <c r="H89" s="132" t="str">
        <f>'HKG vs. BK'!AY88</f>
        <v/>
      </c>
      <c r="I89" s="132" t="str">
        <f>'HKG vs. BK'!AW190</f>
        <v/>
      </c>
    </row>
    <row r="90" spans="1:9" s="29" customFormat="1" x14ac:dyDescent="0.2">
      <c r="A90" s="57" t="s">
        <v>92</v>
      </c>
      <c r="B90" s="68">
        <f>'HKG vs. BK'!L89</f>
        <v>0</v>
      </c>
      <c r="C90" s="69" t="str">
        <f>'HKG vs. BK'!M89</f>
        <v/>
      </c>
      <c r="D90" s="69" t="str">
        <f>'HKG vs. BK'!N89</f>
        <v/>
      </c>
      <c r="E90" s="69" t="str">
        <f>'HKG vs. BK'!O89</f>
        <v/>
      </c>
      <c r="F90" s="69" t="str">
        <f>'HKG vs. BK'!P89</f>
        <v/>
      </c>
      <c r="G90" s="132" t="str">
        <f>'HKG vs. BK'!AX89</f>
        <v/>
      </c>
      <c r="H90" s="132" t="str">
        <f>'HKG vs. BK'!AY89</f>
        <v/>
      </c>
      <c r="I90" s="132" t="str">
        <f>'HKG vs. BK'!AW191</f>
        <v/>
      </c>
    </row>
    <row r="91" spans="1:9" s="29" customFormat="1" x14ac:dyDescent="0.2">
      <c r="A91" s="57" t="s">
        <v>93</v>
      </c>
      <c r="B91" s="68">
        <f>'HKG vs. BK'!L90</f>
        <v>0</v>
      </c>
      <c r="C91" s="69" t="str">
        <f>'HKG vs. BK'!M90</f>
        <v/>
      </c>
      <c r="D91" s="69" t="str">
        <f>'HKG vs. BK'!N90</f>
        <v/>
      </c>
      <c r="E91" s="69" t="str">
        <f>'HKG vs. BK'!O90</f>
        <v/>
      </c>
      <c r="F91" s="69" t="str">
        <f>'HKG vs. BK'!P90</f>
        <v/>
      </c>
      <c r="G91" s="132" t="str">
        <f>'HKG vs. BK'!AX90</f>
        <v/>
      </c>
      <c r="H91" s="132" t="str">
        <f>'HKG vs. BK'!AY90</f>
        <v/>
      </c>
      <c r="I91" s="132" t="str">
        <f>'HKG vs. BK'!AW192</f>
        <v/>
      </c>
    </row>
    <row r="92" spans="1:9" s="29" customFormat="1" x14ac:dyDescent="0.2">
      <c r="A92" s="57" t="s">
        <v>94</v>
      </c>
      <c r="B92" s="68">
        <f>'HKG vs. BK'!L91</f>
        <v>0</v>
      </c>
      <c r="C92" s="69" t="str">
        <f>'HKG vs. BK'!M91</f>
        <v/>
      </c>
      <c r="D92" s="69" t="str">
        <f>'HKG vs. BK'!N91</f>
        <v/>
      </c>
      <c r="E92" s="69" t="str">
        <f>'HKG vs. BK'!O91</f>
        <v/>
      </c>
      <c r="F92" s="69" t="str">
        <f>'HKG vs. BK'!P91</f>
        <v/>
      </c>
      <c r="G92" s="132" t="str">
        <f>'HKG vs. BK'!AX91</f>
        <v/>
      </c>
      <c r="H92" s="132" t="str">
        <f>'HKG vs. BK'!AY91</f>
        <v/>
      </c>
      <c r="I92" s="132" t="str">
        <f>'HKG vs. BK'!AW193</f>
        <v/>
      </c>
    </row>
    <row r="93" spans="1:9" s="29" customFormat="1" x14ac:dyDescent="0.2">
      <c r="A93" s="57" t="s">
        <v>95</v>
      </c>
      <c r="B93" s="68">
        <f>'HKG vs. BK'!L92</f>
        <v>0</v>
      </c>
      <c r="C93" s="69" t="str">
        <f>'HKG vs. BK'!M92</f>
        <v/>
      </c>
      <c r="D93" s="69" t="str">
        <f>'HKG vs. BK'!N92</f>
        <v/>
      </c>
      <c r="E93" s="69" t="str">
        <f>'HKG vs. BK'!O92</f>
        <v/>
      </c>
      <c r="F93" s="69" t="str">
        <f>'HKG vs. BK'!P92</f>
        <v/>
      </c>
      <c r="G93" s="132" t="str">
        <f>'HKG vs. BK'!AX92</f>
        <v/>
      </c>
      <c r="H93" s="132" t="str">
        <f>'HKG vs. BK'!AY92</f>
        <v/>
      </c>
      <c r="I93" s="132" t="str">
        <f>'HKG vs. BK'!AW194</f>
        <v/>
      </c>
    </row>
    <row r="94" spans="1:9" s="29" customFormat="1" x14ac:dyDescent="0.2">
      <c r="A94" s="57" t="s">
        <v>96</v>
      </c>
      <c r="B94" s="68">
        <f>'HKG vs. BK'!L93</f>
        <v>0</v>
      </c>
      <c r="C94" s="69" t="str">
        <f>'HKG vs. BK'!M93</f>
        <v/>
      </c>
      <c r="D94" s="69" t="str">
        <f>'HKG vs. BK'!N93</f>
        <v/>
      </c>
      <c r="E94" s="69" t="str">
        <f>'HKG vs. BK'!O93</f>
        <v/>
      </c>
      <c r="F94" s="69" t="str">
        <f>'HKG vs. BK'!P93</f>
        <v/>
      </c>
      <c r="G94" s="132" t="str">
        <f>'HKG vs. BK'!AX93</f>
        <v/>
      </c>
      <c r="H94" s="132" t="str">
        <f>'HKG vs. BK'!AY93</f>
        <v/>
      </c>
      <c r="I94" s="132" t="str">
        <f>'HKG vs. BK'!AW195</f>
        <v/>
      </c>
    </row>
    <row r="95" spans="1:9" s="29" customFormat="1" x14ac:dyDescent="0.2">
      <c r="A95" s="57" t="s">
        <v>97</v>
      </c>
      <c r="B95" s="68">
        <f>'HKG vs. BK'!L94</f>
        <v>0</v>
      </c>
      <c r="C95" s="69" t="str">
        <f>'HKG vs. BK'!M94</f>
        <v/>
      </c>
      <c r="D95" s="69" t="str">
        <f>'HKG vs. BK'!N94</f>
        <v/>
      </c>
      <c r="E95" s="69" t="str">
        <f>'HKG vs. BK'!O94</f>
        <v/>
      </c>
      <c r="F95" s="69" t="str">
        <f>'HKG vs. BK'!P94</f>
        <v/>
      </c>
      <c r="G95" s="132" t="str">
        <f>'HKG vs. BK'!AX94</f>
        <v/>
      </c>
      <c r="H95" s="132" t="str">
        <f>'HKG vs. BK'!AY94</f>
        <v/>
      </c>
      <c r="I95" s="132" t="str">
        <f>'HKG vs. BK'!AW196</f>
        <v/>
      </c>
    </row>
    <row r="96" spans="1:9" s="29" customFormat="1" x14ac:dyDescent="0.2">
      <c r="A96" s="57" t="s">
        <v>98</v>
      </c>
      <c r="B96" s="68">
        <f>'HKG vs. BK'!L95</f>
        <v>0</v>
      </c>
      <c r="C96" s="69" t="str">
        <f>'HKG vs. BK'!M95</f>
        <v/>
      </c>
      <c r="D96" s="69" t="str">
        <f>'HKG vs. BK'!N95</f>
        <v/>
      </c>
      <c r="E96" s="69" t="str">
        <f>'HKG vs. BK'!O95</f>
        <v/>
      </c>
      <c r="F96" s="69" t="str">
        <f>'HKG vs. BK'!P95</f>
        <v/>
      </c>
      <c r="G96" s="132" t="str">
        <f>'HKG vs. BK'!AX95</f>
        <v/>
      </c>
      <c r="H96" s="132" t="str">
        <f>'HKG vs. BK'!AY95</f>
        <v/>
      </c>
      <c r="I96" s="132" t="str">
        <f>'HKG vs. BK'!AW197</f>
        <v/>
      </c>
    </row>
    <row r="97" spans="1:9" s="29" customFormat="1" x14ac:dyDescent="0.2">
      <c r="A97" s="57" t="s">
        <v>99</v>
      </c>
      <c r="B97" s="68">
        <f>'HKG vs. BK'!L96</f>
        <v>0</v>
      </c>
      <c r="C97" s="69" t="str">
        <f>'HKG vs. BK'!M96</f>
        <v/>
      </c>
      <c r="D97" s="69" t="str">
        <f>'HKG vs. BK'!N96</f>
        <v/>
      </c>
      <c r="E97" s="69" t="str">
        <f>'HKG vs. BK'!O96</f>
        <v/>
      </c>
      <c r="F97" s="69" t="str">
        <f>'HKG vs. BK'!P96</f>
        <v/>
      </c>
      <c r="G97" s="132" t="str">
        <f>'HKG vs. BK'!AX96</f>
        <v/>
      </c>
      <c r="H97" s="132" t="str">
        <f>'HKG vs. BK'!AY96</f>
        <v/>
      </c>
      <c r="I97" s="132" t="str">
        <f>'HKG vs. BK'!AW198</f>
        <v/>
      </c>
    </row>
    <row r="98" spans="1:9" s="29" customFormat="1" x14ac:dyDescent="0.2">
      <c r="A98" s="57" t="s">
        <v>100</v>
      </c>
      <c r="B98" s="68">
        <f>'HKG vs. BK'!L97</f>
        <v>0</v>
      </c>
      <c r="C98" s="69" t="str">
        <f>'HKG vs. BK'!M97</f>
        <v/>
      </c>
      <c r="D98" s="69" t="str">
        <f>'HKG vs. BK'!N97</f>
        <v/>
      </c>
      <c r="E98" s="69" t="str">
        <f>'HKG vs. BK'!O97</f>
        <v/>
      </c>
      <c r="F98" s="69" t="str">
        <f>'HKG vs. BK'!P97</f>
        <v/>
      </c>
      <c r="G98" s="132" t="str">
        <f>'HKG vs. BK'!AX97</f>
        <v/>
      </c>
      <c r="H98" s="132" t="str">
        <f>'HKG vs. BK'!AY97</f>
        <v/>
      </c>
      <c r="I98" s="132" t="str">
        <f>'HKG vs. BK'!AW199</f>
        <v/>
      </c>
    </row>
    <row r="99" spans="1:9" s="29" customFormat="1" x14ac:dyDescent="0.2">
      <c r="A99" s="57" t="s">
        <v>101</v>
      </c>
      <c r="B99" s="68">
        <f>'HKG vs. BK'!L98</f>
        <v>0</v>
      </c>
      <c r="C99" s="69" t="str">
        <f>'HKG vs. BK'!M98</f>
        <v/>
      </c>
      <c r="D99" s="69" t="str">
        <f>'HKG vs. BK'!N98</f>
        <v/>
      </c>
      <c r="E99" s="69" t="str">
        <f>'HKG vs. BK'!O98</f>
        <v/>
      </c>
      <c r="F99" s="69" t="str">
        <f>'HKG vs. BK'!P98</f>
        <v/>
      </c>
      <c r="G99" s="132" t="str">
        <f>'HKG vs. BK'!AX98</f>
        <v/>
      </c>
      <c r="H99" s="132" t="str">
        <f>'HKG vs. BK'!AY98</f>
        <v/>
      </c>
      <c r="I99" s="132" t="str">
        <f>'HKG vs. BK'!AW200</f>
        <v/>
      </c>
    </row>
    <row r="100" spans="1:9" s="29" customFormat="1" x14ac:dyDescent="0.2">
      <c r="A100" s="57" t="s">
        <v>102</v>
      </c>
      <c r="B100" s="68">
        <f>'HKG vs. BK'!L99</f>
        <v>0</v>
      </c>
      <c r="C100" s="69" t="str">
        <f>'HKG vs. BK'!M99</f>
        <v/>
      </c>
      <c r="D100" s="69" t="str">
        <f>'HKG vs. BK'!N99</f>
        <v/>
      </c>
      <c r="E100" s="69" t="str">
        <f>'HKG vs. BK'!O99</f>
        <v/>
      </c>
      <c r="F100" s="69" t="str">
        <f>'HKG vs. BK'!P99</f>
        <v/>
      </c>
      <c r="G100" s="132" t="str">
        <f>'HKG vs. BK'!AX99</f>
        <v/>
      </c>
      <c r="H100" s="132" t="str">
        <f>'HKG vs. BK'!AY99</f>
        <v/>
      </c>
      <c r="I100" s="132" t="str">
        <f>'HKG vs. BK'!AW201</f>
        <v/>
      </c>
    </row>
    <row r="101" spans="1:9" s="29" customFormat="1" x14ac:dyDescent="0.2">
      <c r="A101" s="57" t="s">
        <v>103</v>
      </c>
      <c r="B101" s="68">
        <f>'HKG vs. BK'!L100</f>
        <v>0</v>
      </c>
      <c r="C101" s="69" t="str">
        <f>'HKG vs. BK'!M100</f>
        <v/>
      </c>
      <c r="D101" s="69" t="str">
        <f>'HKG vs. BK'!N100</f>
        <v/>
      </c>
      <c r="E101" s="69" t="str">
        <f>'HKG vs. BK'!O100</f>
        <v/>
      </c>
      <c r="F101" s="69" t="str">
        <f>'HKG vs. BK'!P100</f>
        <v/>
      </c>
      <c r="G101" s="132" t="str">
        <f>'HKG vs. BK'!AX100</f>
        <v/>
      </c>
      <c r="H101" s="132" t="str">
        <f>'HKG vs. BK'!AY100</f>
        <v/>
      </c>
      <c r="I101" s="132" t="str">
        <f>'HKG vs. BK'!AW202</f>
        <v/>
      </c>
    </row>
    <row r="102" spans="1:9" s="29" customFormat="1" x14ac:dyDescent="0.2">
      <c r="A102" s="57" t="s">
        <v>104</v>
      </c>
      <c r="B102" s="68">
        <f>'HKG vs. BK'!L101</f>
        <v>0</v>
      </c>
      <c r="C102" s="69" t="str">
        <f>'HKG vs. BK'!M101</f>
        <v/>
      </c>
      <c r="D102" s="69" t="str">
        <f>'HKG vs. BK'!N101</f>
        <v/>
      </c>
      <c r="E102" s="69" t="str">
        <f>'HKG vs. BK'!O101</f>
        <v/>
      </c>
      <c r="F102" s="69" t="str">
        <f>'HKG vs. BK'!P101</f>
        <v/>
      </c>
      <c r="G102" s="132" t="str">
        <f>'HKG vs. BK'!AX101</f>
        <v/>
      </c>
      <c r="H102" s="132" t="str">
        <f>'HKG vs. BK'!AY101</f>
        <v/>
      </c>
      <c r="I102" s="132" t="str">
        <f>'HKG vs. BK'!AW203</f>
        <v/>
      </c>
    </row>
    <row r="103" spans="1:9" s="29" customFormat="1" x14ac:dyDescent="0.2">
      <c r="A103" s="57" t="s">
        <v>105</v>
      </c>
      <c r="B103" s="68">
        <f>'HKG vs. BK'!L102</f>
        <v>0</v>
      </c>
      <c r="C103" s="69" t="str">
        <f>'HKG vs. BK'!M102</f>
        <v/>
      </c>
      <c r="D103" s="69" t="str">
        <f>'HKG vs. BK'!N102</f>
        <v/>
      </c>
      <c r="E103" s="69" t="str">
        <f>'HKG vs. BK'!O102</f>
        <v/>
      </c>
      <c r="F103" s="69" t="str">
        <f>'HKG vs. BK'!P102</f>
        <v/>
      </c>
      <c r="G103" s="132" t="str">
        <f>'HKG vs. BK'!AX102</f>
        <v/>
      </c>
      <c r="H103" s="132" t="str">
        <f>'HKG vs. BK'!AY102</f>
        <v/>
      </c>
      <c r="I103" s="132" t="str">
        <f>'HKG vs. BK'!AW204</f>
        <v/>
      </c>
    </row>
    <row r="104" spans="1:9" s="29" customFormat="1" x14ac:dyDescent="0.2">
      <c r="A104" s="57" t="s">
        <v>106</v>
      </c>
      <c r="B104" s="68">
        <f>'HKG vs. BK'!L103</f>
        <v>0</v>
      </c>
      <c r="C104" s="69" t="str">
        <f>'HKG vs. BK'!M103</f>
        <v/>
      </c>
      <c r="D104" s="69" t="str">
        <f>'HKG vs. BK'!N103</f>
        <v/>
      </c>
      <c r="E104" s="69" t="str">
        <f>'HKG vs. BK'!O103</f>
        <v/>
      </c>
      <c r="F104" s="69" t="str">
        <f>'HKG vs. BK'!P103</f>
        <v/>
      </c>
      <c r="G104" s="132" t="str">
        <f>'HKG vs. BK'!AX103</f>
        <v/>
      </c>
      <c r="H104" s="132" t="str">
        <f>'HKG vs. BK'!AY103</f>
        <v/>
      </c>
      <c r="I104" s="132" t="str">
        <f>'HKG vs. BK'!AW205</f>
        <v/>
      </c>
    </row>
    <row r="105" spans="1:9" s="29" customFormat="1" x14ac:dyDescent="0.2">
      <c r="A105" s="57" t="s">
        <v>107</v>
      </c>
      <c r="B105" s="68">
        <f>'HKG vs. BK'!L104</f>
        <v>0</v>
      </c>
      <c r="C105" s="69" t="str">
        <f>'HKG vs. BK'!M104</f>
        <v/>
      </c>
      <c r="D105" s="69" t="str">
        <f>'HKG vs. BK'!N104</f>
        <v/>
      </c>
      <c r="E105" s="69" t="str">
        <f>'HKG vs. BK'!O104</f>
        <v/>
      </c>
      <c r="F105" s="69" t="str">
        <f>'HKG vs. BK'!P104</f>
        <v/>
      </c>
      <c r="G105" s="132" t="str">
        <f>'HKG vs. BK'!AX104</f>
        <v/>
      </c>
      <c r="H105" s="132" t="str">
        <f>'HKG vs. BK'!AY104</f>
        <v/>
      </c>
      <c r="I105" s="132" t="str">
        <f>'HKG vs. BK'!AW206</f>
        <v/>
      </c>
    </row>
    <row r="106" spans="1:9" s="29" customFormat="1" x14ac:dyDescent="0.2">
      <c r="A106" s="57" t="s">
        <v>108</v>
      </c>
      <c r="B106" s="68">
        <f>'HKG vs. BK'!L105</f>
        <v>0</v>
      </c>
      <c r="C106" s="69" t="str">
        <f>'HKG vs. BK'!M105</f>
        <v/>
      </c>
      <c r="D106" s="69" t="str">
        <f>'HKG vs. BK'!N105</f>
        <v/>
      </c>
      <c r="E106" s="69" t="str">
        <f>'HKG vs. BK'!O105</f>
        <v/>
      </c>
      <c r="F106" s="69" t="str">
        <f>'HKG vs. BK'!P105</f>
        <v/>
      </c>
      <c r="G106" s="132" t="str">
        <f>'HKG vs. BK'!AX105</f>
        <v/>
      </c>
      <c r="H106" s="132" t="str">
        <f>'HKG vs. BK'!AY105</f>
        <v/>
      </c>
      <c r="I106" s="132" t="str">
        <f>'HKG vs. BK'!AW207</f>
        <v/>
      </c>
    </row>
    <row r="107" spans="1:9" s="29" customFormat="1" x14ac:dyDescent="0.2">
      <c r="A107" s="57"/>
      <c r="B107" s="144"/>
      <c r="C107" s="145"/>
      <c r="D107" s="145"/>
      <c r="E107" s="145"/>
      <c r="F107" s="145"/>
      <c r="G107" s="73"/>
    </row>
    <row r="108" spans="1:9" x14ac:dyDescent="0.2">
      <c r="C108" s="146" t="s">
        <v>149</v>
      </c>
    </row>
    <row r="109" spans="1:9" x14ac:dyDescent="0.2">
      <c r="A109" s="79" t="s">
        <v>1</v>
      </c>
      <c r="B109" s="79"/>
      <c r="C109" s="79">
        <f>'HKG vs. BK'!M109</f>
        <v>28</v>
      </c>
      <c r="D109" s="147"/>
    </row>
    <row r="110" spans="1:9" x14ac:dyDescent="0.2">
      <c r="A110" s="7" t="s">
        <v>156</v>
      </c>
      <c r="B110" s="79"/>
      <c r="C110" s="7">
        <f>'HKG vs. BK'!M110</f>
        <v>21.598117157419043</v>
      </c>
      <c r="D110" s="147"/>
    </row>
    <row r="111" spans="1:9" x14ac:dyDescent="0.2">
      <c r="A111" s="7" t="s">
        <v>157</v>
      </c>
      <c r="B111" s="79"/>
      <c r="C111" s="7">
        <f>'HKG vs. BK'!M111</f>
        <v>21.635007515875213</v>
      </c>
      <c r="D111" s="147"/>
    </row>
    <row r="112" spans="1:9" x14ac:dyDescent="0.2">
      <c r="A112" s="7" t="s">
        <v>158</v>
      </c>
      <c r="B112" s="79"/>
      <c r="C112" s="7">
        <f>'HKG vs. BK'!M112</f>
        <v>19.924131660822795</v>
      </c>
      <c r="D112" s="147"/>
    </row>
    <row r="113" spans="1:4" x14ac:dyDescent="0.2">
      <c r="A113" s="7" t="s">
        <v>159</v>
      </c>
      <c r="B113" s="79"/>
      <c r="C113" s="7">
        <f>'HKG vs. BK'!M113</f>
        <v>25.947119292885088</v>
      </c>
      <c r="D113" s="147"/>
    </row>
    <row r="114" spans="1:4" x14ac:dyDescent="0.2">
      <c r="A114" s="7" t="s">
        <v>328</v>
      </c>
      <c r="B114" s="79"/>
      <c r="C114" s="7">
        <f>'HKG vs. BK'!M114</f>
        <v>0.94784222454135869</v>
      </c>
      <c r="D114" s="147"/>
    </row>
    <row r="115" spans="1:4" x14ac:dyDescent="0.2">
      <c r="A115" s="7" t="s">
        <v>226</v>
      </c>
      <c r="B115" s="79"/>
      <c r="C115" s="7">
        <f>'HKG vs. BK'!M115</f>
        <v>4.3810579859787726</v>
      </c>
      <c r="D115" s="147"/>
    </row>
    <row r="116" spans="1:4" x14ac:dyDescent="0.2">
      <c r="A116" s="6"/>
      <c r="B116" s="147"/>
      <c r="C116" s="147"/>
      <c r="D116" s="147"/>
    </row>
  </sheetData>
  <sheetProtection password="EB75" sheet="1" objects="1" scenarios="1"/>
  <phoneticPr fontId="0" type="noConversion"/>
  <conditionalFormatting sqref="I7:I106">
    <cfRule type="cellIs" dxfId="5" priority="1" stopIfTrue="1" operator="between">
      <formula>5</formula>
      <formula>500</formula>
    </cfRule>
  </conditionalFormatting>
  <conditionalFormatting sqref="H8">
    <cfRule type="expression" priority="2" stopIfTrue="1">
      <formula>$I$8</formula>
    </cfRule>
  </conditionalFormatting>
  <conditionalFormatting sqref="A7:A106">
    <cfRule type="expression" dxfId="4" priority="3" stopIfTrue="1">
      <formula>AND(($B7&gt;0),($I7&gt;5))</formula>
    </cfRule>
  </conditionalFormatting>
  <pageMargins left="0.75" right="0.75" top="1" bottom="1" header="0.4921259845" footer="0.4921259845"/>
  <pageSetup paperSize="9" scale="46" orientation="portrait" r:id="rId1"/>
  <headerFooter alignWithMargins="0"/>
  <rowBreaks count="1" manualBreakCount="1">
    <brk id="66" max="8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Y58"/>
  <sheetViews>
    <sheetView view="pageBreakPreview" topLeftCell="B1" zoomScaleNormal="25" zoomScaleSheetLayoutView="25" workbookViewId="0">
      <selection activeCell="J3" sqref="J3"/>
    </sheetView>
  </sheetViews>
  <sheetFormatPr defaultColWidth="11.5703125" defaultRowHeight="12.75" x14ac:dyDescent="0.2"/>
  <cols>
    <col min="1" max="1" width="21.7109375" style="3" customWidth="1"/>
    <col min="2" max="2" width="15.28515625" style="3" customWidth="1"/>
    <col min="3" max="3" width="15" style="3" customWidth="1"/>
    <col min="4" max="4" width="14.42578125" style="3" customWidth="1"/>
    <col min="5" max="5" width="13.7109375" style="3" customWidth="1"/>
    <col min="6" max="6" width="15.28515625" style="3" customWidth="1"/>
    <col min="7" max="7" width="13.42578125" style="3" customWidth="1"/>
    <col min="8" max="9" width="14.7109375" style="3" customWidth="1"/>
    <col min="10" max="10" width="13.7109375" style="3" customWidth="1"/>
    <col min="11" max="11" width="18.42578125" style="3" customWidth="1"/>
    <col min="12" max="12" width="20.7109375" style="50" customWidth="1"/>
    <col min="13" max="13" width="16.28515625" style="3" customWidth="1"/>
    <col min="14" max="14" width="14.28515625" style="3" customWidth="1"/>
    <col min="15" max="16" width="16.28515625" style="3" customWidth="1"/>
    <col min="17" max="17" width="16.140625" style="3" customWidth="1"/>
    <col min="18" max="18" width="16" style="3" customWidth="1"/>
    <col min="19" max="19" width="14" style="3" customWidth="1"/>
    <col min="20" max="20" width="15.7109375" style="3" customWidth="1"/>
    <col min="21" max="21" width="14.28515625" style="3" customWidth="1"/>
    <col min="22" max="22" width="15.5703125" style="3" customWidth="1"/>
    <col min="23" max="23" width="3.7109375" style="3" customWidth="1"/>
    <col min="24" max="24" width="13.5703125" style="3" customWidth="1"/>
    <col min="25" max="25" width="17.28515625" style="3" customWidth="1"/>
    <col min="26" max="16384" width="11.5703125" style="3"/>
  </cols>
  <sheetData>
    <row r="1" spans="1:25" ht="15.75" x14ac:dyDescent="0.25">
      <c r="A1" s="169" t="s">
        <v>393</v>
      </c>
      <c r="L1" s="169"/>
    </row>
    <row r="2" spans="1:25" x14ac:dyDescent="0.2">
      <c r="A2" s="117"/>
    </row>
    <row r="3" spans="1:25" x14ac:dyDescent="0.2">
      <c r="A3" s="117"/>
      <c r="B3" s="141" t="s">
        <v>355</v>
      </c>
      <c r="C3" s="35"/>
      <c r="D3" s="36"/>
      <c r="E3" s="33"/>
      <c r="F3" s="33"/>
      <c r="G3" s="36"/>
      <c r="H3" s="30"/>
      <c r="I3" s="32"/>
      <c r="J3" s="32"/>
    </row>
    <row r="5" spans="1:25" ht="15" x14ac:dyDescent="0.2">
      <c r="A5" s="172" t="s">
        <v>353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172" t="s">
        <v>352</v>
      </c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</row>
    <row r="6" spans="1:25" s="54" customFormat="1" x14ac:dyDescent="0.2">
      <c r="A6" s="148"/>
      <c r="B6" s="53" t="str">
        <f>IF(Intro!$B17&gt;0,Intro!$B17,"")</f>
        <v>ACTB</v>
      </c>
      <c r="C6" s="53" t="str">
        <f>IF(Intro!$B18&gt;0,Intro!$B18,"")</f>
        <v>SDHA</v>
      </c>
      <c r="D6" s="53" t="str">
        <f>IF(Intro!$B19&gt;0,Intro!$B19,"")</f>
        <v>HPRT1</v>
      </c>
      <c r="E6" s="53" t="str">
        <f>IF(Intro!$B20&gt;0,Intro!$B20,"")</f>
        <v>UBC</v>
      </c>
      <c r="F6" s="53" t="str">
        <f>IF(Intro!$B21&gt;0,Intro!$B21,"")</f>
        <v>PGK1</v>
      </c>
      <c r="G6" s="53" t="str">
        <f>IF(Intro!$B22&gt;0,Intro!$B22,"")</f>
        <v>PPIA</v>
      </c>
      <c r="H6" s="53" t="str">
        <f>IF(Intro!$B23&gt;0,Intro!$B23,"")</f>
        <v>ATP5B</v>
      </c>
      <c r="I6" s="53" t="str">
        <f>IF(Intro!$B24&gt;0,Intro!$B24,"")</f>
        <v>GUSB</v>
      </c>
      <c r="J6" s="53" t="str">
        <f>IF(Intro!$B25&gt;0,Intro!$B25,"")</f>
        <v>GAPDH</v>
      </c>
      <c r="K6" s="53" t="str">
        <f>IF(Intro!$B26&gt;0,Intro!$B26,"")</f>
        <v>YWHAZ</v>
      </c>
      <c r="L6" s="52"/>
      <c r="M6" s="53" t="str">
        <f>IF(Intro!$B29&gt;0,Intro!$B29,"")</f>
        <v/>
      </c>
      <c r="N6" s="53" t="str">
        <f>IF(Intro!$B30&gt;0,Intro!$B30,"")</f>
        <v/>
      </c>
      <c r="O6" s="53" t="str">
        <f>IF(Intro!$B31&gt;0,Intro!$B31,"")</f>
        <v/>
      </c>
      <c r="P6" s="53" t="str">
        <f>IF(Intro!$B32&gt;0,Intro!$B32,"")</f>
        <v/>
      </c>
      <c r="Q6" s="53" t="str">
        <f>IF(Intro!$B33&gt;0,Intro!$B33,"")</f>
        <v/>
      </c>
      <c r="R6" s="53" t="str">
        <f>IF(Intro!$B34&gt;0,Intro!$B34,"")</f>
        <v/>
      </c>
      <c r="S6" s="53" t="str">
        <f>IF(Intro!$B35&gt;0,Intro!$B35,"")</f>
        <v/>
      </c>
      <c r="T6" s="53" t="str">
        <f>IF(Intro!$B36&gt;0,Intro!$B36,"")</f>
        <v/>
      </c>
      <c r="U6" s="53" t="str">
        <f>IF(Intro!$B37&gt;0,Intro!$B37,"")</f>
        <v/>
      </c>
      <c r="V6" s="53" t="str">
        <f>IF(Intro!$B38&gt;0,Intro!$B38,"")</f>
        <v/>
      </c>
      <c r="W6" s="53"/>
      <c r="X6" s="53"/>
      <c r="Y6" s="149"/>
    </row>
    <row r="7" spans="1:25" s="55" customFormat="1" x14ac:dyDescent="0.2">
      <c r="A7" s="150"/>
      <c r="B7" s="151" t="s">
        <v>2</v>
      </c>
      <c r="C7" s="151" t="s">
        <v>4</v>
      </c>
      <c r="D7" s="151" t="s">
        <v>6</v>
      </c>
      <c r="E7" s="151" t="s">
        <v>8</v>
      </c>
      <c r="F7" s="151" t="s">
        <v>0</v>
      </c>
      <c r="G7" s="151" t="s">
        <v>133</v>
      </c>
      <c r="H7" s="151" t="s">
        <v>142</v>
      </c>
      <c r="I7" s="151" t="s">
        <v>131</v>
      </c>
      <c r="J7" s="151" t="s">
        <v>129</v>
      </c>
      <c r="K7" s="151" t="s">
        <v>126</v>
      </c>
      <c r="L7" s="151"/>
      <c r="M7" s="152" t="s">
        <v>227</v>
      </c>
      <c r="N7" s="152" t="s">
        <v>228</v>
      </c>
      <c r="O7" s="152" t="s">
        <v>229</v>
      </c>
      <c r="P7" s="152" t="s">
        <v>230</v>
      </c>
      <c r="Q7" s="152" t="s">
        <v>231</v>
      </c>
      <c r="R7" s="152" t="s">
        <v>232</v>
      </c>
      <c r="S7" s="152" t="s">
        <v>233</v>
      </c>
      <c r="T7" s="152" t="s">
        <v>234</v>
      </c>
      <c r="U7" s="152" t="s">
        <v>235</v>
      </c>
      <c r="V7" s="152" t="s">
        <v>236</v>
      </c>
      <c r="W7" s="150"/>
      <c r="X7" s="152" t="s">
        <v>149</v>
      </c>
      <c r="Y7" s="150"/>
    </row>
    <row r="8" spans="1:25" x14ac:dyDescent="0.2">
      <c r="A8" s="79" t="s">
        <v>1</v>
      </c>
      <c r="B8" s="79">
        <f>'HKG vs. BK'!B109</f>
        <v>28</v>
      </c>
      <c r="C8" s="79">
        <f>'HKG vs. BK'!C109</f>
        <v>28</v>
      </c>
      <c r="D8" s="79">
        <f>'HKG vs. BK'!D109</f>
        <v>28</v>
      </c>
      <c r="E8" s="79">
        <f>'HKG vs. BK'!E109</f>
        <v>28</v>
      </c>
      <c r="F8" s="79">
        <f>'HKG vs. BK'!F109</f>
        <v>28</v>
      </c>
      <c r="G8" s="79">
        <f>'HKG vs. BK'!G109</f>
        <v>28</v>
      </c>
      <c r="H8" s="79">
        <f>'HKG vs. BK'!H109</f>
        <v>28</v>
      </c>
      <c r="I8" s="79">
        <f>'HKG vs. BK'!I109</f>
        <v>28</v>
      </c>
      <c r="J8" s="79">
        <f>'HKG vs. BK'!J109</f>
        <v>28</v>
      </c>
      <c r="K8" s="79">
        <f>'HKG vs. BK'!K109</f>
        <v>28</v>
      </c>
      <c r="L8" s="79" t="s">
        <v>1</v>
      </c>
      <c r="M8" s="79">
        <f>'BK vs. TG'!B109</f>
        <v>0</v>
      </c>
      <c r="N8" s="79">
        <f>'BK vs. TG'!C109</f>
        <v>0</v>
      </c>
      <c r="O8" s="79">
        <f>'BK vs. TG'!D109</f>
        <v>0</v>
      </c>
      <c r="P8" s="79">
        <f>'BK vs. TG'!E109</f>
        <v>0</v>
      </c>
      <c r="Q8" s="79">
        <f>'BK vs. TG'!F109</f>
        <v>0</v>
      </c>
      <c r="R8" s="79">
        <f>'BK vs. TG'!G109</f>
        <v>0</v>
      </c>
      <c r="S8" s="79">
        <f>'BK vs. TG'!H109</f>
        <v>0</v>
      </c>
      <c r="T8" s="79">
        <f>'BK vs. TG'!I109</f>
        <v>0</v>
      </c>
      <c r="U8" s="79">
        <f>'BK vs. TG'!J109</f>
        <v>0</v>
      </c>
      <c r="V8" s="79">
        <f>'BK vs. TG'!K109</f>
        <v>0</v>
      </c>
      <c r="W8" s="79"/>
      <c r="X8" s="79">
        <f>'BK vs. TG'!M109</f>
        <v>28</v>
      </c>
      <c r="Y8" s="79" t="s">
        <v>1</v>
      </c>
    </row>
    <row r="9" spans="1:25" x14ac:dyDescent="0.2">
      <c r="A9" s="7" t="s">
        <v>156</v>
      </c>
      <c r="B9" s="7">
        <f>'HKG vs. BK'!B110</f>
        <v>18.9686252431759</v>
      </c>
      <c r="C9" s="7">
        <f>'HKG vs. BK'!C110</f>
        <v>23.961222172932999</v>
      </c>
      <c r="D9" s="7">
        <f>'HKG vs. BK'!D110</f>
        <v>25.688261283778065</v>
      </c>
      <c r="E9" s="7">
        <f>'HKG vs. BK'!E110</f>
        <v>18.691851852839797</v>
      </c>
      <c r="F9" s="7">
        <f>'HKG vs. BK'!F110</f>
        <v>22.553121152841079</v>
      </c>
      <c r="G9" s="7">
        <f>'HKG vs. BK'!G110</f>
        <v>20.602693257180029</v>
      </c>
      <c r="H9" s="7">
        <f>'HKG vs. BK'!H110</f>
        <v>19.737053865551637</v>
      </c>
      <c r="I9" s="7">
        <f>'HKG vs. BK'!I110</f>
        <v>25.83964076216532</v>
      </c>
      <c r="J9" s="7">
        <f>'HKG vs. BK'!J110</f>
        <v>17.73710214259448</v>
      </c>
      <c r="K9" s="7">
        <f>'HKG vs. BK'!K110</f>
        <v>24.079360535728128</v>
      </c>
      <c r="L9" s="7" t="s">
        <v>156</v>
      </c>
      <c r="M9" s="7" t="str">
        <f>'BK vs. TG'!B110</f>
        <v/>
      </c>
      <c r="N9" s="7" t="str">
        <f>'BK vs. TG'!C110</f>
        <v/>
      </c>
      <c r="O9" s="7" t="str">
        <f>'BK vs. TG'!D110</f>
        <v/>
      </c>
      <c r="P9" s="7" t="str">
        <f>'BK vs. TG'!E110</f>
        <v/>
      </c>
      <c r="Q9" s="7" t="str">
        <f>'BK vs. TG'!F110</f>
        <v/>
      </c>
      <c r="R9" s="7" t="str">
        <f>'BK vs. TG'!G110</f>
        <v/>
      </c>
      <c r="S9" s="7" t="str">
        <f>'BK vs. TG'!H110</f>
        <v/>
      </c>
      <c r="T9" s="7" t="str">
        <f>'BK vs. TG'!I110</f>
        <v/>
      </c>
      <c r="U9" s="7" t="str">
        <f>'BK vs. TG'!J110</f>
        <v/>
      </c>
      <c r="V9" s="7" t="str">
        <f>'BK vs. TG'!K110</f>
        <v/>
      </c>
      <c r="W9" s="7"/>
      <c r="X9" s="7">
        <f>'BK vs. TG'!M110</f>
        <v>21.598117157419043</v>
      </c>
      <c r="Y9" s="7" t="s">
        <v>156</v>
      </c>
    </row>
    <row r="10" spans="1:25" x14ac:dyDescent="0.2">
      <c r="A10" s="7" t="s">
        <v>157</v>
      </c>
      <c r="B10" s="7">
        <f>'HKG vs. BK'!B111</f>
        <v>19.017857142857142</v>
      </c>
      <c r="C10" s="7">
        <f>'HKG vs. BK'!C111</f>
        <v>24.048571428571428</v>
      </c>
      <c r="D10" s="7">
        <f>'HKG vs. BK'!D111</f>
        <v>25.718571428571426</v>
      </c>
      <c r="E10" s="7">
        <f>'HKG vs. BK'!E111</f>
        <v>18.733928571428571</v>
      </c>
      <c r="F10" s="7">
        <f>'HKG vs. BK'!F111</f>
        <v>22.61214285714286</v>
      </c>
      <c r="G10" s="7">
        <f>'HKG vs. BK'!G111</f>
        <v>20.625</v>
      </c>
      <c r="H10" s="7">
        <f>'HKG vs. BK'!H111</f>
        <v>19.769285714285719</v>
      </c>
      <c r="I10" s="7">
        <f>'HKG vs. BK'!I111</f>
        <v>25.955714285714286</v>
      </c>
      <c r="J10" s="7">
        <f>'HKG vs. BK'!J111</f>
        <v>17.787142857142861</v>
      </c>
      <c r="K10" s="7">
        <f>'HKG vs. BK'!K111</f>
        <v>24.138214285714287</v>
      </c>
      <c r="L10" s="7" t="s">
        <v>157</v>
      </c>
      <c r="M10" s="7" t="str">
        <f>'BK vs. TG'!B111</f>
        <v/>
      </c>
      <c r="N10" s="7" t="str">
        <f>'BK vs. TG'!C111</f>
        <v/>
      </c>
      <c r="O10" s="7" t="str">
        <f>'BK vs. TG'!D111</f>
        <v/>
      </c>
      <c r="P10" s="7" t="str">
        <f>'BK vs. TG'!E111</f>
        <v/>
      </c>
      <c r="Q10" s="7" t="str">
        <f>'BK vs. TG'!F111</f>
        <v/>
      </c>
      <c r="R10" s="7" t="str">
        <f>'BK vs. TG'!G111</f>
        <v/>
      </c>
      <c r="S10" s="7" t="str">
        <f>'BK vs. TG'!H111</f>
        <v/>
      </c>
      <c r="T10" s="7" t="str">
        <f>'BK vs. TG'!I111</f>
        <v/>
      </c>
      <c r="U10" s="7" t="str">
        <f>'BK vs. TG'!J111</f>
        <v/>
      </c>
      <c r="V10" s="7" t="str">
        <f>'BK vs. TG'!K111</f>
        <v/>
      </c>
      <c r="W10" s="7"/>
      <c r="X10" s="7">
        <f>'BK vs. TG'!M111</f>
        <v>21.635007515875213</v>
      </c>
      <c r="Y10" s="7" t="s">
        <v>157</v>
      </c>
    </row>
    <row r="11" spans="1:25" x14ac:dyDescent="0.2">
      <c r="A11" s="7" t="s">
        <v>158</v>
      </c>
      <c r="B11" s="7">
        <f>'HKG vs. BK'!B112</f>
        <v>16.84</v>
      </c>
      <c r="C11" s="7">
        <f>'HKG vs. BK'!C112</f>
        <v>20.65</v>
      </c>
      <c r="D11" s="7">
        <f>'HKG vs. BK'!D112</f>
        <v>23.5</v>
      </c>
      <c r="E11" s="7">
        <f>'HKG vs. BK'!E112</f>
        <v>16.96</v>
      </c>
      <c r="F11" s="7">
        <f>'HKG vs. BK'!F112</f>
        <v>20.78</v>
      </c>
      <c r="G11" s="7">
        <f>'HKG vs. BK'!G112</f>
        <v>19</v>
      </c>
      <c r="H11" s="7">
        <f>'HKG vs. BK'!H112</f>
        <v>18.28</v>
      </c>
      <c r="I11" s="7">
        <f>'HKG vs. BK'!I112</f>
        <v>21.35</v>
      </c>
      <c r="J11" s="7">
        <f>'HKG vs. BK'!J112</f>
        <v>15.83</v>
      </c>
      <c r="K11" s="7">
        <f>'HKG vs. BK'!K112</f>
        <v>21.91</v>
      </c>
      <c r="L11" s="7" t="s">
        <v>158</v>
      </c>
      <c r="M11" s="7" t="str">
        <f>'BK vs. TG'!B112</f>
        <v/>
      </c>
      <c r="N11" s="7" t="str">
        <f>'BK vs. TG'!C112</f>
        <v/>
      </c>
      <c r="O11" s="7" t="str">
        <f>'BK vs. TG'!D112</f>
        <v/>
      </c>
      <c r="P11" s="7" t="str">
        <f>'BK vs. TG'!E112</f>
        <v/>
      </c>
      <c r="Q11" s="7" t="str">
        <f>'BK vs. TG'!F112</f>
        <v/>
      </c>
      <c r="R11" s="7" t="str">
        <f>'BK vs. TG'!G112</f>
        <v/>
      </c>
      <c r="S11" s="7" t="str">
        <f>'BK vs. TG'!H112</f>
        <v/>
      </c>
      <c r="T11" s="7" t="str">
        <f>'BK vs. TG'!I112</f>
        <v/>
      </c>
      <c r="U11" s="7" t="str">
        <f>'BK vs. TG'!J112</f>
        <v/>
      </c>
      <c r="V11" s="7" t="str">
        <f>'BK vs. TG'!K112</f>
        <v/>
      </c>
      <c r="W11" s="7"/>
      <c r="X11" s="7">
        <f>'BK vs. TG'!M112</f>
        <v>19.924131660822795</v>
      </c>
      <c r="Y11" s="7" t="s">
        <v>158</v>
      </c>
    </row>
    <row r="12" spans="1:25" x14ac:dyDescent="0.2">
      <c r="A12" s="7" t="s">
        <v>159</v>
      </c>
      <c r="B12" s="7">
        <f>'HKG vs. BK'!B113</f>
        <v>23.12</v>
      </c>
      <c r="C12" s="7">
        <f>'HKG vs. BK'!C113</f>
        <v>30.22</v>
      </c>
      <c r="D12" s="7">
        <f>'HKG vs. BK'!D113</f>
        <v>29.05</v>
      </c>
      <c r="E12" s="7">
        <f>'HKG vs. BK'!E113</f>
        <v>22.05</v>
      </c>
      <c r="F12" s="7">
        <f>'HKG vs. BK'!F113</f>
        <v>28.82</v>
      </c>
      <c r="G12" s="7">
        <f>'HKG vs. BK'!G113</f>
        <v>23.07</v>
      </c>
      <c r="H12" s="7">
        <f>'HKG vs. BK'!H113</f>
        <v>23.42</v>
      </c>
      <c r="I12" s="7">
        <f>'HKG vs. BK'!I113</f>
        <v>33.409999999999997</v>
      </c>
      <c r="J12" s="7">
        <f>'HKG vs. BK'!J113</f>
        <v>22.02</v>
      </c>
      <c r="K12" s="7">
        <f>'HKG vs. BK'!K113</f>
        <v>29.68</v>
      </c>
      <c r="L12" s="7" t="s">
        <v>159</v>
      </c>
      <c r="M12" s="7" t="str">
        <f>'BK vs. TG'!B113</f>
        <v/>
      </c>
      <c r="N12" s="7" t="str">
        <f>'BK vs. TG'!C113</f>
        <v/>
      </c>
      <c r="O12" s="7" t="str">
        <f>'BK vs. TG'!D113</f>
        <v/>
      </c>
      <c r="P12" s="7" t="str">
        <f>'BK vs. TG'!E113</f>
        <v/>
      </c>
      <c r="Q12" s="7" t="str">
        <f>'BK vs. TG'!F113</f>
        <v/>
      </c>
      <c r="R12" s="7" t="str">
        <f>'BK vs. TG'!G113</f>
        <v/>
      </c>
      <c r="S12" s="7" t="str">
        <f>'BK vs. TG'!H113</f>
        <v/>
      </c>
      <c r="T12" s="7" t="str">
        <f>'BK vs. TG'!I113</f>
        <v/>
      </c>
      <c r="U12" s="7" t="str">
        <f>'BK vs. TG'!J113</f>
        <v/>
      </c>
      <c r="V12" s="7" t="str">
        <f>'BK vs. TG'!K113</f>
        <v/>
      </c>
      <c r="W12" s="7"/>
      <c r="X12" s="7">
        <f>'BK vs. TG'!M113</f>
        <v>25.947119292885088</v>
      </c>
      <c r="Y12" s="7" t="s">
        <v>159</v>
      </c>
    </row>
    <row r="13" spans="1:25" x14ac:dyDescent="0.2">
      <c r="A13" s="7" t="s">
        <v>328</v>
      </c>
      <c r="B13" s="7">
        <f>'HKG vs. BK'!B114</f>
        <v>1.0825510204081632</v>
      </c>
      <c r="C13" s="7">
        <f>'HKG vs. BK'!C114</f>
        <v>1.5535714285714284</v>
      </c>
      <c r="D13" s="7">
        <f>'HKG vs. BK'!D114</f>
        <v>1.0120408163265304</v>
      </c>
      <c r="E13" s="7">
        <f>'HKG vs. BK'!E114</f>
        <v>1.0047704081632653</v>
      </c>
      <c r="F13" s="7">
        <f>'HKG vs. BK'!F114</f>
        <v>1.2116326530612258</v>
      </c>
      <c r="G13" s="7">
        <f>'HKG vs. BK'!G114</f>
        <v>0.74428571428571444</v>
      </c>
      <c r="H13" s="7">
        <f>'HKG vs. BK'!H114</f>
        <v>0.83566326530612278</v>
      </c>
      <c r="I13" s="7">
        <f>'HKG vs. BK'!I114</f>
        <v>1.945408163265306</v>
      </c>
      <c r="J13" s="7">
        <f>'HKG vs. BK'!J114</f>
        <v>1.0293877551020418</v>
      </c>
      <c r="K13" s="7">
        <f>'HKG vs. BK'!K114</f>
        <v>1.1891326530612252</v>
      </c>
      <c r="L13" s="7" t="s">
        <v>328</v>
      </c>
      <c r="M13" s="7" t="str">
        <f>'BK vs. TG'!B114</f>
        <v/>
      </c>
      <c r="N13" s="7" t="str">
        <f>'BK vs. TG'!C114</f>
        <v/>
      </c>
      <c r="O13" s="7" t="str">
        <f>'BK vs. TG'!D114</f>
        <v/>
      </c>
      <c r="P13" s="7" t="str">
        <f>'BK vs. TG'!E114</f>
        <v/>
      </c>
      <c r="Q13" s="7" t="str">
        <f>'BK vs. TG'!F114</f>
        <v/>
      </c>
      <c r="R13" s="7" t="str">
        <f>'BK vs. TG'!G114</f>
        <v/>
      </c>
      <c r="S13" s="7" t="str">
        <f>'BK vs. TG'!H114</f>
        <v/>
      </c>
      <c r="T13" s="7" t="str">
        <f>'BK vs. TG'!I114</f>
        <v/>
      </c>
      <c r="U13" s="7" t="str">
        <f>'BK vs. TG'!J114</f>
        <v/>
      </c>
      <c r="V13" s="7" t="str">
        <f>'BK vs. TG'!K114</f>
        <v/>
      </c>
      <c r="W13" s="7"/>
      <c r="X13" s="7">
        <f>'BK vs. TG'!M114</f>
        <v>0.94784222454135869</v>
      </c>
      <c r="Y13" s="7" t="s">
        <v>328</v>
      </c>
    </row>
    <row r="14" spans="1:25" x14ac:dyDescent="0.2">
      <c r="A14" s="7" t="s">
        <v>226</v>
      </c>
      <c r="B14" s="7">
        <f>'HKG vs. BK'!B115</f>
        <v>5.6922870556673377</v>
      </c>
      <c r="C14" s="7">
        <f>'HKG vs. BK'!C115</f>
        <v>6.4601401924676241</v>
      </c>
      <c r="D14" s="7">
        <f>'HKG vs. BK'!D115</f>
        <v>3.935058442640512</v>
      </c>
      <c r="E14" s="7">
        <f>'HKG vs. BK'!E115</f>
        <v>5.3633726867927622</v>
      </c>
      <c r="F14" s="7">
        <f>'HKG vs. BK'!F115</f>
        <v>5.3583274292754082</v>
      </c>
      <c r="G14" s="7">
        <f>'HKG vs. BK'!G115</f>
        <v>3.6086580086580096</v>
      </c>
      <c r="H14" s="7">
        <f>'HKG vs. BK'!H115</f>
        <v>4.227078698661602</v>
      </c>
      <c r="I14" s="7">
        <f>'HKG vs. BK'!I115</f>
        <v>7.4951054779333708</v>
      </c>
      <c r="J14" s="7">
        <f>'HKG vs. BK'!J115</f>
        <v>5.787257477884741</v>
      </c>
      <c r="K14" s="7">
        <f>'HKG vs. BK'!K115</f>
        <v>4.9263488963431286</v>
      </c>
      <c r="L14" s="7" t="s">
        <v>226</v>
      </c>
      <c r="M14" s="7" t="str">
        <f>'BK vs. TG'!B115</f>
        <v/>
      </c>
      <c r="N14" s="7" t="str">
        <f>'BK vs. TG'!C115</f>
        <v/>
      </c>
      <c r="O14" s="7" t="str">
        <f>'BK vs. TG'!D115</f>
        <v/>
      </c>
      <c r="P14" s="7" t="str">
        <f>'BK vs. TG'!E115</f>
        <v/>
      </c>
      <c r="Q14" s="7" t="str">
        <f>'BK vs. TG'!F115</f>
        <v/>
      </c>
      <c r="R14" s="7" t="str">
        <f>'BK vs. TG'!G115</f>
        <v/>
      </c>
      <c r="S14" s="7" t="str">
        <f>'BK vs. TG'!H115</f>
        <v/>
      </c>
      <c r="T14" s="7" t="str">
        <f>'BK vs. TG'!I115</f>
        <v/>
      </c>
      <c r="U14" s="7" t="str">
        <f>'BK vs. TG'!J115</f>
        <v/>
      </c>
      <c r="V14" s="7" t="str">
        <f>'BK vs. TG'!K115</f>
        <v/>
      </c>
      <c r="W14" s="7"/>
      <c r="X14" s="7">
        <f>'BK vs. TG'!M115</f>
        <v>4.3810579859787726</v>
      </c>
      <c r="Y14" s="7" t="s">
        <v>226</v>
      </c>
    </row>
    <row r="15" spans="1:25" x14ac:dyDescent="0.2">
      <c r="A15" s="7" t="s">
        <v>315</v>
      </c>
      <c r="B15" s="7">
        <f>IF(B8&gt;0,(Intro!$C17)^(B9-B11)*(-1),"")</f>
        <v>-4.5185501894398818</v>
      </c>
      <c r="C15" s="7">
        <f>IF(C8&gt;0,(Intro!$C18)^(C9-C11)*(-1),"")</f>
        <v>-9.4098437265751027</v>
      </c>
      <c r="D15" s="7">
        <f>IF(D8&gt;0,(Intro!$C19)^(D9-D11)*(-1),"")</f>
        <v>-4.6377232935414652</v>
      </c>
      <c r="E15" s="7">
        <f>IF(E8&gt;0,(Intro!$C20)^(E9-E11)*(-1),"")</f>
        <v>-3.3388151773039283</v>
      </c>
      <c r="F15" s="7">
        <f>IF(F8&gt;0,(Intro!$C21)^(F9-F11)*(-1),"")</f>
        <v>-3.202796202858488</v>
      </c>
      <c r="G15" s="7">
        <f>IF(G8&gt;0,(Intro!$C22)^(G9-G11)*(-1),"")</f>
        <v>-2.780913114711451</v>
      </c>
      <c r="H15" s="7">
        <f>IF(H8&gt;0,(Intro!$C23)^(H9-H11)*(-1),"")</f>
        <v>-2.6420844968133679</v>
      </c>
      <c r="I15" s="7">
        <f>IF(I8&gt;0,(Intro!$C24)^(I9-I11)*(-1),"")</f>
        <v>-17.179654069512207</v>
      </c>
      <c r="J15" s="7">
        <f>IF(J8&gt;0,(Intro!$C25)^(J9-J11)*(-1),"")</f>
        <v>-3.3364718105325171</v>
      </c>
      <c r="K15" s="7">
        <f>IF(K8&gt;0,(Intro!$C26)^(K9-K11)*(-1),"")</f>
        <v>-4.1543199231817285</v>
      </c>
      <c r="L15" s="7" t="s">
        <v>315</v>
      </c>
      <c r="M15" s="7" t="str">
        <f>IF(M8&gt;0,(Intro!$C29)^(M9-M11)*(-1),"")</f>
        <v/>
      </c>
      <c r="N15" s="7" t="str">
        <f>IF(N8&gt;0,(Intro!$C30)^(N9-N11)*(-1),"")</f>
        <v/>
      </c>
      <c r="O15" s="7" t="str">
        <f>IF(O8&gt;0,(Intro!$C31)^(O9-O11)*(-1),"")</f>
        <v/>
      </c>
      <c r="P15" s="7" t="str">
        <f>IF(P8&gt;0,(Intro!$C32)^(P9-P11)*(-1),"")</f>
        <v/>
      </c>
      <c r="Q15" s="7" t="str">
        <f>IF(Q8&gt;0,(Intro!$C33)^(Q9-Q11)*(-1),"")</f>
        <v/>
      </c>
      <c r="R15" s="7" t="str">
        <f>IF(R8&gt;0,(Intro!$C34)^(R9-R11)*(-1),"")</f>
        <v/>
      </c>
      <c r="S15" s="7" t="str">
        <f>IF(S8&gt;0,(Intro!$C35)^(S9-S11)*(-1),"")</f>
        <v/>
      </c>
      <c r="T15" s="7" t="str">
        <f>IF(T8&gt;0,(Intro!$C36)^(T9-T11)*(-1),"")</f>
        <v/>
      </c>
      <c r="U15" s="7" t="str">
        <f>IF(U8&gt;0,(Intro!$C37)^(U9-U11)*(-1),"")</f>
        <v/>
      </c>
      <c r="V15" s="7" t="str">
        <f>IF(V8&gt;0,(Intro!$C38)^(V9-V11)*(-1),"")</f>
        <v/>
      </c>
      <c r="W15" s="153"/>
      <c r="X15" s="7">
        <f>IF(X8&gt;0,(AVERAGE(Intro!C17:C26))^(X9-X11),"")</f>
        <v>3.0540747280746072</v>
      </c>
      <c r="Y15" s="7" t="s">
        <v>315</v>
      </c>
    </row>
    <row r="16" spans="1:25" x14ac:dyDescent="0.2">
      <c r="A16" s="7" t="s">
        <v>316</v>
      </c>
      <c r="B16" s="7">
        <f>IF(B8&gt;0,(Intro!$C17)^(B12-B9),"")</f>
        <v>18.941711100152453</v>
      </c>
      <c r="C16" s="7">
        <f>IF(C8&gt;0,(Intro!$C18)^(C12-C9),"")</f>
        <v>69.220979358369249</v>
      </c>
      <c r="D16" s="7">
        <f>IF(D8&gt;0,(Intro!$C19)^(D12-D9),"")</f>
        <v>10.558873720512144</v>
      </c>
      <c r="E16" s="7">
        <f>IF(E8&gt;0,(Intro!$C20)^(E12-E9),"")</f>
        <v>10.3579079699446</v>
      </c>
      <c r="F16" s="7">
        <f>IF(F8&gt;0,(Intro!$C21)^(F12-F9),"")</f>
        <v>61.197152197075454</v>
      </c>
      <c r="G16" s="7">
        <f>IF(G8&gt;0,(Intro!$C22)^(G12-G9),"")</f>
        <v>4.8285371662599079</v>
      </c>
      <c r="H16" s="7">
        <f>IF(H8&gt;0,(Intro!$C23)^(H12-H9),"")</f>
        <v>11.655757769986037</v>
      </c>
      <c r="I16" s="7">
        <f>IF(I8&gt;0,(Intro!$C24)^(I12-I9),"")</f>
        <v>120.90972148788063</v>
      </c>
      <c r="J16" s="7">
        <f>IF(J8&gt;0,(Intro!$C25)^(J12-J9),"")</f>
        <v>14.968531118820099</v>
      </c>
      <c r="K16" s="7">
        <f>IF(K8&gt;0,(Intro!$C26)^(K12-K9),"")</f>
        <v>39.516792027978859</v>
      </c>
      <c r="L16" s="7" t="s">
        <v>316</v>
      </c>
      <c r="M16" s="7" t="str">
        <f>IF(M8&gt;0,(Intro!$C29)^(M12-M9),"")</f>
        <v/>
      </c>
      <c r="N16" s="7" t="str">
        <f>IF(N8&gt;0,(Intro!$C30)^(N12-N9),"")</f>
        <v/>
      </c>
      <c r="O16" s="7" t="str">
        <f>IF(O8&gt;0,(Intro!$C31)^(O12-O9),"")</f>
        <v/>
      </c>
      <c r="P16" s="7" t="str">
        <f>IF(P8&gt;0,(Intro!$C32)^(P12-P9),"")</f>
        <v/>
      </c>
      <c r="Q16" s="7" t="str">
        <f>IF(Q8&gt;0,(Intro!$C33)^(Q12-Q9),"")</f>
        <v/>
      </c>
      <c r="R16" s="7" t="str">
        <f>IF(R8&gt;0,(Intro!$C34)^(R12-R9),"")</f>
        <v/>
      </c>
      <c r="S16" s="7" t="str">
        <f>IF(S8&gt;0,(Intro!$C35)^(S12-S9),"")</f>
        <v/>
      </c>
      <c r="T16" s="7" t="str">
        <f>IF(T8&gt;0,(Intro!$C36)^(T12-T9),"")</f>
        <v/>
      </c>
      <c r="U16" s="7" t="str">
        <f>IF(U8&gt;0,(Intro!$C37)^(U12-U9),"")</f>
        <v/>
      </c>
      <c r="V16" s="7" t="str">
        <f>IF(V8&gt;0,(Intro!$C38)^(V12-V9),"")</f>
        <v/>
      </c>
      <c r="W16" s="153"/>
      <c r="X16" s="7">
        <f>IF(X8&gt;0,(AVERAGE(Intro!C17:C26))^(X12-X9),"")</f>
        <v>18.18502177875531</v>
      </c>
      <c r="Y16" s="7" t="s">
        <v>316</v>
      </c>
    </row>
    <row r="17" spans="1:25" x14ac:dyDescent="0.2">
      <c r="A17" s="7" t="s">
        <v>351</v>
      </c>
      <c r="B17" s="7">
        <f>IF(B8&gt;0,(Intro!$C17)^(B13),"")</f>
        <v>2.1533354569266829</v>
      </c>
      <c r="C17" s="7">
        <f>IF(C8&gt;0,(Intro!$C17)^(C13),"")</f>
        <v>3.0064178776178396</v>
      </c>
      <c r="D17" s="7">
        <f>IF(D8&gt;0,(Intro!$C17)^(D13),"")</f>
        <v>2.0484011079899114</v>
      </c>
      <c r="E17" s="7">
        <f>IF(E8&gt;0,(Intro!$C17)^(E13),"")</f>
        <v>2.0378763315964155</v>
      </c>
      <c r="F17" s="7">
        <f>IF(F8&gt;0,(Intro!$C17)^(F13),"")</f>
        <v>2.3595619863636244</v>
      </c>
      <c r="G17" s="7">
        <f>IF(G8&gt;0,(Intro!$C17)^(G13),"")</f>
        <v>1.6944318262823168</v>
      </c>
      <c r="H17" s="7">
        <f>IF(H8&gt;0,(Intro!$C17)^(H13),"")</f>
        <v>1.8077646069047408</v>
      </c>
      <c r="I17" s="7">
        <f>IF(I8&gt;0,(Intro!$C17)^(I13),"")</f>
        <v>3.9684544233178105</v>
      </c>
      <c r="J17" s="7">
        <f>IF(J8&gt;0,(Intro!$C17)^(J13),"")</f>
        <v>2.0737329449852391</v>
      </c>
      <c r="K17" s="7">
        <f>IF(K8&gt;0,(Intro!$C17)^(K13),"")</f>
        <v>2.3222443642996509</v>
      </c>
      <c r="L17" s="7" t="s">
        <v>351</v>
      </c>
      <c r="M17" s="7" t="str">
        <f>IF(M8&gt;0,(Intro!$C29)^(M13),"")</f>
        <v/>
      </c>
      <c r="N17" s="7" t="str">
        <f>IF(N8&gt;0,(Intro!$C30)^(N13),"")</f>
        <v/>
      </c>
      <c r="O17" s="7" t="str">
        <f>IF(O8&gt;0,(Intro!$C31)^(O13),"")</f>
        <v/>
      </c>
      <c r="P17" s="7" t="str">
        <f>IF(P8&gt;0,(Intro!$C32)^(P13),"")</f>
        <v/>
      </c>
      <c r="Q17" s="7" t="str">
        <f>IF(Q8&gt;0,(Intro!$C33)^(Q13),"")</f>
        <v/>
      </c>
      <c r="R17" s="7" t="str">
        <f>IF(R8&gt;0,(Intro!$C34)^(R13),"")</f>
        <v/>
      </c>
      <c r="S17" s="7" t="str">
        <f>IF(S8&gt;0,(Intro!$C35)^(S13),"")</f>
        <v/>
      </c>
      <c r="T17" s="7" t="str">
        <f>IF(T8&gt;0,(Intro!$C36)^(T13),"")</f>
        <v/>
      </c>
      <c r="U17" s="7" t="str">
        <f>IF(U8&gt;0,(Intro!$C37)^(U13),"")</f>
        <v/>
      </c>
      <c r="V17" s="7" t="str">
        <f>IF(V8&gt;0,(Intro!$C38)^(V13),"")</f>
        <v/>
      </c>
      <c r="W17" s="153"/>
      <c r="X17" s="7">
        <f>IF(X8&gt;0,(AVERAGE(Intro!C17:C26))^(X13),"")</f>
        <v>1.8816897826885783</v>
      </c>
      <c r="Y17" s="7" t="s">
        <v>351</v>
      </c>
    </row>
    <row r="18" spans="1:25" x14ac:dyDescent="0.2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154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84"/>
      <c r="X18" s="5"/>
      <c r="Y18" s="72"/>
    </row>
    <row r="19" spans="1:25" ht="15" x14ac:dyDescent="0.2">
      <c r="A19" s="173" t="s">
        <v>148</v>
      </c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173" t="s">
        <v>148</v>
      </c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58"/>
      <c r="X19" s="10"/>
      <c r="Y19" s="57"/>
    </row>
    <row r="20" spans="1:25" x14ac:dyDescent="0.2">
      <c r="A20" s="86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15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58"/>
      <c r="X20" s="10"/>
      <c r="Y20" s="57"/>
    </row>
    <row r="21" spans="1:25" s="160" customFormat="1" x14ac:dyDescent="0.2">
      <c r="A21" s="156" t="s">
        <v>185</v>
      </c>
      <c r="B21" s="95" t="s">
        <v>2</v>
      </c>
      <c r="C21" s="95" t="s">
        <v>4</v>
      </c>
      <c r="D21" s="95" t="s">
        <v>6</v>
      </c>
      <c r="E21" s="95" t="s">
        <v>8</v>
      </c>
      <c r="F21" s="95" t="s">
        <v>0</v>
      </c>
      <c r="G21" s="95" t="s">
        <v>133</v>
      </c>
      <c r="H21" s="95" t="s">
        <v>142</v>
      </c>
      <c r="I21" s="95" t="s">
        <v>131</v>
      </c>
      <c r="J21" s="95" t="s">
        <v>129</v>
      </c>
      <c r="K21" s="95" t="s">
        <v>126</v>
      </c>
      <c r="L21" s="156" t="s">
        <v>185</v>
      </c>
      <c r="M21" s="85" t="s">
        <v>227</v>
      </c>
      <c r="N21" s="85" t="s">
        <v>228</v>
      </c>
      <c r="O21" s="85" t="s">
        <v>229</v>
      </c>
      <c r="P21" s="85" t="s">
        <v>230</v>
      </c>
      <c r="Q21" s="85" t="s">
        <v>231</v>
      </c>
      <c r="R21" s="85" t="s">
        <v>232</v>
      </c>
      <c r="S21" s="85" t="s">
        <v>233</v>
      </c>
      <c r="T21" s="85" t="s">
        <v>234</v>
      </c>
      <c r="U21" s="85" t="s">
        <v>235</v>
      </c>
      <c r="V21" s="85" t="s">
        <v>236</v>
      </c>
      <c r="W21" s="157"/>
      <c r="X21" s="158"/>
      <c r="Y21" s="159"/>
    </row>
    <row r="22" spans="1:25" s="19" customFormat="1" x14ac:dyDescent="0.2">
      <c r="A22" s="161" t="s">
        <v>4</v>
      </c>
      <c r="B22" s="90">
        <f>'HKG vs. BK'!B120</f>
        <v>0.71699999999999997</v>
      </c>
      <c r="C22" s="90" t="str">
        <f>'HKG vs. BK'!C120</f>
        <v>-</v>
      </c>
      <c r="D22" s="90" t="str">
        <f>'HKG vs. BK'!D120</f>
        <v>-</v>
      </c>
      <c r="E22" s="90" t="str">
        <f>'HKG vs. BK'!E120</f>
        <v>-</v>
      </c>
      <c r="F22" s="90" t="str">
        <f>'HKG vs. BK'!F120</f>
        <v>-</v>
      </c>
      <c r="G22" s="90" t="str">
        <f>'HKG vs. BK'!G120</f>
        <v>-</v>
      </c>
      <c r="H22" s="90" t="str">
        <f>'HKG vs. BK'!H120</f>
        <v>-</v>
      </c>
      <c r="I22" s="90" t="str">
        <f>'HKG vs. BK'!I120</f>
        <v>-</v>
      </c>
      <c r="J22" s="90" t="str">
        <f>'HKG vs. BK'!J120</f>
        <v>-</v>
      </c>
      <c r="K22" s="90" t="str">
        <f>'HKG vs. BK'!K120</f>
        <v>-</v>
      </c>
      <c r="L22" s="161" t="s">
        <v>228</v>
      </c>
      <c r="M22" s="90" t="str">
        <f>'BK vs. TG'!B120</f>
        <v/>
      </c>
      <c r="N22" s="90" t="str">
        <f>'BK vs. TG'!C120</f>
        <v>-</v>
      </c>
      <c r="O22" s="90" t="str">
        <f>'BK vs. TG'!D120</f>
        <v>-</v>
      </c>
      <c r="P22" s="90" t="str">
        <f>'BK vs. TG'!E120</f>
        <v>-</v>
      </c>
      <c r="Q22" s="90" t="str">
        <f>'BK vs. TG'!F120</f>
        <v>-</v>
      </c>
      <c r="R22" s="90" t="str">
        <f>'BK vs. TG'!G120</f>
        <v>-</v>
      </c>
      <c r="S22" s="90" t="str">
        <f>'BK vs. TG'!H120</f>
        <v>-</v>
      </c>
      <c r="T22" s="90" t="str">
        <f>'BK vs. TG'!I120</f>
        <v>-</v>
      </c>
      <c r="U22" s="90" t="str">
        <f>'BK vs. TG'!J120</f>
        <v>-</v>
      </c>
      <c r="V22" s="90" t="str">
        <f>'BK vs. TG'!K120</f>
        <v>-</v>
      </c>
      <c r="W22" s="91"/>
      <c r="X22" s="92"/>
      <c r="Y22" s="93"/>
    </row>
    <row r="23" spans="1:25" s="19" customFormat="1" x14ac:dyDescent="0.2">
      <c r="A23" s="161" t="s">
        <v>110</v>
      </c>
      <c r="B23" s="90">
        <f>'HKG vs. BK'!B121</f>
        <v>1E-3</v>
      </c>
      <c r="C23" s="90" t="str">
        <f>'HKG vs. BK'!C121</f>
        <v>-</v>
      </c>
      <c r="D23" s="90" t="str">
        <f>'HKG vs. BK'!D121</f>
        <v>-</v>
      </c>
      <c r="E23" s="90" t="str">
        <f>'HKG vs. BK'!E121</f>
        <v>-</v>
      </c>
      <c r="F23" s="90" t="str">
        <f>'HKG vs. BK'!F121</f>
        <v>-</v>
      </c>
      <c r="G23" s="90" t="str">
        <f>'HKG vs. BK'!G121</f>
        <v>-</v>
      </c>
      <c r="H23" s="90" t="str">
        <f>'HKG vs. BK'!H121</f>
        <v>-</v>
      </c>
      <c r="I23" s="90" t="str">
        <f>'HKG vs. BK'!I121</f>
        <v>-</v>
      </c>
      <c r="J23" s="90" t="str">
        <f>'HKG vs. BK'!J121</f>
        <v>-</v>
      </c>
      <c r="K23" s="90" t="str">
        <f>'HKG vs. BK'!K121</f>
        <v>-</v>
      </c>
      <c r="L23" s="161" t="s">
        <v>110</v>
      </c>
      <c r="M23" s="90" t="str">
        <f>'BK vs. TG'!B121</f>
        <v/>
      </c>
      <c r="N23" s="90" t="str">
        <f>'BK vs. TG'!C121</f>
        <v>-</v>
      </c>
      <c r="O23" s="90" t="str">
        <f>'BK vs. TG'!D121</f>
        <v>-</v>
      </c>
      <c r="P23" s="90" t="str">
        <f>'BK vs. TG'!E121</f>
        <v>-</v>
      </c>
      <c r="Q23" s="90" t="str">
        <f>'BK vs. TG'!F121</f>
        <v>-</v>
      </c>
      <c r="R23" s="90" t="str">
        <f>'BK vs. TG'!G121</f>
        <v>-</v>
      </c>
      <c r="S23" s="90" t="str">
        <f>'BK vs. TG'!H121</f>
        <v>-</v>
      </c>
      <c r="T23" s="90" t="str">
        <f>'BK vs. TG'!I121</f>
        <v>-</v>
      </c>
      <c r="U23" s="90" t="str">
        <f>'BK vs. TG'!J121</f>
        <v>-</v>
      </c>
      <c r="V23" s="90" t="str">
        <f>'BK vs. TG'!K121</f>
        <v>-</v>
      </c>
      <c r="W23" s="91"/>
      <c r="X23" s="92"/>
      <c r="Y23" s="93"/>
    </row>
    <row r="24" spans="1:25" x14ac:dyDescent="0.2">
      <c r="A24" s="162" t="s">
        <v>6</v>
      </c>
      <c r="B24" s="88">
        <f>'HKG vs. BK'!B122</f>
        <v>0.72</v>
      </c>
      <c r="C24" s="88">
        <f>'HKG vs. BK'!C122</f>
        <v>0.46400000000000002</v>
      </c>
      <c r="D24" s="88" t="str">
        <f>'HKG vs. BK'!D122</f>
        <v>-</v>
      </c>
      <c r="E24" s="88" t="str">
        <f>'HKG vs. BK'!E122</f>
        <v>-</v>
      </c>
      <c r="F24" s="88" t="str">
        <f>'HKG vs. BK'!F122</f>
        <v>-</v>
      </c>
      <c r="G24" s="88" t="str">
        <f>'HKG vs. BK'!G122</f>
        <v>-</v>
      </c>
      <c r="H24" s="88" t="str">
        <f>'HKG vs. BK'!H122</f>
        <v>-</v>
      </c>
      <c r="I24" s="88" t="str">
        <f>'HKG vs. BK'!I122</f>
        <v>-</v>
      </c>
      <c r="J24" s="88" t="str">
        <f>'HKG vs. BK'!J122</f>
        <v>-</v>
      </c>
      <c r="K24" s="88" t="str">
        <f>'HKG vs. BK'!K122</f>
        <v>-</v>
      </c>
      <c r="L24" s="162" t="s">
        <v>237</v>
      </c>
      <c r="M24" s="88" t="str">
        <f>'BK vs. TG'!B122</f>
        <v/>
      </c>
      <c r="N24" s="88" t="str">
        <f>'BK vs. TG'!C122</f>
        <v/>
      </c>
      <c r="O24" s="88" t="str">
        <f>'BK vs. TG'!D122</f>
        <v>-</v>
      </c>
      <c r="P24" s="88" t="str">
        <f>'BK vs. TG'!E122</f>
        <v>-</v>
      </c>
      <c r="Q24" s="88" t="str">
        <f>'BK vs. TG'!F122</f>
        <v>-</v>
      </c>
      <c r="R24" s="88" t="str">
        <f>'BK vs. TG'!G122</f>
        <v>-</v>
      </c>
      <c r="S24" s="88" t="str">
        <f>'BK vs. TG'!H122</f>
        <v>-</v>
      </c>
      <c r="T24" s="88" t="str">
        <f>'BK vs. TG'!I122</f>
        <v>-</v>
      </c>
      <c r="U24" s="88" t="str">
        <f>'BK vs. TG'!J122</f>
        <v>-</v>
      </c>
      <c r="V24" s="88" t="str">
        <f>'BK vs. TG'!K122</f>
        <v>-</v>
      </c>
      <c r="W24" s="58"/>
      <c r="X24" s="10"/>
      <c r="Y24" s="57"/>
    </row>
    <row r="25" spans="1:25" x14ac:dyDescent="0.2">
      <c r="A25" s="162" t="s">
        <v>110</v>
      </c>
      <c r="B25" s="88">
        <f>'HKG vs. BK'!B123</f>
        <v>1E-3</v>
      </c>
      <c r="C25" s="88">
        <f>'HKG vs. BK'!C123</f>
        <v>1.2901835435550641E-2</v>
      </c>
      <c r="D25" s="88" t="str">
        <f>'HKG vs. BK'!D123</f>
        <v>-</v>
      </c>
      <c r="E25" s="88" t="str">
        <f>'HKG vs. BK'!E123</f>
        <v>-</v>
      </c>
      <c r="F25" s="88" t="str">
        <f>'HKG vs. BK'!F123</f>
        <v>-</v>
      </c>
      <c r="G25" s="88" t="str">
        <f>'HKG vs. BK'!G123</f>
        <v>-</v>
      </c>
      <c r="H25" s="88" t="str">
        <f>'HKG vs. BK'!H123</f>
        <v>-</v>
      </c>
      <c r="I25" s="88" t="str">
        <f>'HKG vs. BK'!I123</f>
        <v>-</v>
      </c>
      <c r="J25" s="88" t="str">
        <f>'HKG vs. BK'!J123</f>
        <v>-</v>
      </c>
      <c r="K25" s="88" t="str">
        <f>'HKG vs. BK'!K123</f>
        <v>-</v>
      </c>
      <c r="L25" s="162" t="s">
        <v>110</v>
      </c>
      <c r="M25" s="88" t="str">
        <f>'BK vs. TG'!B123</f>
        <v/>
      </c>
      <c r="N25" s="88" t="str">
        <f>'BK vs. TG'!C123</f>
        <v/>
      </c>
      <c r="O25" s="88" t="str">
        <f>'BK vs. TG'!D123</f>
        <v>-</v>
      </c>
      <c r="P25" s="88" t="str">
        <f>'BK vs. TG'!E123</f>
        <v>-</v>
      </c>
      <c r="Q25" s="88" t="str">
        <f>'BK vs. TG'!F123</f>
        <v>-</v>
      </c>
      <c r="R25" s="88" t="str">
        <f>'BK vs. TG'!G123</f>
        <v>-</v>
      </c>
      <c r="S25" s="88" t="str">
        <f>'BK vs. TG'!H123</f>
        <v>-</v>
      </c>
      <c r="T25" s="88" t="str">
        <f>'BK vs. TG'!I123</f>
        <v>-</v>
      </c>
      <c r="U25" s="88" t="str">
        <f>'BK vs. TG'!J123</f>
        <v>-</v>
      </c>
      <c r="V25" s="88" t="str">
        <f>'BK vs. TG'!K123</f>
        <v>-</v>
      </c>
      <c r="W25" s="58"/>
      <c r="X25" s="10"/>
      <c r="Y25" s="57"/>
    </row>
    <row r="26" spans="1:25" s="19" customFormat="1" x14ac:dyDescent="0.2">
      <c r="A26" s="161" t="s">
        <v>8</v>
      </c>
      <c r="B26" s="90">
        <f>'HKG vs. BK'!B124</f>
        <v>0.91400000000000003</v>
      </c>
      <c r="C26" s="90">
        <f>'HKG vs. BK'!C124</f>
        <v>0.60099999999999998</v>
      </c>
      <c r="D26" s="90">
        <f>'HKG vs. BK'!D124</f>
        <v>0.59599999999999997</v>
      </c>
      <c r="E26" s="90" t="str">
        <f>'HKG vs. BK'!E124</f>
        <v>-</v>
      </c>
      <c r="F26" s="90" t="str">
        <f>'HKG vs. BK'!F124</f>
        <v>-</v>
      </c>
      <c r="G26" s="90" t="str">
        <f>'HKG vs. BK'!G124</f>
        <v>-</v>
      </c>
      <c r="H26" s="90" t="str">
        <f>'HKG vs. BK'!H124</f>
        <v>-</v>
      </c>
      <c r="I26" s="90" t="str">
        <f>'HKG vs. BK'!I124</f>
        <v>-</v>
      </c>
      <c r="J26" s="90" t="str">
        <f>'HKG vs. BK'!J124</f>
        <v>-</v>
      </c>
      <c r="K26" s="90" t="str">
        <f>'HKG vs. BK'!K124</f>
        <v>-</v>
      </c>
      <c r="L26" s="161" t="s">
        <v>230</v>
      </c>
      <c r="M26" s="90" t="str">
        <f>'BK vs. TG'!B124</f>
        <v/>
      </c>
      <c r="N26" s="90" t="str">
        <f>'BK vs. TG'!C124</f>
        <v/>
      </c>
      <c r="O26" s="90" t="str">
        <f>'BK vs. TG'!D124</f>
        <v/>
      </c>
      <c r="P26" s="90" t="str">
        <f>'BK vs. TG'!E124</f>
        <v>-</v>
      </c>
      <c r="Q26" s="90" t="str">
        <f>'BK vs. TG'!F124</f>
        <v>-</v>
      </c>
      <c r="R26" s="90" t="str">
        <f>'BK vs. TG'!G124</f>
        <v>-</v>
      </c>
      <c r="S26" s="90" t="str">
        <f>'BK vs. TG'!H124</f>
        <v>-</v>
      </c>
      <c r="T26" s="90" t="str">
        <f>'BK vs. TG'!I124</f>
        <v>-</v>
      </c>
      <c r="U26" s="90" t="str">
        <f>'BK vs. TG'!J124</f>
        <v>-</v>
      </c>
      <c r="V26" s="90" t="str">
        <f>'BK vs. TG'!K124</f>
        <v>-</v>
      </c>
      <c r="W26" s="91"/>
      <c r="X26" s="92"/>
      <c r="Y26" s="93"/>
    </row>
    <row r="27" spans="1:25" s="19" customFormat="1" x14ac:dyDescent="0.2">
      <c r="A27" s="161" t="s">
        <v>110</v>
      </c>
      <c r="B27" s="90">
        <f>'HKG vs. BK'!B125</f>
        <v>1E-3</v>
      </c>
      <c r="C27" s="90">
        <f>'HKG vs. BK'!C125</f>
        <v>1E-3</v>
      </c>
      <c r="D27" s="90">
        <f>'HKG vs. BK'!D125</f>
        <v>1E-3</v>
      </c>
      <c r="E27" s="90" t="str">
        <f>'HKG vs. BK'!E125</f>
        <v>-</v>
      </c>
      <c r="F27" s="90" t="str">
        <f>'HKG vs. BK'!F125</f>
        <v>-</v>
      </c>
      <c r="G27" s="90" t="str">
        <f>'HKG vs. BK'!G125</f>
        <v>-</v>
      </c>
      <c r="H27" s="90" t="str">
        <f>'HKG vs. BK'!H125</f>
        <v>-</v>
      </c>
      <c r="I27" s="90" t="str">
        <f>'HKG vs. BK'!I125</f>
        <v>-</v>
      </c>
      <c r="J27" s="90" t="str">
        <f>'HKG vs. BK'!J125</f>
        <v>-</v>
      </c>
      <c r="K27" s="90" t="str">
        <f>'HKG vs. BK'!K125</f>
        <v>-</v>
      </c>
      <c r="L27" s="161" t="s">
        <v>110</v>
      </c>
      <c r="M27" s="90" t="str">
        <f>'BK vs. TG'!B125</f>
        <v/>
      </c>
      <c r="N27" s="90" t="str">
        <f>'BK vs. TG'!C125</f>
        <v/>
      </c>
      <c r="O27" s="90" t="str">
        <f>'BK vs. TG'!D125</f>
        <v/>
      </c>
      <c r="P27" s="90" t="str">
        <f>'BK vs. TG'!E125</f>
        <v>-</v>
      </c>
      <c r="Q27" s="90" t="str">
        <f>'BK vs. TG'!F125</f>
        <v>-</v>
      </c>
      <c r="R27" s="90" t="str">
        <f>'BK vs. TG'!G125</f>
        <v>-</v>
      </c>
      <c r="S27" s="90" t="str">
        <f>'BK vs. TG'!H125</f>
        <v>-</v>
      </c>
      <c r="T27" s="90" t="str">
        <f>'BK vs. TG'!I125</f>
        <v>-</v>
      </c>
      <c r="U27" s="90" t="str">
        <f>'BK vs. TG'!J125</f>
        <v>-</v>
      </c>
      <c r="V27" s="90" t="str">
        <f>'BK vs. TG'!K125</f>
        <v>-</v>
      </c>
      <c r="W27" s="91"/>
      <c r="X27" s="92"/>
      <c r="Y27" s="93"/>
    </row>
    <row r="28" spans="1:25" x14ac:dyDescent="0.2">
      <c r="A28" s="162" t="s">
        <v>0</v>
      </c>
      <c r="B28" s="88">
        <f>'HKG vs. BK'!B126</f>
        <v>0.81599999999999995</v>
      </c>
      <c r="C28" s="88">
        <f>'HKG vs. BK'!C126</f>
        <v>0.70799999999999996</v>
      </c>
      <c r="D28" s="88">
        <f>'HKG vs. BK'!D126</f>
        <v>0.59799999999999998</v>
      </c>
      <c r="E28" s="88">
        <f>'HKG vs. BK'!E126</f>
        <v>0.79200000000000004</v>
      </c>
      <c r="F28" s="88" t="str">
        <f>'HKG vs. BK'!F126</f>
        <v>-</v>
      </c>
      <c r="G28" s="88" t="str">
        <f>'HKG vs. BK'!G126</f>
        <v>-</v>
      </c>
      <c r="H28" s="88" t="str">
        <f>'HKG vs. BK'!H126</f>
        <v>-</v>
      </c>
      <c r="I28" s="88" t="str">
        <f>'HKG vs. BK'!I126</f>
        <v>-</v>
      </c>
      <c r="J28" s="88" t="str">
        <f>'HKG vs. BK'!J126</f>
        <v>-</v>
      </c>
      <c r="K28" s="88" t="str">
        <f>'HKG vs. BK'!K126</f>
        <v>-</v>
      </c>
      <c r="L28" s="162" t="s">
        <v>231</v>
      </c>
      <c r="M28" s="88" t="str">
        <f>'BK vs. TG'!B126</f>
        <v/>
      </c>
      <c r="N28" s="88" t="str">
        <f>'BK vs. TG'!C126</f>
        <v/>
      </c>
      <c r="O28" s="88" t="str">
        <f>'BK vs. TG'!D126</f>
        <v/>
      </c>
      <c r="P28" s="88" t="str">
        <f>'BK vs. TG'!E126</f>
        <v/>
      </c>
      <c r="Q28" s="88" t="str">
        <f>'BK vs. TG'!F126</f>
        <v>-</v>
      </c>
      <c r="R28" s="88" t="str">
        <f>'BK vs. TG'!G126</f>
        <v>-</v>
      </c>
      <c r="S28" s="88" t="str">
        <f>'BK vs. TG'!H126</f>
        <v>-</v>
      </c>
      <c r="T28" s="88" t="str">
        <f>'BK vs. TG'!I126</f>
        <v>-</v>
      </c>
      <c r="U28" s="88" t="str">
        <f>'BK vs. TG'!J126</f>
        <v>-</v>
      </c>
      <c r="V28" s="88" t="str">
        <f>'BK vs. TG'!K126</f>
        <v>-</v>
      </c>
      <c r="W28" s="58"/>
      <c r="X28" s="10"/>
      <c r="Y28" s="57"/>
    </row>
    <row r="29" spans="1:25" x14ac:dyDescent="0.2">
      <c r="A29" s="162" t="s">
        <v>110</v>
      </c>
      <c r="B29" s="88">
        <f>'HKG vs. BK'!B127</f>
        <v>1E-3</v>
      </c>
      <c r="C29" s="88">
        <f>'HKG vs. BK'!C127</f>
        <v>2.5144261359567566E-5</v>
      </c>
      <c r="D29" s="88">
        <f>'HKG vs. BK'!D127</f>
        <v>1E-3</v>
      </c>
      <c r="E29" s="88">
        <f>'HKG vs. BK'!E127</f>
        <v>1E-3</v>
      </c>
      <c r="F29" s="88" t="str">
        <f>'HKG vs. BK'!F127</f>
        <v>-</v>
      </c>
      <c r="G29" s="88" t="str">
        <f>'HKG vs. BK'!G127</f>
        <v>-</v>
      </c>
      <c r="H29" s="88" t="str">
        <f>'HKG vs. BK'!H127</f>
        <v>-</v>
      </c>
      <c r="I29" s="88" t="str">
        <f>'HKG vs. BK'!I127</f>
        <v>-</v>
      </c>
      <c r="J29" s="88" t="str">
        <f>'HKG vs. BK'!J127</f>
        <v>-</v>
      </c>
      <c r="K29" s="88" t="str">
        <f>'HKG vs. BK'!K127</f>
        <v>-</v>
      </c>
      <c r="L29" s="162" t="s">
        <v>110</v>
      </c>
      <c r="M29" s="88" t="str">
        <f>'BK vs. TG'!B127</f>
        <v/>
      </c>
      <c r="N29" s="88" t="str">
        <f>'BK vs. TG'!C127</f>
        <v/>
      </c>
      <c r="O29" s="88" t="str">
        <f>'BK vs. TG'!D127</f>
        <v/>
      </c>
      <c r="P29" s="88" t="str">
        <f>'BK vs. TG'!E127</f>
        <v/>
      </c>
      <c r="Q29" s="88" t="str">
        <f>'BK vs. TG'!F127</f>
        <v>-</v>
      </c>
      <c r="R29" s="88" t="str">
        <f>'BK vs. TG'!G127</f>
        <v>-</v>
      </c>
      <c r="S29" s="88" t="str">
        <f>'BK vs. TG'!H127</f>
        <v>-</v>
      </c>
      <c r="T29" s="88" t="str">
        <f>'BK vs. TG'!I127</f>
        <v>-</v>
      </c>
      <c r="U29" s="88" t="str">
        <f>'BK vs. TG'!J127</f>
        <v>-</v>
      </c>
      <c r="V29" s="88" t="str">
        <f>'BK vs. TG'!K127</f>
        <v>-</v>
      </c>
      <c r="W29" s="58"/>
      <c r="X29" s="10"/>
      <c r="Y29" s="57"/>
    </row>
    <row r="30" spans="1:25" s="19" customFormat="1" x14ac:dyDescent="0.2">
      <c r="A30" s="161" t="s">
        <v>133</v>
      </c>
      <c r="B30" s="90">
        <f>'HKG vs. BK'!B128</f>
        <v>0.63200000000000001</v>
      </c>
      <c r="C30" s="90">
        <f>'HKG vs. BK'!C128</f>
        <v>0.54900000000000004</v>
      </c>
      <c r="D30" s="90">
        <f>'HKG vs. BK'!D128</f>
        <v>0.49199999999999999</v>
      </c>
      <c r="E30" s="90">
        <f>'HKG vs. BK'!E128</f>
        <v>0.66</v>
      </c>
      <c r="F30" s="90">
        <f>'HKG vs. BK'!F128</f>
        <v>0.77500000000000002</v>
      </c>
      <c r="G30" s="90" t="str">
        <f>'HKG vs. BK'!G128</f>
        <v>-</v>
      </c>
      <c r="H30" s="90" t="str">
        <f>'HKG vs. BK'!H128</f>
        <v>-</v>
      </c>
      <c r="I30" s="90" t="str">
        <f>'HKG vs. BK'!I128</f>
        <v>-</v>
      </c>
      <c r="J30" s="90" t="str">
        <f>'HKG vs. BK'!J128</f>
        <v>-</v>
      </c>
      <c r="K30" s="90" t="str">
        <f>'HKG vs. BK'!K128</f>
        <v>-</v>
      </c>
      <c r="L30" s="161" t="s">
        <v>232</v>
      </c>
      <c r="M30" s="90" t="str">
        <f>'BK vs. TG'!B128</f>
        <v/>
      </c>
      <c r="N30" s="90" t="str">
        <f>'BK vs. TG'!C128</f>
        <v/>
      </c>
      <c r="O30" s="90" t="str">
        <f>'BK vs. TG'!D128</f>
        <v/>
      </c>
      <c r="P30" s="90" t="str">
        <f>'BK vs. TG'!E128</f>
        <v/>
      </c>
      <c r="Q30" s="90" t="str">
        <f>'BK vs. TG'!F128</f>
        <v/>
      </c>
      <c r="R30" s="90" t="str">
        <f>'BK vs. TG'!G128</f>
        <v>-</v>
      </c>
      <c r="S30" s="90" t="str">
        <f>'BK vs. TG'!H128</f>
        <v>-</v>
      </c>
      <c r="T30" s="90" t="str">
        <f>'BK vs. TG'!I128</f>
        <v>-</v>
      </c>
      <c r="U30" s="90" t="str">
        <f>'BK vs. TG'!J128</f>
        <v>-</v>
      </c>
      <c r="V30" s="90" t="str">
        <f>'BK vs. TG'!K128</f>
        <v>-</v>
      </c>
      <c r="W30" s="91"/>
      <c r="X30" s="92"/>
      <c r="Y30" s="93"/>
    </row>
    <row r="31" spans="1:25" s="19" customFormat="1" x14ac:dyDescent="0.2">
      <c r="A31" s="161" t="s">
        <v>110</v>
      </c>
      <c r="B31" s="90">
        <f>'HKG vs. BK'!B129</f>
        <v>1E-3</v>
      </c>
      <c r="C31" s="90">
        <f>'HKG vs. BK'!C129</f>
        <v>2.4777673215761495E-3</v>
      </c>
      <c r="D31" s="90">
        <f>'HKG vs. BK'!D129</f>
        <v>7.8598806004315791E-3</v>
      </c>
      <c r="E31" s="90">
        <f>'HKG vs. BK'!E129</f>
        <v>1E-3</v>
      </c>
      <c r="F31" s="90">
        <f>'HKG vs. BK'!F129</f>
        <v>1E-3</v>
      </c>
      <c r="G31" s="90" t="str">
        <f>'HKG vs. BK'!G129</f>
        <v>-</v>
      </c>
      <c r="H31" s="90" t="str">
        <f>'HKG vs. BK'!H129</f>
        <v>-</v>
      </c>
      <c r="I31" s="90" t="str">
        <f>'HKG vs. BK'!I129</f>
        <v>-</v>
      </c>
      <c r="J31" s="90" t="str">
        <f>'HKG vs. BK'!J129</f>
        <v>-</v>
      </c>
      <c r="K31" s="90" t="str">
        <f>'HKG vs. BK'!K129</f>
        <v>-</v>
      </c>
      <c r="L31" s="161" t="s">
        <v>110</v>
      </c>
      <c r="M31" s="90" t="str">
        <f>'BK vs. TG'!B129</f>
        <v/>
      </c>
      <c r="N31" s="90" t="str">
        <f>'BK vs. TG'!C129</f>
        <v/>
      </c>
      <c r="O31" s="90" t="str">
        <f>'BK vs. TG'!D129</f>
        <v/>
      </c>
      <c r="P31" s="90" t="str">
        <f>'BK vs. TG'!E129</f>
        <v/>
      </c>
      <c r="Q31" s="90" t="str">
        <f>'BK vs. TG'!F129</f>
        <v/>
      </c>
      <c r="R31" s="90" t="str">
        <f>'BK vs. TG'!G129</f>
        <v>-</v>
      </c>
      <c r="S31" s="90" t="str">
        <f>'BK vs. TG'!H129</f>
        <v>-</v>
      </c>
      <c r="T31" s="90" t="str">
        <f>'BK vs. TG'!I129</f>
        <v>-</v>
      </c>
      <c r="U31" s="90" t="str">
        <f>'BK vs. TG'!J129</f>
        <v>-</v>
      </c>
      <c r="V31" s="90" t="str">
        <f>'BK vs. TG'!K129</f>
        <v>-</v>
      </c>
      <c r="W31" s="91"/>
      <c r="X31" s="92"/>
      <c r="Y31" s="93"/>
    </row>
    <row r="32" spans="1:25" x14ac:dyDescent="0.2">
      <c r="A32" s="162" t="s">
        <v>142</v>
      </c>
      <c r="B32" s="88">
        <f>'HKG vs. BK'!B130</f>
        <v>0.71099999999999997</v>
      </c>
      <c r="C32" s="88">
        <f>'HKG vs. BK'!C130</f>
        <v>0.76700000000000002</v>
      </c>
      <c r="D32" s="88">
        <f>'HKG vs. BK'!D130</f>
        <v>0.54200000000000004</v>
      </c>
      <c r="E32" s="88">
        <f>'HKG vs. BK'!E130</f>
        <v>0.65500000000000003</v>
      </c>
      <c r="F32" s="88">
        <f>'HKG vs. BK'!F130</f>
        <v>0.77900000000000003</v>
      </c>
      <c r="G32" s="88">
        <f>'HKG vs. BK'!G130</f>
        <v>0.81699999999999995</v>
      </c>
      <c r="H32" s="88" t="str">
        <f>'HKG vs. BK'!H130</f>
        <v>-</v>
      </c>
      <c r="I32" s="88" t="str">
        <f>'HKG vs. BK'!I130</f>
        <v>-</v>
      </c>
      <c r="J32" s="88" t="str">
        <f>'HKG vs. BK'!J130</f>
        <v>-</v>
      </c>
      <c r="K32" s="88" t="str">
        <f>'HKG vs. BK'!K130</f>
        <v>-</v>
      </c>
      <c r="L32" s="162" t="s">
        <v>233</v>
      </c>
      <c r="M32" s="88" t="str">
        <f>'BK vs. TG'!B130</f>
        <v/>
      </c>
      <c r="N32" s="88" t="str">
        <f>'BK vs. TG'!C130</f>
        <v/>
      </c>
      <c r="O32" s="88" t="str">
        <f>'BK vs. TG'!D130</f>
        <v/>
      </c>
      <c r="P32" s="88" t="str">
        <f>'BK vs. TG'!E130</f>
        <v/>
      </c>
      <c r="Q32" s="88" t="str">
        <f>'BK vs. TG'!F130</f>
        <v/>
      </c>
      <c r="R32" s="88" t="str">
        <f>'BK vs. TG'!G130</f>
        <v/>
      </c>
      <c r="S32" s="88" t="str">
        <f>'BK vs. TG'!H130</f>
        <v>-</v>
      </c>
      <c r="T32" s="88" t="str">
        <f>'BK vs. TG'!I130</f>
        <v>-</v>
      </c>
      <c r="U32" s="88" t="str">
        <f>'BK vs. TG'!J130</f>
        <v>-</v>
      </c>
      <c r="V32" s="88" t="str">
        <f>'BK vs. TG'!K130</f>
        <v>-</v>
      </c>
      <c r="W32" s="58"/>
      <c r="X32" s="10"/>
      <c r="Y32" s="57"/>
    </row>
    <row r="33" spans="1:25" x14ac:dyDescent="0.2">
      <c r="A33" s="162" t="s">
        <v>110</v>
      </c>
      <c r="B33" s="88">
        <f>'HKG vs. BK'!B131</f>
        <v>1E-3</v>
      </c>
      <c r="C33" s="88">
        <f>'HKG vs. BK'!C131</f>
        <v>1E-3</v>
      </c>
      <c r="D33" s="88">
        <f>'HKG vs. BK'!D131</f>
        <v>2.8796946570240371E-3</v>
      </c>
      <c r="E33" s="88">
        <f>'HKG vs. BK'!E131</f>
        <v>1E-3</v>
      </c>
      <c r="F33" s="88">
        <f>'HKG vs. BK'!F131</f>
        <v>1E-3</v>
      </c>
      <c r="G33" s="88">
        <f>'HKG vs. BK'!G131</f>
        <v>1E-3</v>
      </c>
      <c r="H33" s="88" t="str">
        <f>'HKG vs. BK'!H131</f>
        <v>-</v>
      </c>
      <c r="I33" s="88" t="str">
        <f>'HKG vs. BK'!I131</f>
        <v>-</v>
      </c>
      <c r="J33" s="88" t="str">
        <f>'HKG vs. BK'!J131</f>
        <v>-</v>
      </c>
      <c r="K33" s="88" t="str">
        <f>'HKG vs. BK'!K131</f>
        <v>-</v>
      </c>
      <c r="L33" s="162" t="s">
        <v>110</v>
      </c>
      <c r="M33" s="88" t="str">
        <f>'BK vs. TG'!B131</f>
        <v/>
      </c>
      <c r="N33" s="88" t="str">
        <f>'BK vs. TG'!C131</f>
        <v/>
      </c>
      <c r="O33" s="88" t="str">
        <f>'BK vs. TG'!D131</f>
        <v/>
      </c>
      <c r="P33" s="88" t="str">
        <f>'BK vs. TG'!E131</f>
        <v/>
      </c>
      <c r="Q33" s="88" t="str">
        <f>'BK vs. TG'!F131</f>
        <v/>
      </c>
      <c r="R33" s="88" t="str">
        <f>'BK vs. TG'!G131</f>
        <v/>
      </c>
      <c r="S33" s="88" t="str">
        <f>'BK vs. TG'!H131</f>
        <v>-</v>
      </c>
      <c r="T33" s="88" t="str">
        <f>'BK vs. TG'!I131</f>
        <v>-</v>
      </c>
      <c r="U33" s="88" t="str">
        <f>'BK vs. TG'!J131</f>
        <v>-</v>
      </c>
      <c r="V33" s="88" t="str">
        <f>'BK vs. TG'!K131</f>
        <v>-</v>
      </c>
      <c r="W33" s="58"/>
      <c r="X33" s="10"/>
      <c r="Y33" s="57"/>
    </row>
    <row r="34" spans="1:25" s="19" customFormat="1" x14ac:dyDescent="0.2">
      <c r="A34" s="161" t="s">
        <v>131</v>
      </c>
      <c r="B34" s="90">
        <f>'HKG vs. BK'!B132</f>
        <v>0.72799999999999998</v>
      </c>
      <c r="C34" s="90">
        <f>'HKG vs. BK'!C132</f>
        <v>0.71699999999999997</v>
      </c>
      <c r="D34" s="90">
        <f>'HKG vs. BK'!D132</f>
        <v>0.47</v>
      </c>
      <c r="E34" s="90">
        <f>'HKG vs. BK'!E132</f>
        <v>0.60399999999999998</v>
      </c>
      <c r="F34" s="90">
        <f>'HKG vs. BK'!F132</f>
        <v>0.65100000000000002</v>
      </c>
      <c r="G34" s="90">
        <f>'HKG vs. BK'!G132</f>
        <v>0.52300000000000002</v>
      </c>
      <c r="H34" s="90">
        <f>'HKG vs. BK'!H132</f>
        <v>0.65</v>
      </c>
      <c r="I34" s="90" t="str">
        <f>'HKG vs. BK'!I132</f>
        <v>-</v>
      </c>
      <c r="J34" s="90" t="str">
        <f>'HKG vs. BK'!J132</f>
        <v>-</v>
      </c>
      <c r="K34" s="90" t="str">
        <f>'HKG vs. BK'!K132</f>
        <v>-</v>
      </c>
      <c r="L34" s="161" t="s">
        <v>234</v>
      </c>
      <c r="M34" s="90" t="str">
        <f>'BK vs. TG'!B132</f>
        <v/>
      </c>
      <c r="N34" s="90" t="str">
        <f>'BK vs. TG'!C132</f>
        <v/>
      </c>
      <c r="O34" s="90" t="str">
        <f>'BK vs. TG'!D132</f>
        <v/>
      </c>
      <c r="P34" s="90" t="str">
        <f>'BK vs. TG'!E132</f>
        <v/>
      </c>
      <c r="Q34" s="90" t="str">
        <f>'BK vs. TG'!F132</f>
        <v/>
      </c>
      <c r="R34" s="90" t="str">
        <f>'BK vs. TG'!G132</f>
        <v/>
      </c>
      <c r="S34" s="90" t="str">
        <f>'BK vs. TG'!H132</f>
        <v/>
      </c>
      <c r="T34" s="90" t="str">
        <f>'BK vs. TG'!I132</f>
        <v>-</v>
      </c>
      <c r="U34" s="90" t="str">
        <f>'BK vs. TG'!J132</f>
        <v>-</v>
      </c>
      <c r="V34" s="90" t="str">
        <f>'BK vs. TG'!K132</f>
        <v>-</v>
      </c>
      <c r="W34" s="91"/>
      <c r="X34" s="92"/>
      <c r="Y34" s="93"/>
    </row>
    <row r="35" spans="1:25" s="19" customFormat="1" x14ac:dyDescent="0.2">
      <c r="A35" s="161" t="s">
        <v>110</v>
      </c>
      <c r="B35" s="90">
        <f>'HKG vs. BK'!B133</f>
        <v>1E-3</v>
      </c>
      <c r="C35" s="90">
        <f>'HKG vs. BK'!C133</f>
        <v>1E-3</v>
      </c>
      <c r="D35" s="90">
        <f>'HKG vs. BK'!D133</f>
        <v>1.1480856521595872E-2</v>
      </c>
      <c r="E35" s="90">
        <f>'HKG vs. BK'!E133</f>
        <v>1E-3</v>
      </c>
      <c r="F35" s="90">
        <f>'HKG vs. BK'!F133</f>
        <v>1E-3</v>
      </c>
      <c r="G35" s="90">
        <f>'HKG vs. BK'!G133</f>
        <v>4.2828661408970464E-3</v>
      </c>
      <c r="H35" s="90">
        <f>'HKG vs. BK'!H133</f>
        <v>1E-3</v>
      </c>
      <c r="I35" s="90" t="str">
        <f>'HKG vs. BK'!I133</f>
        <v>-</v>
      </c>
      <c r="J35" s="90" t="str">
        <f>'HKG vs. BK'!J133</f>
        <v>-</v>
      </c>
      <c r="K35" s="90" t="str">
        <f>'HKG vs. BK'!K133</f>
        <v>-</v>
      </c>
      <c r="L35" s="161" t="s">
        <v>110</v>
      </c>
      <c r="M35" s="90" t="str">
        <f>'BK vs. TG'!B133</f>
        <v/>
      </c>
      <c r="N35" s="90" t="str">
        <f>'BK vs. TG'!C133</f>
        <v/>
      </c>
      <c r="O35" s="90" t="str">
        <f>'BK vs. TG'!D133</f>
        <v/>
      </c>
      <c r="P35" s="90" t="str">
        <f>'BK vs. TG'!E133</f>
        <v/>
      </c>
      <c r="Q35" s="90" t="str">
        <f>'BK vs. TG'!F133</f>
        <v/>
      </c>
      <c r="R35" s="90" t="str">
        <f>'BK vs. TG'!G133</f>
        <v/>
      </c>
      <c r="S35" s="90" t="str">
        <f>'BK vs. TG'!H133</f>
        <v/>
      </c>
      <c r="T35" s="90" t="str">
        <f>'BK vs. TG'!I133</f>
        <v>-</v>
      </c>
      <c r="U35" s="90" t="str">
        <f>'BK vs. TG'!J133</f>
        <v>-</v>
      </c>
      <c r="V35" s="90" t="str">
        <f>'BK vs. TG'!K133</f>
        <v>-</v>
      </c>
      <c r="W35" s="91"/>
      <c r="X35" s="92"/>
      <c r="Y35" s="93"/>
    </row>
    <row r="36" spans="1:25" x14ac:dyDescent="0.2">
      <c r="A36" s="162" t="s">
        <v>129</v>
      </c>
      <c r="B36" s="88">
        <f>'HKG vs. BK'!B134</f>
        <v>0.78500000000000003</v>
      </c>
      <c r="C36" s="88">
        <f>'HKG vs. BK'!C134</f>
        <v>0.71099999999999997</v>
      </c>
      <c r="D36" s="88">
        <f>'HKG vs. BK'!D134</f>
        <v>0.55000000000000004</v>
      </c>
      <c r="E36" s="88">
        <f>'HKG vs. BK'!E134</f>
        <v>0.83499999999999996</v>
      </c>
      <c r="F36" s="88">
        <f>'HKG vs. BK'!F134</f>
        <v>0.83</v>
      </c>
      <c r="G36" s="88">
        <f>'HKG vs. BK'!G134</f>
        <v>0.83799999999999997</v>
      </c>
      <c r="H36" s="88">
        <f>'HKG vs. BK'!H134</f>
        <v>0.81699999999999995</v>
      </c>
      <c r="I36" s="88">
        <f>'HKG vs. BK'!I134</f>
        <v>0.64800000000000002</v>
      </c>
      <c r="J36" s="88" t="str">
        <f>'HKG vs. BK'!J134</f>
        <v>-</v>
      </c>
      <c r="K36" s="88" t="str">
        <f>'HKG vs. BK'!K134</f>
        <v>-</v>
      </c>
      <c r="L36" s="162" t="s">
        <v>235</v>
      </c>
      <c r="M36" s="88" t="str">
        <f>'BK vs. TG'!B134</f>
        <v/>
      </c>
      <c r="N36" s="88" t="str">
        <f>'BK vs. TG'!C134</f>
        <v/>
      </c>
      <c r="O36" s="88" t="str">
        <f>'BK vs. TG'!D134</f>
        <v/>
      </c>
      <c r="P36" s="88" t="str">
        <f>'BK vs. TG'!E134</f>
        <v/>
      </c>
      <c r="Q36" s="88" t="str">
        <f>'BK vs. TG'!F134</f>
        <v/>
      </c>
      <c r="R36" s="88" t="str">
        <f>'BK vs. TG'!G134</f>
        <v/>
      </c>
      <c r="S36" s="88" t="str">
        <f>'BK vs. TG'!H134</f>
        <v/>
      </c>
      <c r="T36" s="88" t="str">
        <f>'BK vs. TG'!I134</f>
        <v/>
      </c>
      <c r="U36" s="88" t="str">
        <f>'BK vs. TG'!J134</f>
        <v>-</v>
      </c>
      <c r="V36" s="88" t="str">
        <f>'BK vs. TG'!K134</f>
        <v>-</v>
      </c>
      <c r="W36" s="58"/>
      <c r="X36" s="10"/>
      <c r="Y36" s="57"/>
    </row>
    <row r="37" spans="1:25" x14ac:dyDescent="0.2">
      <c r="A37" s="162" t="s">
        <v>110</v>
      </c>
      <c r="B37" s="88">
        <f>'HKG vs. BK'!B135</f>
        <v>1E-3</v>
      </c>
      <c r="C37" s="88">
        <f>'HKG vs. BK'!C135</f>
        <v>1E-3</v>
      </c>
      <c r="D37" s="88">
        <f>'HKG vs. BK'!D135</f>
        <v>2.416283254693505E-3</v>
      </c>
      <c r="E37" s="88">
        <f>'HKG vs. BK'!E135</f>
        <v>1E-3</v>
      </c>
      <c r="F37" s="88">
        <f>'HKG vs. BK'!F135</f>
        <v>1E-3</v>
      </c>
      <c r="G37" s="88">
        <f>'HKG vs. BK'!G135</f>
        <v>1E-3</v>
      </c>
      <c r="H37" s="88">
        <f>'HKG vs. BK'!H135</f>
        <v>1E-3</v>
      </c>
      <c r="I37" s="88">
        <f>'HKG vs. BK'!I135</f>
        <v>1E-3</v>
      </c>
      <c r="J37" s="88" t="str">
        <f>'HKG vs. BK'!J135</f>
        <v>-</v>
      </c>
      <c r="K37" s="88" t="str">
        <f>'HKG vs. BK'!K135</f>
        <v>-</v>
      </c>
      <c r="L37" s="162" t="s">
        <v>110</v>
      </c>
      <c r="M37" s="88" t="str">
        <f>'BK vs. TG'!B135</f>
        <v/>
      </c>
      <c r="N37" s="88" t="str">
        <f>'BK vs. TG'!C135</f>
        <v/>
      </c>
      <c r="O37" s="88" t="str">
        <f>'BK vs. TG'!D135</f>
        <v/>
      </c>
      <c r="P37" s="88" t="str">
        <f>'BK vs. TG'!E135</f>
        <v/>
      </c>
      <c r="Q37" s="88" t="str">
        <f>'BK vs. TG'!F135</f>
        <v/>
      </c>
      <c r="R37" s="88" t="str">
        <f>'BK vs. TG'!G135</f>
        <v/>
      </c>
      <c r="S37" s="88" t="str">
        <f>'BK vs. TG'!H135</f>
        <v/>
      </c>
      <c r="T37" s="88" t="str">
        <f>'BK vs. TG'!I135</f>
        <v/>
      </c>
      <c r="U37" s="88" t="str">
        <f>'BK vs. TG'!J135</f>
        <v>-</v>
      </c>
      <c r="V37" s="88" t="str">
        <f>'BK vs. TG'!K135</f>
        <v>-</v>
      </c>
      <c r="W37" s="58"/>
      <c r="X37" s="10"/>
      <c r="Y37" s="57"/>
    </row>
    <row r="38" spans="1:25" s="19" customFormat="1" x14ac:dyDescent="0.2">
      <c r="A38" s="161" t="s">
        <v>126</v>
      </c>
      <c r="B38" s="90">
        <f>'HKG vs. BK'!B136</f>
        <v>0.85799999999999998</v>
      </c>
      <c r="C38" s="90">
        <f>'HKG vs. BK'!C136</f>
        <v>0.59399999999999997</v>
      </c>
      <c r="D38" s="90">
        <f>'HKG vs. BK'!D136</f>
        <v>0.65600000000000003</v>
      </c>
      <c r="E38" s="90">
        <f>'HKG vs. BK'!E136</f>
        <v>0.82</v>
      </c>
      <c r="F38" s="90">
        <f>'HKG vs. BK'!F136</f>
        <v>0.75800000000000001</v>
      </c>
      <c r="G38" s="90">
        <f>'HKG vs. BK'!G136</f>
        <v>0.72799999999999998</v>
      </c>
      <c r="H38" s="90">
        <f>'HKG vs. BK'!H136</f>
        <v>0.79500000000000004</v>
      </c>
      <c r="I38" s="90">
        <f>'HKG vs. BK'!I136</f>
        <v>0.54</v>
      </c>
      <c r="J38" s="90">
        <f>'HKG vs. BK'!J136</f>
        <v>0.75700000000000001</v>
      </c>
      <c r="K38" s="90" t="str">
        <f>'HKG vs. BK'!K136</f>
        <v>-</v>
      </c>
      <c r="L38" s="161" t="s">
        <v>238</v>
      </c>
      <c r="M38" s="90" t="str">
        <f>'BK vs. TG'!B136</f>
        <v/>
      </c>
      <c r="N38" s="90" t="str">
        <f>'BK vs. TG'!C136</f>
        <v/>
      </c>
      <c r="O38" s="90" t="str">
        <f>'BK vs. TG'!D136</f>
        <v/>
      </c>
      <c r="P38" s="90" t="str">
        <f>'BK vs. TG'!E136</f>
        <v/>
      </c>
      <c r="Q38" s="90" t="str">
        <f>'BK vs. TG'!F136</f>
        <v/>
      </c>
      <c r="R38" s="90" t="str">
        <f>'BK vs. TG'!G136</f>
        <v/>
      </c>
      <c r="S38" s="90" t="str">
        <f>'BK vs. TG'!H136</f>
        <v/>
      </c>
      <c r="T38" s="90" t="str">
        <f>'BK vs. TG'!I136</f>
        <v/>
      </c>
      <c r="U38" s="90" t="str">
        <f>'BK vs. TG'!J136</f>
        <v/>
      </c>
      <c r="V38" s="90" t="str">
        <f>'BK vs. TG'!K136</f>
        <v>-</v>
      </c>
      <c r="W38" s="91"/>
      <c r="X38" s="92"/>
      <c r="Y38" s="93"/>
    </row>
    <row r="39" spans="1:25" s="19" customFormat="1" x14ac:dyDescent="0.2">
      <c r="A39" s="161" t="s">
        <v>110</v>
      </c>
      <c r="B39" s="90">
        <f>'HKG vs. BK'!B137</f>
        <v>1E-3</v>
      </c>
      <c r="C39" s="90">
        <f>'HKG vs. BK'!C137</f>
        <v>1E-3</v>
      </c>
      <c r="D39" s="90">
        <f>'HKG vs. BK'!D137</f>
        <v>1E-3</v>
      </c>
      <c r="E39" s="90">
        <f>'HKG vs. BK'!E137</f>
        <v>1E-3</v>
      </c>
      <c r="F39" s="90">
        <f>'HKG vs. BK'!F137</f>
        <v>1E-3</v>
      </c>
      <c r="G39" s="90">
        <f>'HKG vs. BK'!G137</f>
        <v>1E-3</v>
      </c>
      <c r="H39" s="90">
        <f>'HKG vs. BK'!H137</f>
        <v>1E-3</v>
      </c>
      <c r="I39" s="90">
        <f>'HKG vs. BK'!I137</f>
        <v>3.0271501959671034E-3</v>
      </c>
      <c r="J39" s="90">
        <f>'HKG vs. BK'!J137</f>
        <v>1E-3</v>
      </c>
      <c r="K39" s="90" t="str">
        <f>'HKG vs. BK'!K137</f>
        <v>-</v>
      </c>
      <c r="L39" s="161" t="s">
        <v>110</v>
      </c>
      <c r="M39" s="90" t="str">
        <f>'BK vs. TG'!B137</f>
        <v/>
      </c>
      <c r="N39" s="90" t="str">
        <f>'BK vs. TG'!C137</f>
        <v/>
      </c>
      <c r="O39" s="90" t="str">
        <f>'BK vs. TG'!D137</f>
        <v/>
      </c>
      <c r="P39" s="90" t="str">
        <f>'BK vs. TG'!E137</f>
        <v/>
      </c>
      <c r="Q39" s="90" t="str">
        <f>'BK vs. TG'!F137</f>
        <v/>
      </c>
      <c r="R39" s="90" t="str">
        <f>'BK vs. TG'!G137</f>
        <v/>
      </c>
      <c r="S39" s="90" t="str">
        <f>'BK vs. TG'!H137</f>
        <v/>
      </c>
      <c r="T39" s="90" t="str">
        <f>'BK vs. TG'!I137</f>
        <v/>
      </c>
      <c r="U39" s="90" t="str">
        <f>'BK vs. TG'!J137</f>
        <v/>
      </c>
      <c r="V39" s="90" t="str">
        <f>'BK vs. TG'!K137</f>
        <v>-</v>
      </c>
      <c r="W39" s="91"/>
      <c r="X39" s="92"/>
      <c r="Y39" s="93"/>
    </row>
    <row r="40" spans="1:25" x14ac:dyDescent="0.2">
      <c r="A40" s="89"/>
      <c r="B40" s="90"/>
      <c r="C40" s="90"/>
      <c r="D40" s="90"/>
      <c r="E40" s="90"/>
      <c r="F40" s="90"/>
      <c r="G40" s="90"/>
      <c r="H40" s="90"/>
      <c r="I40" s="90"/>
      <c r="J40" s="90"/>
      <c r="K40" s="90"/>
      <c r="L40" s="163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1"/>
      <c r="X40" s="92"/>
      <c r="Y40" s="93"/>
    </row>
    <row r="41" spans="1:25" s="167" customFormat="1" x14ac:dyDescent="0.2">
      <c r="A41" s="99" t="s">
        <v>361</v>
      </c>
      <c r="B41" s="137" t="s">
        <v>2</v>
      </c>
      <c r="C41" s="137" t="s">
        <v>4</v>
      </c>
      <c r="D41" s="137" t="s">
        <v>6</v>
      </c>
      <c r="E41" s="137" t="s">
        <v>8</v>
      </c>
      <c r="F41" s="137" t="s">
        <v>0</v>
      </c>
      <c r="G41" s="137" t="s">
        <v>133</v>
      </c>
      <c r="H41" s="137" t="s">
        <v>142</v>
      </c>
      <c r="I41" s="137" t="s">
        <v>131</v>
      </c>
      <c r="J41" s="137" t="s">
        <v>129</v>
      </c>
      <c r="K41" s="137" t="s">
        <v>126</v>
      </c>
      <c r="L41" s="99" t="s">
        <v>361</v>
      </c>
      <c r="M41" s="100" t="s">
        <v>227</v>
      </c>
      <c r="N41" s="100" t="s">
        <v>228</v>
      </c>
      <c r="O41" s="100" t="s">
        <v>229</v>
      </c>
      <c r="P41" s="100" t="s">
        <v>230</v>
      </c>
      <c r="Q41" s="100" t="s">
        <v>231</v>
      </c>
      <c r="R41" s="100" t="s">
        <v>232</v>
      </c>
      <c r="S41" s="100" t="s">
        <v>233</v>
      </c>
      <c r="T41" s="100" t="s">
        <v>234</v>
      </c>
      <c r="U41" s="100" t="s">
        <v>235</v>
      </c>
      <c r="V41" s="100" t="s">
        <v>236</v>
      </c>
      <c r="W41" s="164"/>
      <c r="X41" s="165"/>
      <c r="Y41" s="166"/>
    </row>
    <row r="42" spans="1:25" s="167" customFormat="1" x14ac:dyDescent="0.2">
      <c r="A42" s="104" t="s">
        <v>336</v>
      </c>
      <c r="B42" s="105">
        <f>'HKG vs. BK'!B140</f>
        <v>0.93</v>
      </c>
      <c r="C42" s="105">
        <f>'HKG vs. BK'!C140</f>
        <v>0.82199999999999995</v>
      </c>
      <c r="D42" s="105">
        <f>'HKG vs. BK'!D140</f>
        <v>0.69399999999999995</v>
      </c>
      <c r="E42" s="105">
        <f>'HKG vs. BK'!E140</f>
        <v>0.878</v>
      </c>
      <c r="F42" s="105">
        <f>'HKG vs. BK'!F140</f>
        <v>0.90500000000000003</v>
      </c>
      <c r="G42" s="105">
        <f>'HKG vs. BK'!G140</f>
        <v>0.80700000000000005</v>
      </c>
      <c r="H42" s="105">
        <f>'HKG vs. BK'!H140</f>
        <v>0.88200000000000001</v>
      </c>
      <c r="I42" s="105">
        <f>'HKG vs. BK'!I140</f>
        <v>0.79200000000000004</v>
      </c>
      <c r="J42" s="105">
        <f>'HKG vs. BK'!J140</f>
        <v>0.91</v>
      </c>
      <c r="K42" s="105">
        <f>'HKG vs. BK'!K140</f>
        <v>0.872</v>
      </c>
      <c r="L42" s="104" t="s">
        <v>336</v>
      </c>
      <c r="M42" s="105" t="str">
        <f>'BK vs. TG'!B140</f>
        <v/>
      </c>
      <c r="N42" s="105" t="str">
        <f>'BK vs. TG'!C140</f>
        <v/>
      </c>
      <c r="O42" s="105" t="str">
        <f>'BK vs. TG'!D140</f>
        <v/>
      </c>
      <c r="P42" s="105" t="str">
        <f>'BK vs. TG'!E140</f>
        <v/>
      </c>
      <c r="Q42" s="105" t="str">
        <f>'BK vs. TG'!F140</f>
        <v/>
      </c>
      <c r="R42" s="105" t="str">
        <f>'BK vs. TG'!G140</f>
        <v/>
      </c>
      <c r="S42" s="105" t="str">
        <f>'BK vs. TG'!H140</f>
        <v/>
      </c>
      <c r="T42" s="105" t="str">
        <f>'BK vs. TG'!I140</f>
        <v/>
      </c>
      <c r="U42" s="105" t="str">
        <f>'BK vs. TG'!J140</f>
        <v/>
      </c>
      <c r="V42" s="105" t="str">
        <f>'BK vs. TG'!K140</f>
        <v/>
      </c>
      <c r="W42" s="164"/>
      <c r="X42" s="165"/>
      <c r="Y42" s="166"/>
    </row>
    <row r="43" spans="1:25" s="167" customFormat="1" x14ac:dyDescent="0.2">
      <c r="A43" s="99" t="s">
        <v>110</v>
      </c>
      <c r="B43" s="105">
        <f>'HKG vs. BK'!B141</f>
        <v>1E-3</v>
      </c>
      <c r="C43" s="105">
        <f>'HKG vs. BK'!C141</f>
        <v>1E-3</v>
      </c>
      <c r="D43" s="105">
        <f>'HKG vs. BK'!D141</f>
        <v>1E-3</v>
      </c>
      <c r="E43" s="105">
        <f>'HKG vs. BK'!E141</f>
        <v>1E-3</v>
      </c>
      <c r="F43" s="105">
        <f>'HKG vs. BK'!F141</f>
        <v>1E-3</v>
      </c>
      <c r="G43" s="105">
        <f>'HKG vs. BK'!G141</f>
        <v>1E-3</v>
      </c>
      <c r="H43" s="105">
        <f>'HKG vs. BK'!H141</f>
        <v>1E-3</v>
      </c>
      <c r="I43" s="105">
        <f>'HKG vs. BK'!I141</f>
        <v>1E-3</v>
      </c>
      <c r="J43" s="105">
        <f>'HKG vs. BK'!J141</f>
        <v>1E-3</v>
      </c>
      <c r="K43" s="105">
        <f>'HKG vs. BK'!K141</f>
        <v>1E-3</v>
      </c>
      <c r="L43" s="99" t="s">
        <v>110</v>
      </c>
      <c r="M43" s="105" t="str">
        <f>'BK vs. TG'!B141</f>
        <v/>
      </c>
      <c r="N43" s="105" t="str">
        <f>'BK vs. TG'!C141</f>
        <v/>
      </c>
      <c r="O43" s="105" t="str">
        <f>'BK vs. TG'!D141</f>
        <v/>
      </c>
      <c r="P43" s="105" t="str">
        <f>'BK vs. TG'!E141</f>
        <v/>
      </c>
      <c r="Q43" s="105" t="str">
        <f>'BK vs. TG'!F141</f>
        <v/>
      </c>
      <c r="R43" s="105" t="str">
        <f>'BK vs. TG'!G141</f>
        <v/>
      </c>
      <c r="S43" s="105" t="str">
        <f>'BK vs. TG'!H141</f>
        <v/>
      </c>
      <c r="T43" s="105" t="str">
        <f>'BK vs. TG'!I141</f>
        <v/>
      </c>
      <c r="U43" s="105" t="str">
        <f>'BK vs. TG'!J141</f>
        <v/>
      </c>
      <c r="V43" s="105" t="str">
        <f>'BK vs. TG'!K141</f>
        <v/>
      </c>
      <c r="W43" s="164"/>
      <c r="X43" s="165"/>
      <c r="Y43" s="166"/>
    </row>
    <row r="46" spans="1:25" ht="15" x14ac:dyDescent="0.2">
      <c r="A46" s="174" t="s">
        <v>332</v>
      </c>
      <c r="B46" s="87"/>
      <c r="C46" s="87"/>
      <c r="D46" s="87"/>
      <c r="E46" s="87"/>
      <c r="F46" s="87"/>
      <c r="G46" s="87"/>
      <c r="H46" s="87"/>
      <c r="I46" s="87"/>
      <c r="J46" s="87"/>
      <c r="K46" s="87"/>
      <c r="L46" s="174" t="s">
        <v>354</v>
      </c>
      <c r="M46" s="87"/>
      <c r="N46" s="87"/>
      <c r="O46" s="87"/>
      <c r="P46" s="87"/>
      <c r="Q46" s="87"/>
      <c r="R46" s="87"/>
      <c r="S46" s="87"/>
      <c r="T46" s="87"/>
      <c r="U46" s="87"/>
      <c r="V46" s="87"/>
    </row>
    <row r="47" spans="1:25" s="54" customFormat="1" x14ac:dyDescent="0.2">
      <c r="A47" s="86"/>
      <c r="B47" s="100" t="str">
        <f>'HKG vs. BK'!B145</f>
        <v>ACTB</v>
      </c>
      <c r="C47" s="100" t="str">
        <f>'HKG vs. BK'!C145</f>
        <v>SDHA</v>
      </c>
      <c r="D47" s="100" t="str">
        <f>'HKG vs. BK'!D145</f>
        <v>HPRT1</v>
      </c>
      <c r="E47" s="100" t="str">
        <f>'HKG vs. BK'!E145</f>
        <v>UBC</v>
      </c>
      <c r="F47" s="100" t="str">
        <f>'HKG vs. BK'!F145</f>
        <v>PGK1</v>
      </c>
      <c r="G47" s="100" t="str">
        <f>'HKG vs. BK'!G145</f>
        <v>PPIA</v>
      </c>
      <c r="H47" s="100" t="str">
        <f>'HKG vs. BK'!H145</f>
        <v>ATP5B</v>
      </c>
      <c r="I47" s="100" t="str">
        <f>'HKG vs. BK'!I145</f>
        <v>GUSB</v>
      </c>
      <c r="J47" s="100" t="str">
        <f>'HKG vs. BK'!J145</f>
        <v>GAPDH</v>
      </c>
      <c r="K47" s="100" t="str">
        <f>'HKG vs. BK'!K145</f>
        <v>YWHAZ</v>
      </c>
      <c r="L47" s="86"/>
      <c r="M47" s="100" t="str">
        <f>'BK vs. TG'!B145</f>
        <v/>
      </c>
      <c r="N47" s="100" t="str">
        <f>'BK vs. TG'!C145</f>
        <v/>
      </c>
      <c r="O47" s="100" t="str">
        <f>'BK vs. TG'!D145</f>
        <v/>
      </c>
      <c r="P47" s="100" t="str">
        <f>'BK vs. TG'!E145</f>
        <v/>
      </c>
      <c r="Q47" s="100" t="str">
        <f>'BK vs. TG'!F145</f>
        <v/>
      </c>
      <c r="R47" s="100" t="str">
        <f>'BK vs. TG'!G145</f>
        <v/>
      </c>
      <c r="S47" s="100" t="str">
        <f>'BK vs. TG'!H145</f>
        <v/>
      </c>
      <c r="T47" s="100" t="str">
        <f>'BK vs. TG'!I145</f>
        <v/>
      </c>
      <c r="U47" s="100" t="str">
        <f>'BK vs. TG'!J145</f>
        <v/>
      </c>
      <c r="V47" s="100" t="str">
        <f>'BK vs. TG'!K145</f>
        <v/>
      </c>
    </row>
    <row r="48" spans="1:25" x14ac:dyDescent="0.2">
      <c r="A48" s="111"/>
      <c r="B48" s="138" t="s">
        <v>2</v>
      </c>
      <c r="C48" s="138" t="s">
        <v>4</v>
      </c>
      <c r="D48" s="138" t="s">
        <v>6</v>
      </c>
      <c r="E48" s="138" t="s">
        <v>8</v>
      </c>
      <c r="F48" s="138" t="s">
        <v>0</v>
      </c>
      <c r="G48" s="138" t="s">
        <v>133</v>
      </c>
      <c r="H48" s="138" t="s">
        <v>142</v>
      </c>
      <c r="I48" s="138" t="s">
        <v>131</v>
      </c>
      <c r="J48" s="138" t="s">
        <v>129</v>
      </c>
      <c r="K48" s="138" t="s">
        <v>126</v>
      </c>
      <c r="L48" s="111"/>
      <c r="M48" s="87" t="str">
        <f>'BK vs. TG'!B146</f>
        <v>TG 1</v>
      </c>
      <c r="N48" s="87" t="str">
        <f>'BK vs. TG'!C146</f>
        <v>TG 2</v>
      </c>
      <c r="O48" s="87" t="str">
        <f>'BK vs. TG'!D146</f>
        <v>TG 3</v>
      </c>
      <c r="P48" s="87" t="str">
        <f>'BK vs. TG'!E146</f>
        <v>TG 4</v>
      </c>
      <c r="Q48" s="87" t="str">
        <f>'BK vs. TG'!F146</f>
        <v>TG 5</v>
      </c>
      <c r="R48" s="87" t="str">
        <f>'BK vs. TG'!G146</f>
        <v>TG 6</v>
      </c>
      <c r="S48" s="87" t="str">
        <f>'BK vs. TG'!H146</f>
        <v>TG 7</v>
      </c>
      <c r="T48" s="87" t="str">
        <f>'BK vs. TG'!I146</f>
        <v>TG 8</v>
      </c>
      <c r="U48" s="87" t="str">
        <f>'BK vs. TG'!J146</f>
        <v>TG 9</v>
      </c>
      <c r="V48" s="87" t="str">
        <f>'BK vs. TG'!K146</f>
        <v>TG 10</v>
      </c>
    </row>
    <row r="49" spans="1:22" x14ac:dyDescent="0.2">
      <c r="A49" s="24"/>
      <c r="B49" s="87" t="str">
        <f>'HKG vs. BK'!B147</f>
        <v>vs.</v>
      </c>
      <c r="C49" s="87" t="str">
        <f>'HKG vs. BK'!C147</f>
        <v>vs.</v>
      </c>
      <c r="D49" s="87" t="str">
        <f>'HKG vs. BK'!D147</f>
        <v>vs.</v>
      </c>
      <c r="E49" s="87" t="str">
        <f>'HKG vs. BK'!E147</f>
        <v>vs.</v>
      </c>
      <c r="F49" s="87" t="str">
        <f>'HKG vs. BK'!F147</f>
        <v>vs.</v>
      </c>
      <c r="G49" s="87" t="str">
        <f>'HKG vs. BK'!G147</f>
        <v>vs.</v>
      </c>
      <c r="H49" s="87" t="str">
        <f>'HKG vs. BK'!H147</f>
        <v>vs.</v>
      </c>
      <c r="I49" s="87" t="str">
        <f>'HKG vs. BK'!I147</f>
        <v>vs.</v>
      </c>
      <c r="J49" s="87" t="str">
        <f>'HKG vs. BK'!J147</f>
        <v>vs.</v>
      </c>
      <c r="K49" s="87" t="str">
        <f>'HKG vs. BK'!K147</f>
        <v>vs.</v>
      </c>
      <c r="L49" s="24"/>
      <c r="M49" s="87" t="str">
        <f>'BK vs. TG'!B147</f>
        <v>vs.</v>
      </c>
      <c r="N49" s="87" t="str">
        <f>'BK vs. TG'!C147</f>
        <v>vs.</v>
      </c>
      <c r="O49" s="87" t="str">
        <f>'BK vs. TG'!D147</f>
        <v>vs.</v>
      </c>
      <c r="P49" s="87" t="str">
        <f>'BK vs. TG'!E147</f>
        <v>vs.</v>
      </c>
      <c r="Q49" s="87" t="str">
        <f>'BK vs. TG'!F147</f>
        <v>vs.</v>
      </c>
      <c r="R49" s="87" t="str">
        <f>'BK vs. TG'!G147</f>
        <v>vs.</v>
      </c>
      <c r="S49" s="87" t="str">
        <f>'BK vs. TG'!H147</f>
        <v>vs.</v>
      </c>
      <c r="T49" s="87" t="str">
        <f>'BK vs. TG'!I147</f>
        <v>vs.</v>
      </c>
      <c r="U49" s="87" t="str">
        <f>'BK vs. TG'!J147</f>
        <v>vs.</v>
      </c>
      <c r="V49" s="87" t="str">
        <f>'BK vs. TG'!K147</f>
        <v>vs.</v>
      </c>
    </row>
    <row r="50" spans="1:22" x14ac:dyDescent="0.2">
      <c r="A50" s="24"/>
      <c r="B50" s="87" t="str">
        <f>'HKG vs. BK'!B148</f>
        <v>BK</v>
      </c>
      <c r="C50" s="87" t="str">
        <f>'HKG vs. BK'!C148</f>
        <v>BK</v>
      </c>
      <c r="D50" s="87" t="str">
        <f>'HKG vs. BK'!D148</f>
        <v>BK</v>
      </c>
      <c r="E50" s="87" t="str">
        <f>'HKG vs. BK'!E148</f>
        <v>BK</v>
      </c>
      <c r="F50" s="87" t="str">
        <f>'HKG vs. BK'!F148</f>
        <v>BK</v>
      </c>
      <c r="G50" s="87" t="str">
        <f>'HKG vs. BK'!G148</f>
        <v>BK</v>
      </c>
      <c r="H50" s="87" t="str">
        <f>'HKG vs. BK'!H148</f>
        <v>BK</v>
      </c>
      <c r="I50" s="87" t="str">
        <f>'HKG vs. BK'!I148</f>
        <v>BK</v>
      </c>
      <c r="J50" s="87" t="str">
        <f>'HKG vs. BK'!J148</f>
        <v>BK</v>
      </c>
      <c r="K50" s="87" t="str">
        <f>'HKG vs. BK'!K148</f>
        <v>BK</v>
      </c>
      <c r="L50" s="24"/>
      <c r="M50" s="87" t="str">
        <f>'BK vs. TG'!B148</f>
        <v>BK</v>
      </c>
      <c r="N50" s="87" t="str">
        <f>'BK vs. TG'!C148</f>
        <v>BK</v>
      </c>
      <c r="O50" s="87" t="str">
        <f>'BK vs. TG'!D148</f>
        <v>BK</v>
      </c>
      <c r="P50" s="87" t="str">
        <f>'BK vs. TG'!E148</f>
        <v>BK</v>
      </c>
      <c r="Q50" s="87" t="str">
        <f>'BK vs. TG'!F148</f>
        <v>BK</v>
      </c>
      <c r="R50" s="87" t="str">
        <f>'BK vs. TG'!G148</f>
        <v>BK</v>
      </c>
      <c r="S50" s="87" t="str">
        <f>'BK vs. TG'!H148</f>
        <v>BK</v>
      </c>
      <c r="T50" s="87" t="str">
        <f>'BK vs. TG'!I148</f>
        <v>BK</v>
      </c>
      <c r="U50" s="87" t="str">
        <f>'BK vs. TG'!J148</f>
        <v>BK</v>
      </c>
      <c r="V50" s="87" t="str">
        <f>'BK vs. TG'!K148</f>
        <v>BK</v>
      </c>
    </row>
    <row r="51" spans="1:22" x14ac:dyDescent="0.2">
      <c r="A51" s="24"/>
      <c r="B51" s="87"/>
      <c r="C51" s="87"/>
      <c r="D51" s="87"/>
      <c r="E51" s="87"/>
      <c r="F51" s="87"/>
      <c r="G51" s="87"/>
      <c r="H51" s="87"/>
      <c r="I51" s="87"/>
      <c r="J51" s="87"/>
      <c r="K51" s="87"/>
      <c r="L51" s="24"/>
      <c r="M51" s="87"/>
      <c r="N51" s="87"/>
      <c r="O51" s="87"/>
      <c r="P51" s="87"/>
      <c r="Q51" s="87"/>
      <c r="R51" s="87"/>
      <c r="S51" s="87"/>
      <c r="T51" s="87"/>
      <c r="U51" s="87"/>
      <c r="V51" s="87"/>
    </row>
    <row r="52" spans="1:22" x14ac:dyDescent="0.2">
      <c r="A52" s="113" t="s">
        <v>336</v>
      </c>
      <c r="B52" s="100">
        <f>'HKG vs. BK'!B149</f>
        <v>0.93</v>
      </c>
      <c r="C52" s="100">
        <f>'HKG vs. BK'!C149</f>
        <v>0.82199999999999995</v>
      </c>
      <c r="D52" s="100">
        <f>'HKG vs. BK'!D149</f>
        <v>0.69399999999999995</v>
      </c>
      <c r="E52" s="100">
        <f>'HKG vs. BK'!E149</f>
        <v>0.878</v>
      </c>
      <c r="F52" s="100">
        <f>'HKG vs. BK'!F149</f>
        <v>0.90500000000000003</v>
      </c>
      <c r="G52" s="100">
        <f>'HKG vs. BK'!G149</f>
        <v>0.80700000000000005</v>
      </c>
      <c r="H52" s="100">
        <f>'HKG vs. BK'!H149</f>
        <v>0.88200000000000001</v>
      </c>
      <c r="I52" s="100">
        <f>'HKG vs. BK'!I149</f>
        <v>0.79200000000000004</v>
      </c>
      <c r="J52" s="100">
        <f>'HKG vs. BK'!J149</f>
        <v>0.91</v>
      </c>
      <c r="K52" s="100">
        <f>'HKG vs. BK'!K149</f>
        <v>0.872</v>
      </c>
      <c r="L52" s="113" t="s">
        <v>336</v>
      </c>
      <c r="M52" s="87" t="str">
        <f>'BK vs. TG'!B149</f>
        <v/>
      </c>
      <c r="N52" s="87" t="str">
        <f>'BK vs. TG'!C149</f>
        <v/>
      </c>
      <c r="O52" s="87" t="str">
        <f>'BK vs. TG'!D149</f>
        <v/>
      </c>
      <c r="P52" s="87" t="str">
        <f>'BK vs. TG'!E149</f>
        <v/>
      </c>
      <c r="Q52" s="87" t="str">
        <f>'BK vs. TG'!F149</f>
        <v/>
      </c>
      <c r="R52" s="87" t="str">
        <f>'BK vs. TG'!G149</f>
        <v/>
      </c>
      <c r="S52" s="87" t="str">
        <f>'BK vs. TG'!H149</f>
        <v/>
      </c>
      <c r="T52" s="87" t="str">
        <f>'BK vs. TG'!I149</f>
        <v/>
      </c>
      <c r="U52" s="87" t="str">
        <f>'BK vs. TG'!J149</f>
        <v/>
      </c>
      <c r="V52" s="87" t="str">
        <f>'BK vs. TG'!K149</f>
        <v/>
      </c>
    </row>
    <row r="53" spans="1:22" x14ac:dyDescent="0.2">
      <c r="A53" s="113" t="s">
        <v>337</v>
      </c>
      <c r="B53" s="100">
        <f>'HKG vs. BK'!B150</f>
        <v>0.86499999999999999</v>
      </c>
      <c r="C53" s="100">
        <f>'HKG vs. BK'!C150</f>
        <v>0.67600000000000005</v>
      </c>
      <c r="D53" s="100">
        <f>'HKG vs. BK'!D150</f>
        <v>0.48199999999999998</v>
      </c>
      <c r="E53" s="100">
        <f>'HKG vs. BK'!E150</f>
        <v>0.77100000000000002</v>
      </c>
      <c r="F53" s="100">
        <f>'HKG vs. BK'!F150</f>
        <v>0.81899999999999995</v>
      </c>
      <c r="G53" s="100">
        <f>'HKG vs. BK'!G150</f>
        <v>0.65100000000000002</v>
      </c>
      <c r="H53" s="100">
        <f>'HKG vs. BK'!H150</f>
        <v>0.77800000000000002</v>
      </c>
      <c r="I53" s="100">
        <f>'HKG vs. BK'!I150</f>
        <v>0.627</v>
      </c>
      <c r="J53" s="100">
        <f>'HKG vs. BK'!J150</f>
        <v>0.82799999999999996</v>
      </c>
      <c r="K53" s="100">
        <f>'HKG vs. BK'!K150</f>
        <v>0.76</v>
      </c>
      <c r="L53" s="113" t="s">
        <v>337</v>
      </c>
      <c r="M53" s="87" t="str">
        <f>'BK vs. TG'!B150</f>
        <v/>
      </c>
      <c r="N53" s="87" t="str">
        <f>'BK vs. TG'!C150</f>
        <v/>
      </c>
      <c r="O53" s="87" t="str">
        <f>'BK vs. TG'!D150</f>
        <v/>
      </c>
      <c r="P53" s="87" t="str">
        <f>'BK vs. TG'!E150</f>
        <v/>
      </c>
      <c r="Q53" s="87" t="str">
        <f>'BK vs. TG'!F150</f>
        <v/>
      </c>
      <c r="R53" s="87" t="str">
        <f>'BK vs. TG'!G150</f>
        <v/>
      </c>
      <c r="S53" s="87" t="str">
        <f>'BK vs. TG'!H150</f>
        <v/>
      </c>
      <c r="T53" s="87" t="str">
        <f>'BK vs. TG'!I150</f>
        <v/>
      </c>
      <c r="U53" s="87" t="str">
        <f>'BK vs. TG'!J150</f>
        <v/>
      </c>
      <c r="V53" s="87" t="str">
        <f>'BK vs. TG'!K150</f>
        <v/>
      </c>
    </row>
    <row r="54" spans="1:22" x14ac:dyDescent="0.2">
      <c r="A54" s="113" t="s">
        <v>333</v>
      </c>
      <c r="B54" s="100">
        <f>'HKG vs. BK'!B151</f>
        <v>-2.63</v>
      </c>
      <c r="C54" s="100">
        <f>'HKG vs. BK'!C151</f>
        <v>-4.8078000000000003</v>
      </c>
      <c r="D54" s="100">
        <f>'HKG vs. BK'!D151</f>
        <v>11.128399999999999</v>
      </c>
      <c r="E54" s="100">
        <f>'HKG vs. BK'!E151</f>
        <v>-6.25E-2</v>
      </c>
      <c r="F54" s="100">
        <f>'HKG vs. BK'!F151</f>
        <v>-3.1856</v>
      </c>
      <c r="G54" s="100">
        <f>'HKG vs. BK'!G151</f>
        <v>7.6006999999999998</v>
      </c>
      <c r="H54" s="100">
        <f>'HKG vs. BK'!H151</f>
        <v>2.7206000000000001</v>
      </c>
      <c r="I54" s="100">
        <f>'HKG vs. BK'!I151</f>
        <v>-7.1173999999999999</v>
      </c>
      <c r="J54" s="100">
        <f>'HKG vs. BK'!J151</f>
        <v>-2.9933999999999998</v>
      </c>
      <c r="K54" s="100">
        <f>'HKG vs. BK'!K151</f>
        <v>-1.2203999999999999</v>
      </c>
      <c r="L54" s="113" t="s">
        <v>333</v>
      </c>
      <c r="M54" s="87" t="str">
        <f>'BK vs. TG'!B151</f>
        <v/>
      </c>
      <c r="N54" s="87" t="str">
        <f>'BK vs. TG'!C151</f>
        <v/>
      </c>
      <c r="O54" s="87" t="str">
        <f>'BK vs. TG'!D151</f>
        <v/>
      </c>
      <c r="P54" s="87" t="str">
        <f>'BK vs. TG'!E151</f>
        <v/>
      </c>
      <c r="Q54" s="87" t="str">
        <f>'BK vs. TG'!F151</f>
        <v/>
      </c>
      <c r="R54" s="87" t="str">
        <f>'BK vs. TG'!G151</f>
        <v/>
      </c>
      <c r="S54" s="87" t="str">
        <f>'BK vs. TG'!H151</f>
        <v/>
      </c>
      <c r="T54" s="87" t="str">
        <f>'BK vs. TG'!I151</f>
        <v/>
      </c>
      <c r="U54" s="87" t="str">
        <f>'BK vs. TG'!J151</f>
        <v/>
      </c>
      <c r="V54" s="87" t="str">
        <f>'BK vs. TG'!K151</f>
        <v/>
      </c>
    </row>
    <row r="55" spans="1:22" x14ac:dyDescent="0.2">
      <c r="A55" s="113" t="s">
        <v>334</v>
      </c>
      <c r="B55" s="100">
        <f>'HKG vs. BK'!B152</f>
        <v>1.0005999999999999</v>
      </c>
      <c r="C55" s="100">
        <f>'HKG vs. BK'!C152</f>
        <v>1.3338000000000001</v>
      </c>
      <c r="D55" s="100">
        <f>'HKG vs. BK'!D152</f>
        <v>0.6744</v>
      </c>
      <c r="E55" s="100">
        <f>'HKG vs. BK'!E152</f>
        <v>0.86880000000000002</v>
      </c>
      <c r="F55" s="100">
        <f>'HKG vs. BK'!F152</f>
        <v>1.1923999999999999</v>
      </c>
      <c r="G55" s="100">
        <f>'HKG vs. BK'!G152</f>
        <v>0.60199999999999998</v>
      </c>
      <c r="H55" s="100">
        <f>'HKG vs. BK'!H152</f>
        <v>0.78800000000000003</v>
      </c>
      <c r="I55" s="100">
        <f>'HKG vs. BK'!I152</f>
        <v>1.5286999999999999</v>
      </c>
      <c r="J55" s="100">
        <f>'HKG vs. BK'!J152</f>
        <v>0.96050000000000002</v>
      </c>
      <c r="K55" s="100">
        <f>'HKG vs. BK'!K152</f>
        <v>1.1720999999999999</v>
      </c>
      <c r="L55" s="113" t="s">
        <v>334</v>
      </c>
      <c r="M55" s="87" t="str">
        <f>'BK vs. TG'!B152</f>
        <v/>
      </c>
      <c r="N55" s="87" t="str">
        <f>'BK vs. TG'!C152</f>
        <v/>
      </c>
      <c r="O55" s="87" t="str">
        <f>'BK vs. TG'!D152</f>
        <v/>
      </c>
      <c r="P55" s="87" t="str">
        <f>'BK vs. TG'!E152</f>
        <v/>
      </c>
      <c r="Q55" s="87" t="str">
        <f>'BK vs. TG'!F152</f>
        <v/>
      </c>
      <c r="R55" s="87" t="str">
        <f>'BK vs. TG'!G152</f>
        <v/>
      </c>
      <c r="S55" s="87" t="str">
        <f>'BK vs. TG'!H152</f>
        <v/>
      </c>
      <c r="T55" s="87" t="str">
        <f>'BK vs. TG'!I152</f>
        <v/>
      </c>
      <c r="U55" s="87" t="str">
        <f>'BK vs. TG'!J152</f>
        <v/>
      </c>
      <c r="V55" s="87" t="str">
        <f>'BK vs. TG'!K152</f>
        <v/>
      </c>
    </row>
    <row r="56" spans="1:22" x14ac:dyDescent="0.2">
      <c r="A56" s="113" t="s">
        <v>335</v>
      </c>
      <c r="B56" s="100" t="str">
        <f>'HKG vs. BK'!B153</f>
        <v>±0,531</v>
      </c>
      <c r="C56" s="100" t="str">
        <f>'HKG vs. BK'!C153</f>
        <v>±1,241</v>
      </c>
      <c r="D56" s="100" t="str">
        <f>'HKG vs. BK'!D153</f>
        <v>±0,939</v>
      </c>
      <c r="E56" s="100" t="str">
        <f>'HKG vs. BK'!E153</f>
        <v>±0,636</v>
      </c>
      <c r="F56" s="100" t="str">
        <f>'HKG vs. BK'!F153</f>
        <v>±0,752</v>
      </c>
      <c r="G56" s="100" t="str">
        <f>'HKG vs. BK'!G153</f>
        <v>±0,592</v>
      </c>
      <c r="H56" s="100" t="str">
        <f>'HKG vs. BK'!H153</f>
        <v>±0,565</v>
      </c>
      <c r="I56" s="100" t="str">
        <f>'HKG vs. BK'!I153</f>
        <v>±1,582</v>
      </c>
      <c r="J56" s="100" t="str">
        <f>'HKG vs. BK'!J153</f>
        <v>±0,588</v>
      </c>
      <c r="K56" s="100" t="str">
        <f>'HKG vs. BK'!K153</f>
        <v>±0,884</v>
      </c>
      <c r="L56" s="113" t="s">
        <v>335</v>
      </c>
      <c r="M56" s="87" t="str">
        <f>'BK vs. TG'!B153</f>
        <v/>
      </c>
      <c r="N56" s="87" t="str">
        <f>'BK vs. TG'!C153</f>
        <v/>
      </c>
      <c r="O56" s="87" t="str">
        <f>'BK vs. TG'!D153</f>
        <v/>
      </c>
      <c r="P56" s="87" t="str">
        <f>'BK vs. TG'!E153</f>
        <v/>
      </c>
      <c r="Q56" s="87" t="str">
        <f>'BK vs. TG'!F153</f>
        <v/>
      </c>
      <c r="R56" s="87" t="str">
        <f>'BK vs. TG'!G153</f>
        <v/>
      </c>
      <c r="S56" s="87" t="str">
        <f>'BK vs. TG'!H153</f>
        <v/>
      </c>
      <c r="T56" s="87" t="str">
        <f>'BK vs. TG'!I153</f>
        <v/>
      </c>
      <c r="U56" s="87" t="str">
        <f>'BK vs. TG'!J153</f>
        <v/>
      </c>
      <c r="V56" s="87" t="str">
        <f>'BK vs. TG'!K153</f>
        <v/>
      </c>
    </row>
    <row r="57" spans="1:22" x14ac:dyDescent="0.2">
      <c r="A57" s="49" t="s">
        <v>110</v>
      </c>
      <c r="B57" s="105">
        <f>'HKG vs. BK'!B154</f>
        <v>1E-3</v>
      </c>
      <c r="C57" s="105">
        <f>'HKG vs. BK'!C154</f>
        <v>1E-3</v>
      </c>
      <c r="D57" s="105">
        <f>'HKG vs. BK'!D154</f>
        <v>1E-3</v>
      </c>
      <c r="E57" s="105">
        <f>'HKG vs. BK'!E154</f>
        <v>1E-3</v>
      </c>
      <c r="F57" s="105">
        <f>'HKG vs. BK'!F154</f>
        <v>1E-3</v>
      </c>
      <c r="G57" s="105">
        <f>'HKG vs. BK'!G154</f>
        <v>1E-3</v>
      </c>
      <c r="H57" s="105">
        <f>'HKG vs. BK'!H154</f>
        <v>1E-3</v>
      </c>
      <c r="I57" s="105">
        <f>'HKG vs. BK'!I154</f>
        <v>1E-3</v>
      </c>
      <c r="J57" s="105">
        <f>'HKG vs. BK'!J154</f>
        <v>1E-3</v>
      </c>
      <c r="K57" s="105">
        <f>'HKG vs. BK'!K154</f>
        <v>1E-3</v>
      </c>
      <c r="L57" s="49" t="s">
        <v>110</v>
      </c>
      <c r="M57" s="105" t="str">
        <f>'BK vs. TG'!B154</f>
        <v/>
      </c>
      <c r="N57" s="105" t="str">
        <f>'BK vs. TG'!C154</f>
        <v/>
      </c>
      <c r="O57" s="105" t="str">
        <f>'BK vs. TG'!D154</f>
        <v/>
      </c>
      <c r="P57" s="105" t="str">
        <f>'BK vs. TG'!E154</f>
        <v/>
      </c>
      <c r="Q57" s="105" t="str">
        <f>'BK vs. TG'!F154</f>
        <v/>
      </c>
      <c r="R57" s="105" t="str">
        <f>'BK vs. TG'!G154</f>
        <v/>
      </c>
      <c r="S57" s="105" t="str">
        <f>'BK vs. TG'!H154</f>
        <v/>
      </c>
      <c r="T57" s="105" t="str">
        <f>'BK vs. TG'!I154</f>
        <v/>
      </c>
      <c r="U57" s="105" t="str">
        <f>'BK vs. TG'!J154</f>
        <v/>
      </c>
      <c r="V57" s="105" t="str">
        <f>'BK vs. TG'!K154</f>
        <v/>
      </c>
    </row>
    <row r="58" spans="1:22" x14ac:dyDescent="0.2">
      <c r="A58" s="49" t="s">
        <v>396</v>
      </c>
      <c r="B58" s="85">
        <f>'HKG vs. BK'!B155</f>
        <v>2.0318635961168505</v>
      </c>
      <c r="C58" s="85">
        <f>'HKG vs. BK'!C155</f>
        <v>2.4670086401042579</v>
      </c>
      <c r="D58" s="85">
        <f>'HKG vs. BK'!D155</f>
        <v>1.6045321073502146</v>
      </c>
      <c r="E58" s="85">
        <f>'HKG vs. BK'!E155</f>
        <v>1.8309020495759838</v>
      </c>
      <c r="F58" s="85">
        <f>'HKG vs. BK'!F155</f>
        <v>2.1875683033155684</v>
      </c>
      <c r="G58" s="85">
        <f>'HKG vs. BK'!G155</f>
        <v>1.4684009932851605</v>
      </c>
      <c r="H58" s="85">
        <f>'HKG vs. BK'!H155</f>
        <v>1.6912043795030189</v>
      </c>
      <c r="I58" s="85">
        <f>'HKG vs. BK'!I155</f>
        <v>2.6333959873513151</v>
      </c>
      <c r="J58" s="85">
        <f>'HKG vs. BK'!J155</f>
        <v>1.8346382261016008</v>
      </c>
      <c r="K58" s="85">
        <f>'HKG vs. BK'!K155</f>
        <v>2.1586088305123243</v>
      </c>
      <c r="L58" s="49" t="s">
        <v>397</v>
      </c>
      <c r="M58" s="85" t="str">
        <f>'BK vs. TG'!B155</f>
        <v/>
      </c>
      <c r="N58" s="85" t="str">
        <f>'BK vs. TG'!C155</f>
        <v/>
      </c>
      <c r="O58" s="85" t="str">
        <f>'BK vs. TG'!D155</f>
        <v/>
      </c>
      <c r="P58" s="85" t="str">
        <f>'BK vs. TG'!E155</f>
        <v/>
      </c>
      <c r="Q58" s="85" t="str">
        <f>'BK vs. TG'!F155</f>
        <v/>
      </c>
      <c r="R58" s="85" t="str">
        <f>'BK vs. TG'!G155</f>
        <v/>
      </c>
      <c r="S58" s="85" t="str">
        <f>'BK vs. TG'!H155</f>
        <v/>
      </c>
      <c r="T58" s="85" t="str">
        <f>'BK vs. TG'!I155</f>
        <v/>
      </c>
      <c r="U58" s="85" t="str">
        <f>'BK vs. TG'!J155</f>
        <v/>
      </c>
      <c r="V58" s="85" t="str">
        <f>'BK vs. TG'!K155</f>
        <v/>
      </c>
    </row>
  </sheetData>
  <sheetProtection password="EB75" sheet="1" objects="1" scenarios="1"/>
  <phoneticPr fontId="0" type="noConversion"/>
  <conditionalFormatting sqref="W16">
    <cfRule type="cellIs" dxfId="3" priority="1" stopIfTrue="1" operator="between">
      <formula>5</formula>
      <formula>1000</formula>
    </cfRule>
  </conditionalFormatting>
  <conditionalFormatting sqref="W15 B13:K13 M13:X13">
    <cfRule type="cellIs" dxfId="2" priority="2" stopIfTrue="1" operator="between">
      <formula>1</formula>
      <formula>10</formula>
    </cfRule>
  </conditionalFormatting>
  <conditionalFormatting sqref="B57:K57 M57:V57 B43:K43 M43:V43">
    <cfRule type="cellIs" dxfId="1" priority="3" stopIfTrue="1" operator="between">
      <formula>0.0001</formula>
      <formula>0.05</formula>
    </cfRule>
  </conditionalFormatting>
  <conditionalFormatting sqref="B17:K17">
    <cfRule type="cellIs" dxfId="0" priority="4" stopIfTrue="1" operator="between">
      <formula>3</formula>
      <formula>300</formula>
    </cfRule>
  </conditionalFormatting>
  <pageMargins left="0.75" right="0.75" top="1" bottom="1" header="0.4921259845" footer="0.4921259845"/>
  <pageSetup paperSize="9" scale="45" orientation="landscape" r:id="rId1"/>
  <headerFooter alignWithMargins="0"/>
  <rowBreaks count="1" manualBreakCount="1">
    <brk id="59" max="24" man="1"/>
  </rowBreaks>
  <colBreaks count="1" manualBreakCount="1">
    <brk id="11" max="5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Intro</vt:lpstr>
      <vt:lpstr>HKG vs. BK</vt:lpstr>
      <vt:lpstr>BK vs. TG</vt:lpstr>
      <vt:lpstr>Res. Samples</vt:lpstr>
      <vt:lpstr>Res. Genes</vt:lpstr>
      <vt:lpstr>Graph HKG</vt:lpstr>
      <vt:lpstr>Graph TG</vt:lpstr>
      <vt:lpstr>'BK vs. TG'!Print_Area</vt:lpstr>
      <vt:lpstr>'HKG vs. BK'!Print_Area</vt:lpstr>
      <vt:lpstr>Intro!Print_Area</vt:lpstr>
      <vt:lpstr>'Res. Genes'!Print_Area</vt:lpstr>
      <vt:lpstr>'Res. Samples'!Print_Area</vt:lpstr>
    </vt:vector>
  </TitlesOfParts>
  <Company>TU-München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Michael Pfaffl</dc:creator>
  <cp:lastModifiedBy>Nele de Klerk</cp:lastModifiedBy>
  <cp:lastPrinted>2003-08-26T13:59:37Z</cp:lastPrinted>
  <dcterms:created xsi:type="dcterms:W3CDTF">2002-09-18T14:32:51Z</dcterms:created>
  <dcterms:modified xsi:type="dcterms:W3CDTF">2017-05-17T15:24:20Z</dcterms:modified>
</cp:coreProperties>
</file>